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9600" yWindow="-15" windowWidth="9645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G60" i="18"/>
  <c r="G58"/>
  <c r="G56"/>
  <c r="G54"/>
  <c r="G52"/>
  <c r="G48"/>
  <c r="G46"/>
  <c r="G44"/>
  <c r="G39"/>
  <c r="G37"/>
  <c r="G30"/>
  <c r="G28"/>
  <c r="G26"/>
  <c r="G11"/>
  <c r="G8"/>
  <c r="O28"/>
  <c r="U66"/>
  <c r="U67"/>
  <c r="U68"/>
  <c r="U70"/>
  <c r="U204" s="1"/>
  <c r="U71"/>
  <c r="U72"/>
  <c r="U214" s="1"/>
  <c r="U73"/>
  <c r="U74"/>
  <c r="U75"/>
  <c r="U76"/>
  <c r="U78"/>
  <c r="U79"/>
  <c r="U80"/>
  <c r="U209" s="1"/>
  <c r="U82"/>
  <c r="U83"/>
  <c r="U85"/>
  <c r="U86"/>
  <c r="U88"/>
  <c r="U139" s="1"/>
  <c r="U140" s="1"/>
  <c r="U141" s="1"/>
  <c r="U142" s="1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8" s="1"/>
  <c r="U113"/>
  <c r="U114"/>
  <c r="U115"/>
  <c r="U116"/>
  <c r="U122" s="1"/>
  <c r="U119"/>
  <c r="U120"/>
  <c r="U121"/>
  <c r="U124"/>
  <c r="U125"/>
  <c r="U126"/>
  <c r="U127"/>
  <c r="U128"/>
  <c r="U129"/>
  <c r="U130"/>
  <c r="U131"/>
  <c r="U132"/>
  <c r="U134"/>
  <c r="U135"/>
  <c r="U136"/>
  <c r="U137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3"/>
  <c r="U216" s="1"/>
  <c r="U217" s="1"/>
  <c r="U205"/>
  <c r="U206"/>
  <c r="U208"/>
  <c r="U211"/>
  <c r="U212"/>
  <c r="U215"/>
  <c r="U8"/>
  <c r="U11"/>
  <c r="U26"/>
  <c r="U28"/>
  <c r="U30"/>
  <c r="U37"/>
  <c r="U39"/>
  <c r="U44"/>
  <c r="U46"/>
  <c r="U48"/>
  <c r="U52"/>
  <c r="U54"/>
  <c r="U56"/>
  <c r="U58"/>
  <c r="U60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1"/>
  <c r="V53"/>
  <c r="V55"/>
  <c r="V57"/>
  <c r="V59"/>
  <c r="V6"/>
  <c r="P56"/>
  <c r="O56"/>
  <c r="N56"/>
  <c r="M56"/>
  <c r="L56"/>
  <c r="K56"/>
  <c r="J56"/>
  <c r="I56"/>
  <c r="H56"/>
  <c r="P54"/>
  <c r="O54"/>
  <c r="N54"/>
  <c r="M54"/>
  <c r="L54"/>
  <c r="K54"/>
  <c r="J54"/>
  <c r="I54"/>
  <c r="H54"/>
  <c r="P52"/>
  <c r="O52"/>
  <c r="N52"/>
  <c r="M52"/>
  <c r="L52"/>
  <c r="K52"/>
  <c r="J52"/>
  <c r="I52"/>
  <c r="H52"/>
  <c r="P30"/>
  <c r="O30"/>
  <c r="N30"/>
  <c r="M30"/>
  <c r="L30"/>
  <c r="K30"/>
  <c r="J30"/>
  <c r="I30"/>
  <c r="H30"/>
  <c r="P28"/>
  <c r="N28"/>
  <c r="M28"/>
  <c r="L28"/>
  <c r="K28"/>
  <c r="J28"/>
  <c r="I28"/>
  <c r="H28"/>
  <c r="P26"/>
  <c r="O26"/>
  <c r="N26"/>
  <c r="M26"/>
  <c r="L26"/>
  <c r="K26"/>
  <c r="J26"/>
  <c r="I26"/>
  <c r="H26"/>
  <c r="P11"/>
  <c r="O11"/>
  <c r="N11"/>
  <c r="M11"/>
  <c r="L11"/>
  <c r="K11"/>
  <c r="J11"/>
  <c r="I11"/>
  <c r="H11"/>
  <c r="P8"/>
  <c r="O8"/>
  <c r="N8"/>
  <c r="M8"/>
  <c r="L8"/>
  <c r="K8"/>
  <c r="J8"/>
  <c r="I8"/>
  <c r="H8"/>
  <c r="X245" l="1"/>
  <c r="X246" s="1"/>
  <c r="U84"/>
  <c r="U207" s="1"/>
  <c r="U143"/>
  <c r="G211"/>
  <c r="G212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J47"/>
  <c r="I47" s="1"/>
  <c r="J45"/>
  <c r="I45" s="1"/>
  <c r="H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J36"/>
  <c r="I36" s="1"/>
  <c r="I143" l="1"/>
  <c r="H141"/>
  <c r="H142" s="1"/>
  <c r="H143"/>
  <c r="H43"/>
  <c r="I125"/>
  <c r="I126"/>
  <c r="I127"/>
  <c r="I128"/>
  <c r="I131"/>
  <c r="H47"/>
  <c r="I129"/>
  <c r="I39"/>
  <c r="H39"/>
  <c r="H36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X57"/>
  <c r="G129" l="1"/>
  <c r="V129" s="1"/>
  <c r="G125"/>
  <c r="G127"/>
  <c r="V127" s="1"/>
  <c r="G131"/>
  <c r="G126"/>
  <c r="V126" s="1"/>
  <c r="G128"/>
  <c r="V128" s="1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K46"/>
  <c r="W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H49" l="1"/>
  <c r="G130" s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U170" s="1"/>
  <c r="P102"/>
  <c r="O102"/>
  <c r="N102"/>
  <c r="M102"/>
  <c r="L102"/>
  <c r="K102"/>
  <c r="J102"/>
  <c r="W170" l="1"/>
  <c r="U220" s="1"/>
  <c r="U219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U225" s="1"/>
  <c r="C1"/>
  <c r="AJ47" s="1"/>
  <c r="U221" l="1"/>
  <c r="U222" s="1"/>
  <c r="U224"/>
  <c r="U226"/>
  <c r="U227" s="1"/>
  <c r="T225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U229" l="1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<sst xmlns="http://schemas.openxmlformats.org/spreadsheetml/2006/main" count="780" uniqueCount="514">
  <si>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</si>
  <si>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</si>
  <si>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</si>
  <si>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</si>
  <si>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</si>
  <si>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</si>
  <si>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</si>
  <si>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</si>
  <si>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</si>
  <si>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</si>
  <si>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</si>
  <si>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</si>
  <si>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</si>
  <si>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</si>
  <si>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</si>
  <si>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</si>
  <si>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</si>
  <si>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</si>
  <si>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</si>
  <si>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</si>
  <si>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</si>
  <si>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</si>
  <si>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</si>
  <si>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</si>
  <si>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</si>
  <si>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</si>
  <si>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</si>
  <si>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</si>
  <si>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</si>
  <si>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</si>
  <si>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</si>
  <si>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</si>
  <si>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</si>
  <si>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</si>
  <si>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</si>
  <si>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</si>
  <si>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</si>
  <si>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</si>
  <si>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</si>
  <si>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</si>
  <si>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</si>
  <si>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</si>
  <si>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</si>
  <si>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</si>
  <si>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</si>
  <si>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</si>
  <si>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</si>
  <si>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</si>
  <si>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</si>
  <si>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</si>
  <si>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</si>
  <si>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</si>
  <si>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</si>
  <si>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</si>
  <si>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</si>
  <si>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</si>
  <si>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</si>
  <si>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</si>
  <si>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</si>
  <si>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</si>
  <si>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</si>
  <si>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</si>
  <si>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</si>
  <si>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</si>
  <si>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</si>
  <si>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</si>
  <si>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</si>
  <si>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</si>
  <si>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</si>
  <si>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</si>
  <si>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</si>
  <si>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</si>
  <si>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</si>
  <si>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</si>
  <si>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</si>
  <si>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</si>
  <si>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</si>
  <si>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</si>
  <si>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</si>
  <si>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</si>
  <si>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</si>
  <si>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</si>
  <si>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</si>
  <si>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</si>
  <si>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</si>
  <si>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</si>
  <si>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</si>
  <si>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</si>
  <si>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</si>
  <si>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</si>
  <si>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</si>
  <si>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</si>
  <si>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</si>
  <si>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</si>
  <si>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</si>
  <si>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</si>
  <si>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</si>
  <si>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</si>
  <si>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</si>
  <si>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</si>
  <si>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</si>
  <si>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</si>
  <si>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</si>
  <si>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</si>
  <si>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</si>
  <si>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</si>
  <si>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</si>
  <si>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</si>
  <si>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</si>
  <si>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</si>
  <si>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</si>
  <si>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</si>
  <si>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</si>
  <si>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</si>
  <si>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</si>
  <si>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</si>
  <si>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</si>
  <si>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</si>
  <si>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</si>
  <si>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</si>
  <si>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</si>
  <si>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</si>
  <si>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</si>
  <si>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</si>
  <si>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</si>
  <si>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</si>
  <si>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</si>
  <si>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</si>
  <si>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</si>
  <si>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</si>
  <si>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</si>
  <si>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</si>
  <si>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</si>
  <si>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</si>
  <si>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</si>
  <si>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</si>
  <si>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</si>
  <si>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</si>
  <si>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</si>
  <si>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</si>
  <si>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</si>
  <si>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</si>
  <si>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</si>
  <si>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</si>
  <si>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</si>
  <si>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</si>
  <si>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</si>
  <si>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</si>
  <si>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</si>
  <si>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</si>
  <si>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</si>
  <si>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</si>
  <si>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</si>
  <si>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</si>
  <si>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</si>
  <si>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</si>
  <si>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</si>
  <si>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</si>
  <si>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</si>
  <si>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</si>
  <si>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</si>
  <si>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</si>
  <si>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</si>
  <si>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</si>
  <si>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</si>
  <si>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</si>
  <si>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</si>
  <si>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</si>
  <si>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</si>
  <si>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</si>
  <si>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</si>
  <si>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</si>
  <si>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</si>
  <si>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</si>
  <si>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</si>
  <si>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</si>
  <si>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</si>
  <si>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</si>
  <si>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</si>
  <si>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</si>
  <si>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</si>
  <si>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</si>
  <si>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</si>
  <si>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</si>
  <si>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</si>
  <si>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</si>
  <si>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</si>
  <si>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</si>
  <si>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</si>
  <si>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</si>
  <si>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</si>
  <si>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</si>
  <si>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</si>
  <si>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</si>
  <si>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</si>
  <si>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</si>
  <si>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</si>
  <si>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</si>
  <si>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</si>
  <si>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</si>
  <si>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</si>
  <si>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</si>
  <si>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</si>
  <si>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</si>
  <si>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</si>
  <si>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</si>
  <si>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</si>
  <si>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</si>
  <si>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</si>
  <si>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</si>
  <si>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</si>
  <si>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</si>
  <si>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</si>
  <si>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</si>
  <si>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</si>
  <si>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</si>
  <si>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</si>
  <si>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</si>
  <si>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</si>
  <si>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</si>
  <si>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</si>
  <si>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</si>
  <si>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</si>
  <si>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</si>
  <si>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</si>
  <si>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</si>
  <si>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</si>
  <si>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</si>
  <si>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</si>
  <si>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</si>
  <si>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</si>
  <si>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</si>
  <si>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</si>
  <si>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</si>
  <si>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</si>
  <si>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</si>
  <si>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</si>
  <si>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</si>
  <si>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</si>
  <si>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</si>
  <si>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</si>
  <si>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</si>
  <si>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</si>
  <si>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</si>
  <si>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</si>
  <si>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</si>
  <si>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</si>
  <si>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</si>
  <si>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</si>
  <si>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</si>
  <si>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</si>
  <si>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</si>
  <si>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</si>
  <si>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</si>
  <si>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</si>
  <si>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</si>
  <si>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</si>
  <si>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</si>
  <si>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</si>
  <si>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</si>
  <si>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</si>
  <si>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</si>
  <si>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</si>
  <si>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</si>
  <si>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</si>
  <si>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</si>
  <si>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</si>
  <si>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</si>
  <si>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</si>
  <si>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</si>
  <si>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</si>
  <si>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</si>
  <si>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</si>
  <si>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</si>
  <si>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</si>
  <si>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</si>
  <si>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</si>
  <si>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</si>
  <si>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</si>
  <si>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</si>
  <si>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</si>
  <si>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</si>
  <si>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</si>
  <si>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</si>
  <si>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</si>
  <si>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</si>
  <si>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</si>
  <si>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</si>
  <si>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</si>
  <si>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</si>
  <si>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</si>
  <si>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</si>
  <si>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</si>
  <si>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</si>
  <si>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</si>
  <si>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</si>
  <si>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</si>
  <si>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</si>
  <si>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</si>
  <si>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</si>
  <si>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</si>
  <si>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</si>
  <si>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</si>
  <si>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</si>
  <si>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</si>
  <si>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</si>
  <si>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</si>
  <si>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</si>
  <si>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</si>
  <si>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</si>
  <si>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</si>
  <si>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</si>
  <si>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</si>
  <si>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</si>
  <si>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</si>
  <si>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</si>
  <si>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</si>
  <si>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</si>
  <si>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</si>
  <si>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</si>
  <si>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</si>
  <si>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</si>
  <si>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</si>
  <si>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</si>
  <si>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</si>
  <si>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</si>
  <si>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</si>
  <si>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</si>
  <si>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</si>
  <si>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</si>
  <si>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</si>
  <si>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</si>
  <si>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</si>
  <si>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</si>
  <si>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</si>
  <si>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</si>
  <si>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</si>
  <si>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</si>
  <si>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</si>
  <si>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</si>
  <si>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</si>
  <si>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</si>
  <si>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</si>
  <si>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</si>
  <si>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</si>
  <si>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</si>
  <si>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</si>
  <si>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</si>
  <si>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</si>
  <si>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</si>
  <si>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</si>
  <si>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</si>
  <si>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</si>
  <si>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</si>
  <si>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</si>
  <si>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</si>
  <si>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</si>
  <si>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</si>
  <si>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</si>
  <si>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</si>
  <si>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</si>
  <si>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</si>
  <si>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</si>
  <si>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</si>
  <si>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</si>
  <si>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</si>
  <si>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</si>
  <si>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</si>
  <si>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</si>
  <si>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</si>
  <si>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</si>
  <si>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</si>
  <si>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</si>
  <si>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</si>
  <si>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</si>
  <si>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</si>
  <si>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</si>
  <si>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</si>
  <si>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</si>
  <si>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</si>
  <si>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</si>
  <si>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</si>
  <si>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</si>
  <si>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</si>
  <si>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</si>
  <si>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</si>
  <si>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</si>
  <si>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</si>
  <si>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</si>
  <si>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</si>
  <si>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</si>
  <si>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</si>
  <si>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</si>
  <si>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</si>
  <si>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</si>
  <si>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</si>
  <si>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</si>
  <si>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</si>
  <si>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</si>
  <si>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</si>
  <si>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</si>
  <si>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</si>
  <si>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</si>
  <si>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</si>
  <si>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</si>
  <si>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</si>
  <si>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</si>
  <si>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</si>
  <si>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</si>
  <si>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</si>
  <si>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</si>
  <si>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</si>
  <si>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</si>
  <si>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</si>
  <si>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</si>
  <si>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</si>
  <si>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</si>
  <si>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</si>
  <si>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</si>
  <si>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</si>
  <si>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</si>
  <si>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</si>
  <si>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</si>
  <si>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</si>
  <si>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</si>
  <si>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</si>
  <si>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</si>
  <si>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</si>
  <si>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</si>
  <si>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</si>
  <si>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</si>
  <si>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</si>
  <si>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</si>
  <si>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</si>
  <si>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</si>
  <si>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</si>
  <si>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</si>
  <si>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</si>
  <si>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</si>
  <si>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</si>
  <si>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</si>
  <si>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</si>
  <si>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</si>
  <si>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</si>
  <si>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</si>
  <si>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</si>
  <si>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</si>
  <si>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</si>
  <si>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</si>
  <si>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</si>
  <si>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</si>
  <si>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</si>
  <si>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</si>
  <si>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</si>
  <si>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</si>
  <si>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</si>
  <si>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</si>
  <si>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</si>
  <si>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</si>
  <si>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</si>
  <si>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</si>
  <si>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</si>
  <si>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</si>
  <si>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</si>
  <si>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</si>
  <si>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</si>
  <si>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</si>
  <si>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</si>
  <si>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</si>
  <si>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</si>
  <si>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</si>
  <si>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</si>
  <si>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</si>
  <si>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</si>
  <si>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</si>
  <si>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</si>
  <si>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</si>
  <si>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</si>
  <si>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</si>
  <si>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</si>
  <si>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</si>
  <si>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</si>
  <si>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</si>
  <si>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</si>
  <si>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</si>
  <si>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</si>
  <si>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</si>
  <si>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</si>
  <si>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</si>
  <si>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</si>
  <si>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</si>
  <si>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</si>
  <si>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</si>
  <si>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</si>
  <si>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</si>
  <si>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</si>
  <si>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</si>
  <si>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</si>
  <si>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</si>
  <si>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</si>
  <si>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</si>
  <si>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</si>
  <si>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</si>
  <si>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</si>
  <si>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</si>
  <si>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</si>
  <si>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</si>
  <si>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</si>
  <si>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</si>
  <si>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</si>
  <si>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</si>
  <si>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</si>
  <si>
    <t>Top Expenses ( Employee Cast )</t>
  </si>
  <si>
    <t>2nd highest Expenses Comp. ( Interest 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</si>
</sst>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8409600"/>
        <c:axId val="68415488"/>
      </c:lineChart>
      <c:catAx>
        <c:axId val="68409600"/>
        <c:scaling>
          <c:orientation val="minMax"/>
        </c:scaling>
        <c:axPos val="b"/>
        <c:tickLblPos val="nextTo"/>
        <c:crossAx val="68415488"/>
        <c:crosses val="autoZero"/>
        <c:auto val="1"/>
        <c:lblAlgn val="ctr"/>
        <c:lblOffset val="100"/>
      </c:catAx>
      <c:valAx>
        <c:axId val="68415488"/>
        <c:scaling>
          <c:orientation val="minMax"/>
        </c:scaling>
        <c:axPos val="l"/>
        <c:majorGridlines/>
        <c:numFmt formatCode="General" sourceLinked="1"/>
        <c:tickLblPos val="nextTo"/>
        <c:crossAx val="684096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6" t="s">
        <v>440</v>
      </c>
      <c r="C3" s="276"/>
      <c r="D3" s="276"/>
      <c r="G3" s="276" t="s">
        <v>441</v>
      </c>
      <c r="H3" s="276"/>
      <c r="I3" s="276"/>
      <c r="P3" s="277" t="s">
        <v>442</v>
      </c>
      <c r="Q3" s="278"/>
      <c r="R3" s="278"/>
      <c r="S3" s="279"/>
      <c r="T3" s="277" t="s">
        <v>443</v>
      </c>
      <c r="U3" s="278"/>
      <c r="V3" s="278"/>
      <c r="W3" s="279"/>
    </row>
    <row r="4" spans="2:23">
      <c r="B4" s="185" t="s">
        <v>444</v>
      </c>
      <c r="C4" s="280">
        <v>9500000</v>
      </c>
      <c r="D4" s="280"/>
      <c r="G4" s="185" t="s">
        <v>445</v>
      </c>
      <c r="H4" s="281">
        <v>200000</v>
      </c>
      <c r="I4" s="281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82">
        <v>0.08</v>
      </c>
      <c r="D5" s="283"/>
      <c r="G5" s="185" t="s">
        <v>451</v>
      </c>
      <c r="H5" s="284">
        <v>0.12</v>
      </c>
      <c r="I5" s="284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81">
        <v>30</v>
      </c>
      <c r="D6" s="281"/>
      <c r="G6" s="185" t="s">
        <v>453</v>
      </c>
      <c r="H6" s="281">
        <v>10</v>
      </c>
      <c r="I6" s="281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85"/>
      <c r="D7" s="285"/>
      <c r="G7" s="185"/>
      <c r="H7" s="285"/>
      <c r="I7" s="285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5"/>
      <c r="D8" s="285"/>
      <c r="G8" s="185"/>
      <c r="H8" s="285"/>
      <c r="I8" s="285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6">
        <f>C4*(1/(1+C5)^C6)</f>
        <v>944084.6592231117</v>
      </c>
      <c r="D9" s="286"/>
      <c r="G9" s="203" t="s">
        <v>458</v>
      </c>
      <c r="H9" s="286">
        <f>H4*((1+H5)^H6)</f>
        <v>621169.64166884217</v>
      </c>
      <c r="I9" s="286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6">
        <f>C4-C9</f>
        <v>8555915.3407768887</v>
      </c>
      <c r="D10" s="286"/>
      <c r="G10" s="203" t="s">
        <v>460</v>
      </c>
      <c r="H10" s="287">
        <f>H9-H4</f>
        <v>421169.64166884217</v>
      </c>
      <c r="I10" s="287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76" t="s">
        <v>464</v>
      </c>
      <c r="C14" s="276"/>
      <c r="D14" s="276"/>
      <c r="G14" s="276" t="s">
        <v>465</v>
      </c>
      <c r="H14" s="276"/>
      <c r="I14" s="276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81">
        <v>24000</v>
      </c>
      <c r="D15" s="281"/>
      <c r="G15" s="185" t="s">
        <v>466</v>
      </c>
      <c r="H15" s="281">
        <v>200000</v>
      </c>
      <c r="I15" s="281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82">
        <v>0.1</v>
      </c>
      <c r="D16" s="283"/>
      <c r="G16" s="185" t="s">
        <v>451</v>
      </c>
      <c r="H16" s="282">
        <v>0.12</v>
      </c>
      <c r="I16" s="283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81">
        <v>20</v>
      </c>
      <c r="D17" s="281"/>
      <c r="G17" s="185" t="s">
        <v>453</v>
      </c>
      <c r="H17" s="281">
        <v>10</v>
      </c>
      <c r="I17" s="281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5"/>
      <c r="D18" s="285"/>
      <c r="G18" s="185"/>
      <c r="H18" s="285"/>
      <c r="I18" s="285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8">
        <f>( ( 1-  (1/ ( (1+C16)^C17) ) ) / C16)</f>
        <v>8.5135637197585652</v>
      </c>
      <c r="D19" s="289"/>
      <c r="G19" s="203" t="s">
        <v>468</v>
      </c>
      <c r="H19" s="288">
        <f>( ((1+H16)^H17) -1 ) / H16</f>
        <v>17.548735069535095</v>
      </c>
      <c r="I19" s="289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0">
        <f>C19 * C15</f>
        <v>204325.52927420556</v>
      </c>
      <c r="D20" s="291"/>
      <c r="G20" s="203" t="s">
        <v>470</v>
      </c>
      <c r="H20" s="288">
        <f>H19 * H15</f>
        <v>3509747.013907019</v>
      </c>
      <c r="I20" s="289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92"/>
      <c r="D21" s="293"/>
      <c r="G21" s="203"/>
      <c r="H21" s="292"/>
      <c r="I21" s="293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6"/>
      <c r="D22" s="286"/>
      <c r="G22" s="203"/>
      <c r="H22" s="286"/>
      <c r="I22" s="286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76" t="s">
        <v>471</v>
      </c>
      <c r="C26" s="276"/>
      <c r="D26" s="276"/>
      <c r="G26" s="276" t="s">
        <v>472</v>
      </c>
      <c r="H26" s="276"/>
      <c r="I26" s="276"/>
      <c r="K26" s="276" t="s">
        <v>15</v>
      </c>
      <c r="L26" s="276"/>
    </row>
    <row r="27" spans="2:18">
      <c r="B27" s="185" t="s">
        <v>466</v>
      </c>
      <c r="C27" s="281">
        <v>100</v>
      </c>
      <c r="D27" s="281"/>
      <c r="G27" s="185" t="s">
        <v>466</v>
      </c>
      <c r="H27" s="281">
        <v>200000</v>
      </c>
      <c r="I27" s="281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82">
        <v>0.05</v>
      </c>
      <c r="D28" s="283"/>
      <c r="G28" s="185" t="s">
        <v>451</v>
      </c>
      <c r="H28" s="282">
        <v>0.12</v>
      </c>
      <c r="I28" s="283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81">
        <v>3</v>
      </c>
      <c r="D29" s="281"/>
      <c r="G29" s="185" t="s">
        <v>453</v>
      </c>
      <c r="H29" s="281">
        <v>11</v>
      </c>
      <c r="I29" s="281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85"/>
      <c r="D30" s="285"/>
      <c r="G30" s="185"/>
      <c r="H30" s="285"/>
      <c r="I30" s="285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8">
        <f>( ( ( 1-  (1/ ( (1+C28)^C29) ) ) / C28) ) * (1+C28)</f>
        <v>2.859410430839004</v>
      </c>
      <c r="D31" s="289"/>
      <c r="G31" s="203" t="s">
        <v>468</v>
      </c>
      <c r="H31" s="288">
        <f>(( ((1+H28)^H29) -1 ) / H28 ) * ( 1+H28)</f>
        <v>23.133133271224832</v>
      </c>
      <c r="I31" s="289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8">
        <f>C31 * C27</f>
        <v>285.94104308390041</v>
      </c>
      <c r="D32" s="289"/>
      <c r="G32" s="203" t="s">
        <v>479</v>
      </c>
      <c r="H32" s="288">
        <f>H31 * H27</f>
        <v>4626626.6542449668</v>
      </c>
      <c r="I32" s="289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92"/>
      <c r="D33" s="293"/>
      <c r="G33" s="203"/>
      <c r="H33" s="292"/>
      <c r="I33" s="293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6"/>
      <c r="D34" s="286"/>
      <c r="G34" s="203"/>
      <c r="H34" s="286"/>
      <c r="I34" s="286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76" t="s">
        <v>24</v>
      </c>
      <c r="C36" s="276"/>
      <c r="D36" s="276"/>
      <c r="E36" s="223"/>
      <c r="G36" s="276" t="s">
        <v>53</v>
      </c>
      <c r="H36" s="276"/>
      <c r="K36" s="276" t="s">
        <v>337</v>
      </c>
      <c r="L36" s="276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96" t="s">
        <v>458</v>
      </c>
      <c r="D43" s="296"/>
      <c r="E43" s="296"/>
      <c r="F43" s="296"/>
      <c r="J43" s="296" t="s">
        <v>458</v>
      </c>
      <c r="K43" s="296"/>
      <c r="L43" s="296"/>
      <c r="M43" s="296"/>
    </row>
    <row r="44" spans="2:17" ht="15.75" thickBot="1">
      <c r="B44" s="233"/>
      <c r="C44" s="294" t="s">
        <v>485</v>
      </c>
      <c r="D44" s="295"/>
      <c r="E44" s="234" t="s">
        <v>486</v>
      </c>
      <c r="F44" s="234"/>
      <c r="G44" s="235"/>
      <c r="I44" s="233"/>
      <c r="J44" s="294" t="s">
        <v>487</v>
      </c>
      <c r="K44" s="295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97" t="s">
        <v>489</v>
      </c>
      <c r="C46" s="298"/>
      <c r="D46" s="298"/>
      <c r="E46" s="298"/>
      <c r="F46" s="298"/>
      <c r="G46" s="299"/>
      <c r="I46" s="297" t="s">
        <v>489</v>
      </c>
      <c r="J46" s="298"/>
      <c r="K46" s="298"/>
      <c r="L46" s="298"/>
      <c r="M46" s="298"/>
      <c r="N46" s="299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300" t="s">
        <v>497</v>
      </c>
      <c r="C81" s="301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300" t="s">
        <v>497</v>
      </c>
      <c r="J81" s="301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96" t="s">
        <v>499</v>
      </c>
      <c r="D84" s="296"/>
      <c r="E84" s="296"/>
      <c r="F84" s="296"/>
      <c r="H84" s="254">
        <f t="shared" si="14"/>
        <v>0</v>
      </c>
      <c r="J84" s="296" t="s">
        <v>499</v>
      </c>
      <c r="K84" s="296"/>
      <c r="L84" s="296"/>
      <c r="M84" s="296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94" t="s">
        <v>485</v>
      </c>
      <c r="D86" s="295"/>
      <c r="E86" s="234" t="s">
        <v>486</v>
      </c>
      <c r="F86" s="234"/>
      <c r="G86" s="235"/>
      <c r="H86" s="254">
        <f t="shared" si="14"/>
        <v>0</v>
      </c>
      <c r="I86" s="233"/>
      <c r="J86" s="294" t="s">
        <v>500</v>
      </c>
      <c r="K86" s="295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97" t="s">
        <v>502</v>
      </c>
      <c r="C88" s="298"/>
      <c r="D88" s="298"/>
      <c r="E88" s="298"/>
      <c r="F88" s="298"/>
      <c r="G88" s="299"/>
      <c r="H88" s="254">
        <f t="shared" si="14"/>
        <v>0</v>
      </c>
      <c r="I88" s="297" t="s">
        <v>502</v>
      </c>
      <c r="J88" s="298"/>
      <c r="K88" s="298"/>
      <c r="L88" s="298"/>
      <c r="M88" s="298"/>
      <c r="N88" s="299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300" t="s">
        <v>508</v>
      </c>
      <c r="C124" s="301"/>
      <c r="D124" s="259">
        <f>SUM(D91:D123)</f>
        <v>1900</v>
      </c>
      <c r="E124" s="257"/>
      <c r="F124" s="257"/>
      <c r="G124" s="271">
        <f>G121</f>
        <v>1413.1902480939689</v>
      </c>
      <c r="I124" s="300" t="s">
        <v>508</v>
      </c>
      <c r="J124" s="301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K185" activePane="bottomRight" state="frozen"/>
      <selection pane="topRight" activeCell="C1" sqref="C1"/>
      <selection pane="bottomLeft" activeCell="A5" sqref="A5"/>
      <selection pane="bottomRight" activeCell="T208" sqref="T208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0.15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6" t="s">
        <v>241</v>
      </c>
      <c r="AJ2" s="307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4" t="s">
        <v>1</v>
      </c>
      <c r="AI3" s="308" t="s">
        <v>242</v>
      </c>
      <c r="AJ3" s="309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v>257</v>
      </c>
      <c r="H6" s="125"/>
      <c r="I6" s="125"/>
      <c r="J6" s="125"/>
      <c r="K6" s="125"/>
      <c r="L6" s="125"/>
      <c r="M6" s="125"/>
      <c r="N6" s="125"/>
      <c r="O6" s="125">
        <v>257</v>
      </c>
      <c r="P6" s="125">
        <v>414</v>
      </c>
      <c r="Q6" s="125">
        <v>669</v>
      </c>
      <c r="R6" s="125">
        <v>901</v>
      </c>
      <c r="S6" s="182">
        <v>1071</v>
      </c>
      <c r="T6" s="182">
        <v>1892</v>
      </c>
      <c r="U6" s="182">
        <v>1935</v>
      </c>
      <c r="V6" s="101">
        <f>((T6/G6)^(1/($K$2-$K$1) ))-1</f>
        <v>0.1532612900709005</v>
      </c>
      <c r="W6" s="21">
        <f>$O$2</f>
        <v>0.15</v>
      </c>
      <c r="X6" s="131">
        <f>T6*(1+$W6)</f>
        <v>2175.7999999999997</v>
      </c>
      <c r="Y6" s="131">
        <f>X6*(1+$W6)</f>
        <v>2502.1699999999996</v>
      </c>
      <c r="Z6" s="131">
        <f t="shared" ref="Z6:AG6" si="0">Y6*(1+$W6)</f>
        <v>2877.4954999999995</v>
      </c>
      <c r="AA6" s="131">
        <f t="shared" si="0"/>
        <v>3309.1198249999993</v>
      </c>
      <c r="AB6" s="131">
        <f t="shared" si="0"/>
        <v>3805.487798749999</v>
      </c>
      <c r="AC6" s="131">
        <f t="shared" si="0"/>
        <v>4376.3109685624986</v>
      </c>
      <c r="AD6" s="131">
        <f t="shared" si="0"/>
        <v>5032.757613846873</v>
      </c>
      <c r="AE6" s="131">
        <f t="shared" si="0"/>
        <v>5787.6712559239031</v>
      </c>
      <c r="AF6" s="131">
        <f t="shared" si="0"/>
        <v>6655.8219443124881</v>
      </c>
      <c r="AG6" s="131">
        <f t="shared" si="0"/>
        <v>7654.1952359593606</v>
      </c>
      <c r="AH6" s="116" t="e">
        <f>((AG6/J6)^(1/($AG$3-$K$1) ))-1</f>
        <v>#DIV/0!</v>
      </c>
      <c r="AI6" s="21">
        <f>$O$1</f>
        <v>0.05</v>
      </c>
      <c r="AJ6" s="124">
        <f t="shared" ref="AJ6:AJ59" si="1">(AG6*(1+AI6))/($C$1-AI6)</f>
        <v>80369.04997757329</v>
      </c>
    </row>
    <row r="7" spans="2:36">
      <c r="B7" s="10" t="s">
        <v>198</v>
      </c>
      <c r="C7" s="119"/>
      <c r="D7" s="119"/>
      <c r="E7" s="125"/>
      <c r="F7" s="125"/>
      <c r="G7" s="125">
        <v>302</v>
      </c>
      <c r="H7" s="125"/>
      <c r="I7" s="125"/>
      <c r="J7" s="125"/>
      <c r="K7" s="125"/>
      <c r="L7" s="125"/>
      <c r="M7" s="125"/>
      <c r="N7" s="125"/>
      <c r="O7" s="125">
        <v>302</v>
      </c>
      <c r="P7" s="125">
        <v>472</v>
      </c>
      <c r="Q7" s="125">
        <v>742</v>
      </c>
      <c r="R7" s="125">
        <v>1170</v>
      </c>
      <c r="S7" s="182">
        <v>1341</v>
      </c>
      <c r="T7" s="182">
        <v>2230</v>
      </c>
      <c r="U7" s="182">
        <v>2277</v>
      </c>
      <c r="V7" s="101">
        <f t="shared" ref="V7:V59" si="2">((T7/G7)^(1/($K$2-$K$1) ))-1</f>
        <v>0.15350977729165871</v>
      </c>
      <c r="W7" s="21">
        <f>$O$2</f>
        <v>0.15</v>
      </c>
      <c r="X7" s="131">
        <f t="shared" ref="X7:X59" si="3">T7*(1+$W7)</f>
        <v>2564.5</v>
      </c>
      <c r="Y7" s="131">
        <f t="shared" ref="Y7:AG7" si="4">X7*(1+$W7)</f>
        <v>2949.1749999999997</v>
      </c>
      <c r="Z7" s="131">
        <f t="shared" si="4"/>
        <v>3391.5512499999995</v>
      </c>
      <c r="AA7" s="131">
        <f t="shared" si="4"/>
        <v>3900.283937499999</v>
      </c>
      <c r="AB7" s="131">
        <f t="shared" si="4"/>
        <v>4485.3265281249987</v>
      </c>
      <c r="AC7" s="131">
        <f t="shared" si="4"/>
        <v>5158.1255073437478</v>
      </c>
      <c r="AD7" s="131">
        <f t="shared" si="4"/>
        <v>5931.8443334453095</v>
      </c>
      <c r="AE7" s="131">
        <f t="shared" si="4"/>
        <v>6821.6209834621059</v>
      </c>
      <c r="AF7" s="131">
        <f t="shared" si="4"/>
        <v>7844.8641309814211</v>
      </c>
      <c r="AG7" s="131">
        <f t="shared" si="4"/>
        <v>9021.5937506286336</v>
      </c>
      <c r="AH7" s="116" t="e">
        <f>((AG7/J7)^(1/($AG$3-$K$1) ))-1</f>
        <v>#DIV/0!</v>
      </c>
      <c r="AI7" s="21">
        <f>$O$1</f>
        <v>0.05</v>
      </c>
      <c r="AJ7" s="124">
        <f t="shared" si="1"/>
        <v>94726.734381600661</v>
      </c>
    </row>
    <row r="8" spans="2:36">
      <c r="B8" s="10"/>
      <c r="C8" s="119"/>
      <c r="D8" s="119"/>
      <c r="E8" s="125"/>
      <c r="F8" s="272"/>
      <c r="G8" s="128">
        <f t="shared" ref="G8:P8" si="5">(G7-F7)/G7</f>
        <v>1</v>
      </c>
      <c r="H8" s="128" t="e">
        <f>(H7-G7)/H7</f>
        <v>#DIV/0!</v>
      </c>
      <c r="I8" s="128" t="e">
        <f t="shared" si="5"/>
        <v>#DIV/0!</v>
      </c>
      <c r="J8" s="128" t="e">
        <f t="shared" si="5"/>
        <v>#DIV/0!</v>
      </c>
      <c r="K8" s="128" t="e">
        <f t="shared" si="5"/>
        <v>#DIV/0!</v>
      </c>
      <c r="L8" s="128" t="e">
        <f t="shared" si="5"/>
        <v>#DIV/0!</v>
      </c>
      <c r="M8" s="128" t="e">
        <f t="shared" si="5"/>
        <v>#DIV/0!</v>
      </c>
      <c r="N8" s="128" t="e">
        <f t="shared" si="5"/>
        <v>#DIV/0!</v>
      </c>
      <c r="O8" s="128">
        <f t="shared" si="5"/>
        <v>1</v>
      </c>
      <c r="P8" s="128">
        <f t="shared" si="5"/>
        <v>0.36016949152542371</v>
      </c>
      <c r="Q8" s="128">
        <f t="shared" ref="Q8:R8" si="6">(Q7-P7)/Q7</f>
        <v>0.36388140161725069</v>
      </c>
      <c r="R8" s="128">
        <f t="shared" si="6"/>
        <v>0.36581196581196579</v>
      </c>
      <c r="S8" s="128">
        <f t="shared" ref="S8:U8" si="7">(S7-R7)/R7</f>
        <v>0.14615384615384616</v>
      </c>
      <c r="T8" s="128">
        <f t="shared" si="7"/>
        <v>0.66293810589112601</v>
      </c>
      <c r="U8" s="128">
        <f t="shared" si="7"/>
        <v>2.1076233183856503E-2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v>266</v>
      </c>
      <c r="H9" s="125"/>
      <c r="I9" s="125"/>
      <c r="J9" s="125"/>
      <c r="K9" s="125"/>
      <c r="L9" s="125"/>
      <c r="M9" s="125"/>
      <c r="N9" s="125"/>
      <c r="O9" s="125">
        <v>266</v>
      </c>
      <c r="P9" s="125">
        <v>511</v>
      </c>
      <c r="Q9" s="125">
        <v>923</v>
      </c>
      <c r="R9" s="125">
        <v>1367</v>
      </c>
      <c r="S9" s="182">
        <v>2231</v>
      </c>
      <c r="T9" s="182">
        <v>493</v>
      </c>
      <c r="U9" s="182">
        <v>1156</v>
      </c>
      <c r="V9" s="101">
        <f t="shared" si="2"/>
        <v>4.505795950371505E-2</v>
      </c>
      <c r="W9" s="21">
        <f t="shared" ref="W9:W55" si="8">$O$2</f>
        <v>0.15</v>
      </c>
      <c r="X9" s="131">
        <f t="shared" si="3"/>
        <v>566.94999999999993</v>
      </c>
      <c r="Y9" s="131">
        <f t="shared" ref="Y9" si="9">X9*(1+$W9)</f>
        <v>651.99249999999984</v>
      </c>
      <c r="Z9" s="131">
        <f t="shared" ref="Z9" si="10">Y9*(1+$W9)</f>
        <v>749.79137499999979</v>
      </c>
      <c r="AA9" s="131">
        <f t="shared" ref="AA9" si="11">Z9*(1+$W9)</f>
        <v>862.26008124999964</v>
      </c>
      <c r="AB9" s="131">
        <f t="shared" ref="AB9" si="12">AA9*(1+$W9)</f>
        <v>991.5990934374995</v>
      </c>
      <c r="AC9" s="131">
        <f t="shared" ref="AC9" si="13">AB9*(1+$W9)</f>
        <v>1140.3389574531243</v>
      </c>
      <c r="AD9" s="131">
        <f t="shared" ref="AD9" si="14">AC9*(1+$W9)</f>
        <v>1311.3898010710927</v>
      </c>
      <c r="AE9" s="131">
        <f t="shared" ref="AE9" si="15">AD9*(1+$W9)</f>
        <v>1508.0982712317566</v>
      </c>
      <c r="AF9" s="131">
        <f t="shared" ref="AF9" si="16">AE9*(1+$W9)</f>
        <v>1734.3130119165201</v>
      </c>
      <c r="AG9" s="131">
        <f t="shared" ref="AG9" si="17">AF9*(1+$W9)</f>
        <v>1994.4599637039978</v>
      </c>
      <c r="AH9" s="116" t="e">
        <f>((AG9/J9)^(1/($AG$3-$K$1) ))-1</f>
        <v>#DIV/0!</v>
      </c>
      <c r="AI9" s="21">
        <f t="shared" ref="AI9:AI99" si="18">$O$1</f>
        <v>0.05</v>
      </c>
      <c r="AJ9" s="124">
        <f t="shared" si="1"/>
        <v>20941.829618891981</v>
      </c>
    </row>
    <row r="10" spans="2:36">
      <c r="B10" s="10" t="s">
        <v>3</v>
      </c>
      <c r="C10" s="119"/>
      <c r="D10" s="119"/>
      <c r="E10" s="125"/>
      <c r="F10" s="125"/>
      <c r="G10" s="125">
        <v>358</v>
      </c>
      <c r="H10" s="125"/>
      <c r="I10" s="125"/>
      <c r="J10" s="125"/>
      <c r="K10" s="125"/>
      <c r="L10" s="125"/>
      <c r="M10" s="125"/>
      <c r="N10" s="125"/>
      <c r="O10" s="125">
        <v>358</v>
      </c>
      <c r="P10" s="125">
        <v>845</v>
      </c>
      <c r="Q10" s="125">
        <v>1052</v>
      </c>
      <c r="R10" s="125">
        <v>1875</v>
      </c>
      <c r="S10" s="182">
        <v>2843</v>
      </c>
      <c r="T10" s="182">
        <v>6542</v>
      </c>
      <c r="U10" s="182">
        <v>9886</v>
      </c>
      <c r="V10" s="101">
        <f t="shared" si="2"/>
        <v>0.23063861043088996</v>
      </c>
      <c r="W10" s="21">
        <f t="shared" si="8"/>
        <v>0.15</v>
      </c>
      <c r="X10" s="131">
        <f t="shared" si="3"/>
        <v>7523.2999999999993</v>
      </c>
      <c r="Y10" s="131">
        <f t="shared" ref="Y10:AG10" si="19">X10*(1+$W10)</f>
        <v>8651.7949999999983</v>
      </c>
      <c r="Z10" s="131">
        <f t="shared" si="19"/>
        <v>9949.5642499999976</v>
      </c>
      <c r="AA10" s="131">
        <f t="shared" si="19"/>
        <v>11441.998887499996</v>
      </c>
      <c r="AB10" s="131">
        <f t="shared" si="19"/>
        <v>13158.298720624995</v>
      </c>
      <c r="AC10" s="131">
        <f t="shared" si="19"/>
        <v>15132.043528718743</v>
      </c>
      <c r="AD10" s="131">
        <f t="shared" si="19"/>
        <v>17401.850058026554</v>
      </c>
      <c r="AE10" s="131">
        <f t="shared" si="19"/>
        <v>20012.127566730534</v>
      </c>
      <c r="AF10" s="131">
        <f t="shared" si="19"/>
        <v>23013.946701740111</v>
      </c>
      <c r="AG10" s="131">
        <f t="shared" si="19"/>
        <v>26466.038707001127</v>
      </c>
      <c r="AH10" s="116" t="e">
        <f t="shared" ref="AH10:AH57" si="20">((AG10/J10)^(1/($AG$3-$K$1) ))-1</f>
        <v>#DIV/0!</v>
      </c>
      <c r="AI10" s="21">
        <f t="shared" si="18"/>
        <v>0.05</v>
      </c>
      <c r="AJ10" s="124">
        <f t="shared" si="1"/>
        <v>277893.40642351186</v>
      </c>
    </row>
    <row r="11" spans="2:36">
      <c r="B11" s="10"/>
      <c r="C11" s="119"/>
      <c r="D11" s="119"/>
      <c r="E11" s="125"/>
      <c r="F11" s="272"/>
      <c r="G11" s="272">
        <f t="shared" ref="G11:P11" si="21">(G10-F10)/G10</f>
        <v>1</v>
      </c>
      <c r="H11" s="272" t="e">
        <f t="shared" si="21"/>
        <v>#DIV/0!</v>
      </c>
      <c r="I11" s="272" t="e">
        <f t="shared" si="21"/>
        <v>#DIV/0!</v>
      </c>
      <c r="J11" s="272" t="e">
        <f t="shared" si="21"/>
        <v>#DIV/0!</v>
      </c>
      <c r="K11" s="272" t="e">
        <f t="shared" si="21"/>
        <v>#DIV/0!</v>
      </c>
      <c r="L11" s="272" t="e">
        <f t="shared" si="21"/>
        <v>#DIV/0!</v>
      </c>
      <c r="M11" s="272" t="e">
        <f t="shared" si="21"/>
        <v>#DIV/0!</v>
      </c>
      <c r="N11" s="272" t="e">
        <f t="shared" si="21"/>
        <v>#DIV/0!</v>
      </c>
      <c r="O11" s="272">
        <f t="shared" si="21"/>
        <v>1</v>
      </c>
      <c r="P11" s="272">
        <f t="shared" si="21"/>
        <v>0.57633136094674553</v>
      </c>
      <c r="Q11" s="272">
        <f t="shared" ref="Q11:R11" si="22">(Q10-P10)/Q10</f>
        <v>0.19676806083650189</v>
      </c>
      <c r="R11" s="272">
        <f t="shared" si="22"/>
        <v>0.43893333333333334</v>
      </c>
      <c r="S11" s="128">
        <f t="shared" ref="S11:U11" si="23">(S10-R10)/R10</f>
        <v>0.51626666666666665</v>
      </c>
      <c r="T11" s="128">
        <f t="shared" si="23"/>
        <v>1.3010903974674639</v>
      </c>
      <c r="U11" s="128">
        <f t="shared" si="23"/>
        <v>0.51115866707428925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v>185</v>
      </c>
      <c r="H12" s="125"/>
      <c r="I12" s="125"/>
      <c r="J12" s="125"/>
      <c r="K12" s="125"/>
      <c r="L12" s="125"/>
      <c r="M12" s="125"/>
      <c r="N12" s="125"/>
      <c r="O12" s="125">
        <v>185</v>
      </c>
      <c r="P12" s="125">
        <v>446</v>
      </c>
      <c r="Q12" s="125">
        <v>415</v>
      </c>
      <c r="R12" s="125">
        <v>558</v>
      </c>
      <c r="S12" s="182">
        <v>947</v>
      </c>
      <c r="T12" s="182">
        <v>1065</v>
      </c>
      <c r="U12" s="182">
        <v>1192</v>
      </c>
      <c r="V12" s="101">
        <f t="shared" si="2"/>
        <v>0.13317874520613526</v>
      </c>
      <c r="W12" s="21">
        <f t="shared" si="8"/>
        <v>0.15</v>
      </c>
      <c r="X12" s="131">
        <f t="shared" si="3"/>
        <v>1224.75</v>
      </c>
      <c r="Y12" s="131">
        <f t="shared" ref="Y12:AG12" si="24">X12*(1+$W12)</f>
        <v>1408.4624999999999</v>
      </c>
      <c r="Z12" s="131">
        <f t="shared" si="24"/>
        <v>1619.7318749999997</v>
      </c>
      <c r="AA12" s="131">
        <f t="shared" si="24"/>
        <v>1862.6916562499996</v>
      </c>
      <c r="AB12" s="131">
        <f t="shared" si="24"/>
        <v>2142.0954046874995</v>
      </c>
      <c r="AC12" s="131">
        <f t="shared" si="24"/>
        <v>2463.4097153906241</v>
      </c>
      <c r="AD12" s="131">
        <f t="shared" si="24"/>
        <v>2832.9211726992175</v>
      </c>
      <c r="AE12" s="131">
        <f t="shared" si="24"/>
        <v>3257.8593486041</v>
      </c>
      <c r="AF12" s="131">
        <f t="shared" si="24"/>
        <v>3746.5382508947146</v>
      </c>
      <c r="AG12" s="131">
        <f t="shared" si="24"/>
        <v>4308.518988528921</v>
      </c>
      <c r="AH12" s="116" t="e">
        <f t="shared" si="20"/>
        <v>#DIV/0!</v>
      </c>
      <c r="AI12" s="21">
        <f t="shared" si="18"/>
        <v>0.05</v>
      </c>
      <c r="AJ12" s="124">
        <f t="shared" si="1"/>
        <v>45239.449379553676</v>
      </c>
    </row>
    <row r="13" spans="2:36">
      <c r="B13" s="10" t="s">
        <v>191</v>
      </c>
      <c r="C13" s="119"/>
      <c r="D13" s="119"/>
      <c r="E13" s="125"/>
      <c r="F13" s="125"/>
      <c r="G13" s="125">
        <v>0.2</v>
      </c>
      <c r="H13" s="125"/>
      <c r="I13" s="125"/>
      <c r="J13" s="125"/>
      <c r="K13" s="125"/>
      <c r="L13" s="125"/>
      <c r="M13" s="125"/>
      <c r="N13" s="125"/>
      <c r="O13" s="125">
        <v>0.2</v>
      </c>
      <c r="P13" s="125">
        <v>8</v>
      </c>
      <c r="Q13" s="125">
        <v>4</v>
      </c>
      <c r="R13" s="125">
        <v>176</v>
      </c>
      <c r="S13" s="182">
        <v>12</v>
      </c>
      <c r="T13" s="182">
        <v>1895</v>
      </c>
      <c r="U13" s="182">
        <v>3856</v>
      </c>
      <c r="V13" s="101">
        <f t="shared" si="2"/>
        <v>0.92327493962499596</v>
      </c>
      <c r="W13" s="21">
        <f t="shared" si="8"/>
        <v>0.15</v>
      </c>
      <c r="X13" s="131">
        <f t="shared" si="3"/>
        <v>2179.25</v>
      </c>
      <c r="Y13" s="131">
        <f t="shared" ref="Y13:AG13" si="25">X13*(1+$W13)</f>
        <v>2506.1374999999998</v>
      </c>
      <c r="Z13" s="131">
        <f t="shared" si="25"/>
        <v>2882.0581249999996</v>
      </c>
      <c r="AA13" s="131">
        <f t="shared" si="25"/>
        <v>3314.3668437499991</v>
      </c>
      <c r="AB13" s="131">
        <f t="shared" si="25"/>
        <v>3811.5218703124988</v>
      </c>
      <c r="AC13" s="131">
        <f t="shared" si="25"/>
        <v>4383.2501508593732</v>
      </c>
      <c r="AD13" s="131">
        <f t="shared" si="25"/>
        <v>5040.7376734882791</v>
      </c>
      <c r="AE13" s="131">
        <f t="shared" si="25"/>
        <v>5796.8483245115203</v>
      </c>
      <c r="AF13" s="131">
        <f t="shared" si="25"/>
        <v>6666.3755731882475</v>
      </c>
      <c r="AG13" s="131">
        <f t="shared" si="25"/>
        <v>7666.3319091664844</v>
      </c>
      <c r="AH13" s="116" t="e">
        <f t="shared" si="20"/>
        <v>#DIV/0!</v>
      </c>
      <c r="AI13" s="21">
        <f t="shared" si="18"/>
        <v>0.05</v>
      </c>
      <c r="AJ13" s="124">
        <f t="shared" si="1"/>
        <v>80496.485046248097</v>
      </c>
    </row>
    <row r="14" spans="2:36">
      <c r="B14" s="10" t="s">
        <v>318</v>
      </c>
      <c r="C14" s="119"/>
      <c r="D14" s="119"/>
      <c r="E14" s="125"/>
      <c r="F14" s="125"/>
      <c r="G14" s="125">
        <v>0</v>
      </c>
      <c r="H14" s="125"/>
      <c r="I14" s="125"/>
      <c r="J14" s="125"/>
      <c r="K14" s="125"/>
      <c r="L14" s="125"/>
      <c r="M14" s="125"/>
      <c r="N14" s="125"/>
      <c r="O14" s="125">
        <v>0</v>
      </c>
      <c r="P14" s="125">
        <v>0</v>
      </c>
      <c r="Q14" s="125">
        <v>0</v>
      </c>
      <c r="R14" s="125">
        <v>0</v>
      </c>
      <c r="S14" s="182">
        <v>0</v>
      </c>
      <c r="T14" s="182">
        <v>0</v>
      </c>
      <c r="U14" s="182">
        <v>0</v>
      </c>
      <c r="V14" s="101" t="e">
        <f t="shared" si="2"/>
        <v>#DIV/0!</v>
      </c>
      <c r="W14" s="21">
        <f t="shared" si="8"/>
        <v>0.15</v>
      </c>
      <c r="X14" s="131">
        <f t="shared" si="3"/>
        <v>0</v>
      </c>
      <c r="Y14" s="131">
        <f t="shared" ref="Y14" si="26">X14*(1+$W14)</f>
        <v>0</v>
      </c>
      <c r="Z14" s="131">
        <f t="shared" ref="Z14" si="27">Y14*(1+$W14)</f>
        <v>0</v>
      </c>
      <c r="AA14" s="131">
        <f t="shared" ref="AA14" si="28">Z14*(1+$W14)</f>
        <v>0</v>
      </c>
      <c r="AB14" s="131">
        <f t="shared" ref="AB14" si="29">AA14*(1+$W14)</f>
        <v>0</v>
      </c>
      <c r="AC14" s="131">
        <f t="shared" ref="AC14" si="30">AB14*(1+$W14)</f>
        <v>0</v>
      </c>
      <c r="AD14" s="131">
        <f t="shared" ref="AD14" si="31">AC14*(1+$W14)</f>
        <v>0</v>
      </c>
      <c r="AE14" s="131">
        <f t="shared" ref="AE14" si="32">AD14*(1+$W14)</f>
        <v>0</v>
      </c>
      <c r="AF14" s="131">
        <f t="shared" ref="AF14" si="33">AE14*(1+$W14)</f>
        <v>0</v>
      </c>
      <c r="AG14" s="131">
        <f t="shared" ref="AG14" si="34">AF14*(1+$W14)</f>
        <v>0</v>
      </c>
      <c r="AH14" s="116" t="e">
        <f t="shared" ref="AH14" si="35">((AG14/J14)^(1/($AG$3-$K$1) ))-1</f>
        <v>#DIV/0!</v>
      </c>
      <c r="AI14" s="21">
        <f t="shared" si="18"/>
        <v>0.05</v>
      </c>
      <c r="AJ14" s="124">
        <f t="shared" ref="AJ14" si="36">(AG14*(1+AI14))/($C$1-AI14)</f>
        <v>0</v>
      </c>
    </row>
    <row r="15" spans="2:36">
      <c r="B15" s="10" t="s">
        <v>11</v>
      </c>
      <c r="C15" s="119"/>
      <c r="D15" s="119"/>
      <c r="E15" s="125"/>
      <c r="F15" s="125"/>
      <c r="G15" s="125">
        <v>934</v>
      </c>
      <c r="H15" s="125"/>
      <c r="I15" s="125"/>
      <c r="J15" s="125"/>
      <c r="K15" s="125"/>
      <c r="L15" s="125"/>
      <c r="M15" s="125"/>
      <c r="N15" s="125"/>
      <c r="O15" s="125">
        <v>934</v>
      </c>
      <c r="P15" s="125">
        <v>1165</v>
      </c>
      <c r="Q15" s="125">
        <v>1538</v>
      </c>
      <c r="R15" s="125">
        <v>2210</v>
      </c>
      <c r="S15" s="182">
        <v>3400</v>
      </c>
      <c r="T15" s="182">
        <v>3970</v>
      </c>
      <c r="U15" s="182">
        <v>4568</v>
      </c>
      <c r="V15" s="101">
        <f t="shared" si="2"/>
        <v>0.10889092874195416</v>
      </c>
      <c r="W15" s="21">
        <f t="shared" si="8"/>
        <v>0.15</v>
      </c>
      <c r="X15" s="131">
        <f t="shared" si="3"/>
        <v>4565.5</v>
      </c>
      <c r="Y15" s="131">
        <f t="shared" ref="Y15:AG15" si="37">X15*(1+$W15)</f>
        <v>5250.3249999999998</v>
      </c>
      <c r="Z15" s="131">
        <f t="shared" si="37"/>
        <v>6037.8737499999997</v>
      </c>
      <c r="AA15" s="131">
        <f t="shared" si="37"/>
        <v>6943.5548124999996</v>
      </c>
      <c r="AB15" s="131">
        <f t="shared" si="37"/>
        <v>7985.0880343749986</v>
      </c>
      <c r="AC15" s="131">
        <f t="shared" si="37"/>
        <v>9182.8512395312482</v>
      </c>
      <c r="AD15" s="131">
        <f t="shared" si="37"/>
        <v>10560.278925460934</v>
      </c>
      <c r="AE15" s="131">
        <f t="shared" si="37"/>
        <v>12144.320764280073</v>
      </c>
      <c r="AF15" s="131">
        <f t="shared" si="37"/>
        <v>13965.968878922084</v>
      </c>
      <c r="AG15" s="131">
        <f t="shared" si="37"/>
        <v>16060.864210760396</v>
      </c>
      <c r="AH15" s="116" t="e">
        <f t="shared" si="20"/>
        <v>#DIV/0!</v>
      </c>
      <c r="AI15" s="21">
        <f t="shared" si="18"/>
        <v>0.05</v>
      </c>
      <c r="AJ15" s="124">
        <f t="shared" si="1"/>
        <v>168639.07421298418</v>
      </c>
    </row>
    <row r="16" spans="2:36">
      <c r="B16" s="10" t="s">
        <v>12</v>
      </c>
      <c r="C16" s="119"/>
      <c r="D16" s="119"/>
      <c r="E16" s="125"/>
      <c r="F16" s="125"/>
      <c r="G16" s="125">
        <v>635</v>
      </c>
      <c r="H16" s="125"/>
      <c r="I16" s="125"/>
      <c r="J16" s="125"/>
      <c r="K16" s="125"/>
      <c r="L16" s="125"/>
      <c r="M16" s="125"/>
      <c r="N16" s="125"/>
      <c r="O16" s="125">
        <v>635</v>
      </c>
      <c r="P16" s="125">
        <v>1285</v>
      </c>
      <c r="Q16" s="125">
        <v>1763</v>
      </c>
      <c r="R16" s="125">
        <v>2822</v>
      </c>
      <c r="S16" s="182">
        <v>4110</v>
      </c>
      <c r="T16" s="182">
        <v>6549</v>
      </c>
      <c r="U16" s="182">
        <v>7976</v>
      </c>
      <c r="V16" s="101">
        <f t="shared" si="2"/>
        <v>0.18136963704747133</v>
      </c>
      <c r="W16" s="21">
        <f t="shared" si="8"/>
        <v>0.15</v>
      </c>
      <c r="X16" s="131">
        <f t="shared" si="3"/>
        <v>7531.3499999999995</v>
      </c>
      <c r="Y16" s="131">
        <f t="shared" ref="Y16:AG16" si="38">X16*(1+$W16)</f>
        <v>8661.052499999998</v>
      </c>
      <c r="Z16" s="131">
        <f t="shared" si="38"/>
        <v>9960.2103749999969</v>
      </c>
      <c r="AA16" s="131">
        <f t="shared" si="38"/>
        <v>11454.241931249995</v>
      </c>
      <c r="AB16" s="131">
        <f t="shared" si="38"/>
        <v>13172.378220937493</v>
      </c>
      <c r="AC16" s="131">
        <f t="shared" si="38"/>
        <v>15148.234954078116</v>
      </c>
      <c r="AD16" s="131">
        <f t="shared" si="38"/>
        <v>17420.470197189832</v>
      </c>
      <c r="AE16" s="131">
        <f t="shared" si="38"/>
        <v>20033.540726768304</v>
      </c>
      <c r="AF16" s="131">
        <f t="shared" si="38"/>
        <v>23038.571835783547</v>
      </c>
      <c r="AG16" s="131">
        <f t="shared" si="38"/>
        <v>26494.357611151077</v>
      </c>
      <c r="AH16" s="116" t="e">
        <f t="shared" si="20"/>
        <v>#DIV/0!</v>
      </c>
      <c r="AI16" s="21">
        <f t="shared" si="18"/>
        <v>0.05</v>
      </c>
      <c r="AJ16" s="124">
        <f t="shared" si="1"/>
        <v>278190.75491708639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v>25.51</v>
      </c>
      <c r="H18" s="125"/>
      <c r="I18" s="125"/>
      <c r="J18" s="125"/>
      <c r="K18" s="125"/>
      <c r="L18" s="125"/>
      <c r="M18" s="125"/>
      <c r="N18" s="125"/>
      <c r="O18" s="125">
        <v>25.51</v>
      </c>
      <c r="P18" s="125">
        <v>24</v>
      </c>
      <c r="Q18" s="125">
        <v>25</v>
      </c>
      <c r="R18" s="125">
        <v>45.61</v>
      </c>
      <c r="S18" s="182">
        <v>63</v>
      </c>
      <c r="T18" s="182">
        <v>313</v>
      </c>
      <c r="U18" s="182">
        <v>328</v>
      </c>
      <c r="V18" s="101">
        <f t="shared" si="2"/>
        <v>0.19611751114841613</v>
      </c>
      <c r="W18" s="21">
        <f t="shared" si="8"/>
        <v>0.15</v>
      </c>
      <c r="X18" s="131">
        <f t="shared" si="3"/>
        <v>359.95</v>
      </c>
      <c r="Y18" s="131">
        <f t="shared" ref="Y18:Y34" si="39">X18*(1+$W18)</f>
        <v>413.94249999999994</v>
      </c>
      <c r="Z18" s="131">
        <f t="shared" ref="Z18:Z34" si="40">Y18*(1+$W18)</f>
        <v>476.03387499999991</v>
      </c>
      <c r="AA18" s="131">
        <f t="shared" ref="AA18:AA34" si="41">Z18*(1+$W18)</f>
        <v>547.43895624999982</v>
      </c>
      <c r="AB18" s="131">
        <f t="shared" ref="AB18:AB51" si="42">AA18*(1+$W18)</f>
        <v>629.55479968749978</v>
      </c>
      <c r="AC18" s="131">
        <f t="shared" ref="AC18:AC51" si="43">AB18*(1+$W18)</f>
        <v>723.98801964062466</v>
      </c>
      <c r="AD18" s="131">
        <f t="shared" ref="AD18:AD51" si="44">AC18*(1+$W18)</f>
        <v>832.58622258671824</v>
      </c>
      <c r="AE18" s="131">
        <f t="shared" ref="AE18:AE51" si="45">AD18*(1+$W18)</f>
        <v>957.47415597472593</v>
      </c>
      <c r="AF18" s="131">
        <f t="shared" ref="AF18:AF51" si="46">AE18*(1+$W18)</f>
        <v>1101.0952793709348</v>
      </c>
      <c r="AG18" s="131">
        <f t="shared" ref="AG18:AG51" si="47">AF18*(1+$W18)</f>
        <v>1266.2595712765749</v>
      </c>
      <c r="AH18" s="116" t="e">
        <f t="shared" si="20"/>
        <v>#DIV/0!</v>
      </c>
      <c r="AI18" s="21">
        <f t="shared" si="18"/>
        <v>0.05</v>
      </c>
      <c r="AJ18" s="124">
        <f t="shared" si="1"/>
        <v>13295.725498404039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>
        <v>0</v>
      </c>
      <c r="H20" s="125"/>
      <c r="I20" s="125"/>
      <c r="J20" s="125"/>
      <c r="K20" s="125"/>
      <c r="L20" s="125"/>
      <c r="M20" s="125"/>
      <c r="N20" s="125"/>
      <c r="O20" s="125">
        <v>0</v>
      </c>
      <c r="P20" s="125">
        <v>0</v>
      </c>
      <c r="Q20" s="125">
        <v>0</v>
      </c>
      <c r="R20" s="125">
        <v>0</v>
      </c>
      <c r="S20" s="182">
        <v>0</v>
      </c>
      <c r="T20" s="182">
        <v>0</v>
      </c>
      <c r="U20" s="182">
        <v>0</v>
      </c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>
        <v>0</v>
      </c>
      <c r="H21" s="125"/>
      <c r="I21" s="125"/>
      <c r="J21" s="125"/>
      <c r="K21" s="125"/>
      <c r="L21" s="125"/>
      <c r="M21" s="125"/>
      <c r="N21" s="125"/>
      <c r="O21" s="125">
        <v>0</v>
      </c>
      <c r="P21" s="125">
        <v>0</v>
      </c>
      <c r="Q21" s="125">
        <v>0</v>
      </c>
      <c r="R21" s="125">
        <v>0</v>
      </c>
      <c r="S21" s="182">
        <v>0</v>
      </c>
      <c r="T21" s="182">
        <v>0</v>
      </c>
      <c r="U21" s="182">
        <v>0</v>
      </c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>
        <v>0</v>
      </c>
      <c r="H22" s="125"/>
      <c r="I22" s="125"/>
      <c r="J22" s="125"/>
      <c r="K22" s="125"/>
      <c r="L22" s="125"/>
      <c r="M22" s="125"/>
      <c r="N22" s="125"/>
      <c r="O22" s="125">
        <v>0</v>
      </c>
      <c r="P22" s="125">
        <v>0</v>
      </c>
      <c r="Q22" s="125">
        <v>0</v>
      </c>
      <c r="R22" s="125">
        <v>0</v>
      </c>
      <c r="S22" s="182">
        <v>0</v>
      </c>
      <c r="T22" s="182">
        <v>0</v>
      </c>
      <c r="U22" s="182">
        <v>0</v>
      </c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>
        <v>0</v>
      </c>
      <c r="H23" s="125"/>
      <c r="I23" s="125"/>
      <c r="J23" s="125"/>
      <c r="K23" s="125"/>
      <c r="L23" s="125"/>
      <c r="M23" s="125"/>
      <c r="N23" s="125"/>
      <c r="O23" s="125">
        <v>0</v>
      </c>
      <c r="P23" s="125">
        <v>0</v>
      </c>
      <c r="Q23" s="125">
        <v>0</v>
      </c>
      <c r="R23" s="125">
        <v>0</v>
      </c>
      <c r="S23" s="182">
        <v>0</v>
      </c>
      <c r="T23" s="182">
        <v>0</v>
      </c>
      <c r="U23" s="182">
        <v>0</v>
      </c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v>200</v>
      </c>
      <c r="H25" s="125"/>
      <c r="I25" s="125"/>
      <c r="J25" s="125"/>
      <c r="K25" s="125"/>
      <c r="L25" s="125"/>
      <c r="M25" s="125"/>
      <c r="N25" s="125"/>
      <c r="O25" s="125">
        <v>200</v>
      </c>
      <c r="P25" s="125">
        <v>283</v>
      </c>
      <c r="Q25" s="125">
        <v>483</v>
      </c>
      <c r="R25" s="125">
        <v>755</v>
      </c>
      <c r="S25" s="182">
        <v>1115</v>
      </c>
      <c r="T25" s="182">
        <v>1545</v>
      </c>
      <c r="U25" s="182">
        <v>1787</v>
      </c>
      <c r="V25" s="101">
        <f t="shared" si="2"/>
        <v>0.15723436150648307</v>
      </c>
      <c r="W25" s="21">
        <f t="shared" si="8"/>
        <v>0.15</v>
      </c>
      <c r="X25" s="131">
        <f t="shared" si="3"/>
        <v>1776.7499999999998</v>
      </c>
      <c r="Y25" s="131">
        <f t="shared" si="39"/>
        <v>2043.2624999999996</v>
      </c>
      <c r="Z25" s="131">
        <f t="shared" si="40"/>
        <v>2349.7518749999995</v>
      </c>
      <c r="AA25" s="131">
        <f t="shared" si="41"/>
        <v>2702.2146562499993</v>
      </c>
      <c r="AB25" s="131">
        <f t="shared" si="42"/>
        <v>3107.546854687499</v>
      </c>
      <c r="AC25" s="131">
        <f t="shared" si="43"/>
        <v>3573.6788828906238</v>
      </c>
      <c r="AD25" s="131">
        <f t="shared" si="44"/>
        <v>4109.7307153242173</v>
      </c>
      <c r="AE25" s="131">
        <f t="shared" si="45"/>
        <v>4726.1903226228496</v>
      </c>
      <c r="AF25" s="131">
        <f t="shared" si="46"/>
        <v>5435.1188710162769</v>
      </c>
      <c r="AG25" s="131">
        <f t="shared" si="47"/>
        <v>6250.3867016687182</v>
      </c>
      <c r="AH25" s="116" t="e">
        <f t="shared" si="20"/>
        <v>#DIV/0!</v>
      </c>
      <c r="AI25" s="21">
        <f t="shared" si="18"/>
        <v>0.05</v>
      </c>
      <c r="AJ25" s="124">
        <f t="shared" si="1"/>
        <v>65629.060367521553</v>
      </c>
    </row>
    <row r="26" spans="2:36" s="106" customFormat="1">
      <c r="B26" s="13"/>
      <c r="C26" s="126"/>
      <c r="D26" s="126"/>
      <c r="E26" s="127"/>
      <c r="F26" s="272"/>
      <c r="G26" s="272">
        <f t="shared" ref="G26:P26" si="68">(G25-F25)/G25</f>
        <v>1</v>
      </c>
      <c r="H26" s="272" t="e">
        <f>(H25-G25)/H25</f>
        <v>#DIV/0!</v>
      </c>
      <c r="I26" s="272" t="e">
        <f t="shared" si="68"/>
        <v>#DIV/0!</v>
      </c>
      <c r="J26" s="272" t="e">
        <f t="shared" si="68"/>
        <v>#DIV/0!</v>
      </c>
      <c r="K26" s="272" t="e">
        <f t="shared" si="68"/>
        <v>#DIV/0!</v>
      </c>
      <c r="L26" s="272" t="e">
        <f t="shared" si="68"/>
        <v>#DIV/0!</v>
      </c>
      <c r="M26" s="272" t="e">
        <f t="shared" si="68"/>
        <v>#DIV/0!</v>
      </c>
      <c r="N26" s="272" t="e">
        <f t="shared" si="68"/>
        <v>#DIV/0!</v>
      </c>
      <c r="O26" s="272">
        <f t="shared" si="68"/>
        <v>1</v>
      </c>
      <c r="P26" s="272">
        <f t="shared" si="68"/>
        <v>0.29328621908127206</v>
      </c>
      <c r="Q26" s="272">
        <f t="shared" ref="Q26:R26" si="69">(Q25-P25)/Q25</f>
        <v>0.41407867494824019</v>
      </c>
      <c r="R26" s="272">
        <f t="shared" si="69"/>
        <v>0.36026490066225164</v>
      </c>
      <c r="S26" s="128">
        <f t="shared" ref="S26:U26" si="70">(S25-R25)/R25</f>
        <v>0.47682119205298013</v>
      </c>
      <c r="T26" s="128">
        <f t="shared" si="70"/>
        <v>0.38565022421524664</v>
      </c>
      <c r="U26" s="128">
        <f t="shared" si="70"/>
        <v>0.15663430420711974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v>119</v>
      </c>
      <c r="H27" s="125"/>
      <c r="I27" s="125"/>
      <c r="J27" s="125"/>
      <c r="K27" s="125"/>
      <c r="L27" s="125"/>
      <c r="M27" s="125"/>
      <c r="N27" s="125"/>
      <c r="O27" s="125">
        <v>119</v>
      </c>
      <c r="P27" s="125">
        <v>128</v>
      </c>
      <c r="Q27" s="125">
        <v>174</v>
      </c>
      <c r="R27" s="125">
        <v>289</v>
      </c>
      <c r="S27" s="182">
        <v>405</v>
      </c>
      <c r="T27" s="182">
        <v>680</v>
      </c>
      <c r="U27" s="182">
        <v>973</v>
      </c>
      <c r="V27" s="101">
        <f t="shared" si="2"/>
        <v>0.13257953728163008</v>
      </c>
      <c r="W27" s="21">
        <f t="shared" si="8"/>
        <v>0.15</v>
      </c>
      <c r="X27" s="131">
        <f t="shared" si="3"/>
        <v>781.99999999999989</v>
      </c>
      <c r="Y27" s="131">
        <f t="shared" si="39"/>
        <v>899.29999999999984</v>
      </c>
      <c r="Z27" s="131">
        <f t="shared" si="40"/>
        <v>1034.1949999999997</v>
      </c>
      <c r="AA27" s="131">
        <f t="shared" si="41"/>
        <v>1189.3242499999997</v>
      </c>
      <c r="AB27" s="131">
        <f t="shared" si="42"/>
        <v>1367.7228874999996</v>
      </c>
      <c r="AC27" s="131">
        <f t="shared" si="43"/>
        <v>1572.8813206249995</v>
      </c>
      <c r="AD27" s="131">
        <f t="shared" si="44"/>
        <v>1808.8135187187493</v>
      </c>
      <c r="AE27" s="131">
        <f t="shared" si="45"/>
        <v>2080.1355465265615</v>
      </c>
      <c r="AF27" s="131">
        <f t="shared" si="46"/>
        <v>2392.1558785055454</v>
      </c>
      <c r="AG27" s="131">
        <f t="shared" si="47"/>
        <v>2750.9792602813768</v>
      </c>
      <c r="AH27" s="116" t="e">
        <f t="shared" si="20"/>
        <v>#DIV/0!</v>
      </c>
      <c r="AI27" s="21">
        <f t="shared" si="18"/>
        <v>0.05</v>
      </c>
      <c r="AJ27" s="124">
        <f t="shared" si="1"/>
        <v>28885.282232954462</v>
      </c>
    </row>
    <row r="28" spans="2:36" s="106" customFormat="1">
      <c r="B28" s="13"/>
      <c r="C28" s="126"/>
      <c r="D28" s="126"/>
      <c r="E28" s="127"/>
      <c r="F28" s="272"/>
      <c r="G28" s="272">
        <f t="shared" ref="G28:P28" si="71">(G27-F27)/G27</f>
        <v>1</v>
      </c>
      <c r="H28" s="272" t="e">
        <f t="shared" si="71"/>
        <v>#DIV/0!</v>
      </c>
      <c r="I28" s="272" t="e">
        <f t="shared" si="71"/>
        <v>#DIV/0!</v>
      </c>
      <c r="J28" s="272" t="e">
        <f t="shared" si="71"/>
        <v>#DIV/0!</v>
      </c>
      <c r="K28" s="272" t="e">
        <f t="shared" si="71"/>
        <v>#DIV/0!</v>
      </c>
      <c r="L28" s="272" t="e">
        <f t="shared" si="71"/>
        <v>#DIV/0!</v>
      </c>
      <c r="M28" s="272" t="e">
        <f t="shared" si="71"/>
        <v>#DIV/0!</v>
      </c>
      <c r="N28" s="272" t="e">
        <f t="shared" si="71"/>
        <v>#DIV/0!</v>
      </c>
      <c r="O28" s="272">
        <f t="shared" si="71"/>
        <v>1</v>
      </c>
      <c r="P28" s="272">
        <f t="shared" si="71"/>
        <v>7.03125E-2</v>
      </c>
      <c r="Q28" s="272">
        <f t="shared" ref="Q28:R28" si="72">(Q27-P27)/Q27</f>
        <v>0.26436781609195403</v>
      </c>
      <c r="R28" s="272">
        <f t="shared" si="72"/>
        <v>0.39792387543252594</v>
      </c>
      <c r="S28" s="128">
        <f t="shared" ref="S28:U28" si="73">(S27-R27)/R27</f>
        <v>0.40138408304498269</v>
      </c>
      <c r="T28" s="128">
        <f t="shared" si="73"/>
        <v>0.67901234567901236</v>
      </c>
      <c r="U28" s="128">
        <f t="shared" si="73"/>
        <v>0.43088235294117649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v>64</v>
      </c>
      <c r="H29" s="125"/>
      <c r="I29" s="125"/>
      <c r="J29" s="125"/>
      <c r="K29" s="125"/>
      <c r="L29" s="125"/>
      <c r="M29" s="125"/>
      <c r="N29" s="125"/>
      <c r="O29" s="125">
        <v>64</v>
      </c>
      <c r="P29" s="125">
        <v>108</v>
      </c>
      <c r="Q29" s="125">
        <v>189</v>
      </c>
      <c r="R29" s="125">
        <v>295</v>
      </c>
      <c r="S29" s="182">
        <v>436</v>
      </c>
      <c r="T29" s="182">
        <v>576</v>
      </c>
      <c r="U29" s="182">
        <v>673</v>
      </c>
      <c r="V29" s="101">
        <f t="shared" si="2"/>
        <v>0.16993081275868693</v>
      </c>
      <c r="W29" s="21">
        <f t="shared" si="8"/>
        <v>0.15</v>
      </c>
      <c r="X29" s="131">
        <f t="shared" si="3"/>
        <v>662.4</v>
      </c>
      <c r="Y29" s="131">
        <f t="shared" ref="Y29" si="74">X29*(1+$W29)</f>
        <v>761.75999999999988</v>
      </c>
      <c r="Z29" s="131">
        <f t="shared" ref="Z29" si="75">Y29*(1+$W29)</f>
        <v>876.02399999999977</v>
      </c>
      <c r="AA29" s="131">
        <f t="shared" ref="AA29" si="76">Z29*(1+$W29)</f>
        <v>1007.4275999999996</v>
      </c>
      <c r="AB29" s="131">
        <f t="shared" ref="AB29" si="77">AA29*(1+$W29)</f>
        <v>1158.5417399999994</v>
      </c>
      <c r="AC29" s="131">
        <f t="shared" ref="AC29" si="78">AB29*(1+$W29)</f>
        <v>1332.3230009999993</v>
      </c>
      <c r="AD29" s="131">
        <f t="shared" ref="AD29" si="79">AC29*(1+$W29)</f>
        <v>1532.171451149999</v>
      </c>
      <c r="AE29" s="131">
        <f t="shared" ref="AE29" si="80">AD29*(1+$W29)</f>
        <v>1761.9971688224987</v>
      </c>
      <c r="AF29" s="131">
        <f t="shared" ref="AF29" si="81">AE29*(1+$W29)</f>
        <v>2026.2967441458734</v>
      </c>
      <c r="AG29" s="131">
        <f t="shared" ref="AG29" si="82">AF29*(1+$W29)</f>
        <v>2330.2412557677544</v>
      </c>
      <c r="AH29" s="116" t="e">
        <f t="shared" ref="AH29" si="83">((AG29/J29)^(1/($AG$3-$K$1) ))-1</f>
        <v>#DIV/0!</v>
      </c>
      <c r="AI29" s="21">
        <f t="shared" si="18"/>
        <v>0.05</v>
      </c>
      <c r="AJ29" s="124">
        <f t="shared" ref="AJ29" si="84">(AG29*(1+AI29))/($C$1-AI29)</f>
        <v>24467.533185561428</v>
      </c>
    </row>
    <row r="30" spans="2:36" s="106" customFormat="1">
      <c r="B30" s="13"/>
      <c r="C30" s="126"/>
      <c r="D30" s="126"/>
      <c r="E30" s="127"/>
      <c r="F30" s="272"/>
      <c r="G30" s="272">
        <f t="shared" ref="G30:P30" si="85">(G29-F29)/G29</f>
        <v>1</v>
      </c>
      <c r="H30" s="272" t="e">
        <f t="shared" si="85"/>
        <v>#DIV/0!</v>
      </c>
      <c r="I30" s="272" t="e">
        <f t="shared" si="85"/>
        <v>#DIV/0!</v>
      </c>
      <c r="J30" s="272" t="e">
        <f t="shared" si="85"/>
        <v>#DIV/0!</v>
      </c>
      <c r="K30" s="272" t="e">
        <f t="shared" si="85"/>
        <v>#DIV/0!</v>
      </c>
      <c r="L30" s="272" t="e">
        <f t="shared" si="85"/>
        <v>#DIV/0!</v>
      </c>
      <c r="M30" s="272" t="e">
        <f t="shared" si="85"/>
        <v>#DIV/0!</v>
      </c>
      <c r="N30" s="272" t="e">
        <f t="shared" si="85"/>
        <v>#DIV/0!</v>
      </c>
      <c r="O30" s="272">
        <f t="shared" si="85"/>
        <v>1</v>
      </c>
      <c r="P30" s="272">
        <f t="shared" si="85"/>
        <v>0.40740740740740738</v>
      </c>
      <c r="Q30" s="272">
        <f t="shared" ref="Q30:R30" si="86">(Q29-P29)/Q29</f>
        <v>0.42857142857142855</v>
      </c>
      <c r="R30" s="272">
        <f t="shared" si="86"/>
        <v>0.35932203389830508</v>
      </c>
      <c r="S30" s="128">
        <f t="shared" ref="S30:U30" si="87">(S29-R29)/R29</f>
        <v>0.47796610169491527</v>
      </c>
      <c r="T30" s="128">
        <f t="shared" si="87"/>
        <v>0.32110091743119268</v>
      </c>
      <c r="U30" s="128">
        <f t="shared" si="87"/>
        <v>0.16840277777777779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>
        <v>0</v>
      </c>
      <c r="H31" s="125"/>
      <c r="I31" s="125"/>
      <c r="J31" s="125"/>
      <c r="K31" s="125"/>
      <c r="L31" s="125"/>
      <c r="M31" s="125"/>
      <c r="N31" s="125"/>
      <c r="O31" s="125">
        <v>0</v>
      </c>
      <c r="P31" s="125">
        <v>0</v>
      </c>
      <c r="Q31" s="125">
        <v>0</v>
      </c>
      <c r="R31" s="125">
        <v>0</v>
      </c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>
        <v>0</v>
      </c>
      <c r="H32" s="125"/>
      <c r="I32" s="125"/>
      <c r="J32" s="125"/>
      <c r="K32" s="125"/>
      <c r="L32" s="125"/>
      <c r="M32" s="125"/>
      <c r="N32" s="125"/>
      <c r="O32" s="125">
        <v>0</v>
      </c>
      <c r="P32" s="125">
        <v>0</v>
      </c>
      <c r="Q32" s="125">
        <v>0</v>
      </c>
      <c r="R32" s="125">
        <v>0</v>
      </c>
      <c r="S32" s="182">
        <v>0</v>
      </c>
      <c r="T32" s="182">
        <v>0</v>
      </c>
      <c r="U32" s="182">
        <v>0</v>
      </c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512</v>
      </c>
      <c r="C33" s="119"/>
      <c r="D33" s="119"/>
      <c r="E33" s="125"/>
      <c r="F33" s="125"/>
      <c r="G33" s="125">
        <v>64</v>
      </c>
      <c r="H33" s="125"/>
      <c r="I33" s="125"/>
      <c r="J33" s="125"/>
      <c r="K33" s="125"/>
      <c r="L33" s="125"/>
      <c r="M33" s="125"/>
      <c r="N33" s="125"/>
      <c r="O33" s="125">
        <v>64</v>
      </c>
      <c r="P33" s="125">
        <v>78</v>
      </c>
      <c r="Q33" s="125">
        <v>100</v>
      </c>
      <c r="R33" s="125">
        <v>155</v>
      </c>
      <c r="S33" s="182">
        <v>233.8</v>
      </c>
      <c r="T33" s="182">
        <v>396</v>
      </c>
      <c r="U33" s="182">
        <v>520</v>
      </c>
      <c r="V33" s="101">
        <f t="shared" si="2"/>
        <v>0.13903429624437535</v>
      </c>
      <c r="W33" s="21">
        <f t="shared" si="8"/>
        <v>0.15</v>
      </c>
      <c r="X33" s="131">
        <f t="shared" si="3"/>
        <v>455.4</v>
      </c>
      <c r="Y33" s="131">
        <f t="shared" si="39"/>
        <v>523.70999999999992</v>
      </c>
      <c r="Z33" s="131">
        <f t="shared" si="40"/>
        <v>602.26649999999984</v>
      </c>
      <c r="AA33" s="131">
        <f t="shared" si="41"/>
        <v>692.6064749999997</v>
      </c>
      <c r="AB33" s="131">
        <f t="shared" si="42"/>
        <v>796.4974462499996</v>
      </c>
      <c r="AC33" s="131">
        <f t="shared" si="43"/>
        <v>915.97206318749943</v>
      </c>
      <c r="AD33" s="131">
        <f t="shared" si="44"/>
        <v>1053.3678726656242</v>
      </c>
      <c r="AE33" s="131">
        <f t="shared" si="45"/>
        <v>1211.3730535654677</v>
      </c>
      <c r="AF33" s="131">
        <f t="shared" si="46"/>
        <v>1393.0790116002877</v>
      </c>
      <c r="AG33" s="131">
        <f t="shared" si="47"/>
        <v>1602.0408633403308</v>
      </c>
      <c r="AH33" s="116" t="e">
        <f t="shared" si="20"/>
        <v>#DIV/0!</v>
      </c>
      <c r="AI33" s="21">
        <f t="shared" si="18"/>
        <v>0.05</v>
      </c>
      <c r="AJ33" s="124">
        <f t="shared" si="1"/>
        <v>16821.429065073477</v>
      </c>
    </row>
    <row r="34" spans="1:36">
      <c r="B34" s="10" t="s">
        <v>513</v>
      </c>
      <c r="C34" s="119"/>
      <c r="D34" s="119"/>
      <c r="E34" s="125"/>
      <c r="F34" s="125"/>
      <c r="G34" s="125">
        <v>64</v>
      </c>
      <c r="H34" s="125"/>
      <c r="I34" s="125"/>
      <c r="J34" s="125"/>
      <c r="K34" s="125"/>
      <c r="L34" s="125"/>
      <c r="M34" s="125"/>
      <c r="N34" s="125"/>
      <c r="O34" s="125">
        <v>64</v>
      </c>
      <c r="P34" s="125">
        <v>108</v>
      </c>
      <c r="Q34" s="125">
        <v>189</v>
      </c>
      <c r="R34" s="125">
        <v>295</v>
      </c>
      <c r="S34" s="182">
        <v>436</v>
      </c>
      <c r="T34" s="182">
        <v>576</v>
      </c>
      <c r="U34" s="182">
        <v>673</v>
      </c>
      <c r="V34" s="101">
        <f t="shared" si="2"/>
        <v>0.16993081275868693</v>
      </c>
      <c r="W34" s="21">
        <f t="shared" si="8"/>
        <v>0.15</v>
      </c>
      <c r="X34" s="131">
        <f t="shared" si="3"/>
        <v>662.4</v>
      </c>
      <c r="Y34" s="131">
        <f t="shared" si="39"/>
        <v>761.75999999999988</v>
      </c>
      <c r="Z34" s="131">
        <f t="shared" si="40"/>
        <v>876.02399999999977</v>
      </c>
      <c r="AA34" s="131">
        <f t="shared" si="41"/>
        <v>1007.4275999999996</v>
      </c>
      <c r="AB34" s="131">
        <f t="shared" si="42"/>
        <v>1158.5417399999994</v>
      </c>
      <c r="AC34" s="131">
        <f t="shared" si="43"/>
        <v>1332.3230009999993</v>
      </c>
      <c r="AD34" s="131">
        <f t="shared" si="44"/>
        <v>1532.171451149999</v>
      </c>
      <c r="AE34" s="131">
        <f t="shared" si="45"/>
        <v>1761.9971688224987</v>
      </c>
      <c r="AF34" s="131">
        <f t="shared" si="46"/>
        <v>2026.2967441458734</v>
      </c>
      <c r="AG34" s="131">
        <f t="shared" si="47"/>
        <v>2330.2412557677544</v>
      </c>
      <c r="AH34" s="116" t="e">
        <f t="shared" si="20"/>
        <v>#DIV/0!</v>
      </c>
      <c r="AI34" s="21">
        <f t="shared" si="18"/>
        <v>0.05</v>
      </c>
      <c r="AJ34" s="124">
        <f t="shared" si="1"/>
        <v>24467.533185561428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2" t="s">
        <v>423</v>
      </c>
      <c r="B36" s="179" t="s">
        <v>417</v>
      </c>
      <c r="C36" s="119"/>
      <c r="D36" s="119"/>
      <c r="E36" s="125"/>
      <c r="F36" s="182"/>
      <c r="G36" s="182">
        <v>0</v>
      </c>
      <c r="H36" s="182">
        <f t="shared" ref="H36:I36" si="91">I36</f>
        <v>0</v>
      </c>
      <c r="I36" s="182">
        <f t="shared" si="91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2"/>
        <v>#DIV/0!</v>
      </c>
      <c r="W36" s="21">
        <f t="shared" si="8"/>
        <v>0.15</v>
      </c>
      <c r="X36" s="131">
        <f t="shared" ref="X36:X49" si="92">T36*(1+$W36)</f>
        <v>0</v>
      </c>
      <c r="Y36" s="131">
        <f t="shared" ref="Y36:Y49" si="93">X36*(1+$W36)</f>
        <v>0</v>
      </c>
      <c r="Z36" s="131">
        <f t="shared" ref="Z36:Z49" si="94">Y36*(1+$W36)</f>
        <v>0</v>
      </c>
      <c r="AA36" s="131">
        <f t="shared" ref="AA36:AA49" si="95">Z36*(1+$W36)</f>
        <v>0</v>
      </c>
      <c r="AB36" s="131">
        <f t="shared" ref="AB36:AB49" si="96">AA36*(1+$W36)</f>
        <v>0</v>
      </c>
      <c r="AC36" s="131">
        <f t="shared" ref="AC36:AC49" si="97">AB36*(1+$W36)</f>
        <v>0</v>
      </c>
      <c r="AD36" s="131">
        <f t="shared" ref="AD36:AD49" si="98">AC36*(1+$W36)</f>
        <v>0</v>
      </c>
      <c r="AE36" s="131">
        <f t="shared" ref="AE36:AE49" si="99">AD36*(1+$W36)</f>
        <v>0</v>
      </c>
      <c r="AF36" s="131">
        <f t="shared" ref="AF36:AF49" si="100">AE36*(1+$W36)</f>
        <v>0</v>
      </c>
      <c r="AG36" s="131">
        <f t="shared" ref="AG36:AG49" si="101">AF36*(1+$W36)</f>
        <v>0</v>
      </c>
      <c r="AH36" s="116" t="e">
        <f t="shared" ref="AH36:AH49" si="102">((AG36/J36)^(1/($AG$3-$K$1) ))-1</f>
        <v>#DIV/0!</v>
      </c>
      <c r="AI36" s="21">
        <f t="shared" si="18"/>
        <v>0.05</v>
      </c>
      <c r="AJ36" s="124">
        <f t="shared" ref="AJ36:AJ49" si="103">(AG36*(1+AI36))/($C$1-AI36)</f>
        <v>0</v>
      </c>
    </row>
    <row r="37" spans="1:36">
      <c r="A37" s="302"/>
      <c r="B37" s="179"/>
      <c r="C37" s="119"/>
      <c r="D37" s="119"/>
      <c r="E37" s="125"/>
      <c r="F37" s="128"/>
      <c r="G37" s="128" t="e">
        <f t="shared" ref="G37" si="104">(G36-F36)/F36</f>
        <v>#DIV/0!</v>
      </c>
      <c r="H37" s="128" t="e">
        <f t="shared" ref="H37" si="105">(H36-F36)/F36</f>
        <v>#DIV/0!</v>
      </c>
      <c r="I37" s="128" t="e">
        <f t="shared" ref="I37" si="106">(I36-H36)/H36</f>
        <v>#DIV/0!</v>
      </c>
      <c r="J37" s="128" t="e">
        <f t="shared" ref="J37" si="107">(J36-I36)/I36</f>
        <v>#DIV/0!</v>
      </c>
      <c r="K37" s="128" t="e">
        <f t="shared" ref="K37" si="108">(K36-J36)/J36</f>
        <v>#DIV/0!</v>
      </c>
      <c r="L37" s="128" t="e">
        <f t="shared" ref="L37" si="109">(L36-K36)/K36</f>
        <v>#DIV/0!</v>
      </c>
      <c r="M37" s="128" t="e">
        <f t="shared" ref="M37" si="110">(M36-L36)/L36</f>
        <v>#DIV/0!</v>
      </c>
      <c r="N37" s="128" t="e">
        <f t="shared" ref="N37" si="111">(N36-M36)/M36</f>
        <v>#DIV/0!</v>
      </c>
      <c r="O37" s="128" t="e">
        <f t="shared" ref="O37" si="112">(O36-N36)/N36</f>
        <v>#DIV/0!</v>
      </c>
      <c r="P37" s="128" t="e">
        <f t="shared" ref="P37" si="113">(P36-O36)/O36</f>
        <v>#DIV/0!</v>
      </c>
      <c r="Q37" s="128" t="e">
        <f t="shared" ref="Q37" si="114">(Q36-P36)/P36</f>
        <v>#DIV/0!</v>
      </c>
      <c r="R37" s="128" t="e">
        <f t="shared" ref="R37" si="115">(R36-Q36)/Q36</f>
        <v>#DIV/0!</v>
      </c>
      <c r="S37" s="128" t="e">
        <f t="shared" ref="S37" si="116">(S36-R36)/R36</f>
        <v>#DIV/0!</v>
      </c>
      <c r="T37" s="128" t="e">
        <f t="shared" ref="T37:U37" si="117">(T36-S36)/S36</f>
        <v>#DIV/0!</v>
      </c>
      <c r="U37" s="128" t="e">
        <f t="shared" si="117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2"/>
      <c r="B38" s="179" t="s">
        <v>418</v>
      </c>
      <c r="C38" s="119"/>
      <c r="D38" s="119"/>
      <c r="E38" s="125"/>
      <c r="F38" s="182"/>
      <c r="G38" s="182">
        <v>0</v>
      </c>
      <c r="H38" s="182">
        <f t="shared" ref="H38:I38" si="118">I38</f>
        <v>0</v>
      </c>
      <c r="I38" s="182">
        <f t="shared" si="118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1</v>
      </c>
      <c r="V38" s="101" t="e">
        <f t="shared" si="2"/>
        <v>#DIV/0!</v>
      </c>
      <c r="W38" s="21">
        <f t="shared" si="8"/>
        <v>0.15</v>
      </c>
      <c r="X38" s="131">
        <f t="shared" si="92"/>
        <v>0</v>
      </c>
      <c r="Y38" s="131">
        <f t="shared" si="93"/>
        <v>0</v>
      </c>
      <c r="Z38" s="131">
        <f t="shared" si="94"/>
        <v>0</v>
      </c>
      <c r="AA38" s="131">
        <f t="shared" si="95"/>
        <v>0</v>
      </c>
      <c r="AB38" s="131">
        <f t="shared" si="96"/>
        <v>0</v>
      </c>
      <c r="AC38" s="131">
        <f t="shared" si="97"/>
        <v>0</v>
      </c>
      <c r="AD38" s="131">
        <f t="shared" si="98"/>
        <v>0</v>
      </c>
      <c r="AE38" s="131">
        <f t="shared" si="99"/>
        <v>0</v>
      </c>
      <c r="AF38" s="131">
        <f t="shared" si="100"/>
        <v>0</v>
      </c>
      <c r="AG38" s="131">
        <f t="shared" si="101"/>
        <v>0</v>
      </c>
      <c r="AH38" s="116" t="e">
        <f t="shared" si="102"/>
        <v>#DIV/0!</v>
      </c>
      <c r="AI38" s="21">
        <f t="shared" si="18"/>
        <v>0.05</v>
      </c>
      <c r="AJ38" s="124">
        <f t="shared" si="103"/>
        <v>0</v>
      </c>
    </row>
    <row r="39" spans="1:36">
      <c r="A39" s="302"/>
      <c r="B39" s="179"/>
      <c r="C39" s="119"/>
      <c r="D39" s="119"/>
      <c r="E39" s="125"/>
      <c r="F39" s="128"/>
      <c r="G39" s="128" t="e">
        <f t="shared" ref="G39" si="119">(G38-F38)/F38</f>
        <v>#DIV/0!</v>
      </c>
      <c r="H39" s="128" t="e">
        <f t="shared" ref="H39" si="120">(H38-F38)/F38</f>
        <v>#DIV/0!</v>
      </c>
      <c r="I39" s="128" t="e">
        <f t="shared" ref="I39" si="121">(I38-H38)/H38</f>
        <v>#DIV/0!</v>
      </c>
      <c r="J39" s="128" t="e">
        <f t="shared" ref="J39" si="122">(J38-I38)/I38</f>
        <v>#DIV/0!</v>
      </c>
      <c r="K39" s="128" t="e">
        <f t="shared" ref="K39" si="123">(K38-J38)/J38</f>
        <v>#DIV/0!</v>
      </c>
      <c r="L39" s="128" t="e">
        <f t="shared" ref="L39" si="124">(L38-K38)/K38</f>
        <v>#DIV/0!</v>
      </c>
      <c r="M39" s="128" t="e">
        <f t="shared" ref="M39" si="125">(M38-L38)/L38</f>
        <v>#DIV/0!</v>
      </c>
      <c r="N39" s="128" t="e">
        <f t="shared" ref="N39" si="126">(N38-M38)/M38</f>
        <v>#DIV/0!</v>
      </c>
      <c r="O39" s="128" t="e">
        <f t="shared" ref="O39" si="127">(O38-N38)/N38</f>
        <v>#DIV/0!</v>
      </c>
      <c r="P39" s="128" t="e">
        <f t="shared" ref="P39" si="128">(P38-O38)/O38</f>
        <v>#DIV/0!</v>
      </c>
      <c r="Q39" s="128" t="e">
        <f t="shared" ref="Q39" si="129">(Q38-P38)/P38</f>
        <v>#DIV/0!</v>
      </c>
      <c r="R39" s="128" t="e">
        <f t="shared" ref="R39" si="130">(R38-Q38)/Q38</f>
        <v>#DIV/0!</v>
      </c>
      <c r="S39" s="128" t="e">
        <f t="shared" ref="S39" si="131">(S38-R38)/R38</f>
        <v>#DIV/0!</v>
      </c>
      <c r="T39" s="128" t="e">
        <f t="shared" ref="T39:U39" si="132">(T38-S38)/S38</f>
        <v>#DIV/0!</v>
      </c>
      <c r="U39" s="128" t="e">
        <f t="shared" si="132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2"/>
      <c r="B40" s="179" t="s">
        <v>422</v>
      </c>
      <c r="C40" s="119"/>
      <c r="D40" s="119"/>
      <c r="E40" s="125"/>
      <c r="F40" s="182"/>
      <c r="G40" s="182">
        <v>0</v>
      </c>
      <c r="H40" s="182">
        <f t="shared" ref="H40:I40" si="133">I40</f>
        <v>0</v>
      </c>
      <c r="I40" s="182">
        <f t="shared" si="133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2"/>
        <v>#DIV/0!</v>
      </c>
      <c r="W40" s="21">
        <f t="shared" si="8"/>
        <v>0.15</v>
      </c>
      <c r="X40" s="131">
        <f t="shared" si="92"/>
        <v>0</v>
      </c>
      <c r="Y40" s="131">
        <f t="shared" si="93"/>
        <v>0</v>
      </c>
      <c r="Z40" s="131">
        <f t="shared" si="94"/>
        <v>0</v>
      </c>
      <c r="AA40" s="131">
        <f t="shared" si="95"/>
        <v>0</v>
      </c>
      <c r="AB40" s="131">
        <f t="shared" si="96"/>
        <v>0</v>
      </c>
      <c r="AC40" s="131">
        <f t="shared" si="97"/>
        <v>0</v>
      </c>
      <c r="AD40" s="131">
        <f t="shared" si="98"/>
        <v>0</v>
      </c>
      <c r="AE40" s="131">
        <f t="shared" si="99"/>
        <v>0</v>
      </c>
      <c r="AF40" s="131">
        <f t="shared" si="100"/>
        <v>0</v>
      </c>
      <c r="AG40" s="131">
        <f t="shared" si="101"/>
        <v>0</v>
      </c>
      <c r="AH40" s="116" t="e">
        <f t="shared" si="102"/>
        <v>#DIV/0!</v>
      </c>
      <c r="AI40" s="21">
        <f t="shared" si="18"/>
        <v>0.05</v>
      </c>
      <c r="AJ40" s="124">
        <f t="shared" si="103"/>
        <v>0</v>
      </c>
    </row>
    <row r="41" spans="1:36">
      <c r="A41" s="302"/>
      <c r="B41" s="179" t="s">
        <v>419</v>
      </c>
      <c r="C41" s="119"/>
      <c r="D41" s="119"/>
      <c r="E41" s="125"/>
      <c r="F41" s="182"/>
      <c r="G41" s="182">
        <v>0</v>
      </c>
      <c r="H41" s="182">
        <f t="shared" ref="H41:I41" si="134">I41</f>
        <v>0</v>
      </c>
      <c r="I41" s="182">
        <f t="shared" si="134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2"/>
        <v>#DIV/0!</v>
      </c>
      <c r="W41" s="21">
        <f t="shared" si="8"/>
        <v>0.15</v>
      </c>
      <c r="X41" s="131">
        <f t="shared" si="92"/>
        <v>0</v>
      </c>
      <c r="Y41" s="131">
        <f t="shared" si="93"/>
        <v>0</v>
      </c>
      <c r="Z41" s="131">
        <f t="shared" si="94"/>
        <v>0</v>
      </c>
      <c r="AA41" s="131">
        <f t="shared" si="95"/>
        <v>0</v>
      </c>
      <c r="AB41" s="131">
        <f t="shared" si="96"/>
        <v>0</v>
      </c>
      <c r="AC41" s="131">
        <f t="shared" si="97"/>
        <v>0</v>
      </c>
      <c r="AD41" s="131">
        <f t="shared" si="98"/>
        <v>0</v>
      </c>
      <c r="AE41" s="131">
        <f t="shared" si="99"/>
        <v>0</v>
      </c>
      <c r="AF41" s="131">
        <f t="shared" si="100"/>
        <v>0</v>
      </c>
      <c r="AG41" s="131">
        <f t="shared" si="101"/>
        <v>0</v>
      </c>
      <c r="AH41" s="116" t="e">
        <f t="shared" si="102"/>
        <v>#DIV/0!</v>
      </c>
      <c r="AI41" s="21">
        <f t="shared" si="18"/>
        <v>0.05</v>
      </c>
      <c r="AJ41" s="124">
        <f t="shared" si="103"/>
        <v>0</v>
      </c>
    </row>
    <row r="42" spans="1:36">
      <c r="A42" s="302"/>
      <c r="B42" s="179" t="s">
        <v>421</v>
      </c>
      <c r="C42" s="119"/>
      <c r="D42" s="119"/>
      <c r="E42" s="125"/>
      <c r="F42" s="182"/>
      <c r="G42" s="182">
        <v>0</v>
      </c>
      <c r="H42" s="182">
        <f t="shared" ref="H42:I42" si="135">I42</f>
        <v>0</v>
      </c>
      <c r="I42" s="182">
        <f t="shared" si="135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2"/>
        <v>#DIV/0!</v>
      </c>
      <c r="W42" s="21">
        <f t="shared" si="8"/>
        <v>0.15</v>
      </c>
      <c r="X42" s="131">
        <f t="shared" si="92"/>
        <v>0</v>
      </c>
      <c r="Y42" s="131">
        <f t="shared" si="93"/>
        <v>0</v>
      </c>
      <c r="Z42" s="131">
        <f t="shared" si="94"/>
        <v>0</v>
      </c>
      <c r="AA42" s="131">
        <f t="shared" si="95"/>
        <v>0</v>
      </c>
      <c r="AB42" s="131">
        <f t="shared" si="96"/>
        <v>0</v>
      </c>
      <c r="AC42" s="131">
        <f t="shared" si="97"/>
        <v>0</v>
      </c>
      <c r="AD42" s="131">
        <f t="shared" si="98"/>
        <v>0</v>
      </c>
      <c r="AE42" s="131">
        <f t="shared" si="99"/>
        <v>0</v>
      </c>
      <c r="AF42" s="131">
        <f t="shared" si="100"/>
        <v>0</v>
      </c>
      <c r="AG42" s="131">
        <f t="shared" si="101"/>
        <v>0</v>
      </c>
      <c r="AH42" s="116" t="e">
        <f t="shared" si="102"/>
        <v>#DIV/0!</v>
      </c>
      <c r="AI42" s="21">
        <f t="shared" si="18"/>
        <v>0.05</v>
      </c>
      <c r="AJ42" s="124">
        <f t="shared" si="103"/>
        <v>0</v>
      </c>
    </row>
    <row r="43" spans="1:36">
      <c r="A43" s="302"/>
      <c r="B43" s="179" t="s">
        <v>420</v>
      </c>
      <c r="C43" s="119"/>
      <c r="D43" s="119"/>
      <c r="E43" s="125"/>
      <c r="F43" s="182"/>
      <c r="G43" s="182">
        <v>0</v>
      </c>
      <c r="H43" s="182">
        <f t="shared" ref="H43:I43" si="136">I43</f>
        <v>0</v>
      </c>
      <c r="I43" s="182">
        <f t="shared" si="136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2"/>
        <v>#DIV/0!</v>
      </c>
      <c r="W43" s="21">
        <f t="shared" si="8"/>
        <v>0.15</v>
      </c>
      <c r="X43" s="131">
        <f t="shared" si="92"/>
        <v>0</v>
      </c>
      <c r="Y43" s="131">
        <f t="shared" si="93"/>
        <v>0</v>
      </c>
      <c r="Z43" s="131">
        <f t="shared" si="94"/>
        <v>0</v>
      </c>
      <c r="AA43" s="131">
        <f t="shared" si="95"/>
        <v>0</v>
      </c>
      <c r="AB43" s="131">
        <f t="shared" si="96"/>
        <v>0</v>
      </c>
      <c r="AC43" s="131">
        <f t="shared" si="97"/>
        <v>0</v>
      </c>
      <c r="AD43" s="131">
        <f t="shared" si="98"/>
        <v>0</v>
      </c>
      <c r="AE43" s="131">
        <f t="shared" si="99"/>
        <v>0</v>
      </c>
      <c r="AF43" s="131">
        <f t="shared" si="100"/>
        <v>0</v>
      </c>
      <c r="AG43" s="131">
        <f t="shared" si="101"/>
        <v>0</v>
      </c>
      <c r="AH43" s="116" t="e">
        <f t="shared" si="102"/>
        <v>#DIV/0!</v>
      </c>
      <c r="AI43" s="21">
        <f t="shared" si="18"/>
        <v>0.05</v>
      </c>
      <c r="AJ43" s="124">
        <f t="shared" si="103"/>
        <v>0</v>
      </c>
    </row>
    <row r="44" spans="1:36">
      <c r="A44" s="302"/>
      <c r="B44" s="179"/>
      <c r="C44" s="119"/>
      <c r="D44" s="119"/>
      <c r="E44" s="125"/>
      <c r="F44" s="128"/>
      <c r="G44" s="128" t="e">
        <f t="shared" ref="G44" si="137">(G43-F43)/F43</f>
        <v>#DIV/0!</v>
      </c>
      <c r="H44" s="128" t="e">
        <f t="shared" ref="H44" si="138">(H43-F43)/F43</f>
        <v>#DIV/0!</v>
      </c>
      <c r="I44" s="128" t="e">
        <f t="shared" ref="I44" si="139">(I43-H43)/H43</f>
        <v>#DIV/0!</v>
      </c>
      <c r="J44" s="128" t="e">
        <f t="shared" ref="J44" si="140">(J43-I43)/I43</f>
        <v>#DIV/0!</v>
      </c>
      <c r="K44" s="128" t="e">
        <f t="shared" ref="K44" si="141">(K43-J43)/J43</f>
        <v>#DIV/0!</v>
      </c>
      <c r="L44" s="128" t="e">
        <f t="shared" ref="L44" si="142">(L43-K43)/K43</f>
        <v>#DIV/0!</v>
      </c>
      <c r="M44" s="128" t="e">
        <f t="shared" ref="M44" si="143">(M43-L43)/L43</f>
        <v>#DIV/0!</v>
      </c>
      <c r="N44" s="128" t="e">
        <f t="shared" ref="N44" si="144">(N43-M43)/M43</f>
        <v>#DIV/0!</v>
      </c>
      <c r="O44" s="128" t="e">
        <f t="shared" ref="O44" si="145">(O43-N43)/N43</f>
        <v>#DIV/0!</v>
      </c>
      <c r="P44" s="128" t="e">
        <f t="shared" ref="P44" si="146">(P43-O43)/O43</f>
        <v>#DIV/0!</v>
      </c>
      <c r="Q44" s="128" t="e">
        <f t="shared" ref="Q44" si="147">(Q43-P43)/P43</f>
        <v>#DIV/0!</v>
      </c>
      <c r="R44" s="128" t="e">
        <f t="shared" ref="R44" si="148">(R43-Q43)/Q43</f>
        <v>#DIV/0!</v>
      </c>
      <c r="S44" s="128" t="e">
        <f t="shared" ref="S44" si="149">(S43-R43)/R43</f>
        <v>#DIV/0!</v>
      </c>
      <c r="T44" s="128" t="e">
        <f t="shared" ref="T44:U44" si="150">(T43-S43)/S43</f>
        <v>#DIV/0!</v>
      </c>
      <c r="U44" s="128" t="e">
        <f t="shared" si="150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2"/>
      <c r="B45" s="179" t="s">
        <v>191</v>
      </c>
      <c r="C45" s="119"/>
      <c r="D45" s="119"/>
      <c r="E45" s="125"/>
      <c r="F45" s="182"/>
      <c r="G45" s="182">
        <v>0</v>
      </c>
      <c r="H45" s="182">
        <f t="shared" ref="H45:I45" si="151">I45</f>
        <v>0</v>
      </c>
      <c r="I45" s="182">
        <f t="shared" si="151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1</v>
      </c>
      <c r="V45" s="101" t="e">
        <f t="shared" si="2"/>
        <v>#DIV/0!</v>
      </c>
      <c r="W45" s="21">
        <f t="shared" si="8"/>
        <v>0.15</v>
      </c>
      <c r="X45" s="131">
        <f t="shared" si="92"/>
        <v>0</v>
      </c>
      <c r="Y45" s="131">
        <f t="shared" si="93"/>
        <v>0</v>
      </c>
      <c r="Z45" s="131">
        <f t="shared" si="94"/>
        <v>0</v>
      </c>
      <c r="AA45" s="131">
        <f t="shared" si="95"/>
        <v>0</v>
      </c>
      <c r="AB45" s="131">
        <f t="shared" si="96"/>
        <v>0</v>
      </c>
      <c r="AC45" s="131">
        <f t="shared" si="97"/>
        <v>0</v>
      </c>
      <c r="AD45" s="131">
        <f t="shared" si="98"/>
        <v>0</v>
      </c>
      <c r="AE45" s="131">
        <f t="shared" si="99"/>
        <v>0</v>
      </c>
      <c r="AF45" s="131">
        <f t="shared" si="100"/>
        <v>0</v>
      </c>
      <c r="AG45" s="131">
        <f t="shared" si="101"/>
        <v>0</v>
      </c>
      <c r="AH45" s="116" t="e">
        <f t="shared" si="102"/>
        <v>#DIV/0!</v>
      </c>
      <c r="AI45" s="21">
        <f t="shared" si="18"/>
        <v>0.05</v>
      </c>
      <c r="AJ45" s="124">
        <f t="shared" si="103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" si="152">(G45-F45)/F45</f>
        <v>#DIV/0!</v>
      </c>
      <c r="H46" s="128" t="e">
        <f t="shared" ref="H46" si="153">(H45-F45)/F45</f>
        <v>#DIV/0!</v>
      </c>
      <c r="I46" s="128" t="e">
        <f t="shared" ref="I46" si="154">(I45-H45)/H45</f>
        <v>#DIV/0!</v>
      </c>
      <c r="J46" s="128" t="e">
        <f t="shared" ref="J46" si="155">(J45-I45)/I45</f>
        <v>#DIV/0!</v>
      </c>
      <c r="K46" s="128" t="e">
        <f t="shared" ref="K46" si="156">(K45-J45)/J45</f>
        <v>#DIV/0!</v>
      </c>
      <c r="L46" s="128" t="e">
        <f t="shared" ref="L46" si="157">(L45-K45)/K45</f>
        <v>#DIV/0!</v>
      </c>
      <c r="M46" s="128" t="e">
        <f t="shared" ref="M46" si="158">(M45-L45)/L45</f>
        <v>#DIV/0!</v>
      </c>
      <c r="N46" s="128" t="e">
        <f t="shared" ref="N46" si="159">(N45-M45)/M45</f>
        <v>#DIV/0!</v>
      </c>
      <c r="O46" s="128" t="e">
        <f t="shared" ref="O46" si="160">(O45-N45)/N45</f>
        <v>#DIV/0!</v>
      </c>
      <c r="P46" s="128" t="e">
        <f t="shared" ref="P46" si="161">(P45-O45)/O45</f>
        <v>#DIV/0!</v>
      </c>
      <c r="Q46" s="128" t="e">
        <f t="shared" ref="Q46" si="162">(Q45-P45)/P45</f>
        <v>#DIV/0!</v>
      </c>
      <c r="R46" s="128" t="e">
        <f t="shared" ref="R46" si="163">(R45-Q45)/Q45</f>
        <v>#DIV/0!</v>
      </c>
      <c r="S46" s="128" t="e">
        <f t="shared" ref="S46" si="164">(S45-R45)/R45</f>
        <v>#DIV/0!</v>
      </c>
      <c r="T46" s="128" t="e">
        <f t="shared" ref="T46:U46" si="165">(T45-S45)/S45</f>
        <v>#DIV/0!</v>
      </c>
      <c r="U46" s="128" t="e">
        <f t="shared" si="165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v>0</v>
      </c>
      <c r="H47" s="182">
        <f t="shared" ref="H47:I47" si="166">I47</f>
        <v>0</v>
      </c>
      <c r="I47" s="182">
        <f t="shared" si="166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67">T47*(1+$W47)</f>
        <v>0</v>
      </c>
      <c r="Y47" s="131">
        <f t="shared" ref="Y47" si="168">X47*(1+$W47)</f>
        <v>0</v>
      </c>
      <c r="Z47" s="131">
        <f t="shared" ref="Z47" si="169">Y47*(1+$W47)</f>
        <v>0</v>
      </c>
      <c r="AA47" s="131">
        <f t="shared" ref="AA47" si="170">Z47*(1+$W47)</f>
        <v>0</v>
      </c>
      <c r="AB47" s="131">
        <f t="shared" ref="AB47" si="171">AA47*(1+$W47)</f>
        <v>0</v>
      </c>
      <c r="AC47" s="131">
        <f t="shared" ref="AC47" si="172">AB47*(1+$W47)</f>
        <v>0</v>
      </c>
      <c r="AD47" s="131">
        <f t="shared" ref="AD47" si="173">AC47*(1+$W47)</f>
        <v>0</v>
      </c>
      <c r="AE47" s="131">
        <f t="shared" ref="AE47" si="174">AD47*(1+$W47)</f>
        <v>0</v>
      </c>
      <c r="AF47" s="131">
        <f t="shared" ref="AF47" si="175">AE47*(1+$W47)</f>
        <v>0</v>
      </c>
      <c r="AG47" s="131">
        <f t="shared" ref="AG47" si="176">AF47*(1+$W47)</f>
        <v>0</v>
      </c>
      <c r="AH47" s="116" t="e">
        <f t="shared" ref="AH47" si="177">((AG47/J47)^(1/($AG$3-$K$1) ))-1</f>
        <v>#DIV/0!</v>
      </c>
      <c r="AI47" s="21">
        <f t="shared" si="18"/>
        <v>0.05</v>
      </c>
      <c r="AJ47" s="124">
        <f t="shared" si="103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" si="178">(G47-F47)/F47</f>
        <v>#DIV/0!</v>
      </c>
      <c r="H48" s="128" t="e">
        <f t="shared" ref="H48" si="179">(H47-F47)/F47</f>
        <v>#DIV/0!</v>
      </c>
      <c r="I48" s="128" t="e">
        <f t="shared" ref="I48" si="180">(I47-H47)/H47</f>
        <v>#DIV/0!</v>
      </c>
      <c r="J48" s="128" t="e">
        <f t="shared" ref="J48" si="181">(J47-I47)/I47</f>
        <v>#DIV/0!</v>
      </c>
      <c r="K48" s="128" t="e">
        <f t="shared" ref="K48" si="182">(K47-J47)/J47</f>
        <v>#DIV/0!</v>
      </c>
      <c r="L48" s="128" t="e">
        <f t="shared" ref="L48" si="183">(L47-K47)/K47</f>
        <v>#DIV/0!</v>
      </c>
      <c r="M48" s="128" t="e">
        <f t="shared" ref="M48" si="184">(M47-L47)/L47</f>
        <v>#DIV/0!</v>
      </c>
      <c r="N48" s="128" t="e">
        <f t="shared" ref="N48" si="185">(N47-M47)/M47</f>
        <v>#DIV/0!</v>
      </c>
      <c r="O48" s="128" t="e">
        <f t="shared" ref="O48" si="186">(O47-N47)/N47</f>
        <v>#DIV/0!</v>
      </c>
      <c r="P48" s="128" t="e">
        <f t="shared" ref="P48" si="187">(P47-O47)/O47</f>
        <v>#DIV/0!</v>
      </c>
      <c r="Q48" s="128" t="e">
        <f t="shared" ref="Q48" si="188">(Q47-P47)/P47</f>
        <v>#DIV/0!</v>
      </c>
      <c r="R48" s="128" t="e">
        <f t="shared" ref="R48" si="189">(R47-Q47)/Q47</f>
        <v>#DIV/0!</v>
      </c>
      <c r="S48" s="128" t="e">
        <f t="shared" ref="S48" si="190">(S47-R47)/R47</f>
        <v>#DIV/0!</v>
      </c>
      <c r="T48" s="128" t="e">
        <f t="shared" ref="T48:U48" si="191">(T47-S47)/S47</f>
        <v>#DIV/0!</v>
      </c>
      <c r="U48" s="128" t="e">
        <f t="shared" si="191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v>0</v>
      </c>
      <c r="H49" s="182">
        <f t="shared" ref="H49:I49" si="192">I49</f>
        <v>0</v>
      </c>
      <c r="I49" s="182">
        <f t="shared" si="192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92"/>
        <v>0</v>
      </c>
      <c r="Y49" s="131">
        <f t="shared" si="93"/>
        <v>0</v>
      </c>
      <c r="Z49" s="131">
        <f t="shared" si="94"/>
        <v>0</v>
      </c>
      <c r="AA49" s="131">
        <f t="shared" si="95"/>
        <v>0</v>
      </c>
      <c r="AB49" s="131">
        <f t="shared" si="96"/>
        <v>0</v>
      </c>
      <c r="AC49" s="131">
        <f t="shared" si="97"/>
        <v>0</v>
      </c>
      <c r="AD49" s="131">
        <f t="shared" si="98"/>
        <v>0</v>
      </c>
      <c r="AE49" s="131">
        <f t="shared" si="99"/>
        <v>0</v>
      </c>
      <c r="AF49" s="131">
        <f t="shared" si="100"/>
        <v>0</v>
      </c>
      <c r="AG49" s="131">
        <f t="shared" si="101"/>
        <v>0</v>
      </c>
      <c r="AH49" s="116" t="e">
        <f t="shared" si="102"/>
        <v>#DIV/0!</v>
      </c>
      <c r="AI49" s="21">
        <f t="shared" si="18"/>
        <v>0.05</v>
      </c>
      <c r="AJ49" s="124">
        <f t="shared" si="103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v>80.849999999999994</v>
      </c>
      <c r="H51" s="125"/>
      <c r="I51" s="125"/>
      <c r="J51" s="125"/>
      <c r="K51" s="125"/>
      <c r="L51" s="125"/>
      <c r="M51" s="125"/>
      <c r="N51" s="125"/>
      <c r="O51" s="125">
        <v>80.849999999999994</v>
      </c>
      <c r="P51" s="125">
        <v>154</v>
      </c>
      <c r="Q51" s="125">
        <v>308</v>
      </c>
      <c r="R51" s="125">
        <v>465</v>
      </c>
      <c r="S51" s="182">
        <v>706</v>
      </c>
      <c r="T51" s="182">
        <v>874</v>
      </c>
      <c r="U51" s="182">
        <v>812</v>
      </c>
      <c r="V51" s="101">
        <f t="shared" si="2"/>
        <v>0.18534589656695655</v>
      </c>
      <c r="W51" s="21">
        <f t="shared" si="8"/>
        <v>0.15</v>
      </c>
      <c r="X51" s="131">
        <f t="shared" si="3"/>
        <v>1005.0999999999999</v>
      </c>
      <c r="Y51" s="131">
        <f t="shared" ref="Y51" si="193">X51*(1+$W51)</f>
        <v>1155.8649999999998</v>
      </c>
      <c r="Z51" s="131">
        <f t="shared" ref="Z51" si="194">Y51*(1+$W51)</f>
        <v>1329.2447499999996</v>
      </c>
      <c r="AA51" s="131">
        <f t="shared" ref="AA51" si="195">Z51*(1+$W51)</f>
        <v>1528.6314624999995</v>
      </c>
      <c r="AB51" s="131">
        <f t="shared" si="42"/>
        <v>1757.9261818749994</v>
      </c>
      <c r="AC51" s="131">
        <f t="shared" si="43"/>
        <v>2021.6151091562492</v>
      </c>
      <c r="AD51" s="131">
        <f t="shared" si="44"/>
        <v>2324.8573755296866</v>
      </c>
      <c r="AE51" s="131">
        <f t="shared" si="45"/>
        <v>2673.5859818591393</v>
      </c>
      <c r="AF51" s="131">
        <f t="shared" si="46"/>
        <v>3074.6238791380101</v>
      </c>
      <c r="AG51" s="131">
        <f t="shared" si="47"/>
        <v>3535.8174610087112</v>
      </c>
      <c r="AH51" s="116" t="e">
        <f t="shared" si="20"/>
        <v>#DIV/0!</v>
      </c>
      <c r="AI51" s="21">
        <f t="shared" si="18"/>
        <v>0.05</v>
      </c>
      <c r="AJ51" s="124">
        <f t="shared" si="1"/>
        <v>37126.083340591467</v>
      </c>
    </row>
    <row r="52" spans="1:36" s="106" customFormat="1">
      <c r="B52" s="13"/>
      <c r="C52" s="126"/>
      <c r="D52" s="126"/>
      <c r="E52" s="127"/>
      <c r="F52" s="272"/>
      <c r="G52" s="272">
        <f t="shared" ref="G52:P52" si="196">(G51-F51)/G51</f>
        <v>1</v>
      </c>
      <c r="H52" s="272" t="e">
        <f t="shared" si="196"/>
        <v>#DIV/0!</v>
      </c>
      <c r="I52" s="272" t="e">
        <f t="shared" si="196"/>
        <v>#DIV/0!</v>
      </c>
      <c r="J52" s="272" t="e">
        <f t="shared" si="196"/>
        <v>#DIV/0!</v>
      </c>
      <c r="K52" s="272" t="e">
        <f t="shared" si="196"/>
        <v>#DIV/0!</v>
      </c>
      <c r="L52" s="272" t="e">
        <f t="shared" si="196"/>
        <v>#DIV/0!</v>
      </c>
      <c r="M52" s="272" t="e">
        <f t="shared" si="196"/>
        <v>#DIV/0!</v>
      </c>
      <c r="N52" s="272" t="e">
        <f t="shared" si="196"/>
        <v>#DIV/0!</v>
      </c>
      <c r="O52" s="272">
        <f t="shared" si="196"/>
        <v>1</v>
      </c>
      <c r="P52" s="272">
        <f t="shared" si="196"/>
        <v>0.47500000000000003</v>
      </c>
      <c r="Q52" s="272">
        <f t="shared" ref="Q52:R52" si="197">(Q51-P51)/Q51</f>
        <v>0.5</v>
      </c>
      <c r="R52" s="272">
        <f t="shared" si="197"/>
        <v>0.33763440860215055</v>
      </c>
      <c r="S52" s="128">
        <f t="shared" ref="S52:U52" si="198">(S51-R51)/R51</f>
        <v>0.51827956989247315</v>
      </c>
      <c r="T52" s="128">
        <f t="shared" si="198"/>
        <v>0.23796033994334279</v>
      </c>
      <c r="U52" s="128">
        <f t="shared" si="198"/>
        <v>-7.0938215102974822E-2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v>10</v>
      </c>
      <c r="H53" s="125"/>
      <c r="I53" s="125"/>
      <c r="J53" s="125"/>
      <c r="K53" s="125"/>
      <c r="L53" s="125"/>
      <c r="M53" s="125"/>
      <c r="N53" s="125"/>
      <c r="O53" s="125">
        <v>10</v>
      </c>
      <c r="P53" s="125">
        <v>40.65</v>
      </c>
      <c r="Q53" s="125">
        <v>114</v>
      </c>
      <c r="R53" s="125">
        <v>163</v>
      </c>
      <c r="S53" s="182">
        <v>260</v>
      </c>
      <c r="T53" s="182">
        <v>252</v>
      </c>
      <c r="U53" s="182">
        <v>51</v>
      </c>
      <c r="V53" s="101">
        <f t="shared" si="2"/>
        <v>0.25921543545664982</v>
      </c>
      <c r="W53" s="21">
        <f t="shared" si="8"/>
        <v>0.15</v>
      </c>
      <c r="X53" s="131">
        <f t="shared" si="3"/>
        <v>289.79999999999995</v>
      </c>
      <c r="Y53" s="131">
        <f t="shared" ref="Y53" si="199">X53*(1+$W53)</f>
        <v>333.26999999999992</v>
      </c>
      <c r="Z53" s="131">
        <f t="shared" ref="Z53" si="200">Y53*(1+$W53)</f>
        <v>383.26049999999987</v>
      </c>
      <c r="AA53" s="131">
        <f t="shared" ref="AA53" si="201">Z53*(1+$W53)</f>
        <v>440.74957499999982</v>
      </c>
      <c r="AB53" s="131">
        <f t="shared" ref="AB53" si="202">AA53*(1+$W53)</f>
        <v>506.86201124999974</v>
      </c>
      <c r="AC53" s="131">
        <f t="shared" ref="AC53" si="203">AB53*(1+$W53)</f>
        <v>582.89131293749961</v>
      </c>
      <c r="AD53" s="131">
        <f t="shared" ref="AD53" si="204">AC53*(1+$W53)</f>
        <v>670.32500987812455</v>
      </c>
      <c r="AE53" s="131">
        <f t="shared" ref="AE53" si="205">AD53*(1+$W53)</f>
        <v>770.87376135984312</v>
      </c>
      <c r="AF53" s="131">
        <f t="shared" ref="AF53" si="206">AE53*(1+$W53)</f>
        <v>886.50482556381951</v>
      </c>
      <c r="AG53" s="131">
        <f t="shared" ref="AG53" si="207">AF53*(1+$W53)</f>
        <v>1019.4805493983923</v>
      </c>
      <c r="AH53" s="116" t="e">
        <f t="shared" ref="AH53" si="208">((AG53/J53)^(1/($AG$3-$K$1) ))-1</f>
        <v>#DIV/0!</v>
      </c>
      <c r="AI53" s="21">
        <f t="shared" si="18"/>
        <v>0.05</v>
      </c>
      <c r="AJ53" s="124">
        <f t="shared" ref="AJ53" si="209">(AG53*(1+AI53))/($C$1-AI53)</f>
        <v>10704.54576868312</v>
      </c>
    </row>
    <row r="54" spans="1:36" s="106" customFormat="1">
      <c r="B54" s="13"/>
      <c r="C54" s="126"/>
      <c r="D54" s="126"/>
      <c r="E54" s="127"/>
      <c r="F54" s="272"/>
      <c r="G54" s="272">
        <f t="shared" ref="G54:P54" si="210">(G53-F53)/G53</f>
        <v>1</v>
      </c>
      <c r="H54" s="272" t="e">
        <f t="shared" si="210"/>
        <v>#DIV/0!</v>
      </c>
      <c r="I54" s="272" t="e">
        <f t="shared" si="210"/>
        <v>#DIV/0!</v>
      </c>
      <c r="J54" s="272" t="e">
        <f t="shared" si="210"/>
        <v>#DIV/0!</v>
      </c>
      <c r="K54" s="272" t="e">
        <f t="shared" si="210"/>
        <v>#DIV/0!</v>
      </c>
      <c r="L54" s="272" t="e">
        <f t="shared" si="210"/>
        <v>#DIV/0!</v>
      </c>
      <c r="M54" s="272" t="e">
        <f t="shared" si="210"/>
        <v>#DIV/0!</v>
      </c>
      <c r="N54" s="272" t="e">
        <f t="shared" si="210"/>
        <v>#DIV/0!</v>
      </c>
      <c r="O54" s="272">
        <f t="shared" si="210"/>
        <v>1</v>
      </c>
      <c r="P54" s="272">
        <f t="shared" si="210"/>
        <v>0.75399753997539976</v>
      </c>
      <c r="Q54" s="272">
        <f t="shared" ref="Q54:R54" si="211">(Q53-P53)/Q53</f>
        <v>0.64342105263157889</v>
      </c>
      <c r="R54" s="272">
        <f t="shared" si="211"/>
        <v>0.30061349693251532</v>
      </c>
      <c r="S54" s="128">
        <f t="shared" ref="S54:U54" si="212">(S53-R53)/R53</f>
        <v>0.59509202453987731</v>
      </c>
      <c r="T54" s="128">
        <f t="shared" si="212"/>
        <v>-3.0769230769230771E-2</v>
      </c>
      <c r="U54" s="128">
        <f t="shared" si="212"/>
        <v>-0.79761904761904767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v>-4.79</v>
      </c>
      <c r="H55" s="125"/>
      <c r="I55" s="125"/>
      <c r="J55" s="125"/>
      <c r="K55" s="125"/>
      <c r="L55" s="125"/>
      <c r="M55" s="125"/>
      <c r="N55" s="125"/>
      <c r="O55" s="125">
        <v>-4.79</v>
      </c>
      <c r="P55" s="125">
        <v>32.69</v>
      </c>
      <c r="Q55" s="125">
        <v>74</v>
      </c>
      <c r="R55" s="125">
        <v>107</v>
      </c>
      <c r="S55" s="182">
        <v>167</v>
      </c>
      <c r="T55" s="182">
        <v>159</v>
      </c>
      <c r="U55" s="182">
        <v>31</v>
      </c>
      <c r="V55" s="101" t="e">
        <f t="shared" si="2"/>
        <v>#NUM!</v>
      </c>
      <c r="W55" s="21">
        <f t="shared" si="8"/>
        <v>0.15</v>
      </c>
      <c r="X55" s="131">
        <f t="shared" si="3"/>
        <v>182.85</v>
      </c>
      <c r="Y55" s="131">
        <f t="shared" ref="Y55:AG55" si="213">X55*(1+$W55)</f>
        <v>210.27749999999997</v>
      </c>
      <c r="Z55" s="131">
        <f t="shared" si="213"/>
        <v>241.81912499999996</v>
      </c>
      <c r="AA55" s="131">
        <f t="shared" si="213"/>
        <v>278.09199374999992</v>
      </c>
      <c r="AB55" s="131">
        <f t="shared" si="213"/>
        <v>319.80579281249987</v>
      </c>
      <c r="AC55" s="131">
        <f t="shared" si="213"/>
        <v>367.77666173437484</v>
      </c>
      <c r="AD55" s="131">
        <f t="shared" si="213"/>
        <v>422.94316099453101</v>
      </c>
      <c r="AE55" s="131">
        <f t="shared" si="213"/>
        <v>486.38463514371063</v>
      </c>
      <c r="AF55" s="131">
        <f t="shared" si="213"/>
        <v>559.34233041526716</v>
      </c>
      <c r="AG55" s="131">
        <f t="shared" si="213"/>
        <v>643.24367997755724</v>
      </c>
      <c r="AH55" s="116" t="e">
        <f t="shared" si="20"/>
        <v>#DIV/0!</v>
      </c>
      <c r="AI55" s="21">
        <f t="shared" si="18"/>
        <v>0.05</v>
      </c>
      <c r="AJ55" s="124">
        <f t="shared" si="1"/>
        <v>6754.0586397643519</v>
      </c>
    </row>
    <row r="56" spans="1:36" s="106" customFormat="1">
      <c r="B56" s="13"/>
      <c r="C56" s="126"/>
      <c r="D56" s="126"/>
      <c r="E56" s="127"/>
      <c r="F56" s="272"/>
      <c r="G56" s="272">
        <f t="shared" ref="G56:P56" si="214">(G55-F55)/G55</f>
        <v>1</v>
      </c>
      <c r="H56" s="272" t="e">
        <f t="shared" si="214"/>
        <v>#DIV/0!</v>
      </c>
      <c r="I56" s="272" t="e">
        <f t="shared" si="214"/>
        <v>#DIV/0!</v>
      </c>
      <c r="J56" s="272" t="e">
        <f t="shared" si="214"/>
        <v>#DIV/0!</v>
      </c>
      <c r="K56" s="272" t="e">
        <f t="shared" si="214"/>
        <v>#DIV/0!</v>
      </c>
      <c r="L56" s="272" t="e">
        <f t="shared" si="214"/>
        <v>#DIV/0!</v>
      </c>
      <c r="M56" s="272" t="e">
        <f t="shared" si="214"/>
        <v>#DIV/0!</v>
      </c>
      <c r="N56" s="272" t="e">
        <f t="shared" si="214"/>
        <v>#DIV/0!</v>
      </c>
      <c r="O56" s="272">
        <f t="shared" si="214"/>
        <v>1</v>
      </c>
      <c r="P56" s="272">
        <f t="shared" si="214"/>
        <v>1.1465279902110737</v>
      </c>
      <c r="Q56" s="272">
        <f t="shared" ref="Q56:R56" si="215">(Q55-P55)/Q55</f>
        <v>0.55824324324324326</v>
      </c>
      <c r="R56" s="272">
        <f t="shared" si="215"/>
        <v>0.30841121495327101</v>
      </c>
      <c r="S56" s="128">
        <f t="shared" ref="S56:U56" si="216">(S55-R55)/R55</f>
        <v>0.56074766355140182</v>
      </c>
      <c r="T56" s="128">
        <f t="shared" si="216"/>
        <v>-4.790419161676647E-2</v>
      </c>
      <c r="U56" s="128">
        <f t="shared" si="216"/>
        <v>-0.80503144654088055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274">
        <v>4.4428999999999998</v>
      </c>
      <c r="H57" s="274"/>
      <c r="I57" s="274"/>
      <c r="J57" s="274"/>
      <c r="K57" s="274"/>
      <c r="L57" s="274"/>
      <c r="M57" s="274"/>
      <c r="N57" s="274"/>
      <c r="O57" s="274">
        <v>4.4428999999999998</v>
      </c>
      <c r="P57" s="274">
        <v>5.77</v>
      </c>
      <c r="Q57" s="123">
        <v>7.26</v>
      </c>
      <c r="R57" s="123">
        <v>26.88</v>
      </c>
      <c r="S57" s="123">
        <v>26.99</v>
      </c>
      <c r="T57" s="123">
        <v>33.78</v>
      </c>
      <c r="U57" s="123">
        <v>34.04</v>
      </c>
      <c r="V57" s="101">
        <f t="shared" si="2"/>
        <v>0.1559208011477049</v>
      </c>
      <c r="W57" s="21">
        <v>0.02</v>
      </c>
      <c r="X57" s="131">
        <f t="shared" si="3"/>
        <v>34.455600000000004</v>
      </c>
      <c r="Y57" s="131">
        <f>X57*(1+$W57)</f>
        <v>35.144712000000006</v>
      </c>
      <c r="Z57" s="131">
        <f t="shared" ref="Z57:AG57" si="217">Y57*(1+$W57)</f>
        <v>35.847606240000005</v>
      </c>
      <c r="AA57" s="131">
        <f t="shared" si="217"/>
        <v>36.564558364800007</v>
      </c>
      <c r="AB57" s="131">
        <f t="shared" si="217"/>
        <v>37.295849532096007</v>
      </c>
      <c r="AC57" s="131">
        <f t="shared" si="217"/>
        <v>38.04176652273793</v>
      </c>
      <c r="AD57" s="131">
        <f t="shared" si="217"/>
        <v>38.802601853192691</v>
      </c>
      <c r="AE57" s="131">
        <f t="shared" si="217"/>
        <v>39.578653890256547</v>
      </c>
      <c r="AF57" s="131">
        <f t="shared" si="217"/>
        <v>40.370226968061679</v>
      </c>
      <c r="AG57" s="131">
        <f t="shared" si="217"/>
        <v>41.177631507422916</v>
      </c>
      <c r="AH57" s="116" t="e">
        <f t="shared" si="20"/>
        <v>#DIV/0!</v>
      </c>
      <c r="AI57" s="21">
        <f t="shared" si="18"/>
        <v>0.05</v>
      </c>
      <c r="AJ57" s="124">
        <f t="shared" si="1"/>
        <v>432.36513082794067</v>
      </c>
    </row>
    <row r="58" spans="1:36">
      <c r="B58" s="10"/>
      <c r="C58" s="120"/>
      <c r="D58" s="120"/>
      <c r="E58" s="121"/>
      <c r="F58" s="272"/>
      <c r="G58" s="272">
        <f t="shared" ref="G58:R58" si="218">(G57-F57)/G57</f>
        <v>1</v>
      </c>
      <c r="H58" s="272" t="e">
        <f>(H57-F57)/H57</f>
        <v>#DIV/0!</v>
      </c>
      <c r="I58" s="272" t="e">
        <f t="shared" si="218"/>
        <v>#DIV/0!</v>
      </c>
      <c r="J58" s="272" t="e">
        <f t="shared" si="218"/>
        <v>#DIV/0!</v>
      </c>
      <c r="K58" s="272" t="e">
        <f t="shared" si="218"/>
        <v>#DIV/0!</v>
      </c>
      <c r="L58" s="272" t="e">
        <f t="shared" si="218"/>
        <v>#DIV/0!</v>
      </c>
      <c r="M58" s="272" t="e">
        <f t="shared" si="218"/>
        <v>#DIV/0!</v>
      </c>
      <c r="N58" s="272" t="e">
        <f t="shared" si="218"/>
        <v>#DIV/0!</v>
      </c>
      <c r="O58" s="272">
        <f t="shared" si="218"/>
        <v>1</v>
      </c>
      <c r="P58" s="272">
        <f t="shared" si="218"/>
        <v>0.22999999999999998</v>
      </c>
      <c r="Q58" s="272">
        <f t="shared" si="218"/>
        <v>0.20523415977961437</v>
      </c>
      <c r="R58" s="272">
        <f t="shared" si="218"/>
        <v>0.72991071428571419</v>
      </c>
      <c r="S58" s="128">
        <f t="shared" ref="S58:U58" si="219">(S57-R57)/R57</f>
        <v>4.0922619047618842E-3</v>
      </c>
      <c r="T58" s="128">
        <f t="shared" si="219"/>
        <v>0.25157465728047435</v>
      </c>
      <c r="U58" s="128">
        <f t="shared" si="219"/>
        <v>7.6968620485493786E-3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275">
        <v>0</v>
      </c>
      <c r="H59" s="275"/>
      <c r="I59" s="275"/>
      <c r="J59" s="275"/>
      <c r="K59" s="275"/>
      <c r="L59" s="275"/>
      <c r="M59" s="275"/>
      <c r="N59" s="275"/>
      <c r="O59" s="275">
        <v>0</v>
      </c>
      <c r="P59" s="275">
        <v>0</v>
      </c>
      <c r="Q59" s="125">
        <v>0</v>
      </c>
      <c r="R59" s="125">
        <v>0</v>
      </c>
      <c r="S59" s="182">
        <v>0</v>
      </c>
      <c r="T59" s="182">
        <v>0</v>
      </c>
      <c r="U59" s="182">
        <v>0</v>
      </c>
      <c r="V59" s="101" t="e">
        <f t="shared" si="2"/>
        <v>#DIV/0!</v>
      </c>
      <c r="W59" s="21">
        <v>0.02</v>
      </c>
      <c r="X59" s="131">
        <f t="shared" si="3"/>
        <v>0</v>
      </c>
      <c r="Y59" s="131">
        <f t="shared" ref="Y59" si="220">X59*(1+$W59)</f>
        <v>0</v>
      </c>
      <c r="Z59" s="131">
        <f t="shared" ref="Z59" si="221">Y59*(1+$W59)</f>
        <v>0</v>
      </c>
      <c r="AA59" s="131">
        <f t="shared" ref="AA59" si="222">Z59*(1+$W59)</f>
        <v>0</v>
      </c>
      <c r="AB59" s="131">
        <f t="shared" ref="AB59" si="223">AA59*(1+$W59)</f>
        <v>0</v>
      </c>
      <c r="AC59" s="131">
        <f t="shared" ref="AC59" si="224">AB59*(1+$W59)</f>
        <v>0</v>
      </c>
      <c r="AD59" s="131">
        <f t="shared" ref="AD59" si="225">AC59*(1+$W59)</f>
        <v>0</v>
      </c>
      <c r="AE59" s="131">
        <f t="shared" ref="AE59" si="226">AD59*(1+$W59)</f>
        <v>0</v>
      </c>
      <c r="AF59" s="131">
        <f t="shared" ref="AF59" si="227">AE59*(1+$W59)</f>
        <v>0</v>
      </c>
      <c r="AG59" s="131">
        <f t="shared" ref="AG59" si="228">AF59*(1+$W59)</f>
        <v>0</v>
      </c>
      <c r="AH59" s="116" t="e">
        <f t="shared" ref="AH59" si="229">((AG59/J59)^(1/($AG$3-$K$1) ))-1</f>
        <v>#DIV/0!</v>
      </c>
      <c r="AI59" s="21">
        <f t="shared" si="18"/>
        <v>0.05</v>
      </c>
      <c r="AJ59" s="124">
        <f t="shared" si="1"/>
        <v>0</v>
      </c>
    </row>
    <row r="60" spans="1:36">
      <c r="B60" s="10"/>
      <c r="C60" s="123"/>
      <c r="D60" s="123"/>
      <c r="E60" s="123"/>
      <c r="F60" s="128"/>
      <c r="G60" s="128" t="e">
        <f t="shared" ref="G60" si="230">(G59-F59)/F59</f>
        <v>#DIV/0!</v>
      </c>
      <c r="H60" s="128" t="e">
        <f t="shared" ref="H60" si="231">(H59-F59)/F59</f>
        <v>#DIV/0!</v>
      </c>
      <c r="I60" s="128" t="e">
        <f t="shared" ref="I60" si="232">(I59-H59)/H59</f>
        <v>#DIV/0!</v>
      </c>
      <c r="J60" s="128" t="e">
        <f t="shared" ref="J60:U60" si="233">(J59-I59)/I59</f>
        <v>#DIV/0!</v>
      </c>
      <c r="K60" s="128" t="e">
        <f t="shared" si="233"/>
        <v>#DIV/0!</v>
      </c>
      <c r="L60" s="128" t="e">
        <f t="shared" si="233"/>
        <v>#DIV/0!</v>
      </c>
      <c r="M60" s="128" t="e">
        <f t="shared" si="233"/>
        <v>#DIV/0!</v>
      </c>
      <c r="N60" s="128" t="e">
        <f t="shared" si="233"/>
        <v>#DIV/0!</v>
      </c>
      <c r="O60" s="128" t="e">
        <f t="shared" si="233"/>
        <v>#DIV/0!</v>
      </c>
      <c r="P60" s="128" t="e">
        <f t="shared" si="233"/>
        <v>#DIV/0!</v>
      </c>
      <c r="Q60" s="128" t="e">
        <f t="shared" si="233"/>
        <v>#DIV/0!</v>
      </c>
      <c r="R60" s="128" t="e">
        <f t="shared" si="233"/>
        <v>#DIV/0!</v>
      </c>
      <c r="S60" s="128" t="e">
        <f t="shared" si="233"/>
        <v>#DIV/0!</v>
      </c>
      <c r="T60" s="128" t="e">
        <f t="shared" si="233"/>
        <v>#DIV/0!</v>
      </c>
      <c r="U60" s="128" t="e">
        <f t="shared" si="233"/>
        <v>#DIV/0!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234">G25/G57</f>
        <v>45.015642935920233</v>
      </c>
      <c r="H66" s="112" t="e">
        <f t="shared" ref="H66:I66" si="235">H25/H57</f>
        <v>#DIV/0!</v>
      </c>
      <c r="I66" s="112" t="e">
        <f t="shared" si="235"/>
        <v>#DIV/0!</v>
      </c>
      <c r="J66" s="112" t="e">
        <f t="shared" ref="J66:S66" si="236">J25/J57</f>
        <v>#DIV/0!</v>
      </c>
      <c r="K66" s="112" t="e">
        <f t="shared" si="236"/>
        <v>#DIV/0!</v>
      </c>
      <c r="L66" s="112" t="e">
        <f t="shared" si="236"/>
        <v>#DIV/0!</v>
      </c>
      <c r="M66" s="112" t="e">
        <f t="shared" si="236"/>
        <v>#DIV/0!</v>
      </c>
      <c r="N66" s="112" t="e">
        <f t="shared" si="236"/>
        <v>#DIV/0!</v>
      </c>
      <c r="O66" s="112">
        <f t="shared" si="236"/>
        <v>45.015642935920233</v>
      </c>
      <c r="P66" s="112">
        <f t="shared" si="236"/>
        <v>49.046793760831896</v>
      </c>
      <c r="Q66" s="112">
        <f t="shared" si="236"/>
        <v>66.528925619834709</v>
      </c>
      <c r="R66" s="112">
        <f t="shared" si="236"/>
        <v>28.08779761904762</v>
      </c>
      <c r="S66" s="112">
        <f t="shared" si="236"/>
        <v>41.311596887736201</v>
      </c>
      <c r="T66" s="112">
        <f t="shared" ref="T66:U66" si="237">T25/T57</f>
        <v>45.737122557726465</v>
      </c>
      <c r="U66" s="112">
        <f t="shared" si="237"/>
        <v>52.497062279670978</v>
      </c>
      <c r="V66" s="101">
        <f t="shared" ref="V66:V129" si="238">((T66/G66)^(1/($K$2-$K$1) ))-1</f>
        <v>1.1363757425888465E-3</v>
      </c>
      <c r="W66" s="110"/>
      <c r="X66" s="135">
        <f t="shared" ref="X66:AG66" si="239">X25/X57</f>
        <v>51.566363668024927</v>
      </c>
      <c r="Y66" s="135">
        <f t="shared" si="239"/>
        <v>58.138547272773195</v>
      </c>
      <c r="Z66" s="135">
        <f t="shared" si="239"/>
        <v>65.548362121263892</v>
      </c>
      <c r="AA66" s="135">
        <f t="shared" si="239"/>
        <v>73.90256513671909</v>
      </c>
      <c r="AB66" s="135">
        <f t="shared" si="239"/>
        <v>83.321519516889168</v>
      </c>
      <c r="AC66" s="135">
        <f t="shared" si="239"/>
        <v>93.940928867080913</v>
      </c>
      <c r="AD66" s="135">
        <f t="shared" si="239"/>
        <v>105.91379235014023</v>
      </c>
      <c r="AE66" s="135">
        <f t="shared" si="239"/>
        <v>119.41260902221691</v>
      </c>
      <c r="AF66" s="135">
        <f t="shared" si="239"/>
        <v>134.63186311328377</v>
      </c>
      <c r="AG66" s="135">
        <f t="shared" si="239"/>
        <v>151.79082605909443</v>
      </c>
      <c r="AH66" s="116" t="e">
        <f t="shared" ref="AH66" si="240">((AG66/J66)^(1/($AG$3-$K$1) ))-1</f>
        <v>#DIV/0!</v>
      </c>
      <c r="AI66" s="21">
        <f t="shared" si="18"/>
        <v>0.05</v>
      </c>
      <c r="AJ66" s="124">
        <f t="shared" ref="AJ66:AJ67" si="241">(AG66*(1+AI66))/($C$1-AI66)</f>
        <v>1593.8036736204917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242">G27/G57</f>
        <v>26.78430754687254</v>
      </c>
      <c r="H67" s="112" t="e">
        <f t="shared" ref="H67:I67" si="243">H27/H57</f>
        <v>#DIV/0!</v>
      </c>
      <c r="I67" s="112" t="e">
        <f t="shared" si="243"/>
        <v>#DIV/0!</v>
      </c>
      <c r="J67" s="112" t="e">
        <f t="shared" ref="J67:S67" si="244">J27/J57</f>
        <v>#DIV/0!</v>
      </c>
      <c r="K67" s="112" t="e">
        <f t="shared" si="244"/>
        <v>#DIV/0!</v>
      </c>
      <c r="L67" s="112" t="e">
        <f t="shared" si="244"/>
        <v>#DIV/0!</v>
      </c>
      <c r="M67" s="112" t="e">
        <f t="shared" si="244"/>
        <v>#DIV/0!</v>
      </c>
      <c r="N67" s="112" t="e">
        <f t="shared" si="244"/>
        <v>#DIV/0!</v>
      </c>
      <c r="O67" s="112">
        <f t="shared" si="244"/>
        <v>26.78430754687254</v>
      </c>
      <c r="P67" s="112">
        <f t="shared" si="244"/>
        <v>22.183708838821492</v>
      </c>
      <c r="Q67" s="112">
        <f t="shared" si="244"/>
        <v>23.966942148760332</v>
      </c>
      <c r="R67" s="112">
        <f t="shared" si="244"/>
        <v>10.751488095238095</v>
      </c>
      <c r="S67" s="112">
        <f t="shared" si="244"/>
        <v>15.005557613931087</v>
      </c>
      <c r="T67" s="112">
        <f t="shared" ref="T67:U67" si="245">T27/T57</f>
        <v>20.130254588513914</v>
      </c>
      <c r="U67" s="112">
        <f t="shared" si="245"/>
        <v>28.584018801410107</v>
      </c>
      <c r="V67" s="101">
        <f t="shared" si="238"/>
        <v>-2.0192788158928776E-2</v>
      </c>
      <c r="W67" s="110"/>
      <c r="X67" s="135">
        <f t="shared" ref="X67:AG67" si="246">X27/X57</f>
        <v>22.695875271363722</v>
      </c>
      <c r="Y67" s="135">
        <f t="shared" si="246"/>
        <v>25.588486825557133</v>
      </c>
      <c r="Z67" s="135">
        <f t="shared" si="246"/>
        <v>28.849764558226177</v>
      </c>
      <c r="AA67" s="135">
        <f t="shared" si="246"/>
        <v>32.526695335254999</v>
      </c>
      <c r="AB67" s="135">
        <f t="shared" si="246"/>
        <v>36.672254544650251</v>
      </c>
      <c r="AC67" s="135">
        <f t="shared" si="246"/>
        <v>41.346169339556646</v>
      </c>
      <c r="AD67" s="135">
        <f t="shared" si="246"/>
        <v>46.615779157343269</v>
      </c>
      <c r="AE67" s="135">
        <f t="shared" si="246"/>
        <v>52.55700591269094</v>
      </c>
      <c r="AF67" s="135">
        <f t="shared" si="246"/>
        <v>59.25544784273977</v>
      </c>
      <c r="AG67" s="135">
        <f t="shared" si="246"/>
        <v>66.807612763873252</v>
      </c>
      <c r="AH67" s="116" t="e">
        <f t="shared" ref="AH67" si="247">((AG67/J67)^(1/($AG$3-$K$1) ))-1</f>
        <v>#DIV/0!</v>
      </c>
      <c r="AI67" s="21">
        <f t="shared" si="18"/>
        <v>0.05</v>
      </c>
      <c r="AJ67" s="124">
        <f t="shared" si="241"/>
        <v>701.47993402066925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248">G53-G55</f>
        <v>14.79</v>
      </c>
      <c r="H68" s="112">
        <f t="shared" ref="H68:I68" si="249">H53-H55</f>
        <v>0</v>
      </c>
      <c r="I68" s="112">
        <f t="shared" si="249"/>
        <v>0</v>
      </c>
      <c r="J68" s="112">
        <f>J53-J55</f>
        <v>0</v>
      </c>
      <c r="K68" s="112">
        <f t="shared" ref="K68:S68" si="250">K53-K55</f>
        <v>0</v>
      </c>
      <c r="L68" s="112">
        <f t="shared" si="250"/>
        <v>0</v>
      </c>
      <c r="M68" s="112">
        <f t="shared" si="250"/>
        <v>0</v>
      </c>
      <c r="N68" s="112">
        <f t="shared" si="250"/>
        <v>0</v>
      </c>
      <c r="O68" s="112">
        <f t="shared" si="250"/>
        <v>14.79</v>
      </c>
      <c r="P68" s="112">
        <f t="shared" si="250"/>
        <v>7.9600000000000009</v>
      </c>
      <c r="Q68" s="112">
        <f t="shared" si="250"/>
        <v>40</v>
      </c>
      <c r="R68" s="112">
        <f t="shared" si="250"/>
        <v>56</v>
      </c>
      <c r="S68" s="112">
        <f t="shared" si="250"/>
        <v>93</v>
      </c>
      <c r="T68" s="112">
        <f t="shared" ref="T68:U68" si="251">T53-T55</f>
        <v>93</v>
      </c>
      <c r="U68" s="112">
        <f t="shared" si="251"/>
        <v>20</v>
      </c>
      <c r="V68" s="101">
        <f t="shared" si="238"/>
        <v>0.14034633107722772</v>
      </c>
      <c r="W68" s="110"/>
      <c r="X68" s="112">
        <f t="shared" ref="X68:AG68" si="252">X53-X55</f>
        <v>106.94999999999996</v>
      </c>
      <c r="Y68" s="112">
        <f t="shared" si="252"/>
        <v>122.99249999999995</v>
      </c>
      <c r="Z68" s="112">
        <f t="shared" si="252"/>
        <v>141.44137499999991</v>
      </c>
      <c r="AA68" s="112">
        <f t="shared" si="252"/>
        <v>162.65758124999991</v>
      </c>
      <c r="AB68" s="112">
        <f t="shared" si="252"/>
        <v>187.05621843749987</v>
      </c>
      <c r="AC68" s="112">
        <f t="shared" si="252"/>
        <v>215.11465120312477</v>
      </c>
      <c r="AD68" s="112">
        <f t="shared" si="252"/>
        <v>247.38184888359353</v>
      </c>
      <c r="AE68" s="112">
        <f t="shared" si="252"/>
        <v>284.48912621613249</v>
      </c>
      <c r="AF68" s="112">
        <f t="shared" si="252"/>
        <v>327.16249514855235</v>
      </c>
      <c r="AG68" s="112">
        <f t="shared" si="252"/>
        <v>376.23686942083509</v>
      </c>
      <c r="AH68" s="116" t="e">
        <f t="shared" ref="AH68" si="253">((AG68/J68)^(1/($AG$3-$K$1) ))-1</f>
        <v>#DIV/0!</v>
      </c>
      <c r="AI68" s="21">
        <f t="shared" si="18"/>
        <v>0.05</v>
      </c>
      <c r="AJ68" s="124">
        <f t="shared" ref="AJ68" si="254">(AG68*(1+AI68))/($C$1-AI68)</f>
        <v>3950.4871289187686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255">G51/G57</f>
        <v>18.197573656845755</v>
      </c>
      <c r="H70" s="15" t="e">
        <f t="shared" ref="H70:I70" si="256">H51/H57</f>
        <v>#DIV/0!</v>
      </c>
      <c r="I70" s="15" t="e">
        <f t="shared" si="256"/>
        <v>#DIV/0!</v>
      </c>
      <c r="J70" s="15" t="e">
        <f t="shared" ref="J70:S70" si="257">J51/J57</f>
        <v>#DIV/0!</v>
      </c>
      <c r="K70" s="15" t="e">
        <f t="shared" si="257"/>
        <v>#DIV/0!</v>
      </c>
      <c r="L70" s="15" t="e">
        <f t="shared" si="257"/>
        <v>#DIV/0!</v>
      </c>
      <c r="M70" s="15" t="e">
        <f t="shared" si="257"/>
        <v>#DIV/0!</v>
      </c>
      <c r="N70" s="15" t="e">
        <f t="shared" si="257"/>
        <v>#DIV/0!</v>
      </c>
      <c r="O70" s="15">
        <f t="shared" si="257"/>
        <v>18.197573656845755</v>
      </c>
      <c r="P70" s="15">
        <f t="shared" si="257"/>
        <v>26.689774696707108</v>
      </c>
      <c r="Q70" s="15">
        <f t="shared" si="257"/>
        <v>42.424242424242422</v>
      </c>
      <c r="R70" s="15">
        <f t="shared" si="257"/>
        <v>17.299107142857142</v>
      </c>
      <c r="S70" s="15">
        <f t="shared" si="257"/>
        <v>26.157836235642833</v>
      </c>
      <c r="T70" s="15">
        <f>T51/T57</f>
        <v>25.873297809354646</v>
      </c>
      <c r="U70" s="15">
        <f>U51/U57</f>
        <v>23.854289071680377</v>
      </c>
      <c r="V70" s="101">
        <f t="shared" si="238"/>
        <v>2.5455978809305613E-2</v>
      </c>
      <c r="W70" s="110"/>
      <c r="X70" s="96">
        <f>X51/X57</f>
        <v>29.170874981135135</v>
      </c>
      <c r="Y70" s="96">
        <f t="shared" ref="Y70:AG70" si="258">Y51/Y57</f>
        <v>32.888731596377845</v>
      </c>
      <c r="Z70" s="96">
        <f t="shared" si="258"/>
        <v>37.080432682190704</v>
      </c>
      <c r="AA70" s="96">
        <f t="shared" si="258"/>
        <v>41.806370180901283</v>
      </c>
      <c r="AB70" s="96">
        <f t="shared" si="258"/>
        <v>47.134633047094582</v>
      </c>
      <c r="AC70" s="96">
        <f t="shared" si="258"/>
        <v>53.141988239371337</v>
      </c>
      <c r="AD70" s="96">
        <f t="shared" si="258"/>
        <v>59.914986740467675</v>
      </c>
      <c r="AE70" s="96">
        <f t="shared" si="258"/>
        <v>67.551210540723346</v>
      </c>
      <c r="AF70" s="96">
        <f t="shared" si="258"/>
        <v>76.160678550815533</v>
      </c>
      <c r="AG70" s="96">
        <f t="shared" si="258"/>
        <v>85.867431699448872</v>
      </c>
      <c r="AH70" s="116" t="e">
        <f t="shared" ref="AH70:AH71" si="259">((AG70/J70)^(1/($AG$3-$K$1) ))-1</f>
        <v>#DIV/0!</v>
      </c>
      <c r="AI70" s="21">
        <f t="shared" si="18"/>
        <v>0.05</v>
      </c>
      <c r="AJ70" s="124">
        <f t="shared" ref="AJ70:AJ71" si="260">(AG70*(1+AI70))/($C$1-AI70)</f>
        <v>901.60803284421331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261">G53/G57</f>
        <v>2.2507821467960119</v>
      </c>
      <c r="H71" s="15" t="e">
        <f t="shared" ref="H71:I71" si="262">H53/H57</f>
        <v>#DIV/0!</v>
      </c>
      <c r="I71" s="15" t="e">
        <f t="shared" si="262"/>
        <v>#DIV/0!</v>
      </c>
      <c r="J71" s="15" t="e">
        <f t="shared" ref="J71:S71" si="263">J53/J57</f>
        <v>#DIV/0!</v>
      </c>
      <c r="K71" s="15" t="e">
        <f t="shared" si="263"/>
        <v>#DIV/0!</v>
      </c>
      <c r="L71" s="15" t="e">
        <f t="shared" si="263"/>
        <v>#DIV/0!</v>
      </c>
      <c r="M71" s="15" t="e">
        <f t="shared" si="263"/>
        <v>#DIV/0!</v>
      </c>
      <c r="N71" s="15" t="e">
        <f t="shared" si="263"/>
        <v>#DIV/0!</v>
      </c>
      <c r="O71" s="15">
        <f t="shared" si="263"/>
        <v>2.2507821467960119</v>
      </c>
      <c r="P71" s="15">
        <f t="shared" si="263"/>
        <v>7.0450606585788567</v>
      </c>
      <c r="Q71" s="15">
        <f t="shared" si="263"/>
        <v>15.702479338842975</v>
      </c>
      <c r="R71" s="15">
        <f t="shared" si="263"/>
        <v>6.0639880952380958</v>
      </c>
      <c r="S71" s="15">
        <f t="shared" si="263"/>
        <v>9.6331974805483522</v>
      </c>
      <c r="T71" s="15">
        <f>T53/T57</f>
        <v>7.4600355239786857</v>
      </c>
      <c r="U71" s="15">
        <f>U53/U57</f>
        <v>1.4982373678025853</v>
      </c>
      <c r="V71" s="101">
        <f t="shared" si="238"/>
        <v>8.9361342235890762E-2</v>
      </c>
      <c r="W71" s="110"/>
      <c r="X71" s="96">
        <f>X53/X57</f>
        <v>8.4108243652700843</v>
      </c>
      <c r="Y71" s="96">
        <f t="shared" ref="Y71:AG71" si="264">Y53/Y57</f>
        <v>9.4827921765299958</v>
      </c>
      <c r="Z71" s="96">
        <f t="shared" si="264"/>
        <v>10.691383336283819</v>
      </c>
      <c r="AA71" s="96">
        <f t="shared" si="264"/>
        <v>12.054010624241558</v>
      </c>
      <c r="AB71" s="96">
        <f t="shared" si="264"/>
        <v>13.590306095958619</v>
      </c>
      <c r="AC71" s="96">
        <f t="shared" si="264"/>
        <v>15.322403931718046</v>
      </c>
      <c r="AD71" s="96">
        <f t="shared" si="264"/>
        <v>17.275259334780149</v>
      </c>
      <c r="AE71" s="96">
        <f t="shared" si="264"/>
        <v>19.477008073526633</v>
      </c>
      <c r="AF71" s="96">
        <f t="shared" si="264"/>
        <v>21.959371847603556</v>
      </c>
      <c r="AG71" s="96">
        <f t="shared" si="264"/>
        <v>24.758115318376554</v>
      </c>
      <c r="AH71" s="116" t="e">
        <f t="shared" si="259"/>
        <v>#DIV/0!</v>
      </c>
      <c r="AI71" s="21">
        <f t="shared" si="18"/>
        <v>0.05</v>
      </c>
      <c r="AJ71" s="124">
        <f t="shared" si="260"/>
        <v>259.96021084295387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65">G55/G57</f>
        <v>-1.0781246483152895</v>
      </c>
      <c r="H72" s="112" t="e">
        <f t="shared" ref="H72:I72" si="266">H55/H57</f>
        <v>#DIV/0!</v>
      </c>
      <c r="I72" s="112" t="e">
        <f t="shared" si="266"/>
        <v>#DIV/0!</v>
      </c>
      <c r="J72" s="112" t="e">
        <f t="shared" ref="J72:S72" si="267">J55/J57</f>
        <v>#DIV/0!</v>
      </c>
      <c r="K72" s="112" t="e">
        <f t="shared" si="267"/>
        <v>#DIV/0!</v>
      </c>
      <c r="L72" s="112" t="e">
        <f t="shared" si="267"/>
        <v>#DIV/0!</v>
      </c>
      <c r="M72" s="112" t="e">
        <f t="shared" si="267"/>
        <v>#DIV/0!</v>
      </c>
      <c r="N72" s="112" t="e">
        <f t="shared" si="267"/>
        <v>#DIV/0!</v>
      </c>
      <c r="O72" s="112">
        <f t="shared" si="267"/>
        <v>-1.0781246483152895</v>
      </c>
      <c r="P72" s="112">
        <f t="shared" si="267"/>
        <v>5.6655112651646444</v>
      </c>
      <c r="Q72" s="112">
        <f t="shared" si="267"/>
        <v>10.192837465564738</v>
      </c>
      <c r="R72" s="112">
        <f t="shared" si="267"/>
        <v>3.9806547619047619</v>
      </c>
      <c r="S72" s="112">
        <f t="shared" si="267"/>
        <v>6.1874768432752871</v>
      </c>
      <c r="T72" s="112">
        <f t="shared" ref="T72:U72" si="268">T55/T57</f>
        <v>4.7069271758436946</v>
      </c>
      <c r="U72" s="112">
        <f t="shared" si="268"/>
        <v>0.91069330199764986</v>
      </c>
      <c r="V72" s="101" t="e">
        <f t="shared" si="238"/>
        <v>#NUM!</v>
      </c>
      <c r="W72" s="110"/>
      <c r="X72" s="135">
        <f t="shared" ref="X72:AG72" si="269">X55/X57</f>
        <v>5.306829659039459</v>
      </c>
      <c r="Y72" s="135">
        <f t="shared" si="269"/>
        <v>5.9831903018582127</v>
      </c>
      <c r="Z72" s="135">
        <f t="shared" si="269"/>
        <v>6.7457537717028861</v>
      </c>
      <c r="AA72" s="135">
        <f t="shared" si="269"/>
        <v>7.6055067033905077</v>
      </c>
      <c r="AB72" s="135">
        <f t="shared" si="269"/>
        <v>8.5748359891167478</v>
      </c>
      <c r="AC72" s="135">
        <f t="shared" si="269"/>
        <v>9.6677072426316268</v>
      </c>
      <c r="AD72" s="135">
        <f t="shared" si="269"/>
        <v>10.899866008849381</v>
      </c>
      <c r="AE72" s="135">
        <f t="shared" si="269"/>
        <v>12.28906461782038</v>
      </c>
      <c r="AF72" s="135">
        <f t="shared" si="269"/>
        <v>13.855317951464151</v>
      </c>
      <c r="AG72" s="135">
        <f t="shared" si="269"/>
        <v>15.621191808023307</v>
      </c>
      <c r="AH72" s="116" t="e">
        <f t="shared" ref="AH72:AH86" si="270">((AG72/J72)^(1/($AG$3-$K$1) ))-1</f>
        <v>#DIV/0!</v>
      </c>
      <c r="AI72" s="21">
        <f t="shared" si="18"/>
        <v>0.05</v>
      </c>
      <c r="AJ72" s="124">
        <f t="shared" ref="AJ72:AJ100" si="271">(AG72*(1+AI72))/($C$1-AI72)</f>
        <v>164.02251398424474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72">G20/G57</f>
        <v>0</v>
      </c>
      <c r="H73" s="112" t="e">
        <f t="shared" ref="H73:I73" si="273">H20/H57</f>
        <v>#DIV/0!</v>
      </c>
      <c r="I73" s="112" t="e">
        <f t="shared" si="273"/>
        <v>#DIV/0!</v>
      </c>
      <c r="J73" s="112" t="e">
        <f>J20/J57</f>
        <v>#DIV/0!</v>
      </c>
      <c r="K73" s="112" t="e">
        <f t="shared" ref="K73:S73" si="274">K20/K57</f>
        <v>#DIV/0!</v>
      </c>
      <c r="L73" s="112" t="e">
        <f t="shared" si="274"/>
        <v>#DIV/0!</v>
      </c>
      <c r="M73" s="112" t="e">
        <f t="shared" si="274"/>
        <v>#DIV/0!</v>
      </c>
      <c r="N73" s="112" t="e">
        <f t="shared" si="274"/>
        <v>#DIV/0!</v>
      </c>
      <c r="O73" s="112">
        <f t="shared" si="274"/>
        <v>0</v>
      </c>
      <c r="P73" s="112">
        <f t="shared" si="274"/>
        <v>0</v>
      </c>
      <c r="Q73" s="112">
        <f t="shared" si="274"/>
        <v>0</v>
      </c>
      <c r="R73" s="112">
        <f t="shared" si="274"/>
        <v>0</v>
      </c>
      <c r="S73" s="112">
        <f t="shared" si="274"/>
        <v>0</v>
      </c>
      <c r="T73" s="112">
        <f t="shared" ref="T73:U73" si="275">T20/T57</f>
        <v>0</v>
      </c>
      <c r="U73" s="112">
        <f t="shared" si="275"/>
        <v>0</v>
      </c>
      <c r="V73" s="110"/>
      <c r="W73" s="110"/>
      <c r="X73" s="112">
        <f t="shared" ref="X73:AG73" si="276">X20/X57</f>
        <v>0</v>
      </c>
      <c r="Y73" s="112">
        <f t="shared" si="276"/>
        <v>0</v>
      </c>
      <c r="Z73" s="112">
        <f t="shared" si="276"/>
        <v>0</v>
      </c>
      <c r="AA73" s="112">
        <f t="shared" si="276"/>
        <v>0</v>
      </c>
      <c r="AB73" s="112">
        <f t="shared" si="276"/>
        <v>0</v>
      </c>
      <c r="AC73" s="112">
        <f t="shared" si="276"/>
        <v>0</v>
      </c>
      <c r="AD73" s="112">
        <f t="shared" si="276"/>
        <v>0</v>
      </c>
      <c r="AE73" s="112">
        <f t="shared" si="276"/>
        <v>0</v>
      </c>
      <c r="AF73" s="112">
        <f t="shared" si="276"/>
        <v>0</v>
      </c>
      <c r="AG73" s="112">
        <f t="shared" si="276"/>
        <v>0</v>
      </c>
      <c r="AH73" s="116" t="e">
        <f t="shared" ref="AH73" si="277">((AG73/J73)^(1/($AG$3-$K$1) ))-1</f>
        <v>#DIV/0!</v>
      </c>
      <c r="AI73" s="21">
        <f t="shared" si="18"/>
        <v>0.05</v>
      </c>
      <c r="AJ73" s="124">
        <f t="shared" si="271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78">G7/G57</f>
        <v>67.973620833239551</v>
      </c>
      <c r="H74" s="112" t="e">
        <f t="shared" ref="H74:I74" si="279">H7/H57</f>
        <v>#DIV/0!</v>
      </c>
      <c r="I74" s="112" t="e">
        <f t="shared" si="279"/>
        <v>#DIV/0!</v>
      </c>
      <c r="J74" s="112" t="e">
        <f t="shared" ref="J74:S74" si="280">J7/J57</f>
        <v>#DIV/0!</v>
      </c>
      <c r="K74" s="112" t="e">
        <f t="shared" si="280"/>
        <v>#DIV/0!</v>
      </c>
      <c r="L74" s="112" t="e">
        <f t="shared" si="280"/>
        <v>#DIV/0!</v>
      </c>
      <c r="M74" s="112" t="e">
        <f t="shared" si="280"/>
        <v>#DIV/0!</v>
      </c>
      <c r="N74" s="112" t="e">
        <f t="shared" si="280"/>
        <v>#DIV/0!</v>
      </c>
      <c r="O74" s="112">
        <f t="shared" si="280"/>
        <v>67.973620833239551</v>
      </c>
      <c r="P74" s="112">
        <f t="shared" si="280"/>
        <v>81.802426343154252</v>
      </c>
      <c r="Q74" s="112">
        <f t="shared" si="280"/>
        <v>102.2038567493113</v>
      </c>
      <c r="R74" s="112">
        <f t="shared" si="280"/>
        <v>43.526785714285715</v>
      </c>
      <c r="S74" s="112">
        <f t="shared" si="280"/>
        <v>49.685068543905153</v>
      </c>
      <c r="T74" s="112">
        <f t="shared" ref="T74:U74" si="281">T7/T57</f>
        <v>66.015393724097095</v>
      </c>
      <c r="U74" s="112">
        <f t="shared" si="281"/>
        <v>66.891891891891888</v>
      </c>
      <c r="V74" s="101">
        <f t="shared" si="238"/>
        <v>-2.0858036758679699E-3</v>
      </c>
      <c r="W74" s="110"/>
      <c r="X74" s="135">
        <f t="shared" ref="X74:AG74" si="282">X7/X57</f>
        <v>74.429120375207503</v>
      </c>
      <c r="Y74" s="135">
        <f t="shared" si="282"/>
        <v>83.915184736753545</v>
      </c>
      <c r="Z74" s="135">
        <f t="shared" si="282"/>
        <v>94.610257301241745</v>
      </c>
      <c r="AA74" s="135">
        <f t="shared" si="282"/>
        <v>106.6684273494392</v>
      </c>
      <c r="AB74" s="135">
        <f t="shared" si="282"/>
        <v>120.26342299201478</v>
      </c>
      <c r="AC74" s="135">
        <f t="shared" si="282"/>
        <v>135.5911141576637</v>
      </c>
      <c r="AD74" s="135">
        <f t="shared" si="282"/>
        <v>152.87233458952278</v>
      </c>
      <c r="AE74" s="135">
        <f t="shared" si="282"/>
        <v>172.35606350779528</v>
      </c>
      <c r="AF74" s="135">
        <f t="shared" si="282"/>
        <v>194.32301277839662</v>
      </c>
      <c r="AG74" s="135">
        <f t="shared" si="282"/>
        <v>219.08967126976086</v>
      </c>
      <c r="AH74" s="116" t="e">
        <f t="shared" si="270"/>
        <v>#DIV/0!</v>
      </c>
      <c r="AI74" s="21">
        <f t="shared" si="18"/>
        <v>0.05</v>
      </c>
      <c r="AJ74" s="124">
        <f t="shared" si="271"/>
        <v>2300.4415483324892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83">G6/G57</f>
        <v>57.8451011726575</v>
      </c>
      <c r="H75" s="122" t="e">
        <f t="shared" ref="H75:I75" si="284">H6/H57</f>
        <v>#DIV/0!</v>
      </c>
      <c r="I75" s="122" t="e">
        <f t="shared" si="284"/>
        <v>#DIV/0!</v>
      </c>
      <c r="J75" s="122" t="e">
        <f t="shared" ref="J75:S75" si="285">J6/J57</f>
        <v>#DIV/0!</v>
      </c>
      <c r="K75" s="122" t="e">
        <f t="shared" si="285"/>
        <v>#DIV/0!</v>
      </c>
      <c r="L75" s="122" t="e">
        <f t="shared" si="285"/>
        <v>#DIV/0!</v>
      </c>
      <c r="M75" s="122" t="e">
        <f t="shared" si="285"/>
        <v>#DIV/0!</v>
      </c>
      <c r="N75" s="122" t="e">
        <f t="shared" si="285"/>
        <v>#DIV/0!</v>
      </c>
      <c r="O75" s="122">
        <f t="shared" si="285"/>
        <v>57.8451011726575</v>
      </c>
      <c r="P75" s="122">
        <f t="shared" si="285"/>
        <v>71.750433275563267</v>
      </c>
      <c r="Q75" s="122">
        <f t="shared" si="285"/>
        <v>92.148760330578511</v>
      </c>
      <c r="R75" s="122">
        <f t="shared" si="285"/>
        <v>33.519345238095241</v>
      </c>
      <c r="S75" s="122">
        <f t="shared" si="285"/>
        <v>39.681363467951094</v>
      </c>
      <c r="T75" s="122">
        <f t="shared" ref="T75:U75" si="286">T6/T57</f>
        <v>56.009473060982828</v>
      </c>
      <c r="U75" s="122">
        <f t="shared" si="286"/>
        <v>56.844888366627501</v>
      </c>
      <c r="V75" s="101">
        <f t="shared" si="238"/>
        <v>-2.3007727468558059E-3</v>
      </c>
      <c r="W75" s="110"/>
      <c r="X75" s="134">
        <f t="shared" ref="X75:AG75" si="287">X6/X57</f>
        <v>63.147935313853175</v>
      </c>
      <c r="Y75" s="134">
        <f t="shared" si="287"/>
        <v>71.196201579344262</v>
      </c>
      <c r="Z75" s="134">
        <f t="shared" si="287"/>
        <v>80.270227270829309</v>
      </c>
      <c r="AA75" s="134">
        <f t="shared" si="287"/>
        <v>90.500746432797754</v>
      </c>
      <c r="AB75" s="134">
        <f t="shared" si="287"/>
        <v>102.0351552918798</v>
      </c>
      <c r="AC75" s="134">
        <f t="shared" si="287"/>
        <v>115.03963586829585</v>
      </c>
      <c r="AD75" s="134">
        <f t="shared" si="287"/>
        <v>129.70155024366687</v>
      </c>
      <c r="AE75" s="134">
        <f t="shared" si="287"/>
        <v>146.23213998060479</v>
      </c>
      <c r="AF75" s="134">
        <f t="shared" si="287"/>
        <v>164.86956958597597</v>
      </c>
      <c r="AG75" s="134">
        <f t="shared" si="287"/>
        <v>185.8823578665415</v>
      </c>
      <c r="AH75" s="116" t="e">
        <f t="shared" si="270"/>
        <v>#DIV/0!</v>
      </c>
      <c r="AI75" s="21">
        <f t="shared" si="18"/>
        <v>0.05</v>
      </c>
      <c r="AJ75" s="124">
        <f t="shared" si="271"/>
        <v>1951.7647575986857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88">G10/G57</f>
        <v>80.578000855297219</v>
      </c>
      <c r="H76" s="122" t="e">
        <f t="shared" ref="H76:I76" si="289">H10/H57</f>
        <v>#DIV/0!</v>
      </c>
      <c r="I76" s="122" t="e">
        <f t="shared" si="289"/>
        <v>#DIV/0!</v>
      </c>
      <c r="J76" s="122" t="e">
        <f t="shared" ref="J76:S76" si="290">J10/J57</f>
        <v>#DIV/0!</v>
      </c>
      <c r="K76" s="122" t="e">
        <f t="shared" si="290"/>
        <v>#DIV/0!</v>
      </c>
      <c r="L76" s="122" t="e">
        <f t="shared" si="290"/>
        <v>#DIV/0!</v>
      </c>
      <c r="M76" s="122" t="e">
        <f t="shared" si="290"/>
        <v>#DIV/0!</v>
      </c>
      <c r="N76" s="122" t="e">
        <f t="shared" si="290"/>
        <v>#DIV/0!</v>
      </c>
      <c r="O76" s="122">
        <f t="shared" si="290"/>
        <v>80.578000855297219</v>
      </c>
      <c r="P76" s="122">
        <f t="shared" si="290"/>
        <v>146.44714038128251</v>
      </c>
      <c r="Q76" s="122">
        <f t="shared" si="290"/>
        <v>144.90358126721765</v>
      </c>
      <c r="R76" s="122">
        <f t="shared" si="290"/>
        <v>69.754464285714292</v>
      </c>
      <c r="S76" s="122">
        <f t="shared" si="290"/>
        <v>105.33530937384216</v>
      </c>
      <c r="T76" s="122">
        <f t="shared" ref="T76:U76" si="291">T10/T57</f>
        <v>193.66489046773239</v>
      </c>
      <c r="U76" s="122">
        <f t="shared" si="291"/>
        <v>290.42303172737957</v>
      </c>
      <c r="V76" s="101">
        <f t="shared" si="238"/>
        <v>6.4639211621590809E-2</v>
      </c>
      <c r="W76" s="110"/>
      <c r="X76" s="134">
        <f t="shared" ref="X76:AG76" si="292">X10/X57</f>
        <v>218.3476706253845</v>
      </c>
      <c r="Y76" s="134">
        <f t="shared" si="292"/>
        <v>246.17629531293349</v>
      </c>
      <c r="Z76" s="134">
        <f t="shared" si="292"/>
        <v>277.55170549987599</v>
      </c>
      <c r="AA76" s="134">
        <f t="shared" si="292"/>
        <v>312.92594247535033</v>
      </c>
      <c r="AB76" s="134">
        <f t="shared" si="292"/>
        <v>352.80866063397337</v>
      </c>
      <c r="AC76" s="134">
        <f t="shared" si="292"/>
        <v>397.77447032261699</v>
      </c>
      <c r="AD76" s="134">
        <f t="shared" si="292"/>
        <v>448.47121654020538</v>
      </c>
      <c r="AE76" s="134">
        <f t="shared" si="292"/>
        <v>505.62931276591775</v>
      </c>
      <c r="AF76" s="134">
        <f t="shared" si="292"/>
        <v>570.07226439294641</v>
      </c>
      <c r="AG76" s="134">
        <f t="shared" si="292"/>
        <v>642.72853338420418</v>
      </c>
      <c r="AH76" s="116" t="e">
        <f t="shared" si="270"/>
        <v>#DIV/0!</v>
      </c>
      <c r="AI76" s="21">
        <f t="shared" si="18"/>
        <v>0.05</v>
      </c>
      <c r="AJ76" s="124">
        <f t="shared" si="271"/>
        <v>6748.6496005341442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93">(G7-G10)/G57</f>
        <v>-12.604380022057665</v>
      </c>
      <c r="H78" s="122" t="e">
        <f t="shared" ref="H78:I78" si="294">(H7-H10)/H57</f>
        <v>#DIV/0!</v>
      </c>
      <c r="I78" s="122" t="e">
        <f t="shared" si="294"/>
        <v>#DIV/0!</v>
      </c>
      <c r="J78" s="122" t="e">
        <f t="shared" ref="J78:S78" si="295">(J7-J10)/J57</f>
        <v>#DIV/0!</v>
      </c>
      <c r="K78" s="122" t="e">
        <f t="shared" si="295"/>
        <v>#DIV/0!</v>
      </c>
      <c r="L78" s="122" t="e">
        <f t="shared" si="295"/>
        <v>#DIV/0!</v>
      </c>
      <c r="M78" s="122" t="e">
        <f t="shared" si="295"/>
        <v>#DIV/0!</v>
      </c>
      <c r="N78" s="122" t="e">
        <f t="shared" si="295"/>
        <v>#DIV/0!</v>
      </c>
      <c r="O78" s="122">
        <f t="shared" si="295"/>
        <v>-12.604380022057665</v>
      </c>
      <c r="P78" s="122">
        <f t="shared" si="295"/>
        <v>-64.644714038128257</v>
      </c>
      <c r="Q78" s="122">
        <f t="shared" si="295"/>
        <v>-42.69972451790634</v>
      </c>
      <c r="R78" s="122">
        <f t="shared" si="295"/>
        <v>-26.227678571428573</v>
      </c>
      <c r="S78" s="122">
        <f t="shared" si="295"/>
        <v>-55.650240829937019</v>
      </c>
      <c r="T78" s="122">
        <f t="shared" ref="T78:U78" si="296">(T7-T10)/T57</f>
        <v>-127.64949674363528</v>
      </c>
      <c r="U78" s="122">
        <f t="shared" si="296"/>
        <v>-223.53113983548766</v>
      </c>
      <c r="V78" s="101">
        <f t="shared" si="238"/>
        <v>0.17983495383246795</v>
      </c>
      <c r="W78" s="110"/>
      <c r="X78" s="134">
        <f t="shared" ref="X78:AG78" si="297">(X7-X10)/X57</f>
        <v>-143.91855025017699</v>
      </c>
      <c r="Y78" s="134">
        <f t="shared" si="297"/>
        <v>-162.26111057617993</v>
      </c>
      <c r="Z78" s="134">
        <f t="shared" si="297"/>
        <v>-182.94144819863422</v>
      </c>
      <c r="AA78" s="134">
        <f t="shared" si="297"/>
        <v>-206.25751512591114</v>
      </c>
      <c r="AB78" s="134">
        <f t="shared" si="297"/>
        <v>-232.54523764195858</v>
      </c>
      <c r="AC78" s="134">
        <f t="shared" si="297"/>
        <v>-262.1833561649533</v>
      </c>
      <c r="AD78" s="134">
        <f t="shared" si="297"/>
        <v>-295.5988819506826</v>
      </c>
      <c r="AE78" s="134">
        <f t="shared" si="297"/>
        <v>-333.27324925812246</v>
      </c>
      <c r="AF78" s="134">
        <f t="shared" si="297"/>
        <v>-375.74925161454973</v>
      </c>
      <c r="AG78" s="134">
        <f t="shared" si="297"/>
        <v>-423.63886211444327</v>
      </c>
      <c r="AH78" s="116" t="e">
        <f t="shared" si="270"/>
        <v>#DIV/0!</v>
      </c>
      <c r="AI78" s="21">
        <f t="shared" si="18"/>
        <v>0.05</v>
      </c>
      <c r="AJ78" s="124">
        <f t="shared" si="271"/>
        <v>-4448.2080522016549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98">(G7-G10-G9)/G57</f>
        <v>-72.475185126831576</v>
      </c>
      <c r="H79" s="122" t="e">
        <f t="shared" ref="H79:I79" si="299">(H7-H10-H9)/H57</f>
        <v>#DIV/0!</v>
      </c>
      <c r="I79" s="122" t="e">
        <f t="shared" si="299"/>
        <v>#DIV/0!</v>
      </c>
      <c r="J79" s="122" t="e">
        <f t="shared" ref="J79:S79" si="300">(J7-J10-J9)/J57</f>
        <v>#DIV/0!</v>
      </c>
      <c r="K79" s="122" t="e">
        <f t="shared" si="300"/>
        <v>#DIV/0!</v>
      </c>
      <c r="L79" s="122" t="e">
        <f t="shared" si="300"/>
        <v>#DIV/0!</v>
      </c>
      <c r="M79" s="122" t="e">
        <f t="shared" si="300"/>
        <v>#DIV/0!</v>
      </c>
      <c r="N79" s="122" t="e">
        <f t="shared" si="300"/>
        <v>#DIV/0!</v>
      </c>
      <c r="O79" s="122">
        <f t="shared" si="300"/>
        <v>-72.475185126831576</v>
      </c>
      <c r="P79" s="122">
        <f t="shared" si="300"/>
        <v>-153.20623916811093</v>
      </c>
      <c r="Q79" s="122">
        <f t="shared" si="300"/>
        <v>-169.83471074380165</v>
      </c>
      <c r="R79" s="122">
        <f t="shared" si="300"/>
        <v>-77.083333333333343</v>
      </c>
      <c r="S79" s="122">
        <f t="shared" si="300"/>
        <v>-138.31048536494998</v>
      </c>
      <c r="T79" s="122">
        <f t="shared" ref="T79:U79" si="301">(T7-T10-T9)/T57</f>
        <v>-142.24393132030787</v>
      </c>
      <c r="U79" s="122">
        <f t="shared" si="301"/>
        <v>-257.49118683901293</v>
      </c>
      <c r="V79" s="101">
        <f t="shared" si="238"/>
        <v>4.9342971837599947E-2</v>
      </c>
      <c r="W79" s="110"/>
      <c r="X79" s="134">
        <f t="shared" ref="X79:AG79" si="302">(X7-X10-X9)/X57</f>
        <v>-160.37305982191569</v>
      </c>
      <c r="Y79" s="134">
        <f t="shared" si="302"/>
        <v>-180.81276352470888</v>
      </c>
      <c r="Z79" s="134">
        <f t="shared" si="302"/>
        <v>-203.85752750334822</v>
      </c>
      <c r="AA79" s="134">
        <f t="shared" si="302"/>
        <v>-229.83936924397102</v>
      </c>
      <c r="AB79" s="134">
        <f t="shared" si="302"/>
        <v>-259.13262218682996</v>
      </c>
      <c r="AC79" s="134">
        <f t="shared" si="302"/>
        <v>-292.15932893613183</v>
      </c>
      <c r="AD79" s="134">
        <f t="shared" si="302"/>
        <v>-329.39532183975643</v>
      </c>
      <c r="AE79" s="134">
        <f t="shared" si="302"/>
        <v>-371.37707854482341</v>
      </c>
      <c r="AF79" s="134">
        <f t="shared" si="302"/>
        <v>-418.7094513005361</v>
      </c>
      <c r="AG79" s="134">
        <f t="shared" si="302"/>
        <v>-472.07438136825135</v>
      </c>
      <c r="AH79" s="116" t="e">
        <f t="shared" si="270"/>
        <v>#DIV/0!</v>
      </c>
      <c r="AI79" s="21">
        <f t="shared" si="18"/>
        <v>0.05</v>
      </c>
      <c r="AJ79" s="124">
        <f t="shared" si="271"/>
        <v>-4956.7810043666395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303">(G7+G15-G10-G9)/G57</f>
        <v>137.74786738391592</v>
      </c>
      <c r="H80" s="122" t="e">
        <f t="shared" ref="H80:I80" si="304">(H7+H15-H10-H9)/H57</f>
        <v>#DIV/0!</v>
      </c>
      <c r="I80" s="122" t="e">
        <f t="shared" si="304"/>
        <v>#DIV/0!</v>
      </c>
      <c r="J80" s="122" t="e">
        <f t="shared" ref="J80:S80" si="305">(J7+J15-J10-J9)/J57</f>
        <v>#DIV/0!</v>
      </c>
      <c r="K80" s="122" t="e">
        <f t="shared" si="305"/>
        <v>#DIV/0!</v>
      </c>
      <c r="L80" s="122" t="e">
        <f t="shared" si="305"/>
        <v>#DIV/0!</v>
      </c>
      <c r="M80" s="122" t="e">
        <f t="shared" si="305"/>
        <v>#DIV/0!</v>
      </c>
      <c r="N80" s="122" t="e">
        <f t="shared" si="305"/>
        <v>#DIV/0!</v>
      </c>
      <c r="O80" s="122">
        <f t="shared" si="305"/>
        <v>137.74786738391592</v>
      </c>
      <c r="P80" s="122">
        <f t="shared" si="305"/>
        <v>48.70017331022531</v>
      </c>
      <c r="Q80" s="122">
        <f t="shared" si="305"/>
        <v>42.011019283746556</v>
      </c>
      <c r="R80" s="122">
        <f t="shared" si="305"/>
        <v>5.1339285714285712</v>
      </c>
      <c r="S80" s="122">
        <f t="shared" si="305"/>
        <v>-12.337902927010004</v>
      </c>
      <c r="T80" s="122">
        <f t="shared" ref="T80:U80" si="306">(T7+T15-T10-T9)/T57</f>
        <v>-24.71876850207223</v>
      </c>
      <c r="U80" s="122">
        <f t="shared" si="306"/>
        <v>-123.29612220916569</v>
      </c>
      <c r="V80" s="101" t="e">
        <f t="shared" si="238"/>
        <v>#NUM!</v>
      </c>
      <c r="W80" s="110"/>
      <c r="X80" s="134">
        <f t="shared" ref="X80:AG80" si="307">(X7+X15-X10-X9)/X57</f>
        <v>-27.86919978174808</v>
      </c>
      <c r="Y80" s="134">
        <f t="shared" si="307"/>
        <v>-31.421156616676726</v>
      </c>
      <c r="Z80" s="134">
        <f t="shared" si="307"/>
        <v>-35.425813832527695</v>
      </c>
      <c r="AA80" s="134">
        <f t="shared" si="307"/>
        <v>-39.940868536673349</v>
      </c>
      <c r="AB80" s="134">
        <f t="shared" si="307"/>
        <v>-45.031371389386599</v>
      </c>
      <c r="AC80" s="134">
        <f t="shared" si="307"/>
        <v>-50.770663821367272</v>
      </c>
      <c r="AD80" s="134">
        <f t="shared" si="307"/>
        <v>-57.2414347005612</v>
      </c>
      <c r="AE80" s="134">
        <f t="shared" si="307"/>
        <v>-64.536911672201214</v>
      </c>
      <c r="AF80" s="134">
        <f t="shared" si="307"/>
        <v>-72.762204336305288</v>
      </c>
      <c r="AG80" s="134">
        <f t="shared" si="307"/>
        <v>-82.035818614461817</v>
      </c>
      <c r="AH80" s="116" t="e">
        <f t="shared" si="270"/>
        <v>#DIV/0!</v>
      </c>
      <c r="AI80" s="21">
        <f t="shared" si="18"/>
        <v>0.05</v>
      </c>
      <c r="AJ80" s="124">
        <f t="shared" si="271"/>
        <v>-861.37609545184921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308">G12/G57</f>
        <v>41.639469715726214</v>
      </c>
      <c r="H82" s="122" t="e">
        <f t="shared" ref="H82:I82" si="309">H12/H57</f>
        <v>#DIV/0!</v>
      </c>
      <c r="I82" s="122" t="e">
        <f t="shared" si="309"/>
        <v>#DIV/0!</v>
      </c>
      <c r="J82" s="122" t="e">
        <f t="shared" ref="J82:S82" si="310">J12/J57</f>
        <v>#DIV/0!</v>
      </c>
      <c r="K82" s="122" t="e">
        <f t="shared" si="310"/>
        <v>#DIV/0!</v>
      </c>
      <c r="L82" s="122" t="e">
        <f t="shared" si="310"/>
        <v>#DIV/0!</v>
      </c>
      <c r="M82" s="122" t="e">
        <f t="shared" si="310"/>
        <v>#DIV/0!</v>
      </c>
      <c r="N82" s="122" t="e">
        <f t="shared" si="310"/>
        <v>#DIV/0!</v>
      </c>
      <c r="O82" s="122">
        <f t="shared" si="310"/>
        <v>41.639469715726214</v>
      </c>
      <c r="P82" s="122">
        <f t="shared" si="310"/>
        <v>77.296360485268636</v>
      </c>
      <c r="Q82" s="122">
        <f t="shared" si="310"/>
        <v>57.162534435261712</v>
      </c>
      <c r="R82" s="122">
        <f t="shared" si="310"/>
        <v>20.758928571428573</v>
      </c>
      <c r="S82" s="122">
        <f t="shared" si="310"/>
        <v>35.087069284920339</v>
      </c>
      <c r="T82" s="122">
        <f t="shared" ref="T82:U82" si="311">T12/T57</f>
        <v>31.52753108348135</v>
      </c>
      <c r="U82" s="122">
        <f t="shared" si="311"/>
        <v>35.017626321974149</v>
      </c>
      <c r="V82" s="101">
        <f t="shared" si="238"/>
        <v>-1.9674406688580337E-2</v>
      </c>
      <c r="W82" s="110"/>
      <c r="X82" s="134">
        <f t="shared" ref="X82:AG82" si="312">X12/X57</f>
        <v>35.545745829415246</v>
      </c>
      <c r="Y82" s="134">
        <f t="shared" si="312"/>
        <v>40.076085984144633</v>
      </c>
      <c r="Z82" s="134">
        <f t="shared" si="312"/>
        <v>45.18382243310424</v>
      </c>
      <c r="AA82" s="134">
        <f t="shared" si="312"/>
        <v>50.942544900068498</v>
      </c>
      <c r="AB82" s="134">
        <f t="shared" si="312"/>
        <v>57.4352221912537</v>
      </c>
      <c r="AC82" s="134">
        <f t="shared" si="312"/>
        <v>64.755397568570331</v>
      </c>
      <c r="AD82" s="134">
        <f t="shared" si="312"/>
        <v>73.008536474368512</v>
      </c>
      <c r="AE82" s="134">
        <f t="shared" si="312"/>
        <v>82.3135460250233</v>
      </c>
      <c r="AF82" s="134">
        <f t="shared" si="312"/>
        <v>92.804488165467433</v>
      </c>
      <c r="AG82" s="134">
        <f t="shared" si="312"/>
        <v>104.63251116694856</v>
      </c>
      <c r="AH82" s="116" t="e">
        <f t="shared" si="270"/>
        <v>#DIV/0!</v>
      </c>
      <c r="AI82" s="21">
        <f t="shared" si="18"/>
        <v>0.05</v>
      </c>
      <c r="AJ82" s="124">
        <f t="shared" si="271"/>
        <v>1098.64136725296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313">G13/G57</f>
        <v>4.5015642935920239E-2</v>
      </c>
      <c r="H83" s="122" t="e">
        <f t="shared" ref="H83:I83" si="314">H13/H57</f>
        <v>#DIV/0!</v>
      </c>
      <c r="I83" s="122" t="e">
        <f t="shared" si="314"/>
        <v>#DIV/0!</v>
      </c>
      <c r="J83" s="122" t="e">
        <f t="shared" ref="J83:S83" si="315">J13/J57</f>
        <v>#DIV/0!</v>
      </c>
      <c r="K83" s="122" t="e">
        <f t="shared" si="315"/>
        <v>#DIV/0!</v>
      </c>
      <c r="L83" s="122" t="e">
        <f t="shared" si="315"/>
        <v>#DIV/0!</v>
      </c>
      <c r="M83" s="122" t="e">
        <f t="shared" si="315"/>
        <v>#DIV/0!</v>
      </c>
      <c r="N83" s="122" t="e">
        <f t="shared" si="315"/>
        <v>#DIV/0!</v>
      </c>
      <c r="O83" s="122">
        <f t="shared" si="315"/>
        <v>4.5015642935920239E-2</v>
      </c>
      <c r="P83" s="122">
        <f t="shared" si="315"/>
        <v>1.3864818024263432</v>
      </c>
      <c r="Q83" s="122">
        <f t="shared" si="315"/>
        <v>0.55096418732782371</v>
      </c>
      <c r="R83" s="122">
        <f t="shared" si="315"/>
        <v>6.5476190476190474</v>
      </c>
      <c r="S83" s="122">
        <f t="shared" si="315"/>
        <v>0.44460911448684698</v>
      </c>
      <c r="T83" s="122">
        <f t="shared" ref="T83:U83" si="316">T13/T57</f>
        <v>56.098283007696857</v>
      </c>
      <c r="U83" s="122">
        <f t="shared" si="316"/>
        <v>113.27849588719154</v>
      </c>
      <c r="V83" s="101">
        <f t="shared" si="238"/>
        <v>0.66384663872766292</v>
      </c>
      <c r="W83" s="110"/>
      <c r="X83" s="134">
        <f t="shared" ref="X83:AG83" si="317">X13/X57</f>
        <v>63.248064175344496</v>
      </c>
      <c r="Y83" s="134">
        <f t="shared" si="317"/>
        <v>71.309091962398199</v>
      </c>
      <c r="Z83" s="134">
        <f t="shared" si="317"/>
        <v>80.397505643880308</v>
      </c>
      <c r="AA83" s="134">
        <f t="shared" si="317"/>
        <v>90.644246559276809</v>
      </c>
      <c r="AB83" s="134">
        <f t="shared" si="317"/>
        <v>102.19694465016502</v>
      </c>
      <c r="AC83" s="134">
        <f t="shared" si="317"/>
        <v>115.22204543891152</v>
      </c>
      <c r="AD83" s="134">
        <f t="shared" si="317"/>
        <v>129.90720809289044</v>
      </c>
      <c r="AE83" s="134">
        <f t="shared" si="317"/>
        <v>146.46400912433722</v>
      </c>
      <c r="AF83" s="134">
        <f t="shared" si="317"/>
        <v>165.13099067939979</v>
      </c>
      <c r="AG83" s="134">
        <f t="shared" si="317"/>
        <v>186.1770973346174</v>
      </c>
      <c r="AH83" s="116" t="e">
        <f t="shared" si="270"/>
        <v>#DIV/0!</v>
      </c>
      <c r="AI83" s="21">
        <f t="shared" si="18"/>
        <v>0.05</v>
      </c>
      <c r="AJ83" s="124">
        <f t="shared" si="271"/>
        <v>1954.859522013483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318">(G82+G83)</f>
        <v>41.684485358662137</v>
      </c>
      <c r="H84" s="122" t="e">
        <f t="shared" ref="H84:I84" si="319">(H82+H83)</f>
        <v>#DIV/0!</v>
      </c>
      <c r="I84" s="122" t="e">
        <f t="shared" si="319"/>
        <v>#DIV/0!</v>
      </c>
      <c r="J84" s="122" t="e">
        <f t="shared" ref="J84:S84" si="320">(J82+J83)</f>
        <v>#DIV/0!</v>
      </c>
      <c r="K84" s="122" t="e">
        <f t="shared" si="320"/>
        <v>#DIV/0!</v>
      </c>
      <c r="L84" s="122" t="e">
        <f t="shared" si="320"/>
        <v>#DIV/0!</v>
      </c>
      <c r="M84" s="122" t="e">
        <f t="shared" si="320"/>
        <v>#DIV/0!</v>
      </c>
      <c r="N84" s="122" t="e">
        <f t="shared" si="320"/>
        <v>#DIV/0!</v>
      </c>
      <c r="O84" s="122">
        <f t="shared" si="320"/>
        <v>41.684485358662137</v>
      </c>
      <c r="P84" s="122">
        <f t="shared" si="320"/>
        <v>78.682842287694982</v>
      </c>
      <c r="Q84" s="122">
        <f t="shared" si="320"/>
        <v>57.713498622589533</v>
      </c>
      <c r="R84" s="122">
        <f t="shared" ref="R84" si="321">(R82+R83)</f>
        <v>27.30654761904762</v>
      </c>
      <c r="S84" s="122">
        <f t="shared" si="320"/>
        <v>35.531678399407184</v>
      </c>
      <c r="T84" s="122">
        <f t="shared" ref="T84:U84" si="322">(T82+T83)</f>
        <v>87.625814091178199</v>
      </c>
      <c r="U84" s="122">
        <f t="shared" si="322"/>
        <v>148.29612220916567</v>
      </c>
      <c r="V84" s="101">
        <f t="shared" si="238"/>
        <v>5.4500944305043486E-2</v>
      </c>
      <c r="W84" s="110"/>
      <c r="X84" s="134">
        <f t="shared" ref="X84:AG84" si="323">(X82+X83)</f>
        <v>98.793810004759735</v>
      </c>
      <c r="Y84" s="134">
        <f t="shared" si="323"/>
        <v>111.38517794654283</v>
      </c>
      <c r="Z84" s="134">
        <f t="shared" si="323"/>
        <v>125.58132807698455</v>
      </c>
      <c r="AA84" s="134">
        <f t="shared" si="323"/>
        <v>141.58679145934531</v>
      </c>
      <c r="AB84" s="134">
        <f t="shared" si="323"/>
        <v>159.63216684141872</v>
      </c>
      <c r="AC84" s="134">
        <f t="shared" si="323"/>
        <v>179.97744300748184</v>
      </c>
      <c r="AD84" s="134">
        <f t="shared" si="323"/>
        <v>202.91574456725897</v>
      </c>
      <c r="AE84" s="134">
        <f t="shared" si="323"/>
        <v>228.77755514936052</v>
      </c>
      <c r="AF84" s="134">
        <f t="shared" si="323"/>
        <v>257.93547884486725</v>
      </c>
      <c r="AG84" s="134">
        <f t="shared" si="323"/>
        <v>290.80960850156595</v>
      </c>
      <c r="AH84" s="116" t="e">
        <f t="shared" si="270"/>
        <v>#DIV/0!</v>
      </c>
      <c r="AI84" s="21">
        <f t="shared" si="18"/>
        <v>0.05</v>
      </c>
      <c r="AJ84" s="124">
        <f t="shared" si="271"/>
        <v>3053.5008892664432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324">G15/G57</f>
        <v>210.22305251074749</v>
      </c>
      <c r="H85" s="122" t="e">
        <f t="shared" ref="H85:I85" si="325">H15/H57</f>
        <v>#DIV/0!</v>
      </c>
      <c r="I85" s="122" t="e">
        <f t="shared" si="325"/>
        <v>#DIV/0!</v>
      </c>
      <c r="J85" s="122" t="e">
        <f t="shared" ref="J85:S85" si="326">J15/J57</f>
        <v>#DIV/0!</v>
      </c>
      <c r="K85" s="122" t="e">
        <f t="shared" si="326"/>
        <v>#DIV/0!</v>
      </c>
      <c r="L85" s="122" t="e">
        <f t="shared" si="326"/>
        <v>#DIV/0!</v>
      </c>
      <c r="M85" s="122" t="e">
        <f t="shared" si="326"/>
        <v>#DIV/0!</v>
      </c>
      <c r="N85" s="122" t="e">
        <f t="shared" si="326"/>
        <v>#DIV/0!</v>
      </c>
      <c r="O85" s="122">
        <f t="shared" si="326"/>
        <v>210.22305251074749</v>
      </c>
      <c r="P85" s="122">
        <f t="shared" si="326"/>
        <v>201.90641247833625</v>
      </c>
      <c r="Q85" s="122">
        <f t="shared" si="326"/>
        <v>211.84573002754823</v>
      </c>
      <c r="R85" s="122">
        <f t="shared" si="326"/>
        <v>82.217261904761912</v>
      </c>
      <c r="S85" s="122">
        <f t="shared" si="326"/>
        <v>125.97258243793999</v>
      </c>
      <c r="T85" s="122">
        <f t="shared" ref="T85:U85" si="327">T15/T57</f>
        <v>117.52516281823564</v>
      </c>
      <c r="U85" s="122">
        <f t="shared" si="327"/>
        <v>134.19506462984725</v>
      </c>
      <c r="V85" s="101">
        <f t="shared" si="238"/>
        <v>-4.0686068075818871E-2</v>
      </c>
      <c r="W85" s="110"/>
      <c r="X85" s="134">
        <f t="shared" ref="X85:AG85" si="328">X15/X57</f>
        <v>132.50386004016761</v>
      </c>
      <c r="Y85" s="134">
        <f t="shared" si="328"/>
        <v>149.39160690803212</v>
      </c>
      <c r="Z85" s="134">
        <f t="shared" si="328"/>
        <v>168.43171367082053</v>
      </c>
      <c r="AA85" s="134">
        <f t="shared" si="328"/>
        <v>189.89850070729764</v>
      </c>
      <c r="AB85" s="134">
        <f t="shared" si="328"/>
        <v>214.10125079744338</v>
      </c>
      <c r="AC85" s="134">
        <f t="shared" si="328"/>
        <v>241.38866511476456</v>
      </c>
      <c r="AD85" s="134">
        <f t="shared" si="328"/>
        <v>272.15388713919532</v>
      </c>
      <c r="AE85" s="134">
        <f t="shared" si="328"/>
        <v>306.84016687262215</v>
      </c>
      <c r="AF85" s="134">
        <f t="shared" si="328"/>
        <v>345.94724696423077</v>
      </c>
      <c r="AG85" s="134">
        <f t="shared" si="328"/>
        <v>390.03856275378956</v>
      </c>
      <c r="AH85" s="116" t="e">
        <f t="shared" si="270"/>
        <v>#DIV/0!</v>
      </c>
      <c r="AI85" s="21">
        <f t="shared" si="18"/>
        <v>0.05</v>
      </c>
      <c r="AJ85" s="124">
        <f t="shared" si="271"/>
        <v>4095.4049089147911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329">G16/G57</f>
        <v>142.92466632154674</v>
      </c>
      <c r="H86" s="122" t="e">
        <f t="shared" ref="H86:I86" si="330">H16/H57</f>
        <v>#DIV/0!</v>
      </c>
      <c r="I86" s="122" t="e">
        <f t="shared" si="330"/>
        <v>#DIV/0!</v>
      </c>
      <c r="J86" s="122" t="e">
        <f t="shared" ref="J86:S86" si="331">J16/J57</f>
        <v>#DIV/0!</v>
      </c>
      <c r="K86" s="122" t="e">
        <f t="shared" si="331"/>
        <v>#DIV/0!</v>
      </c>
      <c r="L86" s="122" t="e">
        <f t="shared" si="331"/>
        <v>#DIV/0!</v>
      </c>
      <c r="M86" s="122" t="e">
        <f t="shared" si="331"/>
        <v>#DIV/0!</v>
      </c>
      <c r="N86" s="122" t="e">
        <f t="shared" si="331"/>
        <v>#DIV/0!</v>
      </c>
      <c r="O86" s="122">
        <f t="shared" si="331"/>
        <v>142.92466632154674</v>
      </c>
      <c r="P86" s="122">
        <f t="shared" si="331"/>
        <v>222.70363951473138</v>
      </c>
      <c r="Q86" s="122">
        <f t="shared" si="331"/>
        <v>242.8374655647383</v>
      </c>
      <c r="R86" s="122">
        <f t="shared" si="331"/>
        <v>104.98511904761905</v>
      </c>
      <c r="S86" s="122">
        <f t="shared" si="331"/>
        <v>152.2786217117451</v>
      </c>
      <c r="T86" s="122">
        <f t="shared" ref="T86:U86" si="332">T16/T57</f>
        <v>193.8721136767318</v>
      </c>
      <c r="U86" s="122">
        <f t="shared" si="332"/>
        <v>234.31257344300823</v>
      </c>
      <c r="V86" s="101">
        <f t="shared" si="238"/>
        <v>2.2016072272856846E-2</v>
      </c>
      <c r="W86" s="110"/>
      <c r="X86" s="134">
        <f t="shared" ref="X86:AG86" si="333">X16/X57</f>
        <v>218.5813046355309</v>
      </c>
      <c r="Y86" s="134">
        <f t="shared" si="333"/>
        <v>246.43970620672596</v>
      </c>
      <c r="Z86" s="134">
        <f t="shared" si="333"/>
        <v>277.84868837032826</v>
      </c>
      <c r="AA86" s="134">
        <f t="shared" si="333"/>
        <v>313.26077610380145</v>
      </c>
      <c r="AB86" s="134">
        <f t="shared" si="333"/>
        <v>353.18616913663885</v>
      </c>
      <c r="AC86" s="134">
        <f t="shared" si="333"/>
        <v>398.20009265405355</v>
      </c>
      <c r="AD86" s="134">
        <f t="shared" si="333"/>
        <v>448.95108485506029</v>
      </c>
      <c r="AE86" s="134">
        <f t="shared" si="333"/>
        <v>506.17034076796006</v>
      </c>
      <c r="AF86" s="134">
        <f t="shared" si="333"/>
        <v>570.68224694426863</v>
      </c>
      <c r="AG86" s="134">
        <f t="shared" si="333"/>
        <v>643.41625880971446</v>
      </c>
      <c r="AH86" s="116" t="e">
        <f t="shared" si="270"/>
        <v>#DIV/0!</v>
      </c>
      <c r="AI86" s="115"/>
      <c r="AJ86" s="124">
        <f t="shared" si="271"/>
        <v>4289.4417253980964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71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334">G59</f>
        <v>0</v>
      </c>
      <c r="H88" s="136">
        <f t="shared" ref="H88:I88" si="335">H59</f>
        <v>0</v>
      </c>
      <c r="I88" s="136">
        <f t="shared" si="335"/>
        <v>0</v>
      </c>
      <c r="J88" s="136">
        <f t="shared" ref="J88:S88" si="336">J59</f>
        <v>0</v>
      </c>
      <c r="K88" s="136">
        <f t="shared" si="336"/>
        <v>0</v>
      </c>
      <c r="L88" s="136">
        <f t="shared" si="336"/>
        <v>0</v>
      </c>
      <c r="M88" s="136">
        <f t="shared" si="336"/>
        <v>0</v>
      </c>
      <c r="N88" s="136">
        <f t="shared" si="336"/>
        <v>0</v>
      </c>
      <c r="O88" s="136">
        <f t="shared" si="336"/>
        <v>0</v>
      </c>
      <c r="P88" s="136">
        <f t="shared" si="336"/>
        <v>0</v>
      </c>
      <c r="Q88" s="136">
        <f t="shared" si="336"/>
        <v>0</v>
      </c>
      <c r="R88" s="136">
        <f t="shared" si="336"/>
        <v>0</v>
      </c>
      <c r="S88" s="136">
        <f t="shared" si="336"/>
        <v>0</v>
      </c>
      <c r="T88" s="136">
        <f t="shared" ref="T88:U88" si="337">T59</f>
        <v>0</v>
      </c>
      <c r="U88" s="136">
        <f t="shared" si="337"/>
        <v>0</v>
      </c>
      <c r="V88" s="101" t="e">
        <f t="shared" si="238"/>
        <v>#DIV/0!</v>
      </c>
      <c r="W88" s="110"/>
      <c r="X88" s="136">
        <f t="shared" ref="X88:AG88" si="338">X59</f>
        <v>0</v>
      </c>
      <c r="Y88" s="136">
        <f t="shared" si="338"/>
        <v>0</v>
      </c>
      <c r="Z88" s="136">
        <f t="shared" si="338"/>
        <v>0</v>
      </c>
      <c r="AA88" s="136">
        <f t="shared" si="338"/>
        <v>0</v>
      </c>
      <c r="AB88" s="136">
        <f t="shared" si="338"/>
        <v>0</v>
      </c>
      <c r="AC88" s="136">
        <f t="shared" si="338"/>
        <v>0</v>
      </c>
      <c r="AD88" s="136">
        <f t="shared" si="338"/>
        <v>0</v>
      </c>
      <c r="AE88" s="136">
        <f t="shared" si="338"/>
        <v>0</v>
      </c>
      <c r="AF88" s="136">
        <f t="shared" si="338"/>
        <v>0</v>
      </c>
      <c r="AG88" s="136">
        <f t="shared" si="338"/>
        <v>0</v>
      </c>
      <c r="AH88" s="116" t="e">
        <f t="shared" ref="AH88" si="339">((AG88/J88)^(1/($AG$3-$K$1) ))-1</f>
        <v>#DIV/0!</v>
      </c>
      <c r="AI88" s="21">
        <f t="shared" si="18"/>
        <v>0.05</v>
      </c>
      <c r="AJ88" s="124">
        <f t="shared" si="271"/>
        <v>0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340">G20+G21</f>
        <v>0</v>
      </c>
      <c r="H90" s="122">
        <f t="shared" ref="H90:I90" si="341">H20+H21</f>
        <v>0</v>
      </c>
      <c r="I90" s="122">
        <f t="shared" si="341"/>
        <v>0</v>
      </c>
      <c r="J90" s="122">
        <f t="shared" ref="J90:S90" si="342">J20+J21</f>
        <v>0</v>
      </c>
      <c r="K90" s="122">
        <f t="shared" si="342"/>
        <v>0</v>
      </c>
      <c r="L90" s="122">
        <f t="shared" si="342"/>
        <v>0</v>
      </c>
      <c r="M90" s="122">
        <f t="shared" si="342"/>
        <v>0</v>
      </c>
      <c r="N90" s="122">
        <f t="shared" si="342"/>
        <v>0</v>
      </c>
      <c r="O90" s="122">
        <f t="shared" si="342"/>
        <v>0</v>
      </c>
      <c r="P90" s="122">
        <f t="shared" si="342"/>
        <v>0</v>
      </c>
      <c r="Q90" s="122">
        <f t="shared" si="342"/>
        <v>0</v>
      </c>
      <c r="R90" s="122">
        <f t="shared" si="342"/>
        <v>0</v>
      </c>
      <c r="S90" s="122">
        <f t="shared" si="342"/>
        <v>0</v>
      </c>
      <c r="T90" s="122">
        <f t="shared" ref="T90:U90" si="343">T20+T21</f>
        <v>0</v>
      </c>
      <c r="U90" s="122">
        <f t="shared" si="343"/>
        <v>0</v>
      </c>
      <c r="V90" s="101" t="e">
        <f t="shared" si="238"/>
        <v>#DIV/0!</v>
      </c>
      <c r="W90" s="110"/>
      <c r="X90" s="122">
        <f t="shared" ref="X90:AG90" si="344">X20+X21</f>
        <v>0</v>
      </c>
      <c r="Y90" s="122">
        <f t="shared" si="344"/>
        <v>0</v>
      </c>
      <c r="Z90" s="122">
        <f t="shared" si="344"/>
        <v>0</v>
      </c>
      <c r="AA90" s="122">
        <f t="shared" si="344"/>
        <v>0</v>
      </c>
      <c r="AB90" s="122">
        <f t="shared" si="344"/>
        <v>0</v>
      </c>
      <c r="AC90" s="122">
        <f t="shared" si="344"/>
        <v>0</v>
      </c>
      <c r="AD90" s="122">
        <f t="shared" si="344"/>
        <v>0</v>
      </c>
      <c r="AE90" s="122">
        <f t="shared" si="344"/>
        <v>0</v>
      </c>
      <c r="AF90" s="122">
        <f t="shared" si="344"/>
        <v>0</v>
      </c>
      <c r="AG90" s="122">
        <f t="shared" si="344"/>
        <v>0</v>
      </c>
      <c r="AH90" s="116" t="e">
        <f t="shared" ref="AH90:AH95" si="345">((AG90/J90)^(1/($AG$3-$K$1) ))-1</f>
        <v>#DIV/0!</v>
      </c>
      <c r="AI90" s="21">
        <f t="shared" si="18"/>
        <v>0.05</v>
      </c>
      <c r="AJ90" s="124">
        <f t="shared" si="271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346">G90/G57</f>
        <v>0</v>
      </c>
      <c r="H92" s="122" t="e">
        <f t="shared" ref="H92:I92" si="347">H90/H57</f>
        <v>#DIV/0!</v>
      </c>
      <c r="I92" s="122" t="e">
        <f t="shared" si="347"/>
        <v>#DIV/0!</v>
      </c>
      <c r="J92" s="122" t="e">
        <f t="shared" ref="J92:S92" si="348">J90/J57</f>
        <v>#DIV/0!</v>
      </c>
      <c r="K92" s="122" t="e">
        <f t="shared" si="348"/>
        <v>#DIV/0!</v>
      </c>
      <c r="L92" s="122" t="e">
        <f t="shared" si="348"/>
        <v>#DIV/0!</v>
      </c>
      <c r="M92" s="122" t="e">
        <f t="shared" si="348"/>
        <v>#DIV/0!</v>
      </c>
      <c r="N92" s="122" t="e">
        <f t="shared" si="348"/>
        <v>#DIV/0!</v>
      </c>
      <c r="O92" s="122">
        <f t="shared" si="348"/>
        <v>0</v>
      </c>
      <c r="P92" s="122">
        <f t="shared" si="348"/>
        <v>0</v>
      </c>
      <c r="Q92" s="122">
        <f t="shared" si="348"/>
        <v>0</v>
      </c>
      <c r="R92" s="122">
        <f t="shared" si="348"/>
        <v>0</v>
      </c>
      <c r="S92" s="122">
        <f t="shared" si="348"/>
        <v>0</v>
      </c>
      <c r="T92" s="122">
        <f t="shared" ref="T92:U92" si="349">T90/T57</f>
        <v>0</v>
      </c>
      <c r="U92" s="122">
        <f t="shared" si="349"/>
        <v>0</v>
      </c>
      <c r="V92" s="101" t="e">
        <f t="shared" si="238"/>
        <v>#DIV/0!</v>
      </c>
      <c r="W92" s="110"/>
      <c r="X92" s="124">
        <f t="shared" ref="X92:AG92" si="350">X90/X57</f>
        <v>0</v>
      </c>
      <c r="Y92" s="124">
        <f t="shared" si="350"/>
        <v>0</v>
      </c>
      <c r="Z92" s="124">
        <f t="shared" si="350"/>
        <v>0</v>
      </c>
      <c r="AA92" s="124">
        <f t="shared" si="350"/>
        <v>0</v>
      </c>
      <c r="AB92" s="124">
        <f t="shared" si="350"/>
        <v>0</v>
      </c>
      <c r="AC92" s="124">
        <f t="shared" si="350"/>
        <v>0</v>
      </c>
      <c r="AD92" s="124">
        <f t="shared" si="350"/>
        <v>0</v>
      </c>
      <c r="AE92" s="124">
        <f t="shared" si="350"/>
        <v>0</v>
      </c>
      <c r="AF92" s="124">
        <f t="shared" si="350"/>
        <v>0</v>
      </c>
      <c r="AG92" s="124">
        <f t="shared" si="350"/>
        <v>0</v>
      </c>
      <c r="AH92" s="116" t="e">
        <f t="shared" si="345"/>
        <v>#DIV/0!</v>
      </c>
      <c r="AI92" s="21">
        <f t="shared" si="18"/>
        <v>0.05</v>
      </c>
      <c r="AJ92" s="124">
        <f t="shared" si="271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351">G20/G57</f>
        <v>0</v>
      </c>
      <c r="H93" s="122" t="e">
        <f t="shared" ref="H93:I93" si="352">H20/H57</f>
        <v>#DIV/0!</v>
      </c>
      <c r="I93" s="122" t="e">
        <f t="shared" si="352"/>
        <v>#DIV/0!</v>
      </c>
      <c r="J93" s="122" t="e">
        <f t="shared" ref="J93:S93" si="353">J20/J57</f>
        <v>#DIV/0!</v>
      </c>
      <c r="K93" s="122" t="e">
        <f t="shared" si="353"/>
        <v>#DIV/0!</v>
      </c>
      <c r="L93" s="122" t="e">
        <f t="shared" si="353"/>
        <v>#DIV/0!</v>
      </c>
      <c r="M93" s="122" t="e">
        <f t="shared" si="353"/>
        <v>#DIV/0!</v>
      </c>
      <c r="N93" s="122" t="e">
        <f t="shared" si="353"/>
        <v>#DIV/0!</v>
      </c>
      <c r="O93" s="122">
        <f t="shared" si="353"/>
        <v>0</v>
      </c>
      <c r="P93" s="122">
        <f t="shared" si="353"/>
        <v>0</v>
      </c>
      <c r="Q93" s="122">
        <f t="shared" si="353"/>
        <v>0</v>
      </c>
      <c r="R93" s="122">
        <f t="shared" si="353"/>
        <v>0</v>
      </c>
      <c r="S93" s="122">
        <f t="shared" si="353"/>
        <v>0</v>
      </c>
      <c r="T93" s="122">
        <f t="shared" ref="T93:U93" si="354">T20/T57</f>
        <v>0</v>
      </c>
      <c r="U93" s="122">
        <f t="shared" si="354"/>
        <v>0</v>
      </c>
      <c r="V93" s="101" t="e">
        <f t="shared" si="238"/>
        <v>#DIV/0!</v>
      </c>
      <c r="W93" s="110"/>
      <c r="X93" s="124">
        <f t="shared" ref="X93:AG93" si="355">X20/X57</f>
        <v>0</v>
      </c>
      <c r="Y93" s="124">
        <f t="shared" si="355"/>
        <v>0</v>
      </c>
      <c r="Z93" s="124">
        <f t="shared" si="355"/>
        <v>0</v>
      </c>
      <c r="AA93" s="124">
        <f t="shared" si="355"/>
        <v>0</v>
      </c>
      <c r="AB93" s="124">
        <f t="shared" si="355"/>
        <v>0</v>
      </c>
      <c r="AC93" s="124">
        <f t="shared" si="355"/>
        <v>0</v>
      </c>
      <c r="AD93" s="124">
        <f t="shared" si="355"/>
        <v>0</v>
      </c>
      <c r="AE93" s="124">
        <f t="shared" si="355"/>
        <v>0</v>
      </c>
      <c r="AF93" s="124">
        <f t="shared" si="355"/>
        <v>0</v>
      </c>
      <c r="AG93" s="124">
        <f t="shared" si="355"/>
        <v>0</v>
      </c>
      <c r="AH93" s="116" t="e">
        <f t="shared" si="345"/>
        <v>#DIV/0!</v>
      </c>
      <c r="AI93" s="21">
        <f t="shared" si="18"/>
        <v>0.05</v>
      </c>
      <c r="AJ93" s="124">
        <f t="shared" si="271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356">G21/G57</f>
        <v>0</v>
      </c>
      <c r="H94" s="122" t="e">
        <f t="shared" ref="H94:I94" si="357">H21/H57</f>
        <v>#DIV/0!</v>
      </c>
      <c r="I94" s="122" t="e">
        <f t="shared" si="357"/>
        <v>#DIV/0!</v>
      </c>
      <c r="J94" s="122" t="e">
        <f t="shared" ref="J94:S94" si="358">J21/J57</f>
        <v>#DIV/0!</v>
      </c>
      <c r="K94" s="122" t="e">
        <f t="shared" si="358"/>
        <v>#DIV/0!</v>
      </c>
      <c r="L94" s="122" t="e">
        <f t="shared" si="358"/>
        <v>#DIV/0!</v>
      </c>
      <c r="M94" s="122" t="e">
        <f t="shared" si="358"/>
        <v>#DIV/0!</v>
      </c>
      <c r="N94" s="122" t="e">
        <f t="shared" si="358"/>
        <v>#DIV/0!</v>
      </c>
      <c r="O94" s="122">
        <f t="shared" si="358"/>
        <v>0</v>
      </c>
      <c r="P94" s="122">
        <f t="shared" si="358"/>
        <v>0</v>
      </c>
      <c r="Q94" s="122">
        <f t="shared" si="358"/>
        <v>0</v>
      </c>
      <c r="R94" s="122">
        <f t="shared" si="358"/>
        <v>0</v>
      </c>
      <c r="S94" s="122">
        <f t="shared" si="358"/>
        <v>0</v>
      </c>
      <c r="T94" s="122">
        <f t="shared" ref="T94:U94" si="359">T21/T57</f>
        <v>0</v>
      </c>
      <c r="U94" s="122">
        <f t="shared" si="359"/>
        <v>0</v>
      </c>
      <c r="V94" s="101" t="e">
        <f t="shared" si="238"/>
        <v>#DIV/0!</v>
      </c>
      <c r="W94" s="110"/>
      <c r="X94" s="124">
        <f t="shared" ref="X94:AG94" si="360">X21/X57</f>
        <v>0</v>
      </c>
      <c r="Y94" s="124">
        <f t="shared" si="360"/>
        <v>0</v>
      </c>
      <c r="Z94" s="124">
        <f t="shared" si="360"/>
        <v>0</v>
      </c>
      <c r="AA94" s="124">
        <f t="shared" si="360"/>
        <v>0</v>
      </c>
      <c r="AB94" s="124">
        <f t="shared" si="360"/>
        <v>0</v>
      </c>
      <c r="AC94" s="124">
        <f t="shared" si="360"/>
        <v>0</v>
      </c>
      <c r="AD94" s="124">
        <f t="shared" si="360"/>
        <v>0</v>
      </c>
      <c r="AE94" s="124">
        <f t="shared" si="360"/>
        <v>0</v>
      </c>
      <c r="AF94" s="124">
        <f t="shared" si="360"/>
        <v>0</v>
      </c>
      <c r="AG94" s="124">
        <f t="shared" si="360"/>
        <v>0</v>
      </c>
      <c r="AH94" s="116" t="e">
        <f t="shared" si="345"/>
        <v>#DIV/0!</v>
      </c>
      <c r="AI94" s="21">
        <f t="shared" si="18"/>
        <v>0.05</v>
      </c>
      <c r="AJ94" s="124">
        <f t="shared" si="271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361">G22/G57</f>
        <v>0</v>
      </c>
      <c r="H95" s="122" t="e">
        <f t="shared" ref="H95:I95" si="362">H22/H57</f>
        <v>#DIV/0!</v>
      </c>
      <c r="I95" s="122" t="e">
        <f t="shared" si="362"/>
        <v>#DIV/0!</v>
      </c>
      <c r="J95" s="122" t="e">
        <f t="shared" ref="J95:S95" si="363">J22/J57</f>
        <v>#DIV/0!</v>
      </c>
      <c r="K95" s="122" t="e">
        <f t="shared" si="363"/>
        <v>#DIV/0!</v>
      </c>
      <c r="L95" s="122" t="e">
        <f t="shared" si="363"/>
        <v>#DIV/0!</v>
      </c>
      <c r="M95" s="122" t="e">
        <f t="shared" si="363"/>
        <v>#DIV/0!</v>
      </c>
      <c r="N95" s="122" t="e">
        <f t="shared" si="363"/>
        <v>#DIV/0!</v>
      </c>
      <c r="O95" s="122">
        <f t="shared" si="363"/>
        <v>0</v>
      </c>
      <c r="P95" s="122">
        <f t="shared" si="363"/>
        <v>0</v>
      </c>
      <c r="Q95" s="122">
        <f t="shared" si="363"/>
        <v>0</v>
      </c>
      <c r="R95" s="122">
        <f t="shared" si="363"/>
        <v>0</v>
      </c>
      <c r="S95" s="122">
        <f t="shared" si="363"/>
        <v>0</v>
      </c>
      <c r="T95" s="122">
        <f t="shared" ref="T95:U95" si="364">T22/T57</f>
        <v>0</v>
      </c>
      <c r="U95" s="122">
        <f t="shared" si="364"/>
        <v>0</v>
      </c>
      <c r="V95" s="101" t="e">
        <f t="shared" si="238"/>
        <v>#DIV/0!</v>
      </c>
      <c r="W95" s="110"/>
      <c r="X95" s="124">
        <f t="shared" ref="X95:AG95" si="365">X22/X57</f>
        <v>0</v>
      </c>
      <c r="Y95" s="124">
        <f t="shared" si="365"/>
        <v>0</v>
      </c>
      <c r="Z95" s="124">
        <f t="shared" si="365"/>
        <v>0</v>
      </c>
      <c r="AA95" s="124">
        <f t="shared" si="365"/>
        <v>0</v>
      </c>
      <c r="AB95" s="124">
        <f t="shared" si="365"/>
        <v>0</v>
      </c>
      <c r="AC95" s="124">
        <f t="shared" si="365"/>
        <v>0</v>
      </c>
      <c r="AD95" s="124">
        <f t="shared" si="365"/>
        <v>0</v>
      </c>
      <c r="AE95" s="124">
        <f t="shared" si="365"/>
        <v>0</v>
      </c>
      <c r="AF95" s="124">
        <f t="shared" si="365"/>
        <v>0</v>
      </c>
      <c r="AG95" s="124">
        <f t="shared" si="365"/>
        <v>0</v>
      </c>
      <c r="AH95" s="116" t="e">
        <f t="shared" si="345"/>
        <v>#DIV/0!</v>
      </c>
      <c r="AI95" s="21">
        <f t="shared" si="18"/>
        <v>0.05</v>
      </c>
      <c r="AJ95" s="124">
        <f t="shared" si="271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66">G23/G57</f>
        <v>0</v>
      </c>
      <c r="H96" s="122" t="e">
        <f t="shared" ref="H96:I96" si="367">H23/H57</f>
        <v>#DIV/0!</v>
      </c>
      <c r="I96" s="122" t="e">
        <f t="shared" si="367"/>
        <v>#DIV/0!</v>
      </c>
      <c r="J96" s="122" t="e">
        <f t="shared" ref="J96:S96" si="368">J23/J57</f>
        <v>#DIV/0!</v>
      </c>
      <c r="K96" s="122" t="e">
        <f t="shared" si="368"/>
        <v>#DIV/0!</v>
      </c>
      <c r="L96" s="122" t="e">
        <f t="shared" si="368"/>
        <v>#DIV/0!</v>
      </c>
      <c r="M96" s="122" t="e">
        <f t="shared" si="368"/>
        <v>#DIV/0!</v>
      </c>
      <c r="N96" s="122" t="e">
        <f t="shared" si="368"/>
        <v>#DIV/0!</v>
      </c>
      <c r="O96" s="122">
        <f t="shared" si="368"/>
        <v>0</v>
      </c>
      <c r="P96" s="122">
        <f t="shared" si="368"/>
        <v>0</v>
      </c>
      <c r="Q96" s="122">
        <f t="shared" si="368"/>
        <v>0</v>
      </c>
      <c r="R96" s="122">
        <f t="shared" si="368"/>
        <v>0</v>
      </c>
      <c r="S96" s="122">
        <f t="shared" si="368"/>
        <v>0</v>
      </c>
      <c r="T96" s="122">
        <f t="shared" ref="T96:U96" si="369">T23/T57</f>
        <v>0</v>
      </c>
      <c r="U96" s="122">
        <f t="shared" si="369"/>
        <v>0</v>
      </c>
      <c r="V96" s="101" t="e">
        <f t="shared" si="238"/>
        <v>#DIV/0!</v>
      </c>
      <c r="W96" s="110"/>
      <c r="X96" s="124">
        <f t="shared" ref="X96:AG96" si="370">X23/X57</f>
        <v>0</v>
      </c>
      <c r="Y96" s="124">
        <f t="shared" si="370"/>
        <v>0</v>
      </c>
      <c r="Z96" s="124">
        <f t="shared" si="370"/>
        <v>0</v>
      </c>
      <c r="AA96" s="124">
        <f t="shared" si="370"/>
        <v>0</v>
      </c>
      <c r="AB96" s="124">
        <f t="shared" si="370"/>
        <v>0</v>
      </c>
      <c r="AC96" s="124">
        <f t="shared" si="370"/>
        <v>0</v>
      </c>
      <c r="AD96" s="124">
        <f t="shared" si="370"/>
        <v>0</v>
      </c>
      <c r="AE96" s="124">
        <f t="shared" si="370"/>
        <v>0</v>
      </c>
      <c r="AF96" s="124">
        <f t="shared" si="370"/>
        <v>0</v>
      </c>
      <c r="AG96" s="124">
        <f t="shared" si="370"/>
        <v>0</v>
      </c>
      <c r="AH96" s="116" t="e">
        <f t="shared" ref="AH96" si="371">((AG96/J96)^(1/($AG$3-$K$1) ))-1</f>
        <v>#DIV/0!</v>
      </c>
      <c r="AI96" s="21">
        <f t="shared" si="18"/>
        <v>0.05</v>
      </c>
      <c r="AJ96" s="124">
        <f t="shared" si="271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72">G51/G57</f>
        <v>18.197573656845755</v>
      </c>
      <c r="H98" s="122" t="e">
        <f t="shared" ref="H98:I98" si="373">H51/H57</f>
        <v>#DIV/0!</v>
      </c>
      <c r="I98" s="122" t="e">
        <f t="shared" si="373"/>
        <v>#DIV/0!</v>
      </c>
      <c r="J98" s="122" t="e">
        <f t="shared" ref="J98:S98" si="374">J51/J57</f>
        <v>#DIV/0!</v>
      </c>
      <c r="K98" s="122" t="e">
        <f t="shared" si="374"/>
        <v>#DIV/0!</v>
      </c>
      <c r="L98" s="122" t="e">
        <f t="shared" si="374"/>
        <v>#DIV/0!</v>
      </c>
      <c r="M98" s="122" t="e">
        <f t="shared" si="374"/>
        <v>#DIV/0!</v>
      </c>
      <c r="N98" s="122" t="e">
        <f t="shared" si="374"/>
        <v>#DIV/0!</v>
      </c>
      <c r="O98" s="122">
        <f t="shared" si="374"/>
        <v>18.197573656845755</v>
      </c>
      <c r="P98" s="122">
        <f t="shared" si="374"/>
        <v>26.689774696707108</v>
      </c>
      <c r="Q98" s="122">
        <f t="shared" si="374"/>
        <v>42.424242424242422</v>
      </c>
      <c r="R98" s="122">
        <f t="shared" si="374"/>
        <v>17.299107142857142</v>
      </c>
      <c r="S98" s="122">
        <f t="shared" si="374"/>
        <v>26.157836235642833</v>
      </c>
      <c r="T98" s="122">
        <f t="shared" ref="T98:U98" si="375">T51/T57</f>
        <v>25.873297809354646</v>
      </c>
      <c r="U98" s="122">
        <f t="shared" si="375"/>
        <v>23.854289071680377</v>
      </c>
      <c r="V98" s="101">
        <f t="shared" si="238"/>
        <v>2.5455978809305613E-2</v>
      </c>
      <c r="W98" s="110"/>
      <c r="X98" s="122">
        <f t="shared" ref="X98:AG98" si="376">X51/X57</f>
        <v>29.170874981135135</v>
      </c>
      <c r="Y98" s="122">
        <f t="shared" si="376"/>
        <v>32.888731596377845</v>
      </c>
      <c r="Z98" s="122">
        <f t="shared" si="376"/>
        <v>37.080432682190704</v>
      </c>
      <c r="AA98" s="122">
        <f t="shared" si="376"/>
        <v>41.806370180901283</v>
      </c>
      <c r="AB98" s="122">
        <f t="shared" si="376"/>
        <v>47.134633047094582</v>
      </c>
      <c r="AC98" s="122">
        <f t="shared" si="376"/>
        <v>53.141988239371337</v>
      </c>
      <c r="AD98" s="122">
        <f t="shared" si="376"/>
        <v>59.914986740467675</v>
      </c>
      <c r="AE98" s="122">
        <f t="shared" si="376"/>
        <v>67.551210540723346</v>
      </c>
      <c r="AF98" s="122">
        <f t="shared" si="376"/>
        <v>76.160678550815533</v>
      </c>
      <c r="AG98" s="122">
        <f t="shared" si="376"/>
        <v>85.867431699448872</v>
      </c>
      <c r="AH98" s="116" t="e">
        <f t="shared" ref="AH98:AH100" si="377">((AG98/J98)^(1/($AG$3-$K$1) ))-1</f>
        <v>#DIV/0!</v>
      </c>
      <c r="AI98" s="21">
        <f t="shared" si="18"/>
        <v>0.05</v>
      </c>
      <c r="AJ98" s="124">
        <f t="shared" si="271"/>
        <v>901.60803284421331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78">G55/G57</f>
        <v>-1.0781246483152895</v>
      </c>
      <c r="H99" s="122" t="e">
        <f t="shared" ref="H99:I99" si="379">H55/H57</f>
        <v>#DIV/0!</v>
      </c>
      <c r="I99" s="122" t="e">
        <f t="shared" si="379"/>
        <v>#DIV/0!</v>
      </c>
      <c r="J99" s="122" t="e">
        <f t="shared" ref="J99:S99" si="380">J55/J57</f>
        <v>#DIV/0!</v>
      </c>
      <c r="K99" s="122" t="e">
        <f t="shared" si="380"/>
        <v>#DIV/0!</v>
      </c>
      <c r="L99" s="122" t="e">
        <f t="shared" si="380"/>
        <v>#DIV/0!</v>
      </c>
      <c r="M99" s="122" t="e">
        <f t="shared" si="380"/>
        <v>#DIV/0!</v>
      </c>
      <c r="N99" s="122" t="e">
        <f t="shared" si="380"/>
        <v>#DIV/0!</v>
      </c>
      <c r="O99" s="122">
        <f t="shared" si="380"/>
        <v>-1.0781246483152895</v>
      </c>
      <c r="P99" s="122">
        <f t="shared" si="380"/>
        <v>5.6655112651646444</v>
      </c>
      <c r="Q99" s="122">
        <f t="shared" si="380"/>
        <v>10.192837465564738</v>
      </c>
      <c r="R99" s="122">
        <f t="shared" si="380"/>
        <v>3.9806547619047619</v>
      </c>
      <c r="S99" s="122">
        <f t="shared" si="380"/>
        <v>6.1874768432752871</v>
      </c>
      <c r="T99" s="122">
        <f t="shared" ref="T99:U99" si="381">T55/T57</f>
        <v>4.7069271758436946</v>
      </c>
      <c r="U99" s="122">
        <f t="shared" si="381"/>
        <v>0.91069330199764986</v>
      </c>
      <c r="V99" s="101" t="e">
        <f t="shared" si="238"/>
        <v>#NUM!</v>
      </c>
      <c r="W99" s="110"/>
      <c r="X99" s="122">
        <f t="shared" ref="X99:AG99" si="382">X55/X57</f>
        <v>5.306829659039459</v>
      </c>
      <c r="Y99" s="122">
        <f t="shared" si="382"/>
        <v>5.9831903018582127</v>
      </c>
      <c r="Z99" s="122">
        <f t="shared" si="382"/>
        <v>6.7457537717028861</v>
      </c>
      <c r="AA99" s="122">
        <f t="shared" si="382"/>
        <v>7.6055067033905077</v>
      </c>
      <c r="AB99" s="122">
        <f t="shared" si="382"/>
        <v>8.5748359891167478</v>
      </c>
      <c r="AC99" s="122">
        <f t="shared" si="382"/>
        <v>9.6677072426316268</v>
      </c>
      <c r="AD99" s="122">
        <f t="shared" si="382"/>
        <v>10.899866008849381</v>
      </c>
      <c r="AE99" s="122">
        <f t="shared" si="382"/>
        <v>12.28906461782038</v>
      </c>
      <c r="AF99" s="122">
        <f t="shared" si="382"/>
        <v>13.855317951464151</v>
      </c>
      <c r="AG99" s="122">
        <f t="shared" si="382"/>
        <v>15.621191808023307</v>
      </c>
      <c r="AH99" s="116" t="e">
        <f t="shared" si="377"/>
        <v>#DIV/0!</v>
      </c>
      <c r="AI99" s="21">
        <f t="shared" si="18"/>
        <v>0.05</v>
      </c>
      <c r="AJ99" s="124">
        <f t="shared" si="271"/>
        <v>164.02251398424474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83">G6/G57</f>
        <v>57.8451011726575</v>
      </c>
      <c r="H100" s="122" t="e">
        <f t="shared" ref="H100:I100" si="384">H6/H57</f>
        <v>#DIV/0!</v>
      </c>
      <c r="I100" s="122" t="e">
        <f t="shared" si="384"/>
        <v>#DIV/0!</v>
      </c>
      <c r="J100" s="122" t="e">
        <f t="shared" ref="J100:S100" si="385">J6/J57</f>
        <v>#DIV/0!</v>
      </c>
      <c r="K100" s="122" t="e">
        <f t="shared" si="385"/>
        <v>#DIV/0!</v>
      </c>
      <c r="L100" s="122" t="e">
        <f t="shared" si="385"/>
        <v>#DIV/0!</v>
      </c>
      <c r="M100" s="122" t="e">
        <f t="shared" si="385"/>
        <v>#DIV/0!</v>
      </c>
      <c r="N100" s="122" t="e">
        <f t="shared" si="385"/>
        <v>#DIV/0!</v>
      </c>
      <c r="O100" s="122">
        <f t="shared" si="385"/>
        <v>57.8451011726575</v>
      </c>
      <c r="P100" s="122">
        <f t="shared" si="385"/>
        <v>71.750433275563267</v>
      </c>
      <c r="Q100" s="122">
        <f t="shared" si="385"/>
        <v>92.148760330578511</v>
      </c>
      <c r="R100" s="122">
        <f t="shared" si="385"/>
        <v>33.519345238095241</v>
      </c>
      <c r="S100" s="122">
        <f t="shared" si="385"/>
        <v>39.681363467951094</v>
      </c>
      <c r="T100" s="122">
        <f t="shared" ref="T100:U100" si="386">T6/T57</f>
        <v>56.009473060982828</v>
      </c>
      <c r="U100" s="122">
        <f t="shared" si="386"/>
        <v>56.844888366627501</v>
      </c>
      <c r="V100" s="101">
        <f t="shared" si="238"/>
        <v>-2.3007727468558059E-3</v>
      </c>
      <c r="W100" s="110"/>
      <c r="X100" s="122">
        <f t="shared" ref="X100:AG100" si="387">X6/X57</f>
        <v>63.147935313853175</v>
      </c>
      <c r="Y100" s="122">
        <f t="shared" si="387"/>
        <v>71.196201579344262</v>
      </c>
      <c r="Z100" s="122">
        <f t="shared" si="387"/>
        <v>80.270227270829309</v>
      </c>
      <c r="AA100" s="122">
        <f t="shared" si="387"/>
        <v>90.500746432797754</v>
      </c>
      <c r="AB100" s="122">
        <f t="shared" si="387"/>
        <v>102.0351552918798</v>
      </c>
      <c r="AC100" s="122">
        <f t="shared" si="387"/>
        <v>115.03963586829585</v>
      </c>
      <c r="AD100" s="122">
        <f t="shared" si="387"/>
        <v>129.70155024366687</v>
      </c>
      <c r="AE100" s="122">
        <f t="shared" si="387"/>
        <v>146.23213998060479</v>
      </c>
      <c r="AF100" s="122">
        <f t="shared" si="387"/>
        <v>164.86956958597597</v>
      </c>
      <c r="AG100" s="122">
        <f t="shared" si="387"/>
        <v>185.8823578665415</v>
      </c>
      <c r="AH100" s="116" t="e">
        <f t="shared" si="377"/>
        <v>#DIV/0!</v>
      </c>
      <c r="AI100" s="21">
        <f t="shared" ref="AI100" si="388">$O$1</f>
        <v>0.05</v>
      </c>
      <c r="AJ100" s="124">
        <f t="shared" si="271"/>
        <v>1951.7647575986857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89">G55/$T$57</f>
        <v>-0.1417998815867377</v>
      </c>
      <c r="H102" s="122">
        <f t="shared" ref="H102:I102" si="390">H55/$T$57</f>
        <v>0</v>
      </c>
      <c r="I102" s="122">
        <f t="shared" si="390"/>
        <v>0</v>
      </c>
      <c r="J102" s="122">
        <f t="shared" ref="J102:T102" si="391">J55/$T$57</f>
        <v>0</v>
      </c>
      <c r="K102" s="122">
        <f t="shared" si="391"/>
        <v>0</v>
      </c>
      <c r="L102" s="122">
        <f t="shared" si="391"/>
        <v>0</v>
      </c>
      <c r="M102" s="122">
        <f t="shared" si="391"/>
        <v>0</v>
      </c>
      <c r="N102" s="122">
        <f t="shared" si="391"/>
        <v>0</v>
      </c>
      <c r="O102" s="122">
        <f t="shared" si="391"/>
        <v>-0.1417998815867377</v>
      </c>
      <c r="P102" s="122">
        <f t="shared" si="391"/>
        <v>0.96773238602723499</v>
      </c>
      <c r="Q102" s="122">
        <f t="shared" si="391"/>
        <v>2.1906453522794553</v>
      </c>
      <c r="R102" s="122">
        <f t="shared" si="391"/>
        <v>3.167554766133807</v>
      </c>
      <c r="S102" s="122">
        <f t="shared" si="391"/>
        <v>4.9437537004144465</v>
      </c>
      <c r="T102" s="122">
        <f t="shared" si="391"/>
        <v>4.7069271758436946</v>
      </c>
      <c r="U102" s="122">
        <f t="shared" ref="U102" si="392">U55/$T$57</f>
        <v>0.91770278271166372</v>
      </c>
      <c r="V102" s="101" t="e">
        <f t="shared" si="238"/>
        <v>#NUM!</v>
      </c>
      <c r="W102" s="110"/>
      <c r="X102" s="122">
        <f t="shared" ref="X102:AG102" si="393">X55/X57</f>
        <v>5.306829659039459</v>
      </c>
      <c r="Y102" s="122">
        <f t="shared" si="393"/>
        <v>5.9831903018582127</v>
      </c>
      <c r="Z102" s="122">
        <f t="shared" si="393"/>
        <v>6.7457537717028861</v>
      </c>
      <c r="AA102" s="122">
        <f t="shared" si="393"/>
        <v>7.6055067033905077</v>
      </c>
      <c r="AB102" s="122">
        <f t="shared" si="393"/>
        <v>8.5748359891167478</v>
      </c>
      <c r="AC102" s="122">
        <f t="shared" si="393"/>
        <v>9.6677072426316268</v>
      </c>
      <c r="AD102" s="122">
        <f t="shared" si="393"/>
        <v>10.899866008849381</v>
      </c>
      <c r="AE102" s="122">
        <f t="shared" si="393"/>
        <v>12.28906461782038</v>
      </c>
      <c r="AF102" s="122">
        <f t="shared" si="393"/>
        <v>13.855317951464151</v>
      </c>
      <c r="AG102" s="122">
        <f t="shared" si="393"/>
        <v>15.621191808023307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94">G51/G25</f>
        <v>0.40425</v>
      </c>
      <c r="H105" s="129" t="e">
        <f t="shared" ref="H105:I105" si="395">H51/H25</f>
        <v>#DIV/0!</v>
      </c>
      <c r="I105" s="129" t="e">
        <f t="shared" si="395"/>
        <v>#DIV/0!</v>
      </c>
      <c r="J105" s="129" t="e">
        <f t="shared" ref="J105:S105" si="396">J51/J25</f>
        <v>#DIV/0!</v>
      </c>
      <c r="K105" s="129" t="e">
        <f t="shared" si="396"/>
        <v>#DIV/0!</v>
      </c>
      <c r="L105" s="129" t="e">
        <f t="shared" si="396"/>
        <v>#DIV/0!</v>
      </c>
      <c r="M105" s="129" t="e">
        <f t="shared" si="396"/>
        <v>#DIV/0!</v>
      </c>
      <c r="N105" s="129" t="e">
        <f t="shared" si="396"/>
        <v>#DIV/0!</v>
      </c>
      <c r="O105" s="129">
        <f t="shared" si="396"/>
        <v>0.40425</v>
      </c>
      <c r="P105" s="129">
        <f t="shared" si="396"/>
        <v>0.54416961130742048</v>
      </c>
      <c r="Q105" s="129">
        <f t="shared" si="396"/>
        <v>0.6376811594202898</v>
      </c>
      <c r="R105" s="129">
        <f t="shared" si="396"/>
        <v>0.61589403973509937</v>
      </c>
      <c r="S105" s="129">
        <f t="shared" si="396"/>
        <v>0.63318385650224218</v>
      </c>
      <c r="T105" s="129">
        <f t="shared" ref="T105:U105" si="397">T51/T25</f>
        <v>0.56569579288025895</v>
      </c>
      <c r="U105" s="129">
        <f t="shared" si="397"/>
        <v>0.45439283715724677</v>
      </c>
      <c r="V105" s="101">
        <f t="shared" si="238"/>
        <v>2.4291998229190037E-2</v>
      </c>
      <c r="W105" s="129"/>
      <c r="X105" s="129">
        <f t="shared" ref="X105:AG105" si="398">X51/X25</f>
        <v>0.56569579288025895</v>
      </c>
      <c r="Y105" s="129">
        <f t="shared" si="398"/>
        <v>0.56569579288025895</v>
      </c>
      <c r="Z105" s="129">
        <f t="shared" si="398"/>
        <v>0.56569579288025884</v>
      </c>
      <c r="AA105" s="129">
        <f t="shared" si="398"/>
        <v>0.56569579288025884</v>
      </c>
      <c r="AB105" s="129">
        <f t="shared" si="398"/>
        <v>0.56569579288025884</v>
      </c>
      <c r="AC105" s="129">
        <f t="shared" si="398"/>
        <v>0.56569579288025884</v>
      </c>
      <c r="AD105" s="129">
        <f t="shared" si="398"/>
        <v>0.56569579288025884</v>
      </c>
      <c r="AE105" s="129">
        <f t="shared" si="398"/>
        <v>0.56569579288025884</v>
      </c>
      <c r="AF105" s="129">
        <f t="shared" si="398"/>
        <v>0.56569579288025884</v>
      </c>
      <c r="AG105" s="129">
        <f t="shared" si="398"/>
        <v>0.56569579288025884</v>
      </c>
      <c r="AH105" s="116" t="e">
        <f t="shared" ref="AH105:AH154" si="399">((AG105/J105)^(1/($AG$3-$K$1) ))-1</f>
        <v>#DIV/0!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400">G55/G25</f>
        <v>-2.3949999999999999E-2</v>
      </c>
      <c r="H106" s="129" t="e">
        <f t="shared" ref="H106:I106" si="401">H55/H25</f>
        <v>#DIV/0!</v>
      </c>
      <c r="I106" s="129" t="e">
        <f t="shared" si="401"/>
        <v>#DIV/0!</v>
      </c>
      <c r="J106" s="129" t="e">
        <f t="shared" ref="J106:S106" si="402">J55/J25</f>
        <v>#DIV/0!</v>
      </c>
      <c r="K106" s="129" t="e">
        <f t="shared" si="402"/>
        <v>#DIV/0!</v>
      </c>
      <c r="L106" s="129" t="e">
        <f t="shared" si="402"/>
        <v>#DIV/0!</v>
      </c>
      <c r="M106" s="129" t="e">
        <f t="shared" si="402"/>
        <v>#DIV/0!</v>
      </c>
      <c r="N106" s="129" t="e">
        <f t="shared" si="402"/>
        <v>#DIV/0!</v>
      </c>
      <c r="O106" s="129">
        <f t="shared" si="402"/>
        <v>-2.3949999999999999E-2</v>
      </c>
      <c r="P106" s="129">
        <f t="shared" si="402"/>
        <v>0.11551236749116607</v>
      </c>
      <c r="Q106" s="129">
        <f t="shared" si="402"/>
        <v>0.15320910973084886</v>
      </c>
      <c r="R106" s="129">
        <f t="shared" si="402"/>
        <v>0.14172185430463577</v>
      </c>
      <c r="S106" s="129">
        <f t="shared" si="402"/>
        <v>0.14977578475336323</v>
      </c>
      <c r="T106" s="129">
        <f t="shared" ref="T106:U106" si="403">T55/T25</f>
        <v>0.1029126213592233</v>
      </c>
      <c r="U106" s="129">
        <f t="shared" si="403"/>
        <v>1.7347509792949075E-2</v>
      </c>
      <c r="V106" s="101" t="e">
        <f t="shared" si="238"/>
        <v>#NUM!</v>
      </c>
      <c r="W106" s="129"/>
      <c r="X106" s="129">
        <f t="shared" ref="X106:AG106" si="404">X55/X25</f>
        <v>0.10291262135922331</v>
      </c>
      <c r="Y106" s="129">
        <f t="shared" si="404"/>
        <v>0.10291262135922331</v>
      </c>
      <c r="Z106" s="129">
        <f t="shared" si="404"/>
        <v>0.1029126213592233</v>
      </c>
      <c r="AA106" s="129">
        <f t="shared" si="404"/>
        <v>0.1029126213592233</v>
      </c>
      <c r="AB106" s="129">
        <f t="shared" si="404"/>
        <v>0.10291262135922329</v>
      </c>
      <c r="AC106" s="129">
        <f t="shared" si="404"/>
        <v>0.10291262135922329</v>
      </c>
      <c r="AD106" s="129">
        <f t="shared" si="404"/>
        <v>0.10291262135922329</v>
      </c>
      <c r="AE106" s="129">
        <f t="shared" si="404"/>
        <v>0.10291262135922327</v>
      </c>
      <c r="AF106" s="129">
        <f t="shared" si="404"/>
        <v>0.10291262135922327</v>
      </c>
      <c r="AG106" s="129">
        <f t="shared" si="404"/>
        <v>0.10291262135922327</v>
      </c>
      <c r="AH106" s="116" t="e">
        <f t="shared" si="399"/>
        <v>#DIV/0!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405">G55/G7</f>
        <v>-1.5860927152317881E-2</v>
      </c>
      <c r="H107" s="129" t="e">
        <f t="shared" ref="H107:I107" si="406">H55/H7</f>
        <v>#DIV/0!</v>
      </c>
      <c r="I107" s="129" t="e">
        <f t="shared" si="406"/>
        <v>#DIV/0!</v>
      </c>
      <c r="J107" s="129" t="e">
        <f>J55/J7</f>
        <v>#DIV/0!</v>
      </c>
      <c r="K107" s="129" t="e">
        <f t="shared" ref="K107:R107" si="407">K55/K7</f>
        <v>#DIV/0!</v>
      </c>
      <c r="L107" s="129" t="e">
        <f t="shared" si="407"/>
        <v>#DIV/0!</v>
      </c>
      <c r="M107" s="129" t="e">
        <f t="shared" si="407"/>
        <v>#DIV/0!</v>
      </c>
      <c r="N107" s="129" t="e">
        <f t="shared" si="407"/>
        <v>#DIV/0!</v>
      </c>
      <c r="O107" s="129">
        <f t="shared" si="407"/>
        <v>-1.5860927152317881E-2</v>
      </c>
      <c r="P107" s="129">
        <f t="shared" si="407"/>
        <v>6.9258474576271184E-2</v>
      </c>
      <c r="Q107" s="129">
        <f t="shared" si="407"/>
        <v>9.9730458221024262E-2</v>
      </c>
      <c r="R107" s="129">
        <f t="shared" si="407"/>
        <v>9.1452991452991447E-2</v>
      </c>
      <c r="S107" s="129">
        <f t="shared" ref="S107:T107" si="408">S55/S7</f>
        <v>0.12453392990305742</v>
      </c>
      <c r="T107" s="129">
        <f t="shared" si="408"/>
        <v>7.1300448430493268E-2</v>
      </c>
      <c r="U107" s="129">
        <f t="shared" ref="U107" si="409">U55/U7</f>
        <v>1.3614404918752744E-2</v>
      </c>
      <c r="V107" s="101" t="e">
        <f t="shared" si="238"/>
        <v>#NUM!</v>
      </c>
      <c r="W107" s="10"/>
      <c r="X107" s="129">
        <f t="shared" ref="X107" si="410">X55/X7</f>
        <v>7.1300448430493268E-2</v>
      </c>
      <c r="Y107" s="129">
        <f t="shared" ref="Y107:AG107" si="411">Y55/Y7</f>
        <v>7.1300448430493268E-2</v>
      </c>
      <c r="Z107" s="129">
        <f t="shared" si="411"/>
        <v>7.1300448430493268E-2</v>
      </c>
      <c r="AA107" s="129">
        <f t="shared" si="411"/>
        <v>7.1300448430493268E-2</v>
      </c>
      <c r="AB107" s="129">
        <f t="shared" si="411"/>
        <v>7.1300448430493268E-2</v>
      </c>
      <c r="AC107" s="129">
        <f t="shared" si="411"/>
        <v>7.1300448430493268E-2</v>
      </c>
      <c r="AD107" s="129">
        <f t="shared" si="411"/>
        <v>7.1300448430493268E-2</v>
      </c>
      <c r="AE107" s="129">
        <f t="shared" si="411"/>
        <v>7.1300448430493268E-2</v>
      </c>
      <c r="AF107" s="129">
        <f t="shared" si="411"/>
        <v>7.1300448430493268E-2</v>
      </c>
      <c r="AG107" s="129">
        <f t="shared" si="411"/>
        <v>7.1300448430493268E-2</v>
      </c>
      <c r="AH107" s="116" t="e">
        <f t="shared" si="399"/>
        <v>#DIV/0!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412">(G55)/(G7+G10)</f>
        <v>-7.2575757575757578E-3</v>
      </c>
      <c r="H108" s="129" t="e">
        <f t="shared" ref="H108:I108" si="413">(H55)/(H7+H10)</f>
        <v>#DIV/0!</v>
      </c>
      <c r="I108" s="129" t="e">
        <f t="shared" si="413"/>
        <v>#DIV/0!</v>
      </c>
      <c r="J108" s="129" t="e">
        <f>(J55)/(J7+J10)</f>
        <v>#DIV/0!</v>
      </c>
      <c r="K108" s="129" t="e">
        <f t="shared" ref="K108:R108" si="414">(K55)/(K7+K10)</f>
        <v>#DIV/0!</v>
      </c>
      <c r="L108" s="129" t="e">
        <f t="shared" si="414"/>
        <v>#DIV/0!</v>
      </c>
      <c r="M108" s="129" t="e">
        <f t="shared" si="414"/>
        <v>#DIV/0!</v>
      </c>
      <c r="N108" s="129" t="e">
        <f t="shared" si="414"/>
        <v>#DIV/0!</v>
      </c>
      <c r="O108" s="129">
        <f t="shared" si="414"/>
        <v>-7.2575757575757578E-3</v>
      </c>
      <c r="P108" s="129">
        <f t="shared" si="414"/>
        <v>2.4821564160971903E-2</v>
      </c>
      <c r="Q108" s="129">
        <f t="shared" si="414"/>
        <v>4.1248606465997768E-2</v>
      </c>
      <c r="R108" s="129">
        <f t="shared" si="414"/>
        <v>3.5139573070607555E-2</v>
      </c>
      <c r="S108" s="129">
        <f t="shared" ref="S108:T108" si="415">(S55)/(S7+S10)</f>
        <v>3.9913957934990439E-2</v>
      </c>
      <c r="T108" s="129">
        <f t="shared" si="415"/>
        <v>1.8125854993160054E-2</v>
      </c>
      <c r="U108" s="129">
        <f t="shared" ref="U108" si="416">(U55)/(U7+U10)</f>
        <v>2.5487133108608073E-3</v>
      </c>
      <c r="V108" s="101" t="e">
        <f t="shared" si="238"/>
        <v>#NUM!</v>
      </c>
      <c r="W108" s="10"/>
      <c r="X108" s="129">
        <f t="shared" ref="X108:AG108" si="417">(X55)/(X7+X10)</f>
        <v>1.8125854993160054E-2</v>
      </c>
      <c r="Y108" s="129">
        <f t="shared" si="417"/>
        <v>1.8125854993160058E-2</v>
      </c>
      <c r="Z108" s="129">
        <f t="shared" si="417"/>
        <v>1.8125854993160058E-2</v>
      </c>
      <c r="AA108" s="129">
        <f t="shared" si="417"/>
        <v>1.8125854993160054E-2</v>
      </c>
      <c r="AB108" s="129">
        <f t="shared" si="417"/>
        <v>1.8125854993160051E-2</v>
      </c>
      <c r="AC108" s="129">
        <f t="shared" si="417"/>
        <v>1.8125854993160054E-2</v>
      </c>
      <c r="AD108" s="129">
        <f t="shared" si="417"/>
        <v>1.8125854993160051E-2</v>
      </c>
      <c r="AE108" s="129">
        <f t="shared" si="417"/>
        <v>1.8125854993160051E-2</v>
      </c>
      <c r="AF108" s="129">
        <f t="shared" si="417"/>
        <v>1.8125854993160054E-2</v>
      </c>
      <c r="AG108" s="129">
        <f t="shared" si="417"/>
        <v>1.8125854993160054E-2</v>
      </c>
      <c r="AH108" s="116" t="e">
        <f t="shared" si="399"/>
        <v>#DIV/0!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418">G20/G25</f>
        <v>0</v>
      </c>
      <c r="H109" s="129" t="e">
        <f t="shared" ref="H109:I109" si="419">H20/H25</f>
        <v>#DIV/0!</v>
      </c>
      <c r="I109" s="129" t="e">
        <f t="shared" si="419"/>
        <v>#DIV/0!</v>
      </c>
      <c r="J109" s="129" t="e">
        <f>J20/J25</f>
        <v>#DIV/0!</v>
      </c>
      <c r="K109" s="129" t="e">
        <f t="shared" ref="K109:S109" si="420">K20/K25</f>
        <v>#DIV/0!</v>
      </c>
      <c r="L109" s="129" t="e">
        <f t="shared" si="420"/>
        <v>#DIV/0!</v>
      </c>
      <c r="M109" s="129" t="e">
        <f t="shared" si="420"/>
        <v>#DIV/0!</v>
      </c>
      <c r="N109" s="129" t="e">
        <f t="shared" si="420"/>
        <v>#DIV/0!</v>
      </c>
      <c r="O109" s="129">
        <f t="shared" si="420"/>
        <v>0</v>
      </c>
      <c r="P109" s="129">
        <f t="shared" si="420"/>
        <v>0</v>
      </c>
      <c r="Q109" s="129">
        <f t="shared" si="420"/>
        <v>0</v>
      </c>
      <c r="R109" s="129">
        <f t="shared" si="420"/>
        <v>0</v>
      </c>
      <c r="S109" s="129">
        <f t="shared" si="420"/>
        <v>0</v>
      </c>
      <c r="T109" s="129">
        <f t="shared" ref="T109:U109" si="421">T20/T25</f>
        <v>0</v>
      </c>
      <c r="U109" s="129">
        <f t="shared" si="421"/>
        <v>0</v>
      </c>
      <c r="V109" s="101" t="e">
        <f t="shared" si="238"/>
        <v>#DIV/0!</v>
      </c>
      <c r="W109" s="10"/>
      <c r="X109" s="129">
        <f t="shared" ref="X109:AG109" si="422">X20/X25</f>
        <v>0</v>
      </c>
      <c r="Y109" s="129">
        <f t="shared" si="422"/>
        <v>0</v>
      </c>
      <c r="Z109" s="129">
        <f t="shared" si="422"/>
        <v>0</v>
      </c>
      <c r="AA109" s="129">
        <f t="shared" si="422"/>
        <v>0</v>
      </c>
      <c r="AB109" s="129">
        <f t="shared" si="422"/>
        <v>0</v>
      </c>
      <c r="AC109" s="129">
        <f t="shared" si="422"/>
        <v>0</v>
      </c>
      <c r="AD109" s="129">
        <f t="shared" si="422"/>
        <v>0</v>
      </c>
      <c r="AE109" s="129">
        <f t="shared" si="422"/>
        <v>0</v>
      </c>
      <c r="AF109" s="129">
        <f t="shared" si="422"/>
        <v>0</v>
      </c>
      <c r="AG109" s="129">
        <f t="shared" si="422"/>
        <v>0</v>
      </c>
      <c r="AH109" s="116" t="e">
        <f t="shared" si="399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423">G68/G25</f>
        <v>7.3950000000000002E-2</v>
      </c>
      <c r="H110" s="129" t="e">
        <f t="shared" ref="H110:I110" si="424">H68/H25</f>
        <v>#DIV/0!</v>
      </c>
      <c r="I110" s="129" t="e">
        <f t="shared" si="424"/>
        <v>#DIV/0!</v>
      </c>
      <c r="J110" s="129" t="e">
        <f>J68/J25</f>
        <v>#DIV/0!</v>
      </c>
      <c r="K110" s="129" t="e">
        <f t="shared" ref="K110:S110" si="425">K68/K25</f>
        <v>#DIV/0!</v>
      </c>
      <c r="L110" s="129" t="e">
        <f t="shared" si="425"/>
        <v>#DIV/0!</v>
      </c>
      <c r="M110" s="129" t="e">
        <f t="shared" si="425"/>
        <v>#DIV/0!</v>
      </c>
      <c r="N110" s="129" t="e">
        <f t="shared" si="425"/>
        <v>#DIV/0!</v>
      </c>
      <c r="O110" s="129">
        <f t="shared" si="425"/>
        <v>7.3950000000000002E-2</v>
      </c>
      <c r="P110" s="129">
        <f t="shared" si="425"/>
        <v>2.8127208480565373E-2</v>
      </c>
      <c r="Q110" s="129">
        <f t="shared" si="425"/>
        <v>8.2815734989648032E-2</v>
      </c>
      <c r="R110" s="129">
        <f t="shared" si="425"/>
        <v>7.4172185430463583E-2</v>
      </c>
      <c r="S110" s="129">
        <f t="shared" si="425"/>
        <v>8.3408071748878918E-2</v>
      </c>
      <c r="T110" s="129">
        <f t="shared" ref="T110:U110" si="426">T68/T25</f>
        <v>6.0194174757281553E-2</v>
      </c>
      <c r="U110" s="129">
        <f t="shared" si="426"/>
        <v>1.119194180190263E-2</v>
      </c>
      <c r="V110" s="101">
        <f t="shared" si="238"/>
        <v>-1.4593440180319717E-2</v>
      </c>
      <c r="W110" s="10"/>
      <c r="X110" s="129">
        <f t="shared" ref="X110:AG110" si="427">X68/X25</f>
        <v>6.0194174757281539E-2</v>
      </c>
      <c r="Y110" s="129">
        <f t="shared" si="427"/>
        <v>6.0194174757281539E-2</v>
      </c>
      <c r="Z110" s="129">
        <f t="shared" si="427"/>
        <v>6.0194174757281525E-2</v>
      </c>
      <c r="AA110" s="129">
        <f t="shared" si="427"/>
        <v>6.0194174757281532E-2</v>
      </c>
      <c r="AB110" s="129">
        <f t="shared" si="427"/>
        <v>6.0194174757281525E-2</v>
      </c>
      <c r="AC110" s="129">
        <f t="shared" si="427"/>
        <v>6.0194174757281511E-2</v>
      </c>
      <c r="AD110" s="129">
        <f t="shared" si="427"/>
        <v>6.0194174757281525E-2</v>
      </c>
      <c r="AE110" s="129">
        <f t="shared" si="427"/>
        <v>6.0194174757281511E-2</v>
      </c>
      <c r="AF110" s="129">
        <f t="shared" si="427"/>
        <v>6.0194174757281511E-2</v>
      </c>
      <c r="AG110" s="129">
        <f t="shared" si="427"/>
        <v>6.0194174757281498E-2</v>
      </c>
      <c r="AH110" s="116" t="e">
        <f t="shared" si="399"/>
        <v>#DIV/0!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428">G29/G25</f>
        <v>0.32</v>
      </c>
      <c r="H112" s="129" t="e">
        <f t="shared" ref="H112:I112" si="429">H29/H25</f>
        <v>#DIV/0!</v>
      </c>
      <c r="I112" s="129" t="e">
        <f t="shared" si="429"/>
        <v>#DIV/0!</v>
      </c>
      <c r="J112" s="129" t="e">
        <f>J29/J25</f>
        <v>#DIV/0!</v>
      </c>
      <c r="K112" s="129" t="e">
        <f t="shared" ref="K112:S112" si="430">K29/K25</f>
        <v>#DIV/0!</v>
      </c>
      <c r="L112" s="129" t="e">
        <f t="shared" si="430"/>
        <v>#DIV/0!</v>
      </c>
      <c r="M112" s="129" t="e">
        <f t="shared" si="430"/>
        <v>#DIV/0!</v>
      </c>
      <c r="N112" s="129" t="e">
        <f t="shared" si="430"/>
        <v>#DIV/0!</v>
      </c>
      <c r="O112" s="129">
        <f t="shared" si="430"/>
        <v>0.32</v>
      </c>
      <c r="P112" s="129">
        <f t="shared" si="430"/>
        <v>0.38162544169611307</v>
      </c>
      <c r="Q112" s="129">
        <f t="shared" si="430"/>
        <v>0.39130434782608697</v>
      </c>
      <c r="R112" s="129">
        <f t="shared" si="430"/>
        <v>0.39072847682119205</v>
      </c>
      <c r="S112" s="129">
        <f t="shared" si="430"/>
        <v>0.39103139013452914</v>
      </c>
      <c r="T112" s="129">
        <f t="shared" ref="T112:U112" si="431">T29/T25</f>
        <v>0.37281553398058254</v>
      </c>
      <c r="U112" s="129">
        <f t="shared" si="431"/>
        <v>0.37660884163402353</v>
      </c>
      <c r="V112" s="101">
        <f t="shared" si="238"/>
        <v>1.0971374230260178E-2</v>
      </c>
      <c r="W112" s="10"/>
      <c r="X112" s="129">
        <f t="shared" ref="X112:AG112" si="432">X29/X25</f>
        <v>0.37281553398058254</v>
      </c>
      <c r="Y112" s="129">
        <f t="shared" si="432"/>
        <v>0.37281553398058254</v>
      </c>
      <c r="Z112" s="129">
        <f t="shared" si="432"/>
        <v>0.37281553398058254</v>
      </c>
      <c r="AA112" s="129">
        <f t="shared" si="432"/>
        <v>0.37281553398058248</v>
      </c>
      <c r="AB112" s="129">
        <f t="shared" si="432"/>
        <v>0.37281553398058248</v>
      </c>
      <c r="AC112" s="129">
        <f t="shared" si="432"/>
        <v>0.37281553398058248</v>
      </c>
      <c r="AD112" s="129">
        <f t="shared" si="432"/>
        <v>0.37281553398058243</v>
      </c>
      <c r="AE112" s="129">
        <f t="shared" si="432"/>
        <v>0.37281553398058237</v>
      </c>
      <c r="AF112" s="129">
        <f t="shared" si="432"/>
        <v>0.37281553398058237</v>
      </c>
      <c r="AG112" s="129">
        <f t="shared" si="432"/>
        <v>0.37281553398058243</v>
      </c>
      <c r="AH112" s="116" t="e">
        <f t="shared" si="399"/>
        <v>#DIV/0!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433">G29/G51</f>
        <v>0.79158936301793448</v>
      </c>
      <c r="H113" s="129" t="e">
        <f t="shared" ref="H113:I113" si="434">H29/H51</f>
        <v>#DIV/0!</v>
      </c>
      <c r="I113" s="129" t="e">
        <f t="shared" si="434"/>
        <v>#DIV/0!</v>
      </c>
      <c r="J113" s="129" t="e">
        <f>J29/J51</f>
        <v>#DIV/0!</v>
      </c>
      <c r="K113" s="129" t="e">
        <f t="shared" ref="K113:S113" si="435">K29/K51</f>
        <v>#DIV/0!</v>
      </c>
      <c r="L113" s="129" t="e">
        <f t="shared" si="435"/>
        <v>#DIV/0!</v>
      </c>
      <c r="M113" s="129" t="e">
        <f t="shared" si="435"/>
        <v>#DIV/0!</v>
      </c>
      <c r="N113" s="129" t="e">
        <f t="shared" si="435"/>
        <v>#DIV/0!</v>
      </c>
      <c r="O113" s="129">
        <f t="shared" si="435"/>
        <v>0.79158936301793448</v>
      </c>
      <c r="P113" s="129">
        <f t="shared" si="435"/>
        <v>0.70129870129870131</v>
      </c>
      <c r="Q113" s="129">
        <f t="shared" si="435"/>
        <v>0.61363636363636365</v>
      </c>
      <c r="R113" s="129">
        <f t="shared" si="435"/>
        <v>0.63440860215053763</v>
      </c>
      <c r="S113" s="129">
        <f t="shared" si="435"/>
        <v>0.61756373937677056</v>
      </c>
      <c r="T113" s="129">
        <f t="shared" ref="T113:U113" si="436">T29/T51</f>
        <v>0.65903890160183065</v>
      </c>
      <c r="U113" s="129">
        <f t="shared" si="436"/>
        <v>0.8288177339901478</v>
      </c>
      <c r="V113" s="101">
        <f t="shared" si="238"/>
        <v>-1.3004713521104216E-2</v>
      </c>
      <c r="W113" s="10"/>
      <c r="X113" s="129">
        <f t="shared" ref="X113:AG113" si="437">X29/X51</f>
        <v>0.65903890160183065</v>
      </c>
      <c r="Y113" s="129">
        <f t="shared" si="437"/>
        <v>0.65903890160183065</v>
      </c>
      <c r="Z113" s="129">
        <f t="shared" si="437"/>
        <v>0.65903890160183065</v>
      </c>
      <c r="AA113" s="129">
        <f t="shared" si="437"/>
        <v>0.65903890160183065</v>
      </c>
      <c r="AB113" s="129">
        <f t="shared" si="437"/>
        <v>0.65903890160183054</v>
      </c>
      <c r="AC113" s="129">
        <f t="shared" si="437"/>
        <v>0.65903890160183054</v>
      </c>
      <c r="AD113" s="129">
        <f t="shared" si="437"/>
        <v>0.65903890160183054</v>
      </c>
      <c r="AE113" s="129">
        <f t="shared" si="437"/>
        <v>0.65903890160183054</v>
      </c>
      <c r="AF113" s="129">
        <f t="shared" si="437"/>
        <v>0.65903890160183043</v>
      </c>
      <c r="AG113" s="129">
        <f t="shared" si="437"/>
        <v>0.65903890160183054</v>
      </c>
      <c r="AH113" s="116" t="e">
        <f t="shared" ref="AH113" si="438">((AG113/J113)^(1/($AG$3-$K$1) ))-1</f>
        <v>#DIV/0!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439">G29/G55</f>
        <v>-13.361169102296451</v>
      </c>
      <c r="H114" s="148" t="e">
        <f t="shared" ref="H114:I114" si="440">H29/H55</f>
        <v>#DIV/0!</v>
      </c>
      <c r="I114" s="148" t="e">
        <f t="shared" si="440"/>
        <v>#DIV/0!</v>
      </c>
      <c r="J114" s="148" t="e">
        <f t="shared" ref="J114:S114" si="441">J29/J55</f>
        <v>#DIV/0!</v>
      </c>
      <c r="K114" s="148" t="e">
        <f t="shared" si="441"/>
        <v>#DIV/0!</v>
      </c>
      <c r="L114" s="148" t="e">
        <f t="shared" si="441"/>
        <v>#DIV/0!</v>
      </c>
      <c r="M114" s="148" t="e">
        <f t="shared" si="441"/>
        <v>#DIV/0!</v>
      </c>
      <c r="N114" s="148" t="e">
        <f t="shared" si="441"/>
        <v>#DIV/0!</v>
      </c>
      <c r="O114" s="148">
        <f t="shared" si="441"/>
        <v>-13.361169102296451</v>
      </c>
      <c r="P114" s="148">
        <f t="shared" si="441"/>
        <v>3.3037626185377795</v>
      </c>
      <c r="Q114" s="148">
        <f t="shared" si="441"/>
        <v>2.5540540540540539</v>
      </c>
      <c r="R114" s="148">
        <f t="shared" si="441"/>
        <v>2.7570093457943927</v>
      </c>
      <c r="S114" s="148">
        <f t="shared" si="441"/>
        <v>2.6107784431137726</v>
      </c>
      <c r="T114" s="148">
        <f t="shared" ref="T114:U114" si="442">T29/T55</f>
        <v>3.6226415094339623</v>
      </c>
      <c r="U114" s="148">
        <f t="shared" si="442"/>
        <v>21.70967741935484</v>
      </c>
      <c r="V114" s="101" t="e">
        <f t="shared" si="238"/>
        <v>#NUM!</v>
      </c>
      <c r="W114" s="10"/>
      <c r="X114" s="148">
        <f t="shared" ref="X114:AG114" si="443">X29/X55</f>
        <v>3.6226415094339623</v>
      </c>
      <c r="Y114" s="148">
        <f t="shared" si="443"/>
        <v>3.6226415094339619</v>
      </c>
      <c r="Z114" s="148">
        <f t="shared" si="443"/>
        <v>3.6226415094339619</v>
      </c>
      <c r="AA114" s="148">
        <f t="shared" si="443"/>
        <v>3.6226415094339619</v>
      </c>
      <c r="AB114" s="148">
        <f t="shared" si="443"/>
        <v>3.6226415094339619</v>
      </c>
      <c r="AC114" s="148">
        <f t="shared" si="443"/>
        <v>3.6226415094339619</v>
      </c>
      <c r="AD114" s="148">
        <f t="shared" si="443"/>
        <v>3.6226415094339619</v>
      </c>
      <c r="AE114" s="148">
        <f t="shared" si="443"/>
        <v>3.6226415094339619</v>
      </c>
      <c r="AF114" s="148">
        <f t="shared" si="443"/>
        <v>3.6226415094339619</v>
      </c>
      <c r="AG114" s="148">
        <f t="shared" si="443"/>
        <v>3.6226415094339619</v>
      </c>
      <c r="AH114" s="116" t="e">
        <f t="shared" ref="AH114" si="444">((AG114/J114)^(1/($AG$3-$K$1) ))-1</f>
        <v>#DIV/0!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>
        <f t="shared" ref="G115" si="445">G29/G12</f>
        <v>0.34594594594594597</v>
      </c>
      <c r="H115" s="148" t="e">
        <f t="shared" ref="H115:I115" si="446">H29/H12</f>
        <v>#DIV/0!</v>
      </c>
      <c r="I115" s="148" t="e">
        <f t="shared" si="446"/>
        <v>#DIV/0!</v>
      </c>
      <c r="J115" s="148" t="e">
        <f t="shared" ref="J115:S115" si="447">J29/J12</f>
        <v>#DIV/0!</v>
      </c>
      <c r="K115" s="148" t="e">
        <f t="shared" si="447"/>
        <v>#DIV/0!</v>
      </c>
      <c r="L115" s="148" t="e">
        <f t="shared" si="447"/>
        <v>#DIV/0!</v>
      </c>
      <c r="M115" s="148" t="e">
        <f t="shared" si="447"/>
        <v>#DIV/0!</v>
      </c>
      <c r="N115" s="148" t="e">
        <f t="shared" si="447"/>
        <v>#DIV/0!</v>
      </c>
      <c r="O115" s="148">
        <f t="shared" si="447"/>
        <v>0.34594594594594597</v>
      </c>
      <c r="P115" s="148">
        <f t="shared" si="447"/>
        <v>0.24215246636771301</v>
      </c>
      <c r="Q115" s="148">
        <f t="shared" si="447"/>
        <v>0.45542168674698796</v>
      </c>
      <c r="R115" s="148">
        <f t="shared" si="447"/>
        <v>0.52867383512544808</v>
      </c>
      <c r="S115" s="148">
        <f t="shared" si="447"/>
        <v>0.4604012671594509</v>
      </c>
      <c r="T115" s="148">
        <f t="shared" ref="T115:U115" si="448">T29/T12</f>
        <v>0.54084507042253516</v>
      </c>
      <c r="U115" s="148">
        <f t="shared" si="448"/>
        <v>0.56459731543624159</v>
      </c>
      <c r="V115" s="101">
        <f t="shared" si="238"/>
        <v>3.2432718763945712E-2</v>
      </c>
      <c r="W115" s="10"/>
      <c r="X115" s="129">
        <f t="shared" ref="X115:AG115" si="449">X29/X12</f>
        <v>0.54084507042253516</v>
      </c>
      <c r="Y115" s="129">
        <f t="shared" si="449"/>
        <v>0.54084507042253516</v>
      </c>
      <c r="Z115" s="129">
        <f t="shared" si="449"/>
        <v>0.54084507042253516</v>
      </c>
      <c r="AA115" s="129">
        <f t="shared" si="449"/>
        <v>0.54084507042253516</v>
      </c>
      <c r="AB115" s="129">
        <f t="shared" si="449"/>
        <v>0.54084507042253505</v>
      </c>
      <c r="AC115" s="129">
        <f t="shared" si="449"/>
        <v>0.54084507042253516</v>
      </c>
      <c r="AD115" s="129">
        <f t="shared" si="449"/>
        <v>0.54084507042253505</v>
      </c>
      <c r="AE115" s="129">
        <f t="shared" si="449"/>
        <v>0.54084507042253505</v>
      </c>
      <c r="AF115" s="129">
        <f t="shared" si="449"/>
        <v>0.54084507042253516</v>
      </c>
      <c r="AG115" s="129">
        <f t="shared" si="449"/>
        <v>0.54084507042253516</v>
      </c>
      <c r="AH115" s="116" t="e">
        <f t="shared" si="399"/>
        <v>#DIV/0!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450">G29/G23</f>
        <v>#DIV/0!</v>
      </c>
      <c r="H116" s="148" t="e">
        <f t="shared" ref="H116:I116" si="451">H29/H23</f>
        <v>#DIV/0!</v>
      </c>
      <c r="I116" s="148" t="e">
        <f t="shared" si="451"/>
        <v>#DIV/0!</v>
      </c>
      <c r="J116" s="148" t="e">
        <f>J29/J23</f>
        <v>#DIV/0!</v>
      </c>
      <c r="K116" s="148" t="e">
        <f t="shared" ref="K116:S116" si="452">K29/K23</f>
        <v>#DIV/0!</v>
      </c>
      <c r="L116" s="148" t="e">
        <f t="shared" si="452"/>
        <v>#DIV/0!</v>
      </c>
      <c r="M116" s="148" t="e">
        <f t="shared" si="452"/>
        <v>#DIV/0!</v>
      </c>
      <c r="N116" s="148" t="e">
        <f t="shared" si="452"/>
        <v>#DIV/0!</v>
      </c>
      <c r="O116" s="148" t="e">
        <f t="shared" si="452"/>
        <v>#DIV/0!</v>
      </c>
      <c r="P116" s="148" t="e">
        <f t="shared" si="452"/>
        <v>#DIV/0!</v>
      </c>
      <c r="Q116" s="148" t="e">
        <f t="shared" si="452"/>
        <v>#DIV/0!</v>
      </c>
      <c r="R116" s="148" t="e">
        <f t="shared" si="452"/>
        <v>#DIV/0!</v>
      </c>
      <c r="S116" s="148" t="e">
        <f t="shared" si="452"/>
        <v>#DIV/0!</v>
      </c>
      <c r="T116" s="148" t="e">
        <f t="shared" ref="T116:U116" si="453">T29/T23</f>
        <v>#DIV/0!</v>
      </c>
      <c r="U116" s="148" t="e">
        <f t="shared" si="453"/>
        <v>#DIV/0!</v>
      </c>
      <c r="V116" s="101" t="e">
        <f t="shared" si="238"/>
        <v>#DIV/0!</v>
      </c>
      <c r="W116" s="10"/>
      <c r="X116" s="148" t="e">
        <f t="shared" ref="X116:AG116" si="454">X29/X23</f>
        <v>#DIV/0!</v>
      </c>
      <c r="Y116" s="148" t="e">
        <f t="shared" si="454"/>
        <v>#DIV/0!</v>
      </c>
      <c r="Z116" s="148" t="e">
        <f t="shared" si="454"/>
        <v>#DIV/0!</v>
      </c>
      <c r="AA116" s="148" t="e">
        <f t="shared" si="454"/>
        <v>#DIV/0!</v>
      </c>
      <c r="AB116" s="148" t="e">
        <f t="shared" si="454"/>
        <v>#DIV/0!</v>
      </c>
      <c r="AC116" s="148" t="e">
        <f t="shared" si="454"/>
        <v>#DIV/0!</v>
      </c>
      <c r="AD116" s="148" t="e">
        <f t="shared" si="454"/>
        <v>#DIV/0!</v>
      </c>
      <c r="AE116" s="148" t="e">
        <f t="shared" si="454"/>
        <v>#DIV/0!</v>
      </c>
      <c r="AF116" s="148" t="e">
        <f t="shared" si="454"/>
        <v>#DIV/0!</v>
      </c>
      <c r="AG116" s="148" t="e">
        <f t="shared" si="454"/>
        <v>#DIV/0!</v>
      </c>
      <c r="AH116" s="116" t="e">
        <f t="shared" ref="AH116" si="455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456">1/G112</f>
        <v>3.125</v>
      </c>
      <c r="H118" s="109" t="e">
        <f t="shared" ref="H118:I118" si="457">1/H112</f>
        <v>#DIV/0!</v>
      </c>
      <c r="I118" s="109" t="e">
        <f t="shared" si="457"/>
        <v>#DIV/0!</v>
      </c>
      <c r="J118" s="109" t="e">
        <f>1/J112</f>
        <v>#DIV/0!</v>
      </c>
      <c r="K118" s="109" t="e">
        <f t="shared" ref="K118:S118" si="458">1/K112</f>
        <v>#DIV/0!</v>
      </c>
      <c r="L118" s="109" t="e">
        <f t="shared" si="458"/>
        <v>#DIV/0!</v>
      </c>
      <c r="M118" s="109" t="e">
        <f t="shared" si="458"/>
        <v>#DIV/0!</v>
      </c>
      <c r="N118" s="109" t="e">
        <f t="shared" si="458"/>
        <v>#DIV/0!</v>
      </c>
      <c r="O118" s="109">
        <f t="shared" si="458"/>
        <v>3.125</v>
      </c>
      <c r="P118" s="109">
        <f t="shared" si="458"/>
        <v>2.6203703703703702</v>
      </c>
      <c r="Q118" s="109">
        <f t="shared" si="458"/>
        <v>2.5555555555555554</v>
      </c>
      <c r="R118" s="109">
        <f t="shared" si="458"/>
        <v>2.5593220338983049</v>
      </c>
      <c r="S118" s="109">
        <f t="shared" si="458"/>
        <v>2.5573394495412844</v>
      </c>
      <c r="T118" s="109">
        <f t="shared" ref="T118:U118" si="459">1/T112</f>
        <v>2.6822916666666665</v>
      </c>
      <c r="U118" s="109">
        <f t="shared" si="459"/>
        <v>2.6552748885586923</v>
      </c>
      <c r="V118" s="101">
        <f t="shared" si="238"/>
        <v>-1.0852309481674149E-2</v>
      </c>
      <c r="W118" s="10"/>
      <c r="X118" s="109">
        <f t="shared" ref="X118:AG118" si="460">1/X112</f>
        <v>2.6822916666666665</v>
      </c>
      <c r="Y118" s="109">
        <f t="shared" si="460"/>
        <v>2.6822916666666665</v>
      </c>
      <c r="Z118" s="109">
        <f t="shared" si="460"/>
        <v>2.6822916666666665</v>
      </c>
      <c r="AA118" s="109">
        <f t="shared" si="460"/>
        <v>2.682291666666667</v>
      </c>
      <c r="AB118" s="109">
        <f t="shared" si="460"/>
        <v>2.682291666666667</v>
      </c>
      <c r="AC118" s="109">
        <f t="shared" si="460"/>
        <v>2.682291666666667</v>
      </c>
      <c r="AD118" s="109">
        <f t="shared" si="460"/>
        <v>2.6822916666666674</v>
      </c>
      <c r="AE118" s="109">
        <f t="shared" si="460"/>
        <v>2.6822916666666679</v>
      </c>
      <c r="AF118" s="109">
        <f t="shared" si="460"/>
        <v>2.6822916666666679</v>
      </c>
      <c r="AG118" s="109">
        <f t="shared" si="460"/>
        <v>2.6822916666666674</v>
      </c>
      <c r="AH118" s="116" t="e">
        <f t="shared" si="399"/>
        <v>#DIV/0!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461">1/G113</f>
        <v>1.2632812499999999</v>
      </c>
      <c r="H119" s="109" t="e">
        <f t="shared" ref="H119:I119" si="462">1/H113</f>
        <v>#DIV/0!</v>
      </c>
      <c r="I119" s="109" t="e">
        <f t="shared" si="462"/>
        <v>#DIV/0!</v>
      </c>
      <c r="J119" s="109" t="e">
        <f t="shared" ref="J119:S122" si="463">1/J113</f>
        <v>#DIV/0!</v>
      </c>
      <c r="K119" s="109" t="e">
        <f t="shared" si="463"/>
        <v>#DIV/0!</v>
      </c>
      <c r="L119" s="109" t="e">
        <f t="shared" si="463"/>
        <v>#DIV/0!</v>
      </c>
      <c r="M119" s="109" t="e">
        <f t="shared" si="463"/>
        <v>#DIV/0!</v>
      </c>
      <c r="N119" s="109" t="e">
        <f t="shared" si="463"/>
        <v>#DIV/0!</v>
      </c>
      <c r="O119" s="109">
        <f t="shared" si="463"/>
        <v>1.2632812499999999</v>
      </c>
      <c r="P119" s="109">
        <f t="shared" si="463"/>
        <v>1.4259259259259258</v>
      </c>
      <c r="Q119" s="109">
        <f t="shared" si="463"/>
        <v>1.6296296296296295</v>
      </c>
      <c r="R119" s="109">
        <f t="shared" si="463"/>
        <v>1.576271186440678</v>
      </c>
      <c r="S119" s="109">
        <f t="shared" si="463"/>
        <v>1.6192660550458715</v>
      </c>
      <c r="T119" s="109">
        <f t="shared" ref="T119:U119" si="464">1/T113</f>
        <v>1.5173611111111112</v>
      </c>
      <c r="U119" s="109">
        <f t="shared" si="464"/>
        <v>1.2065378900445765</v>
      </c>
      <c r="V119" s="101">
        <f t="shared" si="238"/>
        <v>1.317606446480446E-2</v>
      </c>
      <c r="W119" s="10"/>
      <c r="X119" s="109">
        <f t="shared" ref="X119:AG119" si="465">1/X113</f>
        <v>1.5173611111111112</v>
      </c>
      <c r="Y119" s="109">
        <f t="shared" si="465"/>
        <v>1.5173611111111112</v>
      </c>
      <c r="Z119" s="109">
        <f t="shared" si="465"/>
        <v>1.5173611111111112</v>
      </c>
      <c r="AA119" s="109">
        <f t="shared" si="465"/>
        <v>1.5173611111111112</v>
      </c>
      <c r="AB119" s="109">
        <f t="shared" si="465"/>
        <v>1.5173611111111114</v>
      </c>
      <c r="AC119" s="109">
        <f t="shared" si="465"/>
        <v>1.5173611111111114</v>
      </c>
      <c r="AD119" s="109">
        <f t="shared" si="465"/>
        <v>1.5173611111111114</v>
      </c>
      <c r="AE119" s="109">
        <f t="shared" si="465"/>
        <v>1.5173611111111114</v>
      </c>
      <c r="AF119" s="109">
        <f t="shared" si="465"/>
        <v>1.5173611111111116</v>
      </c>
      <c r="AG119" s="109">
        <f t="shared" si="465"/>
        <v>1.5173611111111114</v>
      </c>
      <c r="AH119" s="116" t="e">
        <f t="shared" si="399"/>
        <v>#DIV/0!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466">1/G114</f>
        <v>-7.4843750000000001E-2</v>
      </c>
      <c r="H120" s="109" t="e">
        <f t="shared" ref="H120:I120" si="467">1/H114</f>
        <v>#DIV/0!</v>
      </c>
      <c r="I120" s="109" t="e">
        <f t="shared" si="467"/>
        <v>#DIV/0!</v>
      </c>
      <c r="J120" s="109" t="e">
        <f t="shared" si="463"/>
        <v>#DIV/0!</v>
      </c>
      <c r="K120" s="109" t="e">
        <f t="shared" si="463"/>
        <v>#DIV/0!</v>
      </c>
      <c r="L120" s="109" t="e">
        <f t="shared" si="463"/>
        <v>#DIV/0!</v>
      </c>
      <c r="M120" s="109" t="e">
        <f t="shared" si="463"/>
        <v>#DIV/0!</v>
      </c>
      <c r="N120" s="109" t="e">
        <f t="shared" si="463"/>
        <v>#DIV/0!</v>
      </c>
      <c r="O120" s="109">
        <f t="shared" si="463"/>
        <v>-7.4843750000000001E-2</v>
      </c>
      <c r="P120" s="109">
        <f t="shared" si="463"/>
        <v>0.30268518518518517</v>
      </c>
      <c r="Q120" s="109">
        <f t="shared" si="463"/>
        <v>0.39153439153439157</v>
      </c>
      <c r="R120" s="109">
        <f t="shared" si="463"/>
        <v>0.36271186440677966</v>
      </c>
      <c r="S120" s="109">
        <f t="shared" si="463"/>
        <v>0.3830275229357798</v>
      </c>
      <c r="T120" s="109">
        <f t="shared" ref="T120:U120" si="468">1/T114</f>
        <v>0.27604166666666669</v>
      </c>
      <c r="U120" s="109">
        <f t="shared" si="468"/>
        <v>4.6062407132243681E-2</v>
      </c>
      <c r="V120" s="101" t="e">
        <f t="shared" si="238"/>
        <v>#NUM!</v>
      </c>
      <c r="W120" s="10"/>
      <c r="X120" s="109">
        <f t="shared" ref="X120:AG120" si="469">1/X114</f>
        <v>0.27604166666666669</v>
      </c>
      <c r="Y120" s="109">
        <f t="shared" si="469"/>
        <v>0.27604166666666669</v>
      </c>
      <c r="Z120" s="109">
        <f t="shared" si="469"/>
        <v>0.27604166666666669</v>
      </c>
      <c r="AA120" s="109">
        <f t="shared" si="469"/>
        <v>0.27604166666666669</v>
      </c>
      <c r="AB120" s="109">
        <f t="shared" si="469"/>
        <v>0.27604166666666669</v>
      </c>
      <c r="AC120" s="109">
        <f t="shared" si="469"/>
        <v>0.27604166666666669</v>
      </c>
      <c r="AD120" s="109">
        <f t="shared" si="469"/>
        <v>0.27604166666666669</v>
      </c>
      <c r="AE120" s="109">
        <f t="shared" si="469"/>
        <v>0.27604166666666669</v>
      </c>
      <c r="AF120" s="109">
        <f t="shared" si="469"/>
        <v>0.27604166666666669</v>
      </c>
      <c r="AG120" s="109">
        <f t="shared" si="469"/>
        <v>0.27604166666666669</v>
      </c>
      <c r="AH120" s="116" t="e">
        <f t="shared" si="399"/>
        <v>#DIV/0!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470">1/G115</f>
        <v>2.890625</v>
      </c>
      <c r="H121" s="109" t="e">
        <f t="shared" ref="H121:I121" si="471">1/H115</f>
        <v>#DIV/0!</v>
      </c>
      <c r="I121" s="109" t="e">
        <f t="shared" si="471"/>
        <v>#DIV/0!</v>
      </c>
      <c r="J121" s="109" t="e">
        <f t="shared" si="463"/>
        <v>#DIV/0!</v>
      </c>
      <c r="K121" s="109" t="e">
        <f t="shared" si="463"/>
        <v>#DIV/0!</v>
      </c>
      <c r="L121" s="109" t="e">
        <f t="shared" si="463"/>
        <v>#DIV/0!</v>
      </c>
      <c r="M121" s="109" t="e">
        <f t="shared" si="463"/>
        <v>#DIV/0!</v>
      </c>
      <c r="N121" s="109" t="e">
        <f t="shared" si="463"/>
        <v>#DIV/0!</v>
      </c>
      <c r="O121" s="109">
        <f t="shared" si="463"/>
        <v>2.890625</v>
      </c>
      <c r="P121" s="109">
        <f t="shared" si="463"/>
        <v>4.1296296296296298</v>
      </c>
      <c r="Q121" s="109">
        <f t="shared" si="463"/>
        <v>2.1957671957671958</v>
      </c>
      <c r="R121" s="109">
        <f t="shared" si="463"/>
        <v>1.8915254237288135</v>
      </c>
      <c r="S121" s="109">
        <f t="shared" si="463"/>
        <v>2.1720183486238533</v>
      </c>
      <c r="T121" s="109">
        <f t="shared" ref="T121:U121" si="472">1/T115</f>
        <v>1.8489583333333335</v>
      </c>
      <c r="U121" s="109">
        <f t="shared" si="472"/>
        <v>1.7711738484398218</v>
      </c>
      <c r="V121" s="101">
        <f t="shared" si="238"/>
        <v>-3.141388119002575E-2</v>
      </c>
      <c r="W121" s="10"/>
      <c r="X121" s="109">
        <f t="shared" ref="X121:AG121" si="473">1/X115</f>
        <v>1.8489583333333335</v>
      </c>
      <c r="Y121" s="109">
        <f t="shared" si="473"/>
        <v>1.8489583333333335</v>
      </c>
      <c r="Z121" s="109">
        <f t="shared" si="473"/>
        <v>1.8489583333333335</v>
      </c>
      <c r="AA121" s="109">
        <f t="shared" si="473"/>
        <v>1.8489583333333335</v>
      </c>
      <c r="AB121" s="109">
        <f t="shared" si="473"/>
        <v>1.8489583333333339</v>
      </c>
      <c r="AC121" s="109">
        <f t="shared" si="473"/>
        <v>1.8489583333333335</v>
      </c>
      <c r="AD121" s="109">
        <f t="shared" si="473"/>
        <v>1.8489583333333339</v>
      </c>
      <c r="AE121" s="109">
        <f t="shared" si="473"/>
        <v>1.8489583333333339</v>
      </c>
      <c r="AF121" s="109">
        <f t="shared" si="473"/>
        <v>1.8489583333333335</v>
      </c>
      <c r="AG121" s="109">
        <f t="shared" si="473"/>
        <v>1.8489583333333335</v>
      </c>
      <c r="AH121" s="116" t="e">
        <f t="shared" si="399"/>
        <v>#DIV/0!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74">1/G116</f>
        <v>#DIV/0!</v>
      </c>
      <c r="H122" s="109" t="e">
        <f t="shared" ref="H122:I122" si="475">1/H116</f>
        <v>#DIV/0!</v>
      </c>
      <c r="I122" s="109" t="e">
        <f t="shared" si="475"/>
        <v>#DIV/0!</v>
      </c>
      <c r="J122" s="109" t="e">
        <f t="shared" si="463"/>
        <v>#DIV/0!</v>
      </c>
      <c r="K122" s="109" t="e">
        <f t="shared" si="463"/>
        <v>#DIV/0!</v>
      </c>
      <c r="L122" s="109" t="e">
        <f t="shared" si="463"/>
        <v>#DIV/0!</v>
      </c>
      <c r="M122" s="109" t="e">
        <f t="shared" si="463"/>
        <v>#DIV/0!</v>
      </c>
      <c r="N122" s="109" t="e">
        <f t="shared" si="463"/>
        <v>#DIV/0!</v>
      </c>
      <c r="O122" s="109" t="e">
        <f t="shared" si="463"/>
        <v>#DIV/0!</v>
      </c>
      <c r="P122" s="109" t="e">
        <f t="shared" si="463"/>
        <v>#DIV/0!</v>
      </c>
      <c r="Q122" s="109" t="e">
        <f t="shared" si="463"/>
        <v>#DIV/0!</v>
      </c>
      <c r="R122" s="109" t="e">
        <f t="shared" si="463"/>
        <v>#DIV/0!</v>
      </c>
      <c r="S122" s="109" t="e">
        <f t="shared" si="463"/>
        <v>#DIV/0!</v>
      </c>
      <c r="T122" s="109" t="e">
        <f t="shared" ref="T122:U122" si="476">1/T116</f>
        <v>#DIV/0!</v>
      </c>
      <c r="U122" s="109" t="e">
        <f t="shared" si="476"/>
        <v>#DIV/0!</v>
      </c>
      <c r="V122" s="101" t="e">
        <f t="shared" si="238"/>
        <v>#DIV/0!</v>
      </c>
      <c r="W122" s="10"/>
      <c r="X122" s="109" t="e">
        <f t="shared" ref="X122:AG122" si="477">1/X116</f>
        <v>#DIV/0!</v>
      </c>
      <c r="Y122" s="109" t="e">
        <f t="shared" si="477"/>
        <v>#DIV/0!</v>
      </c>
      <c r="Z122" s="109" t="e">
        <f t="shared" si="477"/>
        <v>#DIV/0!</v>
      </c>
      <c r="AA122" s="109" t="e">
        <f t="shared" si="477"/>
        <v>#DIV/0!</v>
      </c>
      <c r="AB122" s="109" t="e">
        <f t="shared" si="477"/>
        <v>#DIV/0!</v>
      </c>
      <c r="AC122" s="109" t="e">
        <f t="shared" si="477"/>
        <v>#DIV/0!</v>
      </c>
      <c r="AD122" s="109" t="e">
        <f t="shared" si="477"/>
        <v>#DIV/0!</v>
      </c>
      <c r="AE122" s="109" t="e">
        <f t="shared" si="477"/>
        <v>#DIV/0!</v>
      </c>
      <c r="AF122" s="109" t="e">
        <f t="shared" si="477"/>
        <v>#DIV/0!</v>
      </c>
      <c r="AG122" s="109" t="e">
        <f t="shared" si="477"/>
        <v>#DIV/0!</v>
      </c>
      <c r="AH122" s="116" t="e">
        <f t="shared" si="399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2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78">G25/(G36+G38)</f>
        <v>#DIV/0!</v>
      </c>
      <c r="H124" s="148" t="e">
        <f t="shared" ref="H124:I124" si="479">H25/(H36+H38)</f>
        <v>#DIV/0!</v>
      </c>
      <c r="I124" s="148" t="e">
        <f t="shared" si="479"/>
        <v>#DIV/0!</v>
      </c>
      <c r="J124" s="148" t="e">
        <f t="shared" ref="J124:T124" si="480">J25/(J36+J38)</f>
        <v>#DIV/0!</v>
      </c>
      <c r="K124" s="148" t="e">
        <f t="shared" si="480"/>
        <v>#DIV/0!</v>
      </c>
      <c r="L124" s="148" t="e">
        <f t="shared" si="480"/>
        <v>#DIV/0!</v>
      </c>
      <c r="M124" s="148" t="e">
        <f t="shared" si="480"/>
        <v>#DIV/0!</v>
      </c>
      <c r="N124" s="148" t="e">
        <f t="shared" si="480"/>
        <v>#DIV/0!</v>
      </c>
      <c r="O124" s="148" t="e">
        <f t="shared" si="480"/>
        <v>#DIV/0!</v>
      </c>
      <c r="P124" s="148" t="e">
        <f t="shared" si="480"/>
        <v>#DIV/0!</v>
      </c>
      <c r="Q124" s="148" t="e">
        <f t="shared" si="480"/>
        <v>#DIV/0!</v>
      </c>
      <c r="R124" s="148" t="e">
        <f t="shared" si="480"/>
        <v>#DIV/0!</v>
      </c>
      <c r="S124" s="148" t="e">
        <f t="shared" si="480"/>
        <v>#DIV/0!</v>
      </c>
      <c r="T124" s="148" t="e">
        <f t="shared" si="480"/>
        <v>#DIV/0!</v>
      </c>
      <c r="U124" s="148">
        <f t="shared" ref="U124" si="481">U25/(U36+U38)</f>
        <v>1787</v>
      </c>
      <c r="V124" s="101" t="e">
        <f t="shared" si="238"/>
        <v>#DIV/0!</v>
      </c>
      <c r="W124" s="10"/>
      <c r="X124" s="148" t="e">
        <f t="shared" ref="X124:AG124" si="482">X25/(X36+X38)</f>
        <v>#DIV/0!</v>
      </c>
      <c r="Y124" s="148" t="e">
        <f t="shared" si="482"/>
        <v>#DIV/0!</v>
      </c>
      <c r="Z124" s="148" t="e">
        <f t="shared" si="482"/>
        <v>#DIV/0!</v>
      </c>
      <c r="AA124" s="148" t="e">
        <f t="shared" si="482"/>
        <v>#DIV/0!</v>
      </c>
      <c r="AB124" s="148" t="e">
        <f t="shared" si="482"/>
        <v>#DIV/0!</v>
      </c>
      <c r="AC124" s="148" t="e">
        <f t="shared" si="482"/>
        <v>#DIV/0!</v>
      </c>
      <c r="AD124" s="148" t="e">
        <f t="shared" si="482"/>
        <v>#DIV/0!</v>
      </c>
      <c r="AE124" s="148" t="e">
        <f t="shared" si="482"/>
        <v>#DIV/0!</v>
      </c>
      <c r="AF124" s="148" t="e">
        <f t="shared" si="482"/>
        <v>#DIV/0!</v>
      </c>
      <c r="AG124" s="148" t="e">
        <f t="shared" si="482"/>
        <v>#DIV/0!</v>
      </c>
      <c r="AH124" s="116" t="e">
        <f t="shared" ref="AH124:AH132" si="483">((AG124/J124)^(1/($AG$3-$K$1) ))-1</f>
        <v>#DIV/0!</v>
      </c>
      <c r="AI124" s="124"/>
      <c r="AJ124" s="124"/>
    </row>
    <row r="125" spans="1:36" ht="12" customHeight="1">
      <c r="A125" s="302"/>
      <c r="B125" s="179" t="s">
        <v>425</v>
      </c>
      <c r="C125" s="129"/>
      <c r="D125" s="129"/>
      <c r="E125" s="129"/>
      <c r="F125" s="148"/>
      <c r="G125" s="148" t="e">
        <f t="shared" ref="G125" si="484">G25/G43</f>
        <v>#DIV/0!</v>
      </c>
      <c r="H125" s="148" t="e">
        <f t="shared" ref="H125:I125" si="485">H25/H43</f>
        <v>#DIV/0!</v>
      </c>
      <c r="I125" s="148" t="e">
        <f t="shared" si="485"/>
        <v>#DIV/0!</v>
      </c>
      <c r="J125" s="148" t="e">
        <f t="shared" ref="J125:T125" si="486">J25/J43</f>
        <v>#DIV/0!</v>
      </c>
      <c r="K125" s="148" t="e">
        <f t="shared" si="486"/>
        <v>#DIV/0!</v>
      </c>
      <c r="L125" s="148" t="e">
        <f t="shared" si="486"/>
        <v>#DIV/0!</v>
      </c>
      <c r="M125" s="148" t="e">
        <f t="shared" si="486"/>
        <v>#DIV/0!</v>
      </c>
      <c r="N125" s="148" t="e">
        <f t="shared" si="486"/>
        <v>#DIV/0!</v>
      </c>
      <c r="O125" s="148" t="e">
        <f t="shared" si="486"/>
        <v>#DIV/0!</v>
      </c>
      <c r="P125" s="148" t="e">
        <f t="shared" si="486"/>
        <v>#DIV/0!</v>
      </c>
      <c r="Q125" s="148" t="e">
        <f t="shared" si="486"/>
        <v>#DIV/0!</v>
      </c>
      <c r="R125" s="148" t="e">
        <f t="shared" si="486"/>
        <v>#DIV/0!</v>
      </c>
      <c r="S125" s="148" t="e">
        <f t="shared" si="486"/>
        <v>#DIV/0!</v>
      </c>
      <c r="T125" s="148" t="e">
        <f t="shared" si="486"/>
        <v>#DIV/0!</v>
      </c>
      <c r="U125" s="148" t="e">
        <f t="shared" ref="U125" si="487">U25/U43</f>
        <v>#DIV/0!</v>
      </c>
      <c r="V125" s="101" t="e">
        <f t="shared" si="238"/>
        <v>#DIV/0!</v>
      </c>
      <c r="W125" s="10"/>
      <c r="X125" s="148" t="e">
        <f t="shared" ref="X125:AG125" si="488">X25/X43</f>
        <v>#DIV/0!</v>
      </c>
      <c r="Y125" s="148" t="e">
        <f t="shared" si="488"/>
        <v>#DIV/0!</v>
      </c>
      <c r="Z125" s="148" t="e">
        <f t="shared" si="488"/>
        <v>#DIV/0!</v>
      </c>
      <c r="AA125" s="148" t="e">
        <f t="shared" si="488"/>
        <v>#DIV/0!</v>
      </c>
      <c r="AB125" s="148" t="e">
        <f t="shared" si="488"/>
        <v>#DIV/0!</v>
      </c>
      <c r="AC125" s="148" t="e">
        <f t="shared" si="488"/>
        <v>#DIV/0!</v>
      </c>
      <c r="AD125" s="148" t="e">
        <f t="shared" si="488"/>
        <v>#DIV/0!</v>
      </c>
      <c r="AE125" s="148" t="e">
        <f t="shared" si="488"/>
        <v>#DIV/0!</v>
      </c>
      <c r="AF125" s="148" t="e">
        <f t="shared" si="488"/>
        <v>#DIV/0!</v>
      </c>
      <c r="AG125" s="148" t="e">
        <f t="shared" si="488"/>
        <v>#DIV/0!</v>
      </c>
      <c r="AH125" s="116" t="e">
        <f t="shared" si="483"/>
        <v>#DIV/0!</v>
      </c>
      <c r="AI125" s="124"/>
      <c r="AJ125" s="124"/>
    </row>
    <row r="126" spans="1:36" ht="12" customHeight="1">
      <c r="A126" s="302"/>
      <c r="B126" s="179" t="s">
        <v>431</v>
      </c>
      <c r="C126" s="129"/>
      <c r="D126" s="129"/>
      <c r="E126" s="129"/>
      <c r="F126" s="148"/>
      <c r="G126" s="148" t="e">
        <f t="shared" ref="G126" si="489">G43/(G36)</f>
        <v>#DIV/0!</v>
      </c>
      <c r="H126" s="148" t="e">
        <f t="shared" ref="H126:I126" si="490">H43/(H36)</f>
        <v>#DIV/0!</v>
      </c>
      <c r="I126" s="148" t="e">
        <f t="shared" si="490"/>
        <v>#DIV/0!</v>
      </c>
      <c r="J126" s="148" t="e">
        <f t="shared" ref="J126:T126" si="491">J43/(J36)</f>
        <v>#DIV/0!</v>
      </c>
      <c r="K126" s="148" t="e">
        <f t="shared" si="491"/>
        <v>#DIV/0!</v>
      </c>
      <c r="L126" s="148" t="e">
        <f t="shared" si="491"/>
        <v>#DIV/0!</v>
      </c>
      <c r="M126" s="148" t="e">
        <f t="shared" si="491"/>
        <v>#DIV/0!</v>
      </c>
      <c r="N126" s="148" t="e">
        <f t="shared" si="491"/>
        <v>#DIV/0!</v>
      </c>
      <c r="O126" s="148" t="e">
        <f t="shared" si="491"/>
        <v>#DIV/0!</v>
      </c>
      <c r="P126" s="148" t="e">
        <f t="shared" si="491"/>
        <v>#DIV/0!</v>
      </c>
      <c r="Q126" s="148" t="e">
        <f t="shared" si="491"/>
        <v>#DIV/0!</v>
      </c>
      <c r="R126" s="148" t="e">
        <f t="shared" si="491"/>
        <v>#DIV/0!</v>
      </c>
      <c r="S126" s="148" t="e">
        <f t="shared" si="491"/>
        <v>#DIV/0!</v>
      </c>
      <c r="T126" s="148" t="e">
        <f t="shared" si="491"/>
        <v>#DIV/0!</v>
      </c>
      <c r="U126" s="148" t="e">
        <f t="shared" ref="U126" si="492">U43/(U36)</f>
        <v>#DIV/0!</v>
      </c>
      <c r="V126" s="101" t="e">
        <f t="shared" si="238"/>
        <v>#DIV/0!</v>
      </c>
      <c r="W126" s="10"/>
      <c r="X126" s="148" t="e">
        <f t="shared" ref="X126:AG126" si="493">X43/(X36+X38)</f>
        <v>#DIV/0!</v>
      </c>
      <c r="Y126" s="148" t="e">
        <f t="shared" si="493"/>
        <v>#DIV/0!</v>
      </c>
      <c r="Z126" s="148" t="e">
        <f t="shared" si="493"/>
        <v>#DIV/0!</v>
      </c>
      <c r="AA126" s="148" t="e">
        <f t="shared" si="493"/>
        <v>#DIV/0!</v>
      </c>
      <c r="AB126" s="148" t="e">
        <f t="shared" si="493"/>
        <v>#DIV/0!</v>
      </c>
      <c r="AC126" s="148" t="e">
        <f t="shared" si="493"/>
        <v>#DIV/0!</v>
      </c>
      <c r="AD126" s="148" t="e">
        <f t="shared" si="493"/>
        <v>#DIV/0!</v>
      </c>
      <c r="AE126" s="148" t="e">
        <f t="shared" si="493"/>
        <v>#DIV/0!</v>
      </c>
      <c r="AF126" s="148" t="e">
        <f t="shared" si="493"/>
        <v>#DIV/0!</v>
      </c>
      <c r="AG126" s="148" t="e">
        <f t="shared" si="493"/>
        <v>#DIV/0!</v>
      </c>
      <c r="AH126" s="116" t="e">
        <f t="shared" si="483"/>
        <v>#DIV/0!</v>
      </c>
      <c r="AI126" s="124"/>
      <c r="AJ126" s="124"/>
    </row>
    <row r="127" spans="1:36" ht="12" customHeight="1">
      <c r="A127" s="302"/>
      <c r="B127" s="179" t="s">
        <v>429</v>
      </c>
      <c r="C127" s="129"/>
      <c r="D127" s="129"/>
      <c r="E127" s="129"/>
      <c r="F127" s="148"/>
      <c r="G127" s="148" t="e">
        <f t="shared" ref="G127" si="494">G43/G38</f>
        <v>#DIV/0!</v>
      </c>
      <c r="H127" s="148" t="e">
        <f t="shared" ref="H127:I127" si="495">H43/H38</f>
        <v>#DIV/0!</v>
      </c>
      <c r="I127" s="148" t="e">
        <f t="shared" si="495"/>
        <v>#DIV/0!</v>
      </c>
      <c r="J127" s="148" t="e">
        <f t="shared" ref="J127:T127" si="496">J43/J38</f>
        <v>#DIV/0!</v>
      </c>
      <c r="K127" s="148" t="e">
        <f t="shared" si="496"/>
        <v>#DIV/0!</v>
      </c>
      <c r="L127" s="148" t="e">
        <f t="shared" si="496"/>
        <v>#DIV/0!</v>
      </c>
      <c r="M127" s="148" t="e">
        <f t="shared" si="496"/>
        <v>#DIV/0!</v>
      </c>
      <c r="N127" s="148" t="e">
        <f t="shared" si="496"/>
        <v>#DIV/0!</v>
      </c>
      <c r="O127" s="148" t="e">
        <f t="shared" si="496"/>
        <v>#DIV/0!</v>
      </c>
      <c r="P127" s="148" t="e">
        <f t="shared" si="496"/>
        <v>#DIV/0!</v>
      </c>
      <c r="Q127" s="148" t="e">
        <f t="shared" si="496"/>
        <v>#DIV/0!</v>
      </c>
      <c r="R127" s="148" t="e">
        <f t="shared" si="496"/>
        <v>#DIV/0!</v>
      </c>
      <c r="S127" s="148" t="e">
        <f t="shared" si="496"/>
        <v>#DIV/0!</v>
      </c>
      <c r="T127" s="148" t="e">
        <f t="shared" si="496"/>
        <v>#DIV/0!</v>
      </c>
      <c r="U127" s="148">
        <f t="shared" ref="U127" si="497">U43/U38</f>
        <v>0</v>
      </c>
      <c r="V127" s="101" t="e">
        <f t="shared" si="238"/>
        <v>#DIV/0!</v>
      </c>
      <c r="W127" s="10"/>
      <c r="X127" s="148" t="e">
        <f t="shared" ref="X127:AG127" si="498">X43/X38</f>
        <v>#DIV/0!</v>
      </c>
      <c r="Y127" s="148" t="e">
        <f t="shared" si="498"/>
        <v>#DIV/0!</v>
      </c>
      <c r="Z127" s="148" t="e">
        <f t="shared" si="498"/>
        <v>#DIV/0!</v>
      </c>
      <c r="AA127" s="148" t="e">
        <f t="shared" si="498"/>
        <v>#DIV/0!</v>
      </c>
      <c r="AB127" s="148" t="e">
        <f t="shared" si="498"/>
        <v>#DIV/0!</v>
      </c>
      <c r="AC127" s="148" t="e">
        <f t="shared" si="498"/>
        <v>#DIV/0!</v>
      </c>
      <c r="AD127" s="148" t="e">
        <f t="shared" si="498"/>
        <v>#DIV/0!</v>
      </c>
      <c r="AE127" s="148" t="e">
        <f t="shared" si="498"/>
        <v>#DIV/0!</v>
      </c>
      <c r="AF127" s="148" t="e">
        <f t="shared" si="498"/>
        <v>#DIV/0!</v>
      </c>
      <c r="AG127" s="148" t="e">
        <f t="shared" si="498"/>
        <v>#DIV/0!</v>
      </c>
      <c r="AH127" s="116" t="e">
        <f t="shared" si="483"/>
        <v>#DIV/0!</v>
      </c>
      <c r="AI127" s="124"/>
      <c r="AJ127" s="124"/>
    </row>
    <row r="128" spans="1:36" ht="12" customHeight="1">
      <c r="A128" s="302"/>
      <c r="B128" s="179" t="s">
        <v>428</v>
      </c>
      <c r="C128" s="129"/>
      <c r="D128" s="129"/>
      <c r="E128" s="129"/>
      <c r="F128" s="148"/>
      <c r="G128" s="148" t="e">
        <f t="shared" ref="G128" si="499">G43/(G36+G38)</f>
        <v>#DIV/0!</v>
      </c>
      <c r="H128" s="148" t="e">
        <f t="shared" ref="H128:I128" si="500">H43/(H36+H38)</f>
        <v>#DIV/0!</v>
      </c>
      <c r="I128" s="148" t="e">
        <f t="shared" si="500"/>
        <v>#DIV/0!</v>
      </c>
      <c r="J128" s="148" t="e">
        <f t="shared" ref="J128:T128" si="501">J43/(J36+J38)</f>
        <v>#DIV/0!</v>
      </c>
      <c r="K128" s="148" t="e">
        <f t="shared" si="501"/>
        <v>#DIV/0!</v>
      </c>
      <c r="L128" s="148" t="e">
        <f t="shared" si="501"/>
        <v>#DIV/0!</v>
      </c>
      <c r="M128" s="148" t="e">
        <f t="shared" si="501"/>
        <v>#DIV/0!</v>
      </c>
      <c r="N128" s="148" t="e">
        <f t="shared" si="501"/>
        <v>#DIV/0!</v>
      </c>
      <c r="O128" s="148" t="e">
        <f t="shared" si="501"/>
        <v>#DIV/0!</v>
      </c>
      <c r="P128" s="148" t="e">
        <f t="shared" si="501"/>
        <v>#DIV/0!</v>
      </c>
      <c r="Q128" s="148" t="e">
        <f t="shared" si="501"/>
        <v>#DIV/0!</v>
      </c>
      <c r="R128" s="148" t="e">
        <f t="shared" si="501"/>
        <v>#DIV/0!</v>
      </c>
      <c r="S128" s="148" t="e">
        <f t="shared" si="501"/>
        <v>#DIV/0!</v>
      </c>
      <c r="T128" s="148" t="e">
        <f t="shared" si="501"/>
        <v>#DIV/0!</v>
      </c>
      <c r="U128" s="148">
        <f t="shared" ref="U128" si="502">U43/(U36+U38)</f>
        <v>0</v>
      </c>
      <c r="V128" s="101" t="e">
        <f t="shared" si="238"/>
        <v>#DIV/0!</v>
      </c>
      <c r="W128" s="10"/>
      <c r="X128" s="148" t="e">
        <f t="shared" ref="X128:AG128" si="503">X43/(X36+X38)</f>
        <v>#DIV/0!</v>
      </c>
      <c r="Y128" s="148" t="e">
        <f t="shared" si="503"/>
        <v>#DIV/0!</v>
      </c>
      <c r="Z128" s="148" t="e">
        <f t="shared" si="503"/>
        <v>#DIV/0!</v>
      </c>
      <c r="AA128" s="148" t="e">
        <f t="shared" si="503"/>
        <v>#DIV/0!</v>
      </c>
      <c r="AB128" s="148" t="e">
        <f t="shared" si="503"/>
        <v>#DIV/0!</v>
      </c>
      <c r="AC128" s="148" t="e">
        <f t="shared" si="503"/>
        <v>#DIV/0!</v>
      </c>
      <c r="AD128" s="148" t="e">
        <f t="shared" si="503"/>
        <v>#DIV/0!</v>
      </c>
      <c r="AE128" s="148" t="e">
        <f t="shared" si="503"/>
        <v>#DIV/0!</v>
      </c>
      <c r="AF128" s="148" t="e">
        <f t="shared" si="503"/>
        <v>#DIV/0!</v>
      </c>
      <c r="AG128" s="148" t="e">
        <f t="shared" si="503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2"/>
      <c r="B129" s="179" t="s">
        <v>434</v>
      </c>
      <c r="C129" s="129"/>
      <c r="D129" s="129"/>
      <c r="E129" s="129"/>
      <c r="F129" s="148"/>
      <c r="G129" s="148">
        <f t="shared" ref="G129" si="504">G47/G25</f>
        <v>0</v>
      </c>
      <c r="H129" s="148" t="e">
        <f t="shared" ref="H129:I129" si="505">H47/H25</f>
        <v>#DIV/0!</v>
      </c>
      <c r="I129" s="148" t="e">
        <f t="shared" si="505"/>
        <v>#DIV/0!</v>
      </c>
      <c r="J129" s="148" t="e">
        <f t="shared" ref="J129:T129" si="506">J47/J25</f>
        <v>#DIV/0!</v>
      </c>
      <c r="K129" s="148" t="e">
        <f t="shared" si="506"/>
        <v>#DIV/0!</v>
      </c>
      <c r="L129" s="148" t="e">
        <f t="shared" si="506"/>
        <v>#DIV/0!</v>
      </c>
      <c r="M129" s="148" t="e">
        <f t="shared" si="506"/>
        <v>#DIV/0!</v>
      </c>
      <c r="N129" s="148" t="e">
        <f t="shared" si="506"/>
        <v>#DIV/0!</v>
      </c>
      <c r="O129" s="148">
        <f t="shared" si="506"/>
        <v>0</v>
      </c>
      <c r="P129" s="148">
        <f t="shared" si="506"/>
        <v>0</v>
      </c>
      <c r="Q129" s="148">
        <f t="shared" si="506"/>
        <v>0</v>
      </c>
      <c r="R129" s="148">
        <f t="shared" si="506"/>
        <v>0</v>
      </c>
      <c r="S129" s="148">
        <f t="shared" si="506"/>
        <v>0</v>
      </c>
      <c r="T129" s="148">
        <f t="shared" si="506"/>
        <v>0</v>
      </c>
      <c r="U129" s="148">
        <f t="shared" ref="U129" si="507">U47/U25</f>
        <v>5.5959709009513155E-4</v>
      </c>
      <c r="V129" s="101" t="e">
        <f t="shared" si="238"/>
        <v>#DIV/0!</v>
      </c>
      <c r="W129" s="10"/>
      <c r="X129" s="148">
        <f t="shared" ref="X129:AG129" si="508">X47/X25</f>
        <v>0</v>
      </c>
      <c r="Y129" s="148">
        <f t="shared" si="508"/>
        <v>0</v>
      </c>
      <c r="Z129" s="148">
        <f t="shared" si="508"/>
        <v>0</v>
      </c>
      <c r="AA129" s="148">
        <f t="shared" si="508"/>
        <v>0</v>
      </c>
      <c r="AB129" s="148">
        <f t="shared" si="508"/>
        <v>0</v>
      </c>
      <c r="AC129" s="148">
        <f t="shared" si="508"/>
        <v>0</v>
      </c>
      <c r="AD129" s="148">
        <f t="shared" si="508"/>
        <v>0</v>
      </c>
      <c r="AE129" s="148">
        <f t="shared" si="508"/>
        <v>0</v>
      </c>
      <c r="AF129" s="148">
        <f t="shared" si="508"/>
        <v>0</v>
      </c>
      <c r="AG129" s="148">
        <f t="shared" si="508"/>
        <v>0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2"/>
      <c r="B130" s="179" t="s">
        <v>432</v>
      </c>
      <c r="C130" s="129"/>
      <c r="D130" s="129"/>
      <c r="E130" s="129"/>
      <c r="F130" s="183"/>
      <c r="G130" s="183" t="e">
        <f t="shared" ref="G130" si="509">G55/G49</f>
        <v>#DIV/0!</v>
      </c>
      <c r="H130" s="183" t="e">
        <f t="shared" ref="H130:I130" si="510">H55/H49</f>
        <v>#DIV/0!</v>
      </c>
      <c r="I130" s="183" t="e">
        <f t="shared" si="510"/>
        <v>#DIV/0!</v>
      </c>
      <c r="J130" s="183" t="e">
        <f t="shared" ref="J130:T130" si="511">J55/J49</f>
        <v>#DIV/0!</v>
      </c>
      <c r="K130" s="183" t="e">
        <f t="shared" si="511"/>
        <v>#DIV/0!</v>
      </c>
      <c r="L130" s="183" t="e">
        <f t="shared" si="511"/>
        <v>#DIV/0!</v>
      </c>
      <c r="M130" s="183" t="e">
        <f t="shared" si="511"/>
        <v>#DIV/0!</v>
      </c>
      <c r="N130" s="183" t="e">
        <f t="shared" si="511"/>
        <v>#DIV/0!</v>
      </c>
      <c r="O130" s="183" t="e">
        <f t="shared" si="511"/>
        <v>#DIV/0!</v>
      </c>
      <c r="P130" s="183" t="e">
        <f t="shared" si="511"/>
        <v>#DIV/0!</v>
      </c>
      <c r="Q130" s="183" t="e">
        <f t="shared" si="511"/>
        <v>#DIV/0!</v>
      </c>
      <c r="R130" s="183" t="e">
        <f t="shared" si="511"/>
        <v>#DIV/0!</v>
      </c>
      <c r="S130" s="183" t="e">
        <f t="shared" si="511"/>
        <v>#DIV/0!</v>
      </c>
      <c r="T130" s="183" t="e">
        <f t="shared" si="511"/>
        <v>#DIV/0!</v>
      </c>
      <c r="U130" s="183">
        <f t="shared" ref="U130" si="512">U55/U49</f>
        <v>31</v>
      </c>
      <c r="V130" s="101" t="e">
        <f t="shared" ref="V130:V167" si="513">((T130/G130)^(1/($K$2-$K$1) ))-1</f>
        <v>#DIV/0!</v>
      </c>
      <c r="W130" s="10"/>
      <c r="X130" s="183" t="e">
        <f t="shared" ref="X130:AG130" si="514">X55/X49</f>
        <v>#DIV/0!</v>
      </c>
      <c r="Y130" s="183" t="e">
        <f t="shared" si="514"/>
        <v>#DIV/0!</v>
      </c>
      <c r="Z130" s="183" t="e">
        <f t="shared" si="514"/>
        <v>#DIV/0!</v>
      </c>
      <c r="AA130" s="183" t="e">
        <f t="shared" si="514"/>
        <v>#DIV/0!</v>
      </c>
      <c r="AB130" s="183" t="e">
        <f t="shared" si="514"/>
        <v>#DIV/0!</v>
      </c>
      <c r="AC130" s="183" t="e">
        <f t="shared" si="514"/>
        <v>#DIV/0!</v>
      </c>
      <c r="AD130" s="183" t="e">
        <f t="shared" si="514"/>
        <v>#DIV/0!</v>
      </c>
      <c r="AE130" s="183" t="e">
        <f t="shared" si="514"/>
        <v>#DIV/0!</v>
      </c>
      <c r="AF130" s="183" t="e">
        <f t="shared" si="514"/>
        <v>#DIV/0!</v>
      </c>
      <c r="AG130" s="183" t="e">
        <f t="shared" si="514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2"/>
      <c r="B131" s="179" t="s">
        <v>426</v>
      </c>
      <c r="C131" s="129"/>
      <c r="D131" s="129"/>
      <c r="E131" s="129"/>
      <c r="F131" s="148"/>
      <c r="G131" s="148" t="e">
        <f t="shared" ref="G131" si="515">G55/G43</f>
        <v>#DIV/0!</v>
      </c>
      <c r="H131" s="148" t="e">
        <f t="shared" ref="H131:I131" si="516">H55/H43</f>
        <v>#DIV/0!</v>
      </c>
      <c r="I131" s="148" t="e">
        <f t="shared" si="516"/>
        <v>#DIV/0!</v>
      </c>
      <c r="J131" s="148" t="e">
        <f t="shared" ref="J131:T131" si="517">J55/J43</f>
        <v>#DIV/0!</v>
      </c>
      <c r="K131" s="148" t="e">
        <f t="shared" si="517"/>
        <v>#DIV/0!</v>
      </c>
      <c r="L131" s="148" t="e">
        <f t="shared" si="517"/>
        <v>#DIV/0!</v>
      </c>
      <c r="M131" s="148" t="e">
        <f t="shared" si="517"/>
        <v>#DIV/0!</v>
      </c>
      <c r="N131" s="148" t="e">
        <f t="shared" si="517"/>
        <v>#DIV/0!</v>
      </c>
      <c r="O131" s="148" t="e">
        <f t="shared" si="517"/>
        <v>#DIV/0!</v>
      </c>
      <c r="P131" s="148" t="e">
        <f t="shared" si="517"/>
        <v>#DIV/0!</v>
      </c>
      <c r="Q131" s="148" t="e">
        <f t="shared" si="517"/>
        <v>#DIV/0!</v>
      </c>
      <c r="R131" s="148" t="e">
        <f t="shared" si="517"/>
        <v>#DIV/0!</v>
      </c>
      <c r="S131" s="148" t="e">
        <f t="shared" si="517"/>
        <v>#DIV/0!</v>
      </c>
      <c r="T131" s="148" t="e">
        <f t="shared" si="517"/>
        <v>#DIV/0!</v>
      </c>
      <c r="U131" s="148" t="e">
        <f t="shared" ref="U131" si="518">U55/U43</f>
        <v>#DIV/0!</v>
      </c>
      <c r="V131" s="101" t="e">
        <f t="shared" si="513"/>
        <v>#DIV/0!</v>
      </c>
      <c r="W131" s="10"/>
      <c r="X131" s="148" t="e">
        <f t="shared" ref="X131:AG131" si="519">X55/X43</f>
        <v>#DIV/0!</v>
      </c>
      <c r="Y131" s="148" t="e">
        <f t="shared" si="519"/>
        <v>#DIV/0!</v>
      </c>
      <c r="Z131" s="148" t="e">
        <f t="shared" si="519"/>
        <v>#DIV/0!</v>
      </c>
      <c r="AA131" s="148" t="e">
        <f t="shared" si="519"/>
        <v>#DIV/0!</v>
      </c>
      <c r="AB131" s="148" t="e">
        <f t="shared" si="519"/>
        <v>#DIV/0!</v>
      </c>
      <c r="AC131" s="148" t="e">
        <f t="shared" si="519"/>
        <v>#DIV/0!</v>
      </c>
      <c r="AD131" s="148" t="e">
        <f t="shared" si="519"/>
        <v>#DIV/0!</v>
      </c>
      <c r="AE131" s="148" t="e">
        <f t="shared" si="519"/>
        <v>#DIV/0!</v>
      </c>
      <c r="AF131" s="148" t="e">
        <f t="shared" si="519"/>
        <v>#DIV/0!</v>
      </c>
      <c r="AG131" s="148" t="e">
        <f t="shared" si="519"/>
        <v>#DIV/0!</v>
      </c>
      <c r="AH131" s="116" t="e">
        <f t="shared" si="483"/>
        <v>#DIV/0!</v>
      </c>
      <c r="AI131" s="124"/>
      <c r="AJ131" s="124"/>
    </row>
    <row r="132" spans="1:36" ht="12" customHeight="1">
      <c r="A132" s="302"/>
      <c r="B132" s="179" t="s">
        <v>427</v>
      </c>
      <c r="C132" s="129"/>
      <c r="D132" s="129"/>
      <c r="E132" s="129"/>
      <c r="F132" s="148"/>
      <c r="G132" s="148" t="e">
        <f t="shared" ref="G132" si="520">G55/(G36+G38)</f>
        <v>#DIV/0!</v>
      </c>
      <c r="H132" s="148" t="e">
        <f t="shared" ref="H132:I132" si="521">H55/(H36+H38)</f>
        <v>#DIV/0!</v>
      </c>
      <c r="I132" s="148" t="e">
        <f t="shared" si="521"/>
        <v>#DIV/0!</v>
      </c>
      <c r="J132" s="148" t="e">
        <f t="shared" ref="J132:T132" si="522">J55/(J36+J38)</f>
        <v>#DIV/0!</v>
      </c>
      <c r="K132" s="148" t="e">
        <f t="shared" si="522"/>
        <v>#DIV/0!</v>
      </c>
      <c r="L132" s="148" t="e">
        <f t="shared" si="522"/>
        <v>#DIV/0!</v>
      </c>
      <c r="M132" s="148" t="e">
        <f t="shared" si="522"/>
        <v>#DIV/0!</v>
      </c>
      <c r="N132" s="148" t="e">
        <f t="shared" si="522"/>
        <v>#DIV/0!</v>
      </c>
      <c r="O132" s="148" t="e">
        <f t="shared" si="522"/>
        <v>#DIV/0!</v>
      </c>
      <c r="P132" s="148" t="e">
        <f t="shared" si="522"/>
        <v>#DIV/0!</v>
      </c>
      <c r="Q132" s="148" t="e">
        <f t="shared" si="522"/>
        <v>#DIV/0!</v>
      </c>
      <c r="R132" s="148" t="e">
        <f t="shared" si="522"/>
        <v>#DIV/0!</v>
      </c>
      <c r="S132" s="148" t="e">
        <f t="shared" si="522"/>
        <v>#DIV/0!</v>
      </c>
      <c r="T132" s="148" t="e">
        <f t="shared" si="522"/>
        <v>#DIV/0!</v>
      </c>
      <c r="U132" s="148">
        <f t="shared" ref="U132" si="523">U55/(U36+U38)</f>
        <v>31</v>
      </c>
      <c r="V132" s="101" t="e">
        <f t="shared" si="513"/>
        <v>#DIV/0!</v>
      </c>
      <c r="W132" s="10"/>
      <c r="X132" s="148" t="e">
        <f t="shared" ref="X132:AG132" si="524">X55/(X36+X38)</f>
        <v>#DIV/0!</v>
      </c>
      <c r="Y132" s="148" t="e">
        <f t="shared" si="524"/>
        <v>#DIV/0!</v>
      </c>
      <c r="Z132" s="148" t="e">
        <f t="shared" si="524"/>
        <v>#DIV/0!</v>
      </c>
      <c r="AA132" s="148" t="e">
        <f t="shared" si="524"/>
        <v>#DIV/0!</v>
      </c>
      <c r="AB132" s="148" t="e">
        <f t="shared" si="524"/>
        <v>#DIV/0!</v>
      </c>
      <c r="AC132" s="148" t="e">
        <f t="shared" si="524"/>
        <v>#DIV/0!</v>
      </c>
      <c r="AD132" s="148" t="e">
        <f t="shared" si="524"/>
        <v>#DIV/0!</v>
      </c>
      <c r="AE132" s="148" t="e">
        <f t="shared" si="524"/>
        <v>#DIV/0!</v>
      </c>
      <c r="AF132" s="148" t="e">
        <f t="shared" si="524"/>
        <v>#DIV/0!</v>
      </c>
      <c r="AG132" s="148" t="e">
        <f t="shared" si="524"/>
        <v>#DIV/0!</v>
      </c>
      <c r="AH132" s="116" t="e">
        <f t="shared" si="483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525">G10-(G12+G13)</f>
        <v>172.8</v>
      </c>
      <c r="H134" s="140">
        <f t="shared" ref="H134:I134" si="526">H10-(H12+H13)</f>
        <v>0</v>
      </c>
      <c r="I134" s="140">
        <f t="shared" si="526"/>
        <v>0</v>
      </c>
      <c r="J134" s="140">
        <f t="shared" ref="J134:T134" si="527">J10-(J12+J13)</f>
        <v>0</v>
      </c>
      <c r="K134" s="140">
        <f t="shared" si="527"/>
        <v>0</v>
      </c>
      <c r="L134" s="140">
        <f t="shared" si="527"/>
        <v>0</v>
      </c>
      <c r="M134" s="140">
        <f t="shared" si="527"/>
        <v>0</v>
      </c>
      <c r="N134" s="140">
        <f t="shared" si="527"/>
        <v>0</v>
      </c>
      <c r="O134" s="140">
        <f t="shared" si="527"/>
        <v>172.8</v>
      </c>
      <c r="P134" s="140">
        <f t="shared" si="527"/>
        <v>391</v>
      </c>
      <c r="Q134" s="140">
        <f t="shared" si="527"/>
        <v>633</v>
      </c>
      <c r="R134" s="140">
        <f t="shared" si="527"/>
        <v>1141</v>
      </c>
      <c r="S134" s="140">
        <f t="shared" si="527"/>
        <v>1884</v>
      </c>
      <c r="T134" s="140">
        <f t="shared" si="527"/>
        <v>3582</v>
      </c>
      <c r="U134" s="140">
        <f t="shared" ref="U134" si="528">U10-(U12+U13)</f>
        <v>4838</v>
      </c>
      <c r="V134" s="101">
        <f t="shared" si="513"/>
        <v>0.24177113442569143</v>
      </c>
      <c r="W134" s="10"/>
      <c r="X134" s="140">
        <f t="shared" ref="X134:AG134" si="529">X10-(X12+X13)</f>
        <v>4119.2999999999993</v>
      </c>
      <c r="Y134" s="140">
        <f t="shared" si="529"/>
        <v>4737.1949999999988</v>
      </c>
      <c r="Z134" s="140">
        <f t="shared" si="529"/>
        <v>5447.7742499999986</v>
      </c>
      <c r="AA134" s="140">
        <f t="shared" si="529"/>
        <v>6264.9403874999971</v>
      </c>
      <c r="AB134" s="140">
        <f t="shared" si="529"/>
        <v>7204.6814456249958</v>
      </c>
      <c r="AC134" s="140">
        <f t="shared" si="529"/>
        <v>8285.3836624687465</v>
      </c>
      <c r="AD134" s="140">
        <f t="shared" si="529"/>
        <v>9528.1912118390574</v>
      </c>
      <c r="AE134" s="140">
        <f t="shared" si="529"/>
        <v>10957.419893614915</v>
      </c>
      <c r="AF134" s="140">
        <f t="shared" si="529"/>
        <v>12601.03287765715</v>
      </c>
      <c r="AG134" s="140">
        <f t="shared" si="529"/>
        <v>14491.187809305722</v>
      </c>
      <c r="AH134" s="116" t="e">
        <f t="shared" si="399"/>
        <v>#DIV/0!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530">G55/G18</f>
        <v>-0.18776950215601723</v>
      </c>
      <c r="H135" s="129" t="e">
        <f t="shared" ref="H135:I135" si="531">H55/H18</f>
        <v>#DIV/0!</v>
      </c>
      <c r="I135" s="129" t="e">
        <f t="shared" si="531"/>
        <v>#DIV/0!</v>
      </c>
      <c r="J135" s="129" t="e">
        <f t="shared" ref="J135:T135" si="532">J55/J18</f>
        <v>#DIV/0!</v>
      </c>
      <c r="K135" s="129" t="e">
        <f t="shared" si="532"/>
        <v>#DIV/0!</v>
      </c>
      <c r="L135" s="129" t="e">
        <f t="shared" si="532"/>
        <v>#DIV/0!</v>
      </c>
      <c r="M135" s="129" t="e">
        <f t="shared" si="532"/>
        <v>#DIV/0!</v>
      </c>
      <c r="N135" s="129" t="e">
        <f t="shared" si="532"/>
        <v>#DIV/0!</v>
      </c>
      <c r="O135" s="129">
        <f t="shared" si="532"/>
        <v>-0.18776950215601723</v>
      </c>
      <c r="P135" s="129">
        <f t="shared" si="532"/>
        <v>1.3620833333333333</v>
      </c>
      <c r="Q135" s="129">
        <f t="shared" si="532"/>
        <v>2.96</v>
      </c>
      <c r="R135" s="129">
        <f t="shared" si="532"/>
        <v>2.3459767594825696</v>
      </c>
      <c r="S135" s="129">
        <f t="shared" si="532"/>
        <v>2.6507936507936507</v>
      </c>
      <c r="T135" s="129">
        <f t="shared" si="532"/>
        <v>0.50798722044728439</v>
      </c>
      <c r="U135" s="129">
        <f t="shared" ref="U135" si="533">U55/U18</f>
        <v>9.451219512195122E-2</v>
      </c>
      <c r="V135" s="101" t="e">
        <f t="shared" si="513"/>
        <v>#NUM!</v>
      </c>
      <c r="W135" s="10"/>
      <c r="X135" s="129">
        <f t="shared" ref="X135:AG135" si="534">X55/X18</f>
        <v>0.50798722044728439</v>
      </c>
      <c r="Y135" s="129">
        <f t="shared" si="534"/>
        <v>0.50798722044728439</v>
      </c>
      <c r="Z135" s="129">
        <f t="shared" si="534"/>
        <v>0.50798722044728439</v>
      </c>
      <c r="AA135" s="129">
        <f t="shared" si="534"/>
        <v>0.50798722044728439</v>
      </c>
      <c r="AB135" s="129">
        <f t="shared" si="534"/>
        <v>0.50798722044728428</v>
      </c>
      <c r="AC135" s="129">
        <f t="shared" si="534"/>
        <v>0.50798722044728439</v>
      </c>
      <c r="AD135" s="129">
        <f t="shared" si="534"/>
        <v>0.50798722044728439</v>
      </c>
      <c r="AE135" s="129">
        <f t="shared" si="534"/>
        <v>0.50798722044728439</v>
      </c>
      <c r="AF135" s="129">
        <f t="shared" si="534"/>
        <v>0.50798722044728428</v>
      </c>
      <c r="AG135" s="129">
        <f t="shared" si="534"/>
        <v>0.50798722044728439</v>
      </c>
      <c r="AH135" s="116" t="e">
        <f t="shared" si="399"/>
        <v>#DIV/0!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535">G55/G25</f>
        <v>-2.3949999999999999E-2</v>
      </c>
      <c r="H136" s="129" t="e">
        <f t="shared" ref="H136:I136" si="536">H55/H25</f>
        <v>#DIV/0!</v>
      </c>
      <c r="I136" s="129" t="e">
        <f t="shared" si="536"/>
        <v>#DIV/0!</v>
      </c>
      <c r="J136" s="129" t="e">
        <f t="shared" ref="J136:T136" si="537">J55/J25</f>
        <v>#DIV/0!</v>
      </c>
      <c r="K136" s="129" t="e">
        <f t="shared" si="537"/>
        <v>#DIV/0!</v>
      </c>
      <c r="L136" s="129" t="e">
        <f t="shared" si="537"/>
        <v>#DIV/0!</v>
      </c>
      <c r="M136" s="129" t="e">
        <f t="shared" si="537"/>
        <v>#DIV/0!</v>
      </c>
      <c r="N136" s="129" t="e">
        <f t="shared" si="537"/>
        <v>#DIV/0!</v>
      </c>
      <c r="O136" s="129">
        <f t="shared" si="537"/>
        <v>-2.3949999999999999E-2</v>
      </c>
      <c r="P136" s="129">
        <f t="shared" si="537"/>
        <v>0.11551236749116607</v>
      </c>
      <c r="Q136" s="129">
        <f t="shared" si="537"/>
        <v>0.15320910973084886</v>
      </c>
      <c r="R136" s="129">
        <f t="shared" si="537"/>
        <v>0.14172185430463577</v>
      </c>
      <c r="S136" s="129">
        <f t="shared" si="537"/>
        <v>0.14977578475336323</v>
      </c>
      <c r="T136" s="129">
        <f t="shared" si="537"/>
        <v>0.1029126213592233</v>
      </c>
      <c r="U136" s="129">
        <f t="shared" ref="U136" si="538">U55/U25</f>
        <v>1.7347509792949075E-2</v>
      </c>
      <c r="V136" s="101" t="e">
        <f t="shared" si="513"/>
        <v>#NUM!</v>
      </c>
      <c r="W136" s="10"/>
      <c r="X136" s="129">
        <f t="shared" ref="X136:AG136" si="539">X55/X25</f>
        <v>0.10291262135922331</v>
      </c>
      <c r="Y136" s="129">
        <f t="shared" si="539"/>
        <v>0.10291262135922331</v>
      </c>
      <c r="Z136" s="129">
        <f t="shared" si="539"/>
        <v>0.1029126213592233</v>
      </c>
      <c r="AA136" s="129">
        <f t="shared" si="539"/>
        <v>0.1029126213592233</v>
      </c>
      <c r="AB136" s="129">
        <f t="shared" si="539"/>
        <v>0.10291262135922329</v>
      </c>
      <c r="AC136" s="129">
        <f t="shared" si="539"/>
        <v>0.10291262135922329</v>
      </c>
      <c r="AD136" s="129">
        <f t="shared" si="539"/>
        <v>0.10291262135922329</v>
      </c>
      <c r="AE136" s="129">
        <f t="shared" si="539"/>
        <v>0.10291262135922327</v>
      </c>
      <c r="AF136" s="129">
        <f t="shared" si="539"/>
        <v>0.10291262135922327</v>
      </c>
      <c r="AG136" s="129">
        <f t="shared" si="539"/>
        <v>0.10291262135922327</v>
      </c>
      <c r="AH136" s="116" t="e">
        <f t="shared" si="399"/>
        <v>#DIV/0!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540">G25/G18</f>
        <v>7.8400627205017637</v>
      </c>
      <c r="H137" s="129" t="e">
        <f t="shared" ref="H137:I137" si="541">H25/H18</f>
        <v>#DIV/0!</v>
      </c>
      <c r="I137" s="129" t="e">
        <f t="shared" si="541"/>
        <v>#DIV/0!</v>
      </c>
      <c r="J137" s="129" t="e">
        <f t="shared" ref="J137:T137" si="542">J25/J18</f>
        <v>#DIV/0!</v>
      </c>
      <c r="K137" s="129" t="e">
        <f t="shared" si="542"/>
        <v>#DIV/0!</v>
      </c>
      <c r="L137" s="129" t="e">
        <f t="shared" si="542"/>
        <v>#DIV/0!</v>
      </c>
      <c r="M137" s="129" t="e">
        <f t="shared" si="542"/>
        <v>#DIV/0!</v>
      </c>
      <c r="N137" s="129" t="e">
        <f t="shared" si="542"/>
        <v>#DIV/0!</v>
      </c>
      <c r="O137" s="129">
        <f t="shared" si="542"/>
        <v>7.8400627205017637</v>
      </c>
      <c r="P137" s="129">
        <f t="shared" si="542"/>
        <v>11.791666666666666</v>
      </c>
      <c r="Q137" s="129">
        <f t="shared" si="542"/>
        <v>19.32</v>
      </c>
      <c r="R137" s="129">
        <f t="shared" si="542"/>
        <v>16.553387415040561</v>
      </c>
      <c r="S137" s="129">
        <f t="shared" si="542"/>
        <v>17.698412698412699</v>
      </c>
      <c r="T137" s="129">
        <f t="shared" si="542"/>
        <v>4.9361022364217249</v>
      </c>
      <c r="U137" s="129">
        <f t="shared" ref="U137" si="543">U25/U18</f>
        <v>5.4481707317073171</v>
      </c>
      <c r="V137" s="101">
        <f t="shared" si="513"/>
        <v>-3.2507800679718035E-2</v>
      </c>
      <c r="W137" s="10"/>
      <c r="X137" s="129">
        <f t="shared" ref="X137:AG137" si="544">X25/X18</f>
        <v>4.9361022364217249</v>
      </c>
      <c r="Y137" s="129">
        <f t="shared" si="544"/>
        <v>4.9361022364217249</v>
      </c>
      <c r="Z137" s="129">
        <f t="shared" si="544"/>
        <v>4.9361022364217249</v>
      </c>
      <c r="AA137" s="129">
        <f t="shared" si="544"/>
        <v>4.9361022364217257</v>
      </c>
      <c r="AB137" s="129">
        <f t="shared" si="544"/>
        <v>4.9361022364217257</v>
      </c>
      <c r="AC137" s="129">
        <f t="shared" si="544"/>
        <v>4.9361022364217257</v>
      </c>
      <c r="AD137" s="129">
        <f t="shared" si="544"/>
        <v>4.9361022364217266</v>
      </c>
      <c r="AE137" s="129">
        <f t="shared" si="544"/>
        <v>4.9361022364217266</v>
      </c>
      <c r="AF137" s="129">
        <f t="shared" si="544"/>
        <v>4.9361022364217266</v>
      </c>
      <c r="AG137" s="129">
        <f t="shared" si="544"/>
        <v>4.9361022364217266</v>
      </c>
      <c r="AH137" s="116" t="e">
        <f t="shared" si="399"/>
        <v>#DIV/0!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545">G88*G57</f>
        <v>0</v>
      </c>
      <c r="H139" s="142">
        <f t="shared" ref="H139:I139" si="546">H88*H57</f>
        <v>0</v>
      </c>
      <c r="I139" s="142">
        <f t="shared" si="546"/>
        <v>0</v>
      </c>
      <c r="J139" s="142">
        <f t="shared" ref="J139:T139" si="547">J88*J57</f>
        <v>0</v>
      </c>
      <c r="K139" s="142">
        <f t="shared" si="547"/>
        <v>0</v>
      </c>
      <c r="L139" s="142">
        <f t="shared" si="547"/>
        <v>0</v>
      </c>
      <c r="M139" s="142">
        <f t="shared" si="547"/>
        <v>0</v>
      </c>
      <c r="N139" s="142">
        <f t="shared" si="547"/>
        <v>0</v>
      </c>
      <c r="O139" s="142">
        <f t="shared" si="547"/>
        <v>0</v>
      </c>
      <c r="P139" s="142">
        <f t="shared" si="547"/>
        <v>0</v>
      </c>
      <c r="Q139" s="142">
        <f t="shared" si="547"/>
        <v>0</v>
      </c>
      <c r="R139" s="142">
        <f t="shared" si="547"/>
        <v>0</v>
      </c>
      <c r="S139" s="142">
        <f t="shared" si="547"/>
        <v>0</v>
      </c>
      <c r="T139" s="142">
        <f t="shared" si="547"/>
        <v>0</v>
      </c>
      <c r="U139" s="142">
        <f t="shared" ref="U139" si="548">U88*U57</f>
        <v>0</v>
      </c>
      <c r="V139" s="101" t="e">
        <f t="shared" si="513"/>
        <v>#DIV/0!</v>
      </c>
      <c r="W139" s="10"/>
      <c r="X139" s="142">
        <f t="shared" ref="X139:AG139" si="549">X88*X57</f>
        <v>0</v>
      </c>
      <c r="Y139" s="142">
        <f t="shared" si="549"/>
        <v>0</v>
      </c>
      <c r="Z139" s="142">
        <f t="shared" si="549"/>
        <v>0</v>
      </c>
      <c r="AA139" s="142">
        <f t="shared" si="549"/>
        <v>0</v>
      </c>
      <c r="AB139" s="142">
        <f t="shared" si="549"/>
        <v>0</v>
      </c>
      <c r="AC139" s="142">
        <f t="shared" si="549"/>
        <v>0</v>
      </c>
      <c r="AD139" s="142">
        <f t="shared" si="549"/>
        <v>0</v>
      </c>
      <c r="AE139" s="142">
        <f t="shared" si="549"/>
        <v>0</v>
      </c>
      <c r="AF139" s="142">
        <f t="shared" si="549"/>
        <v>0</v>
      </c>
      <c r="AG139" s="142">
        <f t="shared" si="549"/>
        <v>0</v>
      </c>
      <c r="AH139" s="116" t="e">
        <f t="shared" si="399"/>
        <v>#DIV/0!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550">(G139*0.17)+G139</f>
        <v>0</v>
      </c>
      <c r="H140" s="142">
        <f t="shared" ref="H140:I140" si="551">(H139*0.17)+H139</f>
        <v>0</v>
      </c>
      <c r="I140" s="142">
        <f t="shared" si="551"/>
        <v>0</v>
      </c>
      <c r="J140" s="142">
        <f t="shared" ref="J140:S140" si="552">(J139*0.17)+J139</f>
        <v>0</v>
      </c>
      <c r="K140" s="142">
        <f t="shared" si="552"/>
        <v>0</v>
      </c>
      <c r="L140" s="142">
        <f t="shared" si="552"/>
        <v>0</v>
      </c>
      <c r="M140" s="142">
        <f t="shared" si="552"/>
        <v>0</v>
      </c>
      <c r="N140" s="142">
        <f t="shared" si="552"/>
        <v>0</v>
      </c>
      <c r="O140" s="142">
        <f t="shared" si="552"/>
        <v>0</v>
      </c>
      <c r="P140" s="142">
        <f t="shared" si="552"/>
        <v>0</v>
      </c>
      <c r="Q140" s="142">
        <f t="shared" si="552"/>
        <v>0</v>
      </c>
      <c r="R140" s="142">
        <f t="shared" si="552"/>
        <v>0</v>
      </c>
      <c r="S140" s="142">
        <f t="shared" si="552"/>
        <v>0</v>
      </c>
      <c r="T140" s="142">
        <f t="shared" ref="T140:U140" si="553">(T139*0.17)+T139</f>
        <v>0</v>
      </c>
      <c r="U140" s="142">
        <f t="shared" si="553"/>
        <v>0</v>
      </c>
      <c r="V140" s="101" t="e">
        <f t="shared" si="513"/>
        <v>#DIV/0!</v>
      </c>
      <c r="W140" s="10"/>
      <c r="X140" s="142">
        <f t="shared" ref="X140:AG140" si="554">(X139*0.17)+X139</f>
        <v>0</v>
      </c>
      <c r="Y140" s="142">
        <f t="shared" si="554"/>
        <v>0</v>
      </c>
      <c r="Z140" s="142">
        <f t="shared" si="554"/>
        <v>0</v>
      </c>
      <c r="AA140" s="142">
        <f t="shared" si="554"/>
        <v>0</v>
      </c>
      <c r="AB140" s="142">
        <f t="shared" si="554"/>
        <v>0</v>
      </c>
      <c r="AC140" s="142">
        <f t="shared" si="554"/>
        <v>0</v>
      </c>
      <c r="AD140" s="142">
        <f t="shared" si="554"/>
        <v>0</v>
      </c>
      <c r="AE140" s="142">
        <f t="shared" si="554"/>
        <v>0</v>
      </c>
      <c r="AF140" s="142">
        <f t="shared" si="554"/>
        <v>0</v>
      </c>
      <c r="AG140" s="142">
        <f t="shared" si="554"/>
        <v>0</v>
      </c>
      <c r="AH140" s="116" t="e">
        <f t="shared" si="399"/>
        <v>#DIV/0!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555">G140/G55</f>
        <v>0</v>
      </c>
      <c r="H141" s="129" t="e">
        <f t="shared" ref="H141:I141" si="556">H140/H55</f>
        <v>#DIV/0!</v>
      </c>
      <c r="I141" s="129" t="e">
        <f t="shared" si="556"/>
        <v>#DIV/0!</v>
      </c>
      <c r="J141" s="129" t="e">
        <f t="shared" ref="J141:T141" si="557">J140/J55</f>
        <v>#DIV/0!</v>
      </c>
      <c r="K141" s="129" t="e">
        <f t="shared" si="557"/>
        <v>#DIV/0!</v>
      </c>
      <c r="L141" s="129" t="e">
        <f t="shared" si="557"/>
        <v>#DIV/0!</v>
      </c>
      <c r="M141" s="129" t="e">
        <f t="shared" si="557"/>
        <v>#DIV/0!</v>
      </c>
      <c r="N141" s="129" t="e">
        <f t="shared" si="557"/>
        <v>#DIV/0!</v>
      </c>
      <c r="O141" s="129">
        <f t="shared" si="557"/>
        <v>0</v>
      </c>
      <c r="P141" s="129">
        <f t="shared" si="557"/>
        <v>0</v>
      </c>
      <c r="Q141" s="129">
        <f t="shared" si="557"/>
        <v>0</v>
      </c>
      <c r="R141" s="129">
        <f t="shared" si="557"/>
        <v>0</v>
      </c>
      <c r="S141" s="129">
        <f t="shared" si="557"/>
        <v>0</v>
      </c>
      <c r="T141" s="129">
        <f t="shared" si="557"/>
        <v>0</v>
      </c>
      <c r="U141" s="129">
        <f t="shared" ref="U141" si="558">U140/U55</f>
        <v>0</v>
      </c>
      <c r="V141" s="101" t="e">
        <f t="shared" si="513"/>
        <v>#DIV/0!</v>
      </c>
      <c r="W141" s="10"/>
      <c r="X141" s="129">
        <f t="shared" ref="X141:AG141" si="559">X140/X55</f>
        <v>0</v>
      </c>
      <c r="Y141" s="129">
        <f t="shared" si="559"/>
        <v>0</v>
      </c>
      <c r="Z141" s="129">
        <f t="shared" si="559"/>
        <v>0</v>
      </c>
      <c r="AA141" s="129">
        <f t="shared" si="559"/>
        <v>0</v>
      </c>
      <c r="AB141" s="129">
        <f t="shared" si="559"/>
        <v>0</v>
      </c>
      <c r="AC141" s="129">
        <f t="shared" si="559"/>
        <v>0</v>
      </c>
      <c r="AD141" s="129">
        <f t="shared" si="559"/>
        <v>0</v>
      </c>
      <c r="AE141" s="129">
        <f t="shared" si="559"/>
        <v>0</v>
      </c>
      <c r="AF141" s="129">
        <f t="shared" si="559"/>
        <v>0</v>
      </c>
      <c r="AG141" s="129">
        <f t="shared" si="559"/>
        <v>0</v>
      </c>
      <c r="AH141" s="116" t="e">
        <f t="shared" si="399"/>
        <v>#DIV/0!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560">1-G141</f>
        <v>1</v>
      </c>
      <c r="H142" s="129" t="e">
        <f t="shared" ref="H142:I142" si="561">1-H141</f>
        <v>#DIV/0!</v>
      </c>
      <c r="I142" s="129" t="e">
        <f t="shared" si="561"/>
        <v>#DIV/0!</v>
      </c>
      <c r="J142" s="129" t="e">
        <f>1-J141</f>
        <v>#DIV/0!</v>
      </c>
      <c r="K142" s="129" t="e">
        <f t="shared" ref="K142:S142" si="562">1-K141</f>
        <v>#DIV/0!</v>
      </c>
      <c r="L142" s="129" t="e">
        <f t="shared" si="562"/>
        <v>#DIV/0!</v>
      </c>
      <c r="M142" s="129" t="e">
        <f t="shared" si="562"/>
        <v>#DIV/0!</v>
      </c>
      <c r="N142" s="129" t="e">
        <f t="shared" si="562"/>
        <v>#DIV/0!</v>
      </c>
      <c r="O142" s="129">
        <f t="shared" si="562"/>
        <v>1</v>
      </c>
      <c r="P142" s="129">
        <f t="shared" si="562"/>
        <v>1</v>
      </c>
      <c r="Q142" s="129">
        <f t="shared" si="562"/>
        <v>1</v>
      </c>
      <c r="R142" s="129">
        <f t="shared" si="562"/>
        <v>1</v>
      </c>
      <c r="S142" s="129">
        <f t="shared" si="562"/>
        <v>1</v>
      </c>
      <c r="T142" s="129">
        <f t="shared" ref="T142:U142" si="563">1-T141</f>
        <v>1</v>
      </c>
      <c r="U142" s="129">
        <f t="shared" si="563"/>
        <v>1</v>
      </c>
      <c r="V142" s="101">
        <f t="shared" si="513"/>
        <v>0</v>
      </c>
      <c r="W142" s="10"/>
      <c r="X142" s="129">
        <f t="shared" ref="X142:AG142" si="564">1-X141</f>
        <v>1</v>
      </c>
      <c r="Y142" s="129">
        <f t="shared" si="564"/>
        <v>1</v>
      </c>
      <c r="Z142" s="129">
        <f t="shared" si="564"/>
        <v>1</v>
      </c>
      <c r="AA142" s="129">
        <f t="shared" si="564"/>
        <v>1</v>
      </c>
      <c r="AB142" s="129">
        <f t="shared" si="564"/>
        <v>1</v>
      </c>
      <c r="AC142" s="129">
        <f t="shared" si="564"/>
        <v>1</v>
      </c>
      <c r="AD142" s="129">
        <f t="shared" si="564"/>
        <v>1</v>
      </c>
      <c r="AE142" s="129">
        <f t="shared" si="564"/>
        <v>1</v>
      </c>
      <c r="AF142" s="129">
        <f t="shared" si="564"/>
        <v>1</v>
      </c>
      <c r="AG142" s="129">
        <f t="shared" si="564"/>
        <v>1</v>
      </c>
      <c r="AH142" s="116" t="e">
        <f t="shared" si="399"/>
        <v>#DIV/0!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65">G140/G20</f>
        <v>#DIV/0!</v>
      </c>
      <c r="H143" s="129" t="e">
        <f t="shared" ref="H143:I143" si="566">H140/H20</f>
        <v>#DIV/0!</v>
      </c>
      <c r="I143" s="129" t="e">
        <f t="shared" si="566"/>
        <v>#DIV/0!</v>
      </c>
      <c r="J143" s="129" t="e">
        <f t="shared" ref="J143:T143" si="567">J140/J20</f>
        <v>#DIV/0!</v>
      </c>
      <c r="K143" s="129" t="e">
        <f t="shared" si="567"/>
        <v>#DIV/0!</v>
      </c>
      <c r="L143" s="129" t="e">
        <f t="shared" si="567"/>
        <v>#DIV/0!</v>
      </c>
      <c r="M143" s="129" t="e">
        <f t="shared" si="567"/>
        <v>#DIV/0!</v>
      </c>
      <c r="N143" s="129" t="e">
        <f t="shared" si="567"/>
        <v>#DIV/0!</v>
      </c>
      <c r="O143" s="129" t="e">
        <f t="shared" si="567"/>
        <v>#DIV/0!</v>
      </c>
      <c r="P143" s="129" t="e">
        <f t="shared" si="567"/>
        <v>#DIV/0!</v>
      </c>
      <c r="Q143" s="129" t="e">
        <f t="shared" si="567"/>
        <v>#DIV/0!</v>
      </c>
      <c r="R143" s="129" t="e">
        <f t="shared" si="567"/>
        <v>#DIV/0!</v>
      </c>
      <c r="S143" s="129" t="e">
        <f t="shared" si="567"/>
        <v>#DIV/0!</v>
      </c>
      <c r="T143" s="129" t="e">
        <f t="shared" si="567"/>
        <v>#DIV/0!</v>
      </c>
      <c r="U143" s="129" t="e">
        <f t="shared" ref="U143" si="568">U140/U20</f>
        <v>#DIV/0!</v>
      </c>
      <c r="V143" s="101" t="e">
        <f t="shared" si="513"/>
        <v>#DIV/0!</v>
      </c>
      <c r="W143" s="10"/>
      <c r="X143" s="129" t="e">
        <f t="shared" ref="X143:AG143" si="569">X140/X20</f>
        <v>#DIV/0!</v>
      </c>
      <c r="Y143" s="129" t="e">
        <f t="shared" si="569"/>
        <v>#DIV/0!</v>
      </c>
      <c r="Z143" s="129" t="e">
        <f t="shared" si="569"/>
        <v>#DIV/0!</v>
      </c>
      <c r="AA143" s="129" t="e">
        <f t="shared" si="569"/>
        <v>#DIV/0!</v>
      </c>
      <c r="AB143" s="129" t="e">
        <f t="shared" si="569"/>
        <v>#DIV/0!</v>
      </c>
      <c r="AC143" s="129" t="e">
        <f t="shared" si="569"/>
        <v>#DIV/0!</v>
      </c>
      <c r="AD143" s="129" t="e">
        <f t="shared" si="569"/>
        <v>#DIV/0!</v>
      </c>
      <c r="AE143" s="129" t="e">
        <f t="shared" si="569"/>
        <v>#DIV/0!</v>
      </c>
      <c r="AF143" s="129" t="e">
        <f t="shared" si="569"/>
        <v>#DIV/0!</v>
      </c>
      <c r="AG143" s="129" t="e">
        <f t="shared" si="569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70">G31/G25</f>
        <v>0</v>
      </c>
      <c r="H145" s="129" t="e">
        <f t="shared" ref="H145:I145" si="571">H31/H25</f>
        <v>#DIV/0!</v>
      </c>
      <c r="I145" s="129" t="e">
        <f t="shared" si="571"/>
        <v>#DIV/0!</v>
      </c>
      <c r="J145" s="129" t="e">
        <f t="shared" ref="J145:T145" si="572">J31/J25</f>
        <v>#DIV/0!</v>
      </c>
      <c r="K145" s="129" t="e">
        <f t="shared" si="572"/>
        <v>#DIV/0!</v>
      </c>
      <c r="L145" s="129" t="e">
        <f t="shared" si="572"/>
        <v>#DIV/0!</v>
      </c>
      <c r="M145" s="129" t="e">
        <f t="shared" si="572"/>
        <v>#DIV/0!</v>
      </c>
      <c r="N145" s="129" t="e">
        <f t="shared" si="572"/>
        <v>#DIV/0!</v>
      </c>
      <c r="O145" s="129">
        <f t="shared" si="572"/>
        <v>0</v>
      </c>
      <c r="P145" s="129">
        <f t="shared" si="572"/>
        <v>0</v>
      </c>
      <c r="Q145" s="129">
        <f t="shared" si="572"/>
        <v>0</v>
      </c>
      <c r="R145" s="129">
        <f t="shared" si="572"/>
        <v>0</v>
      </c>
      <c r="S145" s="129">
        <f t="shared" si="572"/>
        <v>0</v>
      </c>
      <c r="T145" s="129">
        <f t="shared" si="572"/>
        <v>0</v>
      </c>
      <c r="U145" s="129">
        <f t="shared" ref="U145" si="573">U31/U25</f>
        <v>0</v>
      </c>
      <c r="V145" s="101" t="e">
        <f t="shared" si="513"/>
        <v>#DIV/0!</v>
      </c>
      <c r="W145" s="10"/>
      <c r="X145" s="129">
        <f t="shared" ref="X145:AG145" si="574">X31/X25</f>
        <v>0</v>
      </c>
      <c r="Y145" s="129">
        <f t="shared" si="574"/>
        <v>0</v>
      </c>
      <c r="Z145" s="129">
        <f t="shared" si="574"/>
        <v>0</v>
      </c>
      <c r="AA145" s="129">
        <f t="shared" si="574"/>
        <v>0</v>
      </c>
      <c r="AB145" s="129">
        <f t="shared" si="574"/>
        <v>0</v>
      </c>
      <c r="AC145" s="129">
        <f t="shared" si="574"/>
        <v>0</v>
      </c>
      <c r="AD145" s="129">
        <f t="shared" si="574"/>
        <v>0</v>
      </c>
      <c r="AE145" s="129">
        <f t="shared" si="574"/>
        <v>0</v>
      </c>
      <c r="AF145" s="129">
        <f t="shared" si="574"/>
        <v>0</v>
      </c>
      <c r="AG145" s="129">
        <f t="shared" si="574"/>
        <v>0</v>
      </c>
      <c r="AH145" s="116" t="e">
        <f t="shared" si="399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75">G32/G25</f>
        <v>0</v>
      </c>
      <c r="H146" s="129" t="e">
        <f t="shared" ref="H146:I146" si="576">H32/H25</f>
        <v>#DIV/0!</v>
      </c>
      <c r="I146" s="129" t="e">
        <f t="shared" si="576"/>
        <v>#DIV/0!</v>
      </c>
      <c r="J146" s="129" t="e">
        <f t="shared" ref="J146:T146" si="577">J32/J25</f>
        <v>#DIV/0!</v>
      </c>
      <c r="K146" s="129" t="e">
        <f t="shared" si="577"/>
        <v>#DIV/0!</v>
      </c>
      <c r="L146" s="129" t="e">
        <f t="shared" si="577"/>
        <v>#DIV/0!</v>
      </c>
      <c r="M146" s="129" t="e">
        <f t="shared" si="577"/>
        <v>#DIV/0!</v>
      </c>
      <c r="N146" s="129" t="e">
        <f t="shared" si="577"/>
        <v>#DIV/0!</v>
      </c>
      <c r="O146" s="129">
        <f t="shared" si="577"/>
        <v>0</v>
      </c>
      <c r="P146" s="129">
        <f t="shared" si="577"/>
        <v>0</v>
      </c>
      <c r="Q146" s="129">
        <f t="shared" si="577"/>
        <v>0</v>
      </c>
      <c r="R146" s="129">
        <f t="shared" si="577"/>
        <v>0</v>
      </c>
      <c r="S146" s="129">
        <f t="shared" si="577"/>
        <v>0</v>
      </c>
      <c r="T146" s="129">
        <f t="shared" si="577"/>
        <v>0</v>
      </c>
      <c r="U146" s="129">
        <f t="shared" ref="U146" si="578">U32/U25</f>
        <v>0</v>
      </c>
      <c r="V146" s="101" t="e">
        <f t="shared" si="513"/>
        <v>#DIV/0!</v>
      </c>
      <c r="W146" s="10"/>
      <c r="X146" s="129">
        <f t="shared" ref="X146:AG146" si="579">X32/X25</f>
        <v>0</v>
      </c>
      <c r="Y146" s="129">
        <f t="shared" si="579"/>
        <v>0</v>
      </c>
      <c r="Z146" s="129">
        <f t="shared" si="579"/>
        <v>0</v>
      </c>
      <c r="AA146" s="129">
        <f t="shared" si="579"/>
        <v>0</v>
      </c>
      <c r="AB146" s="129">
        <f t="shared" si="579"/>
        <v>0</v>
      </c>
      <c r="AC146" s="129">
        <f t="shared" si="579"/>
        <v>0</v>
      </c>
      <c r="AD146" s="129">
        <f t="shared" si="579"/>
        <v>0</v>
      </c>
      <c r="AE146" s="129">
        <f t="shared" si="579"/>
        <v>0</v>
      </c>
      <c r="AF146" s="129">
        <f t="shared" si="579"/>
        <v>0</v>
      </c>
      <c r="AG146" s="129">
        <f t="shared" si="579"/>
        <v>0</v>
      </c>
      <c r="AH146" s="116" t="e">
        <f t="shared" si="399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80">(G31+G32)/G25</f>
        <v>0</v>
      </c>
      <c r="H147" s="129" t="e">
        <f t="shared" ref="H147:I147" si="581">(H31+H32)/H25</f>
        <v>#DIV/0!</v>
      </c>
      <c r="I147" s="129" t="e">
        <f t="shared" si="581"/>
        <v>#DIV/0!</v>
      </c>
      <c r="J147" s="129" t="e">
        <f t="shared" ref="J147:T147" si="582">(J31+J32)/J25</f>
        <v>#DIV/0!</v>
      </c>
      <c r="K147" s="129" t="e">
        <f t="shared" si="582"/>
        <v>#DIV/0!</v>
      </c>
      <c r="L147" s="129" t="e">
        <f t="shared" si="582"/>
        <v>#DIV/0!</v>
      </c>
      <c r="M147" s="129" t="e">
        <f t="shared" si="582"/>
        <v>#DIV/0!</v>
      </c>
      <c r="N147" s="129" t="e">
        <f t="shared" si="582"/>
        <v>#DIV/0!</v>
      </c>
      <c r="O147" s="129">
        <f t="shared" si="582"/>
        <v>0</v>
      </c>
      <c r="P147" s="129">
        <f t="shared" si="582"/>
        <v>0</v>
      </c>
      <c r="Q147" s="129">
        <f t="shared" si="582"/>
        <v>0</v>
      </c>
      <c r="R147" s="129">
        <f t="shared" si="582"/>
        <v>0</v>
      </c>
      <c r="S147" s="129">
        <f t="shared" si="582"/>
        <v>0</v>
      </c>
      <c r="T147" s="129">
        <f t="shared" si="582"/>
        <v>0</v>
      </c>
      <c r="U147" s="129">
        <f t="shared" ref="U147" si="583">(U31+U32)/U25</f>
        <v>0</v>
      </c>
      <c r="V147" s="101" t="e">
        <f t="shared" si="513"/>
        <v>#DIV/0!</v>
      </c>
      <c r="W147" s="10"/>
      <c r="X147" s="129">
        <f t="shared" ref="X147:AG147" si="584">(X31+X32)/X25</f>
        <v>0</v>
      </c>
      <c r="Y147" s="129">
        <f t="shared" si="584"/>
        <v>0</v>
      </c>
      <c r="Z147" s="129">
        <f t="shared" si="584"/>
        <v>0</v>
      </c>
      <c r="AA147" s="129">
        <f t="shared" si="584"/>
        <v>0</v>
      </c>
      <c r="AB147" s="129">
        <f t="shared" si="584"/>
        <v>0</v>
      </c>
      <c r="AC147" s="129">
        <f t="shared" si="584"/>
        <v>0</v>
      </c>
      <c r="AD147" s="129">
        <f t="shared" si="584"/>
        <v>0</v>
      </c>
      <c r="AE147" s="129">
        <f t="shared" si="584"/>
        <v>0</v>
      </c>
      <c r="AF147" s="129">
        <f t="shared" si="584"/>
        <v>0</v>
      </c>
      <c r="AG147" s="129">
        <f t="shared" si="584"/>
        <v>0</v>
      </c>
      <c r="AH147" s="116" t="e">
        <f t="shared" si="399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85">G27/G25</f>
        <v>0.59499999999999997</v>
      </c>
      <c r="H149" s="129" t="e">
        <f t="shared" ref="H149:I149" si="586">H27/H25</f>
        <v>#DIV/0!</v>
      </c>
      <c r="I149" s="129" t="e">
        <f t="shared" si="586"/>
        <v>#DIV/0!</v>
      </c>
      <c r="J149" s="129" t="e">
        <f t="shared" ref="J149:T149" si="587">J27/J25</f>
        <v>#DIV/0!</v>
      </c>
      <c r="K149" s="129" t="e">
        <f t="shared" si="587"/>
        <v>#DIV/0!</v>
      </c>
      <c r="L149" s="129" t="e">
        <f t="shared" si="587"/>
        <v>#DIV/0!</v>
      </c>
      <c r="M149" s="129" t="e">
        <f t="shared" si="587"/>
        <v>#DIV/0!</v>
      </c>
      <c r="N149" s="129" t="e">
        <f t="shared" si="587"/>
        <v>#DIV/0!</v>
      </c>
      <c r="O149" s="129">
        <f t="shared" si="587"/>
        <v>0.59499999999999997</v>
      </c>
      <c r="P149" s="129">
        <f t="shared" si="587"/>
        <v>0.45229681978798586</v>
      </c>
      <c r="Q149" s="129">
        <f t="shared" si="587"/>
        <v>0.36024844720496896</v>
      </c>
      <c r="R149" s="129">
        <f t="shared" si="587"/>
        <v>0.38278145695364241</v>
      </c>
      <c r="S149" s="129">
        <f t="shared" si="587"/>
        <v>0.3632286995515695</v>
      </c>
      <c r="T149" s="129">
        <f t="shared" si="587"/>
        <v>0.44012944983818769</v>
      </c>
      <c r="U149" s="129">
        <f t="shared" ref="U149" si="588">U27/U25</f>
        <v>0.54448796866256299</v>
      </c>
      <c r="V149" s="101">
        <f t="shared" si="513"/>
        <v>-2.1304953469198251E-2</v>
      </c>
      <c r="W149" s="10"/>
      <c r="X149" s="129">
        <f t="shared" ref="X149:AG149" si="589">X27/X25</f>
        <v>0.44012944983818769</v>
      </c>
      <c r="Y149" s="129">
        <f t="shared" si="589"/>
        <v>0.44012944983818769</v>
      </c>
      <c r="Z149" s="129">
        <f t="shared" si="589"/>
        <v>0.44012944983818769</v>
      </c>
      <c r="AA149" s="129">
        <f t="shared" si="589"/>
        <v>0.44012944983818769</v>
      </c>
      <c r="AB149" s="129">
        <f t="shared" si="589"/>
        <v>0.44012944983818769</v>
      </c>
      <c r="AC149" s="129">
        <f t="shared" si="589"/>
        <v>0.44012944983818769</v>
      </c>
      <c r="AD149" s="129">
        <f t="shared" si="589"/>
        <v>0.44012944983818769</v>
      </c>
      <c r="AE149" s="129">
        <f t="shared" si="589"/>
        <v>0.44012944983818769</v>
      </c>
      <c r="AF149" s="129">
        <f t="shared" si="589"/>
        <v>0.44012944983818764</v>
      </c>
      <c r="AG149" s="129">
        <f t="shared" si="589"/>
        <v>0.44012944983818758</v>
      </c>
      <c r="AH149" s="116" t="e">
        <f t="shared" si="399"/>
        <v>#DIV/0!</v>
      </c>
      <c r="AI149" s="10"/>
      <c r="AJ149" s="10"/>
    </row>
    <row r="150" spans="2:36">
      <c r="B150" s="10" t="str">
        <f>B33</f>
        <v>Top Expenses ( Employee Cast )</v>
      </c>
      <c r="C150" s="10"/>
      <c r="D150" s="10"/>
      <c r="E150" s="10"/>
      <c r="F150" s="129"/>
      <c r="G150" s="129">
        <f t="shared" ref="G150" si="590">G33/G25</f>
        <v>0.32</v>
      </c>
      <c r="H150" s="129" t="e">
        <f t="shared" ref="H150:I150" si="591">H33/H25</f>
        <v>#DIV/0!</v>
      </c>
      <c r="I150" s="129" t="e">
        <f t="shared" si="591"/>
        <v>#DIV/0!</v>
      </c>
      <c r="J150" s="129" t="e">
        <f t="shared" ref="J150:T150" si="592">J33/J25</f>
        <v>#DIV/0!</v>
      </c>
      <c r="K150" s="129" t="e">
        <f t="shared" si="592"/>
        <v>#DIV/0!</v>
      </c>
      <c r="L150" s="129" t="e">
        <f t="shared" si="592"/>
        <v>#DIV/0!</v>
      </c>
      <c r="M150" s="129" t="e">
        <f t="shared" si="592"/>
        <v>#DIV/0!</v>
      </c>
      <c r="N150" s="129" t="e">
        <f t="shared" si="592"/>
        <v>#DIV/0!</v>
      </c>
      <c r="O150" s="129">
        <f t="shared" si="592"/>
        <v>0.32</v>
      </c>
      <c r="P150" s="129">
        <f t="shared" si="592"/>
        <v>0.2756183745583039</v>
      </c>
      <c r="Q150" s="129">
        <f t="shared" si="592"/>
        <v>0.20703933747412009</v>
      </c>
      <c r="R150" s="129">
        <f t="shared" si="592"/>
        <v>0.20529801324503311</v>
      </c>
      <c r="S150" s="129">
        <f t="shared" si="592"/>
        <v>0.20968609865470852</v>
      </c>
      <c r="T150" s="129">
        <f t="shared" si="592"/>
        <v>0.25631067961165049</v>
      </c>
      <c r="U150" s="129">
        <f t="shared" ref="U150" si="593">U33/U25</f>
        <v>0.29099048684946838</v>
      </c>
      <c r="V150" s="101">
        <f t="shared" si="513"/>
        <v>-1.572720778737946E-2</v>
      </c>
      <c r="W150" s="10"/>
      <c r="X150" s="129">
        <f t="shared" ref="X150:AG150" si="594">X33/X25</f>
        <v>0.25631067961165049</v>
      </c>
      <c r="Y150" s="129">
        <f t="shared" si="594"/>
        <v>0.25631067961165049</v>
      </c>
      <c r="Z150" s="129">
        <f t="shared" si="594"/>
        <v>0.25631067961165049</v>
      </c>
      <c r="AA150" s="129">
        <f t="shared" si="594"/>
        <v>0.25631067961165044</v>
      </c>
      <c r="AB150" s="129">
        <f t="shared" si="594"/>
        <v>0.25631067961165044</v>
      </c>
      <c r="AC150" s="129">
        <f t="shared" si="594"/>
        <v>0.25631067961165044</v>
      </c>
      <c r="AD150" s="129">
        <f t="shared" si="594"/>
        <v>0.25631067961165038</v>
      </c>
      <c r="AE150" s="129">
        <f t="shared" si="594"/>
        <v>0.25631067961165038</v>
      </c>
      <c r="AF150" s="129">
        <f t="shared" si="594"/>
        <v>0.25631067961165033</v>
      </c>
      <c r="AG150" s="129">
        <f t="shared" si="594"/>
        <v>0.25631067961165033</v>
      </c>
      <c r="AH150" s="116" t="e">
        <f t="shared" si="399"/>
        <v>#DIV/0!</v>
      </c>
      <c r="AI150" s="10"/>
      <c r="AJ150" s="10"/>
    </row>
    <row r="151" spans="2:36">
      <c r="B151" s="10" t="str">
        <f>B34</f>
        <v>2nd highest Expenses Comp. ( Interest )</v>
      </c>
      <c r="C151" s="10"/>
      <c r="D151" s="10"/>
      <c r="E151" s="10"/>
      <c r="F151" s="129"/>
      <c r="G151" s="129">
        <f t="shared" ref="G151" si="595">G34/G25</f>
        <v>0.32</v>
      </c>
      <c r="H151" s="129" t="e">
        <f t="shared" ref="H151:I151" si="596">H34/H25</f>
        <v>#DIV/0!</v>
      </c>
      <c r="I151" s="129" t="e">
        <f t="shared" si="596"/>
        <v>#DIV/0!</v>
      </c>
      <c r="J151" s="129" t="e">
        <f t="shared" ref="J151:T151" si="597">J34/J25</f>
        <v>#DIV/0!</v>
      </c>
      <c r="K151" s="129" t="e">
        <f t="shared" si="597"/>
        <v>#DIV/0!</v>
      </c>
      <c r="L151" s="129" t="e">
        <f t="shared" si="597"/>
        <v>#DIV/0!</v>
      </c>
      <c r="M151" s="129" t="e">
        <f t="shared" si="597"/>
        <v>#DIV/0!</v>
      </c>
      <c r="N151" s="129" t="e">
        <f t="shared" si="597"/>
        <v>#DIV/0!</v>
      </c>
      <c r="O151" s="129">
        <f t="shared" si="597"/>
        <v>0.32</v>
      </c>
      <c r="P151" s="129">
        <f t="shared" si="597"/>
        <v>0.38162544169611307</v>
      </c>
      <c r="Q151" s="129">
        <f t="shared" si="597"/>
        <v>0.39130434782608697</v>
      </c>
      <c r="R151" s="129">
        <f t="shared" si="597"/>
        <v>0.39072847682119205</v>
      </c>
      <c r="S151" s="129">
        <f t="shared" si="597"/>
        <v>0.39103139013452914</v>
      </c>
      <c r="T151" s="129">
        <f t="shared" si="597"/>
        <v>0.37281553398058254</v>
      </c>
      <c r="U151" s="129">
        <f t="shared" ref="U151" si="598">U34/U25</f>
        <v>0.37660884163402353</v>
      </c>
      <c r="V151" s="101">
        <f t="shared" si="513"/>
        <v>1.0971374230260178E-2</v>
      </c>
      <c r="W151" s="10"/>
      <c r="X151" s="129">
        <f t="shared" ref="X151:AG151" si="599">X34/X25</f>
        <v>0.37281553398058254</v>
      </c>
      <c r="Y151" s="129">
        <f t="shared" si="599"/>
        <v>0.37281553398058254</v>
      </c>
      <c r="Z151" s="129">
        <f t="shared" si="599"/>
        <v>0.37281553398058254</v>
      </c>
      <c r="AA151" s="129">
        <f t="shared" si="599"/>
        <v>0.37281553398058248</v>
      </c>
      <c r="AB151" s="129">
        <f t="shared" si="599"/>
        <v>0.37281553398058248</v>
      </c>
      <c r="AC151" s="129">
        <f t="shared" si="599"/>
        <v>0.37281553398058248</v>
      </c>
      <c r="AD151" s="129">
        <f t="shared" si="599"/>
        <v>0.37281553398058243</v>
      </c>
      <c r="AE151" s="129">
        <f t="shared" si="599"/>
        <v>0.37281553398058237</v>
      </c>
      <c r="AF151" s="129">
        <f t="shared" si="599"/>
        <v>0.37281553398058237</v>
      </c>
      <c r="AG151" s="129">
        <f t="shared" si="599"/>
        <v>0.37281553398058243</v>
      </c>
      <c r="AH151" s="116" t="e">
        <f t="shared" si="399"/>
        <v>#DIV/0!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13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600">G15/G9</f>
        <v>3.511278195488722</v>
      </c>
      <c r="H154" s="15" t="e">
        <f t="shared" ref="H154:I154" si="601">H15/H9</f>
        <v>#DIV/0!</v>
      </c>
      <c r="I154" s="15" t="e">
        <f t="shared" si="601"/>
        <v>#DIV/0!</v>
      </c>
      <c r="J154" s="15" t="e">
        <f t="shared" ref="J154:T154" si="602">J15/J9</f>
        <v>#DIV/0!</v>
      </c>
      <c r="K154" s="15" t="e">
        <f t="shared" si="602"/>
        <v>#DIV/0!</v>
      </c>
      <c r="L154" s="15" t="e">
        <f t="shared" si="602"/>
        <v>#DIV/0!</v>
      </c>
      <c r="M154" s="15" t="e">
        <f t="shared" si="602"/>
        <v>#DIV/0!</v>
      </c>
      <c r="N154" s="15" t="e">
        <f t="shared" si="602"/>
        <v>#DIV/0!</v>
      </c>
      <c r="O154" s="15">
        <f t="shared" si="602"/>
        <v>3.511278195488722</v>
      </c>
      <c r="P154" s="15">
        <f t="shared" si="602"/>
        <v>2.2798434442270059</v>
      </c>
      <c r="Q154" s="15">
        <f t="shared" si="602"/>
        <v>1.6663055254604551</v>
      </c>
      <c r="R154" s="15">
        <f t="shared" si="602"/>
        <v>1.6166788588149232</v>
      </c>
      <c r="S154" s="15">
        <f t="shared" si="602"/>
        <v>1.523980277902286</v>
      </c>
      <c r="T154" s="15">
        <f t="shared" si="602"/>
        <v>8.0527383367139951</v>
      </c>
      <c r="U154" s="15">
        <f t="shared" ref="U154" si="603">U15/U9</f>
        <v>3.9515570934256057</v>
      </c>
      <c r="V154" s="101">
        <f t="shared" si="513"/>
        <v>6.108079332609706E-2</v>
      </c>
      <c r="W154" s="10"/>
      <c r="X154" s="10">
        <f t="shared" ref="X154:AG154" si="604">X15/X9</f>
        <v>8.0527383367139969</v>
      </c>
      <c r="Y154" s="10">
        <f t="shared" si="604"/>
        <v>8.0527383367139969</v>
      </c>
      <c r="Z154" s="10">
        <f t="shared" si="604"/>
        <v>8.0527383367139986</v>
      </c>
      <c r="AA154" s="10">
        <f t="shared" si="604"/>
        <v>8.0527383367139986</v>
      </c>
      <c r="AB154" s="10">
        <f t="shared" si="604"/>
        <v>8.0527383367139986</v>
      </c>
      <c r="AC154" s="10">
        <f t="shared" si="604"/>
        <v>8.0527383367139986</v>
      </c>
      <c r="AD154" s="10">
        <f t="shared" si="604"/>
        <v>8.0527383367140004</v>
      </c>
      <c r="AE154" s="10">
        <f t="shared" si="604"/>
        <v>8.0527383367139986</v>
      </c>
      <c r="AF154" s="10">
        <f t="shared" si="604"/>
        <v>8.0527383367139986</v>
      </c>
      <c r="AG154" s="10">
        <f t="shared" si="604"/>
        <v>8.0527383367140004</v>
      </c>
      <c r="AH154" s="116" t="e">
        <f t="shared" si="399"/>
        <v>#DIV/0!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605">G12/G9</f>
        <v>0.69548872180451127</v>
      </c>
      <c r="H155" s="15" t="e">
        <f t="shared" ref="H155:I155" si="606">H12/H9</f>
        <v>#DIV/0!</v>
      </c>
      <c r="I155" s="15" t="e">
        <f t="shared" si="606"/>
        <v>#DIV/0!</v>
      </c>
      <c r="J155" s="15" t="e">
        <f t="shared" ref="J155:T155" si="607">J12/J9</f>
        <v>#DIV/0!</v>
      </c>
      <c r="K155" s="15" t="e">
        <f t="shared" si="607"/>
        <v>#DIV/0!</v>
      </c>
      <c r="L155" s="15" t="e">
        <f t="shared" si="607"/>
        <v>#DIV/0!</v>
      </c>
      <c r="M155" s="15" t="e">
        <f t="shared" si="607"/>
        <v>#DIV/0!</v>
      </c>
      <c r="N155" s="15" t="e">
        <f t="shared" si="607"/>
        <v>#DIV/0!</v>
      </c>
      <c r="O155" s="15">
        <f t="shared" si="607"/>
        <v>0.69548872180451127</v>
      </c>
      <c r="P155" s="15">
        <f t="shared" si="607"/>
        <v>0.87279843444227001</v>
      </c>
      <c r="Q155" s="15">
        <f t="shared" si="607"/>
        <v>0.44962080173347779</v>
      </c>
      <c r="R155" s="15">
        <f t="shared" si="607"/>
        <v>0.40819312362838334</v>
      </c>
      <c r="S155" s="15">
        <f t="shared" si="607"/>
        <v>0.42447333034513673</v>
      </c>
      <c r="T155" s="15">
        <f t="shared" si="607"/>
        <v>2.1602434077079109</v>
      </c>
      <c r="U155" s="15">
        <f t="shared" ref="U155" si="608">U12/U9</f>
        <v>1.0311418685121108</v>
      </c>
      <c r="V155" s="101">
        <f t="shared" si="513"/>
        <v>8.4321433946369595E-2</v>
      </c>
      <c r="W155" s="110"/>
      <c r="X155" s="10">
        <f t="shared" ref="X155:AG155" si="609">X12/X9</f>
        <v>2.1602434077079109</v>
      </c>
      <c r="Y155" s="10">
        <f t="shared" si="609"/>
        <v>2.1602434077079109</v>
      </c>
      <c r="Z155" s="10">
        <f t="shared" si="609"/>
        <v>2.1602434077079109</v>
      </c>
      <c r="AA155" s="10">
        <f t="shared" si="609"/>
        <v>2.1602434077079113</v>
      </c>
      <c r="AB155" s="10">
        <f t="shared" si="609"/>
        <v>2.1602434077079113</v>
      </c>
      <c r="AC155" s="10">
        <f t="shared" si="609"/>
        <v>2.1602434077079113</v>
      </c>
      <c r="AD155" s="10">
        <f t="shared" si="609"/>
        <v>2.1602434077079113</v>
      </c>
      <c r="AE155" s="10">
        <f t="shared" si="609"/>
        <v>2.1602434077079113</v>
      </c>
      <c r="AF155" s="10">
        <f t="shared" si="609"/>
        <v>2.1602434077079113</v>
      </c>
      <c r="AG155" s="10">
        <f t="shared" si="609"/>
        <v>2.1602434077079113</v>
      </c>
      <c r="AH155" s="101">
        <f t="shared" ref="AH155" si="610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611">G25/360</f>
        <v>0.55555555555555558</v>
      </c>
      <c r="H156" s="15">
        <f t="shared" ref="H156:I156" si="612">H25/360</f>
        <v>0</v>
      </c>
      <c r="I156" s="15">
        <f t="shared" si="612"/>
        <v>0</v>
      </c>
      <c r="J156" s="15">
        <f t="shared" ref="J156:T156" si="613">J25/360</f>
        <v>0</v>
      </c>
      <c r="K156" s="15">
        <f t="shared" si="613"/>
        <v>0</v>
      </c>
      <c r="L156" s="15">
        <f t="shared" si="613"/>
        <v>0</v>
      </c>
      <c r="M156" s="15">
        <f t="shared" si="613"/>
        <v>0</v>
      </c>
      <c r="N156" s="15">
        <f t="shared" si="613"/>
        <v>0</v>
      </c>
      <c r="O156" s="15">
        <f t="shared" si="613"/>
        <v>0.55555555555555558</v>
      </c>
      <c r="P156" s="15">
        <f t="shared" si="613"/>
        <v>0.78611111111111109</v>
      </c>
      <c r="Q156" s="15">
        <f t="shared" si="613"/>
        <v>1.3416666666666666</v>
      </c>
      <c r="R156" s="15">
        <f t="shared" si="613"/>
        <v>2.0972222222222223</v>
      </c>
      <c r="S156" s="15">
        <f t="shared" si="613"/>
        <v>3.0972222222222223</v>
      </c>
      <c r="T156" s="15">
        <f t="shared" si="613"/>
        <v>4.291666666666667</v>
      </c>
      <c r="U156" s="15">
        <f t="shared" ref="U156" si="614">U25/360</f>
        <v>4.9638888888888886</v>
      </c>
      <c r="V156" s="101">
        <f t="shared" si="513"/>
        <v>0.15723436150648307</v>
      </c>
      <c r="W156" s="110"/>
      <c r="X156" s="15">
        <f t="shared" ref="X156:AG156" si="615">X25/360</f>
        <v>4.9354166666666659</v>
      </c>
      <c r="Y156" s="15">
        <f t="shared" si="615"/>
        <v>5.6757291666666658</v>
      </c>
      <c r="Z156" s="15">
        <f t="shared" si="615"/>
        <v>6.5270885416666653</v>
      </c>
      <c r="AA156" s="15">
        <f t="shared" si="615"/>
        <v>7.5061518229166646</v>
      </c>
      <c r="AB156" s="15">
        <f t="shared" si="615"/>
        <v>8.6320745963541636</v>
      </c>
      <c r="AC156" s="15">
        <f t="shared" si="615"/>
        <v>9.9268857858072881</v>
      </c>
      <c r="AD156" s="15">
        <f t="shared" si="615"/>
        <v>11.415918653678382</v>
      </c>
      <c r="AE156" s="15">
        <f t="shared" si="615"/>
        <v>13.128306451730138</v>
      </c>
      <c r="AF156" s="15">
        <f t="shared" si="615"/>
        <v>15.097552419489658</v>
      </c>
      <c r="AG156" s="15">
        <f t="shared" si="615"/>
        <v>17.362185282413105</v>
      </c>
      <c r="AH156" s="101">
        <f t="shared" ref="AH156:AH167" si="616">((AG156/X156)^(1/($K$2-$K$1) ))-1</f>
        <v>9.4006847318931053E-2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617">G27/360</f>
        <v>0.33055555555555555</v>
      </c>
      <c r="H157" s="15">
        <f t="shared" ref="H157:I157" si="618">H27/360</f>
        <v>0</v>
      </c>
      <c r="I157" s="15">
        <f t="shared" si="618"/>
        <v>0</v>
      </c>
      <c r="J157" s="15">
        <f t="shared" ref="J157:T157" si="619">J27/360</f>
        <v>0</v>
      </c>
      <c r="K157" s="15">
        <f t="shared" si="619"/>
        <v>0</v>
      </c>
      <c r="L157" s="15">
        <f t="shared" si="619"/>
        <v>0</v>
      </c>
      <c r="M157" s="15">
        <f t="shared" si="619"/>
        <v>0</v>
      </c>
      <c r="N157" s="15">
        <f t="shared" si="619"/>
        <v>0</v>
      </c>
      <c r="O157" s="15">
        <f t="shared" si="619"/>
        <v>0.33055555555555555</v>
      </c>
      <c r="P157" s="15">
        <f t="shared" si="619"/>
        <v>0.35555555555555557</v>
      </c>
      <c r="Q157" s="15">
        <f t="shared" si="619"/>
        <v>0.48333333333333334</v>
      </c>
      <c r="R157" s="15">
        <f t="shared" si="619"/>
        <v>0.80277777777777781</v>
      </c>
      <c r="S157" s="15">
        <f t="shared" si="619"/>
        <v>1.125</v>
      </c>
      <c r="T157" s="15">
        <f t="shared" si="619"/>
        <v>1.8888888888888888</v>
      </c>
      <c r="U157" s="15">
        <f t="shared" ref="U157" si="620">U27/360</f>
        <v>2.7027777777777779</v>
      </c>
      <c r="V157" s="101">
        <f t="shared" si="513"/>
        <v>0.13257953728163008</v>
      </c>
      <c r="W157" s="110"/>
      <c r="X157" s="15">
        <f t="shared" ref="X157:AG157" si="621">X27/360</f>
        <v>2.1722222222222221</v>
      </c>
      <c r="Y157" s="15">
        <f t="shared" si="621"/>
        <v>2.4980555555555553</v>
      </c>
      <c r="Z157" s="15">
        <f t="shared" si="621"/>
        <v>2.8727638888888882</v>
      </c>
      <c r="AA157" s="15">
        <f t="shared" si="621"/>
        <v>3.3036784722222214</v>
      </c>
      <c r="AB157" s="15">
        <f t="shared" si="621"/>
        <v>3.7992302430555545</v>
      </c>
      <c r="AC157" s="15">
        <f t="shared" si="621"/>
        <v>4.3691147795138878</v>
      </c>
      <c r="AD157" s="15">
        <f t="shared" si="621"/>
        <v>5.0244819964409704</v>
      </c>
      <c r="AE157" s="15">
        <f t="shared" si="621"/>
        <v>5.7781542959071155</v>
      </c>
      <c r="AF157" s="15">
        <f t="shared" si="621"/>
        <v>6.6448774402931816</v>
      </c>
      <c r="AG157" s="15">
        <f t="shared" si="621"/>
        <v>7.6416090563371579</v>
      </c>
      <c r="AH157" s="101">
        <f t="shared" si="616"/>
        <v>9.4006847318931053E-2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622">G10/G7</f>
        <v>1.185430463576159</v>
      </c>
      <c r="H159" s="15" t="e">
        <f t="shared" ref="H159:I159" si="623">H10/H7</f>
        <v>#DIV/0!</v>
      </c>
      <c r="I159" s="15" t="e">
        <f t="shared" si="623"/>
        <v>#DIV/0!</v>
      </c>
      <c r="J159" s="15" t="e">
        <f t="shared" ref="J159:T159" si="624">J10/J7</f>
        <v>#DIV/0!</v>
      </c>
      <c r="K159" s="15" t="e">
        <f t="shared" si="624"/>
        <v>#DIV/0!</v>
      </c>
      <c r="L159" s="15" t="e">
        <f t="shared" si="624"/>
        <v>#DIV/0!</v>
      </c>
      <c r="M159" s="15" t="e">
        <f t="shared" si="624"/>
        <v>#DIV/0!</v>
      </c>
      <c r="N159" s="15" t="e">
        <f t="shared" si="624"/>
        <v>#DIV/0!</v>
      </c>
      <c r="O159" s="15">
        <f t="shared" si="624"/>
        <v>1.185430463576159</v>
      </c>
      <c r="P159" s="15">
        <f t="shared" si="624"/>
        <v>1.7902542372881356</v>
      </c>
      <c r="Q159" s="15">
        <f t="shared" si="624"/>
        <v>1.417789757412399</v>
      </c>
      <c r="R159" s="15">
        <f t="shared" si="624"/>
        <v>1.6025641025641026</v>
      </c>
      <c r="S159" s="15">
        <f t="shared" si="624"/>
        <v>2.1200596569724088</v>
      </c>
      <c r="T159" s="15">
        <f t="shared" si="624"/>
        <v>2.9336322869955156</v>
      </c>
      <c r="U159" s="15">
        <f t="shared" ref="U159" si="625">U10/U7</f>
        <v>4.341677646025472</v>
      </c>
      <c r="V159" s="101">
        <f t="shared" si="513"/>
        <v>6.6864481478711824E-2</v>
      </c>
      <c r="W159" s="110"/>
      <c r="X159" s="15">
        <f t="shared" ref="X159:AG159" si="626">X10/X7</f>
        <v>2.9336322869955156</v>
      </c>
      <c r="Y159" s="15">
        <f t="shared" si="626"/>
        <v>2.9336322869955156</v>
      </c>
      <c r="Z159" s="15">
        <f t="shared" si="626"/>
        <v>2.9336322869955156</v>
      </c>
      <c r="AA159" s="15">
        <f t="shared" si="626"/>
        <v>2.9336322869955156</v>
      </c>
      <c r="AB159" s="15">
        <f t="shared" si="626"/>
        <v>2.9336322869955151</v>
      </c>
      <c r="AC159" s="15">
        <f t="shared" si="626"/>
        <v>2.9336322869955156</v>
      </c>
      <c r="AD159" s="15">
        <f t="shared" si="626"/>
        <v>2.9336322869955156</v>
      </c>
      <c r="AE159" s="15">
        <f t="shared" si="626"/>
        <v>2.9336322869955156</v>
      </c>
      <c r="AF159" s="15">
        <f t="shared" si="626"/>
        <v>2.9336322869955151</v>
      </c>
      <c r="AG159" s="15">
        <f t="shared" si="626"/>
        <v>2.9336322869955151</v>
      </c>
      <c r="AH159" s="101">
        <f t="shared" si="616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627">G10/(G10+G7)</f>
        <v>0.54242424242424248</v>
      </c>
      <c r="H160" s="15" t="e">
        <f t="shared" ref="H160:I160" si="628">H10/(H10+H7)</f>
        <v>#DIV/0!</v>
      </c>
      <c r="I160" s="15" t="e">
        <f t="shared" si="628"/>
        <v>#DIV/0!</v>
      </c>
      <c r="J160" s="15" t="e">
        <f t="shared" ref="J160:T160" si="629">J10/(J10+J7)</f>
        <v>#DIV/0!</v>
      </c>
      <c r="K160" s="15" t="e">
        <f t="shared" si="629"/>
        <v>#DIV/0!</v>
      </c>
      <c r="L160" s="15" t="e">
        <f t="shared" si="629"/>
        <v>#DIV/0!</v>
      </c>
      <c r="M160" s="15" t="e">
        <f t="shared" si="629"/>
        <v>#DIV/0!</v>
      </c>
      <c r="N160" s="15" t="e">
        <f t="shared" si="629"/>
        <v>#DIV/0!</v>
      </c>
      <c r="O160" s="15">
        <f t="shared" si="629"/>
        <v>0.54242424242424248</v>
      </c>
      <c r="P160" s="15">
        <f t="shared" si="629"/>
        <v>0.6416097190584662</v>
      </c>
      <c r="Q160" s="15">
        <f t="shared" si="629"/>
        <v>0.58639910813823859</v>
      </c>
      <c r="R160" s="15">
        <f t="shared" si="629"/>
        <v>0.61576354679802958</v>
      </c>
      <c r="S160" s="15">
        <f t="shared" si="629"/>
        <v>0.67949330783938811</v>
      </c>
      <c r="T160" s="15">
        <f t="shared" si="629"/>
        <v>0.74578203374373009</v>
      </c>
      <c r="U160" s="15">
        <f t="shared" ref="U160" si="630">U10/(U10+U7)</f>
        <v>0.81279289648935293</v>
      </c>
      <c r="V160" s="101">
        <f t="shared" si="513"/>
        <v>2.3002347759011332E-2</v>
      </c>
      <c r="W160" s="110"/>
      <c r="X160" s="15">
        <f t="shared" ref="X160:AG160" si="631">X10/(X10+X7)</f>
        <v>0.74578203374372998</v>
      </c>
      <c r="Y160" s="15">
        <f t="shared" si="631"/>
        <v>0.74578203374373009</v>
      </c>
      <c r="Z160" s="15">
        <f t="shared" si="631"/>
        <v>0.74578203374373009</v>
      </c>
      <c r="AA160" s="15">
        <f t="shared" si="631"/>
        <v>0.74578203374373009</v>
      </c>
      <c r="AB160" s="15">
        <f t="shared" si="631"/>
        <v>0.74578203374372998</v>
      </c>
      <c r="AC160" s="15">
        <f t="shared" si="631"/>
        <v>0.74578203374372998</v>
      </c>
      <c r="AD160" s="15">
        <f t="shared" si="631"/>
        <v>0.74578203374372998</v>
      </c>
      <c r="AE160" s="15">
        <f t="shared" si="631"/>
        <v>0.74578203374372998</v>
      </c>
      <c r="AF160" s="15">
        <f t="shared" si="631"/>
        <v>0.74578203374373009</v>
      </c>
      <c r="AG160" s="15">
        <f t="shared" si="631"/>
        <v>0.74578203374372998</v>
      </c>
      <c r="AH160" s="101">
        <f t="shared" si="616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632">G16</f>
        <v>635</v>
      </c>
      <c r="H162" s="15">
        <f t="shared" ref="H162:I162" si="633">H16</f>
        <v>0</v>
      </c>
      <c r="I162" s="15">
        <f t="shared" si="633"/>
        <v>0</v>
      </c>
      <c r="J162" s="15">
        <f t="shared" ref="J162:T162" si="634">J16</f>
        <v>0</v>
      </c>
      <c r="K162" s="15">
        <f t="shared" si="634"/>
        <v>0</v>
      </c>
      <c r="L162" s="15">
        <f t="shared" si="634"/>
        <v>0</v>
      </c>
      <c r="M162" s="15">
        <f t="shared" si="634"/>
        <v>0</v>
      </c>
      <c r="N162" s="15">
        <f t="shared" si="634"/>
        <v>0</v>
      </c>
      <c r="O162" s="15">
        <f t="shared" si="634"/>
        <v>635</v>
      </c>
      <c r="P162" s="15">
        <f t="shared" si="634"/>
        <v>1285</v>
      </c>
      <c r="Q162" s="15">
        <f t="shared" si="634"/>
        <v>1763</v>
      </c>
      <c r="R162" s="15">
        <f t="shared" si="634"/>
        <v>2822</v>
      </c>
      <c r="S162" s="15">
        <f t="shared" si="634"/>
        <v>4110</v>
      </c>
      <c r="T162" s="15">
        <f t="shared" si="634"/>
        <v>6549</v>
      </c>
      <c r="U162" s="15">
        <f t="shared" ref="U162" si="635">U16</f>
        <v>7976</v>
      </c>
      <c r="V162" s="101">
        <f t="shared" si="513"/>
        <v>0.18136963704747133</v>
      </c>
      <c r="W162" s="110"/>
      <c r="X162" s="15">
        <f t="shared" ref="X162:AG162" si="636">X16</f>
        <v>7531.3499999999995</v>
      </c>
      <c r="Y162" s="15">
        <f t="shared" si="636"/>
        <v>8661.052499999998</v>
      </c>
      <c r="Z162" s="15">
        <f t="shared" si="636"/>
        <v>9960.2103749999969</v>
      </c>
      <c r="AA162" s="15">
        <f t="shared" si="636"/>
        <v>11454.241931249995</v>
      </c>
      <c r="AB162" s="15">
        <f t="shared" si="636"/>
        <v>13172.378220937493</v>
      </c>
      <c r="AC162" s="15">
        <f t="shared" si="636"/>
        <v>15148.234954078116</v>
      </c>
      <c r="AD162" s="15">
        <f t="shared" si="636"/>
        <v>17420.470197189832</v>
      </c>
      <c r="AE162" s="15">
        <f t="shared" si="636"/>
        <v>20033.540726768304</v>
      </c>
      <c r="AF162" s="15">
        <f t="shared" si="636"/>
        <v>23038.571835783547</v>
      </c>
      <c r="AG162" s="15">
        <f t="shared" si="636"/>
        <v>26494.357611151077</v>
      </c>
      <c r="AH162" s="101">
        <f t="shared" si="616"/>
        <v>9.4006847318931053E-2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637">G162*365/G25</f>
        <v>1158.875</v>
      </c>
      <c r="H163" s="102" t="e">
        <f t="shared" ref="H163:I163" si="638">H162*365/H25</f>
        <v>#DIV/0!</v>
      </c>
      <c r="I163" s="102" t="e">
        <f t="shared" si="638"/>
        <v>#DIV/0!</v>
      </c>
      <c r="J163" s="102" t="e">
        <f t="shared" ref="J163:T163" si="639">J162*365/J25</f>
        <v>#DIV/0!</v>
      </c>
      <c r="K163" s="102" t="e">
        <f t="shared" si="639"/>
        <v>#DIV/0!</v>
      </c>
      <c r="L163" s="102" t="e">
        <f t="shared" si="639"/>
        <v>#DIV/0!</v>
      </c>
      <c r="M163" s="102" t="e">
        <f t="shared" si="639"/>
        <v>#DIV/0!</v>
      </c>
      <c r="N163" s="102" t="e">
        <f t="shared" si="639"/>
        <v>#DIV/0!</v>
      </c>
      <c r="O163" s="102">
        <f t="shared" si="639"/>
        <v>1158.875</v>
      </c>
      <c r="P163" s="102">
        <f t="shared" si="639"/>
        <v>1657.3321554770318</v>
      </c>
      <c r="Q163" s="102">
        <f t="shared" si="639"/>
        <v>1332.2877846790891</v>
      </c>
      <c r="R163" s="102">
        <f t="shared" si="639"/>
        <v>1364.2781456953642</v>
      </c>
      <c r="S163" s="102">
        <f t="shared" si="639"/>
        <v>1345.4260089686099</v>
      </c>
      <c r="T163" s="102">
        <f t="shared" si="639"/>
        <v>1547.1747572815534</v>
      </c>
      <c r="U163" s="102">
        <f t="shared" ref="U163" si="640">U162*365/U25</f>
        <v>1629.1214325685507</v>
      </c>
      <c r="V163" s="101">
        <f t="shared" si="513"/>
        <v>2.0855996282005629E-2</v>
      </c>
      <c r="W163" s="110"/>
      <c r="X163" s="102">
        <f t="shared" ref="X163:AG163" si="641">X162*365/X25</f>
        <v>1547.1747572815536</v>
      </c>
      <c r="Y163" s="102">
        <f t="shared" si="641"/>
        <v>1547.1747572815534</v>
      </c>
      <c r="Z163" s="102">
        <f t="shared" si="641"/>
        <v>1547.1747572815532</v>
      </c>
      <c r="AA163" s="102">
        <f t="shared" si="641"/>
        <v>1547.1747572815532</v>
      </c>
      <c r="AB163" s="102">
        <f t="shared" si="641"/>
        <v>1547.174757281553</v>
      </c>
      <c r="AC163" s="102">
        <f t="shared" si="641"/>
        <v>1547.174757281553</v>
      </c>
      <c r="AD163" s="102">
        <f t="shared" si="641"/>
        <v>1547.174757281553</v>
      </c>
      <c r="AE163" s="102">
        <f t="shared" si="641"/>
        <v>1547.1747572815527</v>
      </c>
      <c r="AF163" s="102">
        <f t="shared" si="641"/>
        <v>1547.1747572815527</v>
      </c>
      <c r="AG163" s="102">
        <f t="shared" si="641"/>
        <v>1547.1747572815525</v>
      </c>
      <c r="AH163" s="101">
        <f t="shared" si="616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642">G98/G29</f>
        <v>0.28433708838821492</v>
      </c>
      <c r="H164" s="112" t="e">
        <f t="shared" ref="H164:I164" si="643">H98/H29</f>
        <v>#DIV/0!</v>
      </c>
      <c r="I164" s="112" t="e">
        <f t="shared" si="643"/>
        <v>#DIV/0!</v>
      </c>
      <c r="J164" s="112" t="e">
        <f t="shared" ref="J164:T164" si="644">J98/J29</f>
        <v>#DIV/0!</v>
      </c>
      <c r="K164" s="112" t="e">
        <f t="shared" si="644"/>
        <v>#DIV/0!</v>
      </c>
      <c r="L164" s="112" t="e">
        <f t="shared" si="644"/>
        <v>#DIV/0!</v>
      </c>
      <c r="M164" s="112" t="e">
        <f t="shared" si="644"/>
        <v>#DIV/0!</v>
      </c>
      <c r="N164" s="112" t="e">
        <f t="shared" si="644"/>
        <v>#DIV/0!</v>
      </c>
      <c r="O164" s="112">
        <f t="shared" si="644"/>
        <v>0.28433708838821492</v>
      </c>
      <c r="P164" s="112">
        <f t="shared" si="644"/>
        <v>0.24712754348802879</v>
      </c>
      <c r="Q164" s="112">
        <f t="shared" si="644"/>
        <v>0.22446689113355778</v>
      </c>
      <c r="R164" s="112">
        <f t="shared" si="644"/>
        <v>5.8641041162227604E-2</v>
      </c>
      <c r="S164" s="112">
        <f t="shared" si="644"/>
        <v>5.999503723771292E-2</v>
      </c>
      <c r="T164" s="112">
        <f t="shared" si="644"/>
        <v>4.4918919807907375E-2</v>
      </c>
      <c r="U164" s="112">
        <f t="shared" ref="U164" si="645">U98/U29</f>
        <v>3.5444708873224928E-2</v>
      </c>
      <c r="V164" s="101">
        <f t="shared" si="513"/>
        <v>-0.12349006656958694</v>
      </c>
      <c r="W164" s="110"/>
      <c r="X164" s="112">
        <f t="shared" ref="X164:AG164" si="646">X98/X29</f>
        <v>4.4038156674418988E-2</v>
      </c>
      <c r="Y164" s="112">
        <f t="shared" si="646"/>
        <v>4.3174663406293126E-2</v>
      </c>
      <c r="Z164" s="112">
        <f t="shared" si="646"/>
        <v>4.2328101378718751E-2</v>
      </c>
      <c r="AA164" s="112">
        <f t="shared" si="646"/>
        <v>4.1498138606587014E-2</v>
      </c>
      <c r="AB164" s="112">
        <f t="shared" si="646"/>
        <v>4.0684449614300996E-2</v>
      </c>
      <c r="AC164" s="112">
        <f t="shared" si="646"/>
        <v>3.9886715308138226E-2</v>
      </c>
      <c r="AD164" s="112">
        <f t="shared" si="646"/>
        <v>3.9104622851115912E-2</v>
      </c>
      <c r="AE164" s="112">
        <f t="shared" si="646"/>
        <v>3.8337865540309712E-2</v>
      </c>
      <c r="AF164" s="112">
        <f t="shared" si="646"/>
        <v>3.7586142686578151E-2</v>
      </c>
      <c r="AG164" s="112">
        <f t="shared" si="646"/>
        <v>3.6849159496645238E-2</v>
      </c>
      <c r="AH164" s="101">
        <f t="shared" si="616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 t="e">
        <f t="shared" ref="G166" si="647">G25/G14</f>
        <v>#DIV/0!</v>
      </c>
      <c r="H166" s="157" t="e">
        <f t="shared" ref="H166:I166" si="648">H25/H14</f>
        <v>#DIV/0!</v>
      </c>
      <c r="I166" s="157" t="e">
        <f t="shared" si="648"/>
        <v>#DIV/0!</v>
      </c>
      <c r="J166" s="157" t="e">
        <f t="shared" ref="J166:T166" si="649">J25/J14</f>
        <v>#DIV/0!</v>
      </c>
      <c r="K166" s="157" t="e">
        <f t="shared" si="649"/>
        <v>#DIV/0!</v>
      </c>
      <c r="L166" s="157" t="e">
        <f t="shared" si="649"/>
        <v>#DIV/0!</v>
      </c>
      <c r="M166" s="157" t="e">
        <f t="shared" si="649"/>
        <v>#DIV/0!</v>
      </c>
      <c r="N166" s="157" t="e">
        <f t="shared" si="649"/>
        <v>#DIV/0!</v>
      </c>
      <c r="O166" s="157" t="e">
        <f t="shared" si="649"/>
        <v>#DIV/0!</v>
      </c>
      <c r="P166" s="157" t="e">
        <f t="shared" si="649"/>
        <v>#DIV/0!</v>
      </c>
      <c r="Q166" s="157" t="e">
        <f t="shared" si="649"/>
        <v>#DIV/0!</v>
      </c>
      <c r="R166" s="157" t="e">
        <f t="shared" si="649"/>
        <v>#DIV/0!</v>
      </c>
      <c r="S166" s="157" t="e">
        <f t="shared" si="649"/>
        <v>#DIV/0!</v>
      </c>
      <c r="T166" s="157" t="e">
        <f t="shared" si="649"/>
        <v>#DIV/0!</v>
      </c>
      <c r="U166" s="157" t="e">
        <f t="shared" ref="U166" si="650">U25/U14</f>
        <v>#DIV/0!</v>
      </c>
      <c r="V166" s="101" t="e">
        <f t="shared" si="513"/>
        <v>#DIV/0!</v>
      </c>
      <c r="W166" s="110"/>
      <c r="X166" s="10" t="e">
        <f t="shared" ref="X166:AG166" si="651">X25/X14</f>
        <v>#DIV/0!</v>
      </c>
      <c r="Y166" s="10" t="e">
        <f t="shared" si="651"/>
        <v>#DIV/0!</v>
      </c>
      <c r="Z166" s="10" t="e">
        <f t="shared" si="651"/>
        <v>#DIV/0!</v>
      </c>
      <c r="AA166" s="10" t="e">
        <f t="shared" si="651"/>
        <v>#DIV/0!</v>
      </c>
      <c r="AB166" s="10" t="e">
        <f t="shared" si="651"/>
        <v>#DIV/0!</v>
      </c>
      <c r="AC166" s="10" t="e">
        <f t="shared" si="651"/>
        <v>#DIV/0!</v>
      </c>
      <c r="AD166" s="10" t="e">
        <f t="shared" si="651"/>
        <v>#DIV/0!</v>
      </c>
      <c r="AE166" s="10" t="e">
        <f t="shared" si="651"/>
        <v>#DIV/0!</v>
      </c>
      <c r="AF166" s="10" t="e">
        <f t="shared" si="651"/>
        <v>#DIV/0!</v>
      </c>
      <c r="AG166" s="10" t="e">
        <f t="shared" si="651"/>
        <v>#DIV/0!</v>
      </c>
      <c r="AH166" s="101" t="e">
        <f t="shared" si="616"/>
        <v>#DIV/0!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 t="e">
        <f t="shared" ref="G167" si="652">G27/G14</f>
        <v>#DIV/0!</v>
      </c>
      <c r="H167" s="157" t="e">
        <f t="shared" ref="H167:I167" si="653">H27/H14</f>
        <v>#DIV/0!</v>
      </c>
      <c r="I167" s="157" t="e">
        <f t="shared" si="653"/>
        <v>#DIV/0!</v>
      </c>
      <c r="J167" s="157" t="e">
        <f t="shared" ref="J167:T167" si="654">J27/J14</f>
        <v>#DIV/0!</v>
      </c>
      <c r="K167" s="157" t="e">
        <f t="shared" si="654"/>
        <v>#DIV/0!</v>
      </c>
      <c r="L167" s="157" t="e">
        <f t="shared" si="654"/>
        <v>#DIV/0!</v>
      </c>
      <c r="M167" s="157" t="e">
        <f t="shared" si="654"/>
        <v>#DIV/0!</v>
      </c>
      <c r="N167" s="157" t="e">
        <f t="shared" si="654"/>
        <v>#DIV/0!</v>
      </c>
      <c r="O167" s="157" t="e">
        <f t="shared" si="654"/>
        <v>#DIV/0!</v>
      </c>
      <c r="P167" s="157" t="e">
        <f t="shared" si="654"/>
        <v>#DIV/0!</v>
      </c>
      <c r="Q167" s="157" t="e">
        <f t="shared" si="654"/>
        <v>#DIV/0!</v>
      </c>
      <c r="R167" s="157" t="e">
        <f t="shared" si="654"/>
        <v>#DIV/0!</v>
      </c>
      <c r="S167" s="157" t="e">
        <f t="shared" si="654"/>
        <v>#DIV/0!</v>
      </c>
      <c r="T167" s="157" t="e">
        <f t="shared" si="654"/>
        <v>#DIV/0!</v>
      </c>
      <c r="U167" s="157" t="e">
        <f t="shared" ref="U167" si="655">U27/U14</f>
        <v>#DIV/0!</v>
      </c>
      <c r="V167" s="101" t="e">
        <f t="shared" si="513"/>
        <v>#DIV/0!</v>
      </c>
      <c r="W167" s="110"/>
      <c r="X167" s="10" t="e">
        <f t="shared" ref="X167:AG167" si="656">X27/X14</f>
        <v>#DIV/0!</v>
      </c>
      <c r="Y167" s="10" t="e">
        <f t="shared" si="656"/>
        <v>#DIV/0!</v>
      </c>
      <c r="Z167" s="10" t="e">
        <f t="shared" si="656"/>
        <v>#DIV/0!</v>
      </c>
      <c r="AA167" s="10" t="e">
        <f t="shared" si="656"/>
        <v>#DIV/0!</v>
      </c>
      <c r="AB167" s="10" t="e">
        <f t="shared" si="656"/>
        <v>#DIV/0!</v>
      </c>
      <c r="AC167" s="10" t="e">
        <f t="shared" si="656"/>
        <v>#DIV/0!</v>
      </c>
      <c r="AD167" s="10" t="e">
        <f t="shared" si="656"/>
        <v>#DIV/0!</v>
      </c>
      <c r="AE167" s="10" t="e">
        <f t="shared" si="656"/>
        <v>#DIV/0!</v>
      </c>
      <c r="AF167" s="10" t="e">
        <f t="shared" si="656"/>
        <v>#DIV/0!</v>
      </c>
      <c r="AG167" s="10" t="e">
        <f t="shared" si="656"/>
        <v>#DIV/0!</v>
      </c>
      <c r="AH167" s="101" t="e">
        <f t="shared" si="616"/>
        <v>#DIV/0!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511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3.1953226761397273</v>
      </c>
      <c r="U170" s="112">
        <f>AVERAGE(Q102:U102)</f>
        <v>3.185316755476614</v>
      </c>
      <c r="V170" s="137" t="e">
        <f>AVERAGE(G72:T72)</f>
        <v>#DIV/0!</v>
      </c>
      <c r="W170" s="137">
        <f>AVERAGE(G102:T102)</f>
        <v>1.1209295441089402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51.06595311634041</v>
      </c>
      <c r="X171" s="112">
        <f>PV($C$1, ($AG$3-$X$3), 0, -AG72)</f>
        <v>4.4405176622904703</v>
      </c>
      <c r="Y171" s="112">
        <f>PV($C$1, ($AG$3-$X$3), 0, -AJ72)</f>
        <v>46.625435454049942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657">X172+Y172</f>
        <v>716.20802169458568</v>
      </c>
      <c r="X172" s="112">
        <f>PV($C$1, ($AG$3-$X$3), 0, -AG74)</f>
        <v>62.278958408224838</v>
      </c>
      <c r="Y172" s="112">
        <f>PV($C$1, ($AG$3-$X$3), 0, -AJ74)</f>
        <v>653.92906328636082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657"/>
        <v>607.65272513280536</v>
      </c>
      <c r="X173" s="112">
        <f>PV($C$1, ($AG$3-$X$3), 0, -AG75)</f>
        <v>52.839367402852638</v>
      </c>
      <c r="Y173" s="112">
        <f>PV($C$1, ($AG$3-$X$3), 0, -AJ75)</f>
        <v>554.81335772995271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657"/>
        <v>2101.090976648421</v>
      </c>
      <c r="X174" s="112">
        <f>PV($C$1, ($AG$3-$X$3), 0, -AG76)</f>
        <v>182.7035631868192</v>
      </c>
      <c r="Y174" s="112">
        <f>PV($C$1, ($AG$3-$X$3), 0, -AJ76)</f>
        <v>1918.3874134616017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57"/>
        <v>342.04553502454428</v>
      </c>
      <c r="X175" s="112">
        <f>PV($C$1, ($AG$3-$X$3), 0, -AG82)</f>
        <v>29.743090002134281</v>
      </c>
      <c r="Y175" s="112">
        <f>PV($C$1, ($AG$3-$X$3), 0, -AJ82)</f>
        <v>312.30244502240998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57"/>
        <v>-1384.8829549538352</v>
      </c>
      <c r="X177" s="112">
        <f>PV($C$1, ($AG$3-$X$3), 0, -AG78)</f>
        <v>-120.42460477859436</v>
      </c>
      <c r="Y177" s="112">
        <f>PV($C$1, ($AG$3-$X$3), 0, -$AJ$78)</f>
        <v>-1264.4583501752409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657"/>
        <v>-1543.2195265661358</v>
      </c>
      <c r="X178" s="112">
        <f>PV($C$1, ($AG$3-$X$3), 0, -AG79)</f>
        <v>-134.19300231009876</v>
      </c>
      <c r="Y178" s="112">
        <f>PV($C$1, ($AG$3-$X$3), 0, -$AJ$79)</f>
        <v>-1409.026524256037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57"/>
        <v>-268.17654623990023</v>
      </c>
      <c r="X179" s="112">
        <f>PV($C$1, ($AG$3-$X$3), 0, -AG80)</f>
        <v>-23.319699673034801</v>
      </c>
      <c r="Y179" s="112">
        <f>PV($C$1, ($AG$3-$X$3), 0, -$AJ$80)</f>
        <v>-244.85684656686544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57"/>
        <v>1275.0429803262357</v>
      </c>
      <c r="X181" s="112">
        <f>PV($C$1, ($AG$3-$X$3), 0, -AG85)</f>
        <v>110.87330263706396</v>
      </c>
      <c r="Y181" s="112">
        <f>PV($C$1, ($AG$3-$X$3), 0, -AJ85)</f>
        <v>1164.1696776891717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657"/>
        <v>1402.2261088424034</v>
      </c>
      <c r="X182" s="112">
        <f>PV($C$1, ($AG$3-$X$3), 0, -AG86)</f>
        <v>182.89905767509609</v>
      </c>
      <c r="Y182" s="112">
        <f>PV($C$1, ($AG$3-$X$3), 0, -AJ86)</f>
        <v>1219.3270511673072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58">X184+Y184</f>
        <v>14084.625000000002</v>
      </c>
      <c r="X184" s="112">
        <f>PV($C$1, ($AG$3-$X$3), 0, -AG12)</f>
        <v>1224.75</v>
      </c>
      <c r="Y184" s="112">
        <f>PV($C$1, ($AG$3-$X$3), 0, -AJ12)</f>
        <v>12859.875000000002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521.84605409410904</v>
      </c>
      <c r="X185" s="118">
        <f>X184/S57</f>
        <v>45.377917747313823</v>
      </c>
      <c r="Y185" s="118">
        <f>Y184/S57</f>
        <v>476.46813634679518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59">X188+Y188</f>
        <v>0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0</v>
      </c>
      <c r="Y188" s="112">
        <f>PV($C$1, ($AG$3-$X$3), 0, -AJ88)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57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660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660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660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60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661">X193+X194+X195</f>
        <v>0</v>
      </c>
      <c r="Y196" s="95">
        <f t="shared" si="661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60"/>
      <c r="S199" s="10"/>
      <c r="T199" s="160">
        <v>41729</v>
      </c>
      <c r="U199" s="10">
        <v>160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146.55000000000001</v>
      </c>
      <c r="V200" s="10" t="s">
        <v>510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150</v>
      </c>
      <c r="P201" s="12">
        <v>150</v>
      </c>
      <c r="Q201" s="12">
        <v>150</v>
      </c>
      <c r="R201" s="12">
        <v>150</v>
      </c>
      <c r="S201" s="12">
        <v>150</v>
      </c>
      <c r="T201" s="12">
        <v>157</v>
      </c>
      <c r="U201" s="12">
        <v>50</v>
      </c>
      <c r="V201" s="101" t="e">
        <f t="shared" ref="V201:V227" si="662">((T201/H201)^(1/($K$2-$K$1) ))-1</f>
        <v>#DIV/0!</v>
      </c>
      <c r="W201" s="21">
        <v>0</v>
      </c>
      <c r="X201" s="174">
        <v>150</v>
      </c>
      <c r="Y201" s="102">
        <f t="shared" ref="Y201:AG201" si="663">X201*(1+$W201)</f>
        <v>150</v>
      </c>
      <c r="Z201" s="102">
        <f t="shared" si="663"/>
        <v>150</v>
      </c>
      <c r="AA201" s="102">
        <f t="shared" si="663"/>
        <v>150</v>
      </c>
      <c r="AB201" s="102">
        <f t="shared" si="663"/>
        <v>150</v>
      </c>
      <c r="AC201" s="102">
        <f t="shared" si="663"/>
        <v>150</v>
      </c>
      <c r="AD201" s="102">
        <f t="shared" si="663"/>
        <v>150</v>
      </c>
      <c r="AE201" s="102">
        <f t="shared" si="663"/>
        <v>150</v>
      </c>
      <c r="AF201" s="102">
        <f t="shared" si="663"/>
        <v>150</v>
      </c>
      <c r="AG201" s="102">
        <f t="shared" si="663"/>
        <v>150</v>
      </c>
      <c r="AH201" s="116" t="e">
        <f t="shared" ref="AH201:AH208" si="664">((AG201/J201)^(1/($AG$3-$K$1) ))-1</f>
        <v>#DIV/0!</v>
      </c>
      <c r="AI201" s="21">
        <f t="shared" ref="AI201:AI208" si="665">$O$1</f>
        <v>0.05</v>
      </c>
      <c r="AJ201" s="109" t="e">
        <f t="shared" ref="AJ201:AJ212" si="666">(AG201*(1+AH201))/($C$1-AI201)</f>
        <v>#DIV/0!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667">G201/G66</f>
        <v>0</v>
      </c>
      <c r="H202" s="15" t="e">
        <f t="shared" ref="H202:I202" si="668">H201/H66</f>
        <v>#DIV/0!</v>
      </c>
      <c r="I202" s="15" t="e">
        <f t="shared" si="668"/>
        <v>#DIV/0!</v>
      </c>
      <c r="J202" s="15" t="e">
        <f t="shared" ref="J202:T202" si="669">J201/J66</f>
        <v>#DIV/0!</v>
      </c>
      <c r="K202" s="15" t="e">
        <f t="shared" si="669"/>
        <v>#DIV/0!</v>
      </c>
      <c r="L202" s="15" t="e">
        <f t="shared" si="669"/>
        <v>#DIV/0!</v>
      </c>
      <c r="M202" s="15" t="e">
        <f t="shared" si="669"/>
        <v>#DIV/0!</v>
      </c>
      <c r="N202" s="15" t="e">
        <f t="shared" si="669"/>
        <v>#DIV/0!</v>
      </c>
      <c r="O202" s="15">
        <f t="shared" si="669"/>
        <v>3.3321749999999999</v>
      </c>
      <c r="P202" s="15">
        <f t="shared" si="669"/>
        <v>3.0583038869257946</v>
      </c>
      <c r="Q202" s="15">
        <f t="shared" si="669"/>
        <v>2.2546583850931676</v>
      </c>
      <c r="R202" s="15">
        <f t="shared" si="669"/>
        <v>5.3403973509933769</v>
      </c>
      <c r="S202" s="15">
        <f t="shared" si="669"/>
        <v>3.6309417040358745</v>
      </c>
      <c r="T202" s="15">
        <f t="shared" si="669"/>
        <v>3.4326601941747574</v>
      </c>
      <c r="U202" s="15">
        <f t="shared" ref="U202" si="670">U201/U66</f>
        <v>0.95243424734191373</v>
      </c>
      <c r="V202" s="101" t="e">
        <f t="shared" si="662"/>
        <v>#DIV/0!</v>
      </c>
      <c r="W202" s="110"/>
      <c r="X202" s="15">
        <f t="shared" ref="X202:AG202" si="671">X201/X66</f>
        <v>2.9088729421696926</v>
      </c>
      <c r="Y202" s="15">
        <f t="shared" si="671"/>
        <v>2.5800438269679016</v>
      </c>
      <c r="Z202" s="15">
        <f t="shared" si="671"/>
        <v>2.2883866987019648</v>
      </c>
      <c r="AA202" s="15">
        <f t="shared" si="671"/>
        <v>2.0296995066747865</v>
      </c>
      <c r="AB202" s="15">
        <f t="shared" si="671"/>
        <v>1.8002552146158974</v>
      </c>
      <c r="AC202" s="15">
        <f t="shared" si="671"/>
        <v>1.5967481033984483</v>
      </c>
      <c r="AD202" s="15">
        <f t="shared" si="671"/>
        <v>1.4162461438838414</v>
      </c>
      <c r="AE202" s="15">
        <f t="shared" si="671"/>
        <v>1.2561487537056681</v>
      </c>
      <c r="AF202" s="15">
        <f t="shared" si="671"/>
        <v>1.114149329373723</v>
      </c>
      <c r="AG202" s="15">
        <f t="shared" si="671"/>
        <v>0.9882020138793024</v>
      </c>
      <c r="AH202" s="116" t="e">
        <f t="shared" ref="AH202" si="672">((AG202/J202)^(1/($AG$3-$K$1) ))-1</f>
        <v>#DIV/0!</v>
      </c>
      <c r="AI202" s="21">
        <f t="shared" si="665"/>
        <v>0.05</v>
      </c>
      <c r="AJ202" s="109" t="e">
        <f t="shared" ref="AJ202" si="673">(AG202*(1+AH202))/($C$1-AI202)</f>
        <v>#DIV/0!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74">G201/G72</f>
        <v>0</v>
      </c>
      <c r="H203" s="15" t="e">
        <f t="shared" ref="H203:I203" si="675">H201/H72</f>
        <v>#DIV/0!</v>
      </c>
      <c r="I203" s="15" t="e">
        <f t="shared" si="675"/>
        <v>#DIV/0!</v>
      </c>
      <c r="J203" s="15" t="e">
        <f t="shared" ref="J203:T203" si="676">J201/J72</f>
        <v>#DIV/0!</v>
      </c>
      <c r="K203" s="15" t="e">
        <f t="shared" si="676"/>
        <v>#DIV/0!</v>
      </c>
      <c r="L203" s="15" t="e">
        <f t="shared" si="676"/>
        <v>#DIV/0!</v>
      </c>
      <c r="M203" s="15" t="e">
        <f t="shared" si="676"/>
        <v>#DIV/0!</v>
      </c>
      <c r="N203" s="15" t="e">
        <f t="shared" si="676"/>
        <v>#DIV/0!</v>
      </c>
      <c r="O203" s="15">
        <f t="shared" si="676"/>
        <v>-139.13048016701461</v>
      </c>
      <c r="P203" s="15">
        <f t="shared" si="676"/>
        <v>26.475986540226369</v>
      </c>
      <c r="Q203" s="15">
        <f t="shared" si="676"/>
        <v>14.716216216216218</v>
      </c>
      <c r="R203" s="15">
        <f t="shared" si="676"/>
        <v>37.682242990654203</v>
      </c>
      <c r="S203" s="15">
        <f t="shared" si="676"/>
        <v>24.242514970059879</v>
      </c>
      <c r="T203" s="15">
        <f t="shared" si="676"/>
        <v>33.355094339622639</v>
      </c>
      <c r="U203" s="15">
        <f t="shared" ref="U203" si="677">U201/U72</f>
        <v>54.903225806451609</v>
      </c>
      <c r="V203" s="101" t="e">
        <f t="shared" si="662"/>
        <v>#DIV/0!</v>
      </c>
      <c r="W203" s="110"/>
      <c r="X203" s="102">
        <f t="shared" ref="X203:AG203" si="678">X201/X72</f>
        <v>28.265463494667763</v>
      </c>
      <c r="Y203" s="102">
        <f t="shared" si="678"/>
        <v>25.070237186574889</v>
      </c>
      <c r="Z203" s="102">
        <f t="shared" si="678"/>
        <v>22.236210374179468</v>
      </c>
      <c r="AA203" s="102">
        <f t="shared" si="678"/>
        <v>19.722551810141795</v>
      </c>
      <c r="AB203" s="102">
        <f t="shared" si="678"/>
        <v>17.493045953343159</v>
      </c>
      <c r="AC203" s="102">
        <f t="shared" si="678"/>
        <v>15.515571193400019</v>
      </c>
      <c r="AD203" s="102">
        <f t="shared" si="678"/>
        <v>13.761637058493934</v>
      </c>
      <c r="AE203" s="102">
        <f t="shared" si="678"/>
        <v>12.205973738838098</v>
      </c>
      <c r="AF203" s="102">
        <f t="shared" si="678"/>
        <v>10.826168011839011</v>
      </c>
      <c r="AG203" s="102">
        <f t="shared" si="678"/>
        <v>9.6023403235441673</v>
      </c>
      <c r="AH203" s="116" t="e">
        <f t="shared" si="664"/>
        <v>#DIV/0!</v>
      </c>
      <c r="AI203" s="21">
        <f t="shared" si="665"/>
        <v>0.05</v>
      </c>
      <c r="AJ203" s="109" t="e">
        <f t="shared" si="666"/>
        <v>#DIV/0!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79">G201/G70</f>
        <v>0</v>
      </c>
      <c r="H204" s="15" t="e">
        <f t="shared" ref="H204:I204" si="680">H201/H70</f>
        <v>#DIV/0!</v>
      </c>
      <c r="I204" s="15" t="e">
        <f t="shared" si="680"/>
        <v>#DIV/0!</v>
      </c>
      <c r="J204" s="15" t="e">
        <f t="shared" ref="J204:T204" si="681">J201/J70</f>
        <v>#DIV/0!</v>
      </c>
      <c r="K204" s="15" t="e">
        <f t="shared" si="681"/>
        <v>#DIV/0!</v>
      </c>
      <c r="L204" s="15" t="e">
        <f t="shared" si="681"/>
        <v>#DIV/0!</v>
      </c>
      <c r="M204" s="15" t="e">
        <f t="shared" si="681"/>
        <v>#DIV/0!</v>
      </c>
      <c r="N204" s="15" t="e">
        <f t="shared" si="681"/>
        <v>#DIV/0!</v>
      </c>
      <c r="O204" s="15">
        <f t="shared" si="681"/>
        <v>8.242857142857142</v>
      </c>
      <c r="P204" s="15">
        <f t="shared" si="681"/>
        <v>5.6201298701298699</v>
      </c>
      <c r="Q204" s="15">
        <f t="shared" si="681"/>
        <v>3.535714285714286</v>
      </c>
      <c r="R204" s="15">
        <f t="shared" si="681"/>
        <v>8.6709677419354847</v>
      </c>
      <c r="S204" s="15">
        <f t="shared" si="681"/>
        <v>5.7344192634560898</v>
      </c>
      <c r="T204" s="15">
        <f t="shared" si="681"/>
        <v>6.068032036613273</v>
      </c>
      <c r="U204" s="15">
        <f t="shared" ref="U204" si="682">U201/U70</f>
        <v>2.0960591133004924</v>
      </c>
      <c r="V204" s="101" t="e">
        <f t="shared" si="662"/>
        <v>#DIV/0!</v>
      </c>
      <c r="W204" s="110"/>
      <c r="X204" s="15">
        <f t="shared" ref="X204:AG204" si="683">X201/X70</f>
        <v>5.1421152124166758</v>
      </c>
      <c r="Y204" s="15">
        <f t="shared" si="683"/>
        <v>4.5608326231869656</v>
      </c>
      <c r="Z204" s="15">
        <f t="shared" si="683"/>
        <v>4.0452602396962654</v>
      </c>
      <c r="AA204" s="15">
        <f t="shared" si="683"/>
        <v>3.5879699517306007</v>
      </c>
      <c r="AB204" s="15">
        <f t="shared" si="683"/>
        <v>3.1823733484914896</v>
      </c>
      <c r="AC204" s="15">
        <f t="shared" si="683"/>
        <v>2.8226267960533216</v>
      </c>
      <c r="AD204" s="15">
        <f t="shared" si="683"/>
        <v>2.50354724519512</v>
      </c>
      <c r="AE204" s="15">
        <f t="shared" si="683"/>
        <v>2.2205375566078462</v>
      </c>
      <c r="AF204" s="15">
        <f t="shared" si="683"/>
        <v>1.9695202676000028</v>
      </c>
      <c r="AG204" s="15">
        <f t="shared" si="683"/>
        <v>1.74687884604522</v>
      </c>
      <c r="AH204" s="116" t="e">
        <f t="shared" ref="AH204:AH205" si="684">((AG204/J204)^(1/($AG$3-$K$1) ))-1</f>
        <v>#DIV/0!</v>
      </c>
      <c r="AI204" s="21">
        <f t="shared" si="665"/>
        <v>0.05</v>
      </c>
      <c r="AJ204" s="109" t="e">
        <f t="shared" ref="AJ204:AJ205" si="685">(AG204*(1+AH204))/($C$1-AI204)</f>
        <v>#DIV/0!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86">G201/G71</f>
        <v>0</v>
      </c>
      <c r="H205" s="15" t="e">
        <f t="shared" ref="H205:I205" si="687">H201/H71</f>
        <v>#DIV/0!</v>
      </c>
      <c r="I205" s="15" t="e">
        <f t="shared" si="687"/>
        <v>#DIV/0!</v>
      </c>
      <c r="J205" s="15" t="e">
        <f t="shared" ref="J205:T205" si="688">J201/J71</f>
        <v>#DIV/0!</v>
      </c>
      <c r="K205" s="15" t="e">
        <f t="shared" si="688"/>
        <v>#DIV/0!</v>
      </c>
      <c r="L205" s="15" t="e">
        <f t="shared" si="688"/>
        <v>#DIV/0!</v>
      </c>
      <c r="M205" s="15" t="e">
        <f t="shared" si="688"/>
        <v>#DIV/0!</v>
      </c>
      <c r="N205" s="15" t="e">
        <f t="shared" si="688"/>
        <v>#DIV/0!</v>
      </c>
      <c r="O205" s="15">
        <f t="shared" si="688"/>
        <v>66.643499999999989</v>
      </c>
      <c r="P205" s="15">
        <f t="shared" si="688"/>
        <v>21.29151291512915</v>
      </c>
      <c r="Q205" s="15">
        <f t="shared" si="688"/>
        <v>9.5526315789473681</v>
      </c>
      <c r="R205" s="15">
        <f t="shared" si="688"/>
        <v>24.736196319018404</v>
      </c>
      <c r="S205" s="15">
        <f t="shared" si="688"/>
        <v>15.571153846153845</v>
      </c>
      <c r="T205" s="15">
        <f t="shared" si="688"/>
        <v>21.04547619047619</v>
      </c>
      <c r="U205" s="15">
        <f t="shared" ref="U205" si="689">U201/U71</f>
        <v>33.372549019607838</v>
      </c>
      <c r="V205" s="101" t="e">
        <f t="shared" si="662"/>
        <v>#DIV/0!</v>
      </c>
      <c r="W205" s="110"/>
      <c r="X205" s="15">
        <f t="shared" ref="X205:AG205" si="690">X201/X71</f>
        <v>17.834161490683236</v>
      </c>
      <c r="Y205" s="15">
        <f t="shared" si="690"/>
        <v>15.81812584391035</v>
      </c>
      <c r="Z205" s="15">
        <f t="shared" si="690"/>
        <v>14.029989878946571</v>
      </c>
      <c r="AA205" s="15">
        <f t="shared" si="690"/>
        <v>12.443991023065657</v>
      </c>
      <c r="AB205" s="15">
        <f t="shared" si="690"/>
        <v>11.037278994371279</v>
      </c>
      <c r="AC205" s="15">
        <f t="shared" si="690"/>
        <v>9.7895865863119198</v>
      </c>
      <c r="AD205" s="15">
        <f t="shared" si="690"/>
        <v>8.6829376678592691</v>
      </c>
      <c r="AE205" s="15">
        <f t="shared" si="690"/>
        <v>7.7013881923621357</v>
      </c>
      <c r="AF205" s="15">
        <f t="shared" si="690"/>
        <v>6.830796483660329</v>
      </c>
      <c r="AG205" s="15">
        <f t="shared" si="690"/>
        <v>6.0586194898552499</v>
      </c>
      <c r="AH205" s="116" t="e">
        <f t="shared" si="684"/>
        <v>#DIV/0!</v>
      </c>
      <c r="AI205" s="21">
        <f t="shared" si="665"/>
        <v>0.05</v>
      </c>
      <c r="AJ205" s="109" t="e">
        <f t="shared" si="685"/>
        <v>#DIV/0!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91">G201/G75</f>
        <v>0</v>
      </c>
      <c r="H206" s="15" t="e">
        <f t="shared" ref="H206:I206" si="692">H201/H75</f>
        <v>#DIV/0!</v>
      </c>
      <c r="I206" s="15" t="e">
        <f t="shared" si="692"/>
        <v>#DIV/0!</v>
      </c>
      <c r="J206" s="15" t="e">
        <f t="shared" ref="J206:T206" si="693">J201/J75</f>
        <v>#DIV/0!</v>
      </c>
      <c r="K206" s="15" t="e">
        <f t="shared" si="693"/>
        <v>#DIV/0!</v>
      </c>
      <c r="L206" s="15" t="e">
        <f t="shared" si="693"/>
        <v>#DIV/0!</v>
      </c>
      <c r="M206" s="15" t="e">
        <f t="shared" si="693"/>
        <v>#DIV/0!</v>
      </c>
      <c r="N206" s="15" t="e">
        <f t="shared" si="693"/>
        <v>#DIV/0!</v>
      </c>
      <c r="O206" s="15">
        <f t="shared" si="693"/>
        <v>2.5931322957198444</v>
      </c>
      <c r="P206" s="15">
        <f t="shared" si="693"/>
        <v>2.0905797101449273</v>
      </c>
      <c r="Q206" s="15">
        <f t="shared" si="693"/>
        <v>1.6278026905829597</v>
      </c>
      <c r="R206" s="15">
        <f t="shared" si="693"/>
        <v>4.475027746947835</v>
      </c>
      <c r="S206" s="15">
        <f t="shared" si="693"/>
        <v>3.7801120448179271</v>
      </c>
      <c r="T206" s="15">
        <f t="shared" si="693"/>
        <v>2.8030972515856236</v>
      </c>
      <c r="U206" s="15">
        <f t="shared" ref="U206" si="694">U201/U75</f>
        <v>0.87958656330749352</v>
      </c>
      <c r="V206" s="101" t="e">
        <f t="shared" si="662"/>
        <v>#DIV/0!</v>
      </c>
      <c r="W206" s="110"/>
      <c r="X206" s="102">
        <f t="shared" ref="X206:AG206" si="695">X201/X75</f>
        <v>2.3753745748690145</v>
      </c>
      <c r="Y206" s="102">
        <f t="shared" si="695"/>
        <v>2.1068539707533867</v>
      </c>
      <c r="Z206" s="102">
        <f t="shared" si="695"/>
        <v>1.8686878697116995</v>
      </c>
      <c r="AA206" s="102">
        <f t="shared" si="695"/>
        <v>1.6574448931355943</v>
      </c>
      <c r="AB206" s="102">
        <f t="shared" si="695"/>
        <v>1.4700815573898318</v>
      </c>
      <c r="AC206" s="102">
        <f t="shared" si="695"/>
        <v>1.3038984248153291</v>
      </c>
      <c r="AD206" s="102">
        <f t="shared" si="695"/>
        <v>1.1565012115753355</v>
      </c>
      <c r="AE206" s="102">
        <f t="shared" si="695"/>
        <v>1.02576629200595</v>
      </c>
      <c r="AF206" s="102">
        <f t="shared" si="695"/>
        <v>0.90981010247484273</v>
      </c>
      <c r="AG206" s="102">
        <f t="shared" si="695"/>
        <v>0.80696200393420847</v>
      </c>
      <c r="AH206" s="116" t="e">
        <f t="shared" si="664"/>
        <v>#DIV/0!</v>
      </c>
      <c r="AI206" s="21">
        <f t="shared" si="665"/>
        <v>0.05</v>
      </c>
      <c r="AJ206" s="109" t="e">
        <f t="shared" si="666"/>
        <v>#DIV/0!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96">G201/G84</f>
        <v>0</v>
      </c>
      <c r="H207" s="15" t="e">
        <f t="shared" ref="H207:I207" si="697">H201/H84</f>
        <v>#DIV/0!</v>
      </c>
      <c r="I207" s="15" t="e">
        <f t="shared" si="697"/>
        <v>#DIV/0!</v>
      </c>
      <c r="J207" s="15" t="e">
        <f t="shared" ref="J207:T207" si="698">J201/J84</f>
        <v>#DIV/0!</v>
      </c>
      <c r="K207" s="15" t="e">
        <f t="shared" si="698"/>
        <v>#DIV/0!</v>
      </c>
      <c r="L207" s="15" t="e">
        <f t="shared" si="698"/>
        <v>#DIV/0!</v>
      </c>
      <c r="M207" s="15" t="e">
        <f t="shared" si="698"/>
        <v>#DIV/0!</v>
      </c>
      <c r="N207" s="15" t="e">
        <f t="shared" si="698"/>
        <v>#DIV/0!</v>
      </c>
      <c r="O207" s="15">
        <f t="shared" si="698"/>
        <v>3.5984611231101509</v>
      </c>
      <c r="P207" s="15">
        <f t="shared" si="698"/>
        <v>1.9063876651982377</v>
      </c>
      <c r="Q207" s="15">
        <f t="shared" si="698"/>
        <v>2.5990453460620526</v>
      </c>
      <c r="R207" s="15">
        <f t="shared" si="698"/>
        <v>5.493188010899182</v>
      </c>
      <c r="S207" s="15">
        <f t="shared" si="698"/>
        <v>4.2215849843587074</v>
      </c>
      <c r="T207" s="15">
        <f t="shared" si="698"/>
        <v>1.7917094594594598</v>
      </c>
      <c r="U207" s="15">
        <f t="shared" ref="U207" si="699">U201/U84</f>
        <v>0.33716323296354994</v>
      </c>
      <c r="V207" s="101" t="e">
        <f t="shared" si="662"/>
        <v>#DIV/0!</v>
      </c>
      <c r="W207" s="110"/>
      <c r="X207" s="102">
        <f t="shared" ref="X207:AG207" si="700">X201/X84</f>
        <v>1.51831374853114</v>
      </c>
      <c r="Y207" s="102">
        <f t="shared" si="700"/>
        <v>1.3466782813058809</v>
      </c>
      <c r="Z207" s="102">
        <f t="shared" si="700"/>
        <v>1.1944450842886944</v>
      </c>
      <c r="AA207" s="102">
        <f t="shared" si="700"/>
        <v>1.0594208573691031</v>
      </c>
      <c r="AB207" s="102">
        <f t="shared" si="700"/>
        <v>0.93966023870998705</v>
      </c>
      <c r="AC207" s="102">
        <f t="shared" si="700"/>
        <v>0.83343777694277144</v>
      </c>
      <c r="AD207" s="102">
        <f t="shared" si="700"/>
        <v>0.7392230717231536</v>
      </c>
      <c r="AE207" s="102">
        <f t="shared" si="700"/>
        <v>0.65565872448488427</v>
      </c>
      <c r="AF207" s="102">
        <f t="shared" si="700"/>
        <v>0.58154078171702783</v>
      </c>
      <c r="AG207" s="102">
        <f t="shared" si="700"/>
        <v>0.51580138900118999</v>
      </c>
      <c r="AH207" s="116" t="e">
        <f t="shared" si="664"/>
        <v>#DIV/0!</v>
      </c>
      <c r="AI207" s="21">
        <f t="shared" si="665"/>
        <v>0.05</v>
      </c>
      <c r="AJ207" s="109" t="e">
        <f t="shared" si="666"/>
        <v>#DIV/0!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701">G201/G86</f>
        <v>0</v>
      </c>
      <c r="H208" s="15" t="e">
        <f t="shared" ref="H208:I208" si="702">H201/H86</f>
        <v>#DIV/0!</v>
      </c>
      <c r="I208" s="15" t="e">
        <f t="shared" si="702"/>
        <v>#DIV/0!</v>
      </c>
      <c r="J208" s="15" t="e">
        <f t="shared" ref="J208:T208" si="703">J201/J86</f>
        <v>#DIV/0!</v>
      </c>
      <c r="K208" s="15" t="e">
        <f t="shared" si="703"/>
        <v>#DIV/0!</v>
      </c>
      <c r="L208" s="15" t="e">
        <f t="shared" si="703"/>
        <v>#DIV/0!</v>
      </c>
      <c r="M208" s="15" t="e">
        <f t="shared" si="703"/>
        <v>#DIV/0!</v>
      </c>
      <c r="N208" s="15" t="e">
        <f t="shared" si="703"/>
        <v>#DIV/0!</v>
      </c>
      <c r="O208" s="15">
        <f t="shared" si="703"/>
        <v>1.049503937007874</v>
      </c>
      <c r="P208" s="15">
        <f t="shared" si="703"/>
        <v>0.67354085603112834</v>
      </c>
      <c r="Q208" s="15">
        <f t="shared" si="703"/>
        <v>0.61769710720363014</v>
      </c>
      <c r="R208" s="15">
        <f t="shared" si="703"/>
        <v>1.4287739192062368</v>
      </c>
      <c r="S208" s="15">
        <f t="shared" si="703"/>
        <v>0.98503649635036483</v>
      </c>
      <c r="T208" s="15">
        <f t="shared" si="703"/>
        <v>0.80981218506642227</v>
      </c>
      <c r="U208" s="15">
        <f t="shared" ref="U208" si="704">U201/U86</f>
        <v>0.21339017051153461</v>
      </c>
      <c r="V208" s="101" t="e">
        <f t="shared" si="662"/>
        <v>#DIV/0!</v>
      </c>
      <c r="W208" s="110"/>
      <c r="X208" s="102">
        <f t="shared" ref="X208:AG208" si="705">X201/X86</f>
        <v>0.6862435021609673</v>
      </c>
      <c r="Y208" s="102">
        <f t="shared" si="705"/>
        <v>0.60866814974277117</v>
      </c>
      <c r="Z208" s="102">
        <f t="shared" si="705"/>
        <v>0.53986218498924055</v>
      </c>
      <c r="AA208" s="102">
        <f t="shared" si="705"/>
        <v>0.4788342858165438</v>
      </c>
      <c r="AB208" s="102">
        <f t="shared" si="705"/>
        <v>0.4247051926372824</v>
      </c>
      <c r="AC208" s="102">
        <f t="shared" si="705"/>
        <v>0.3766950404261114</v>
      </c>
      <c r="AD208" s="102">
        <f t="shared" si="705"/>
        <v>0.33411212281272495</v>
      </c>
      <c r="AE208" s="102">
        <f t="shared" si="705"/>
        <v>0.29634292632085174</v>
      </c>
      <c r="AF208" s="102">
        <f t="shared" si="705"/>
        <v>0.2628432911715381</v>
      </c>
      <c r="AG208" s="102">
        <f t="shared" si="705"/>
        <v>0.23313057129997297</v>
      </c>
      <c r="AH208" s="116" t="e">
        <f t="shared" si="664"/>
        <v>#DIV/0!</v>
      </c>
      <c r="AI208" s="21">
        <f t="shared" si="665"/>
        <v>0.05</v>
      </c>
      <c r="AJ208" s="109" t="e">
        <f t="shared" si="666"/>
        <v>#DIV/0!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706">G201/G80</f>
        <v>0</v>
      </c>
      <c r="H209" s="159" t="e">
        <f t="shared" ref="H209:I209" si="707">H201/H80</f>
        <v>#DIV/0!</v>
      </c>
      <c r="I209" s="159" t="e">
        <f t="shared" si="707"/>
        <v>#DIV/0!</v>
      </c>
      <c r="J209" s="159" t="e">
        <f t="shared" ref="J209:T209" si="708">J201/J80</f>
        <v>#DIV/0!</v>
      </c>
      <c r="K209" s="159" t="e">
        <f t="shared" si="708"/>
        <v>#DIV/0!</v>
      </c>
      <c r="L209" s="159" t="e">
        <f t="shared" si="708"/>
        <v>#DIV/0!</v>
      </c>
      <c r="M209" s="159" t="e">
        <f t="shared" si="708"/>
        <v>#DIV/0!</v>
      </c>
      <c r="N209" s="159" t="e">
        <f t="shared" si="708"/>
        <v>#DIV/0!</v>
      </c>
      <c r="O209" s="159">
        <f t="shared" si="708"/>
        <v>1.0889460784313725</v>
      </c>
      <c r="P209" s="159">
        <f t="shared" si="708"/>
        <v>3.080071174377224</v>
      </c>
      <c r="Q209" s="159">
        <f t="shared" si="708"/>
        <v>3.5704918032786885</v>
      </c>
      <c r="R209" s="159">
        <f t="shared" si="708"/>
        <v>29.217391304347828</v>
      </c>
      <c r="S209" s="159">
        <f t="shared" si="708"/>
        <v>-12.157657657657657</v>
      </c>
      <c r="T209" s="159">
        <f t="shared" si="708"/>
        <v>-6.3514491017964074</v>
      </c>
      <c r="U209" s="159">
        <f t="shared" ref="U209" si="709">U201/U80</f>
        <v>-0.40552775792232548</v>
      </c>
      <c r="V209" s="101" t="e">
        <f t="shared" si="662"/>
        <v>#DIV/0!</v>
      </c>
      <c r="W209" s="110"/>
      <c r="X209" s="113">
        <f t="shared" ref="X209:AG209" si="710">X201/X80</f>
        <v>-5.3822858630565005</v>
      </c>
      <c r="Y209" s="113">
        <f t="shared" si="710"/>
        <v>-4.7738535481022923</v>
      </c>
      <c r="Z209" s="113">
        <f t="shared" si="710"/>
        <v>-4.2342005383168138</v>
      </c>
      <c r="AA209" s="113">
        <f t="shared" si="710"/>
        <v>-3.7555517818114379</v>
      </c>
      <c r="AB209" s="113">
        <f t="shared" si="710"/>
        <v>-3.3310111456066682</v>
      </c>
      <c r="AC209" s="113">
        <f t="shared" si="710"/>
        <v>-2.9544620595815649</v>
      </c>
      <c r="AD209" s="113">
        <f t="shared" si="710"/>
        <v>-2.6204793919766898</v>
      </c>
      <c r="AE209" s="113">
        <f t="shared" si="710"/>
        <v>-2.3242512867967209</v>
      </c>
      <c r="AF209" s="113">
        <f t="shared" si="710"/>
        <v>-2.0615098369849179</v>
      </c>
      <c r="AG209" s="113">
        <f t="shared" si="710"/>
        <v>-1.8284695945431451</v>
      </c>
      <c r="AH209" s="116" t="e">
        <f t="shared" ref="AH209" si="711">((AG209/J209)^(1/($AG$3-$K$1) ))-1</f>
        <v>#DIV/0!</v>
      </c>
      <c r="AI209" s="21">
        <f t="shared" ref="AI209:AI212" si="712">$O$1</f>
        <v>0.05</v>
      </c>
      <c r="AJ209" s="109" t="e">
        <f t="shared" si="666"/>
        <v>#DIV/0!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12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 t="e">
        <f t="shared" ref="G211" si="713">G59/G201</f>
        <v>#DIV/0!</v>
      </c>
      <c r="H211" s="129" t="e">
        <f t="shared" ref="H211:I211" si="714">H59/H201</f>
        <v>#DIV/0!</v>
      </c>
      <c r="I211" s="129" t="e">
        <f t="shared" si="714"/>
        <v>#DIV/0!</v>
      </c>
      <c r="J211" s="129" t="e">
        <f t="shared" ref="J211:T211" si="715">J59/J201</f>
        <v>#DIV/0!</v>
      </c>
      <c r="K211" s="129" t="e">
        <f t="shared" si="715"/>
        <v>#DIV/0!</v>
      </c>
      <c r="L211" s="129" t="e">
        <f t="shared" si="715"/>
        <v>#DIV/0!</v>
      </c>
      <c r="M211" s="129" t="e">
        <f t="shared" si="715"/>
        <v>#DIV/0!</v>
      </c>
      <c r="N211" s="129" t="e">
        <f t="shared" si="715"/>
        <v>#DIV/0!</v>
      </c>
      <c r="O211" s="129">
        <f t="shared" si="715"/>
        <v>0</v>
      </c>
      <c r="P211" s="129">
        <f t="shared" si="715"/>
        <v>0</v>
      </c>
      <c r="Q211" s="129">
        <f t="shared" si="715"/>
        <v>0</v>
      </c>
      <c r="R211" s="129">
        <f t="shared" si="715"/>
        <v>0</v>
      </c>
      <c r="S211" s="129">
        <f t="shared" si="715"/>
        <v>0</v>
      </c>
      <c r="T211" s="129">
        <f t="shared" si="715"/>
        <v>0</v>
      </c>
      <c r="U211" s="129">
        <f t="shared" ref="U211" si="716">U59/U201</f>
        <v>0</v>
      </c>
      <c r="V211" s="101" t="e">
        <f t="shared" si="662"/>
        <v>#DIV/0!</v>
      </c>
      <c r="W211" s="110"/>
      <c r="X211" s="129">
        <f t="shared" ref="X211:AG211" si="717">X59/X201</f>
        <v>0</v>
      </c>
      <c r="Y211" s="129">
        <f t="shared" si="717"/>
        <v>0</v>
      </c>
      <c r="Z211" s="129">
        <f t="shared" si="717"/>
        <v>0</v>
      </c>
      <c r="AA211" s="129">
        <f t="shared" si="717"/>
        <v>0</v>
      </c>
      <c r="AB211" s="129">
        <f t="shared" si="717"/>
        <v>0</v>
      </c>
      <c r="AC211" s="129">
        <f t="shared" si="717"/>
        <v>0</v>
      </c>
      <c r="AD211" s="129">
        <f t="shared" si="717"/>
        <v>0</v>
      </c>
      <c r="AE211" s="129">
        <f t="shared" si="717"/>
        <v>0</v>
      </c>
      <c r="AF211" s="129">
        <f t="shared" si="717"/>
        <v>0</v>
      </c>
      <c r="AG211" s="129">
        <f t="shared" si="717"/>
        <v>0</v>
      </c>
      <c r="AH211" s="116" t="e">
        <f t="shared" ref="AH211:AH216" si="718">((AG211/J211)^(1/($AG$3-$K$1) ))-1</f>
        <v>#DIV/0!</v>
      </c>
      <c r="AI211" s="21">
        <f t="shared" si="712"/>
        <v>0.05</v>
      </c>
      <c r="AJ211" s="109" t="e">
        <f t="shared" si="666"/>
        <v>#DIV/0!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719">G201*G57</f>
        <v>0</v>
      </c>
      <c r="H212" s="142">
        <f t="shared" ref="H212:I212" si="720">H201*H57</f>
        <v>0</v>
      </c>
      <c r="I212" s="142">
        <f t="shared" si="720"/>
        <v>0</v>
      </c>
      <c r="J212" s="142">
        <f t="shared" ref="J212:T212" si="721">J201*J57</f>
        <v>0</v>
      </c>
      <c r="K212" s="142">
        <f t="shared" si="721"/>
        <v>0</v>
      </c>
      <c r="L212" s="142">
        <f t="shared" si="721"/>
        <v>0</v>
      </c>
      <c r="M212" s="142">
        <f t="shared" si="721"/>
        <v>0</v>
      </c>
      <c r="N212" s="142">
        <f t="shared" si="721"/>
        <v>0</v>
      </c>
      <c r="O212" s="142">
        <f t="shared" si="721"/>
        <v>666.43499999999995</v>
      </c>
      <c r="P212" s="142">
        <f t="shared" si="721"/>
        <v>865.49999999999989</v>
      </c>
      <c r="Q212" s="142">
        <f t="shared" si="721"/>
        <v>1089</v>
      </c>
      <c r="R212" s="142">
        <f t="shared" si="721"/>
        <v>4032</v>
      </c>
      <c r="S212" s="142">
        <f t="shared" si="721"/>
        <v>4048.4999999999995</v>
      </c>
      <c r="T212" s="142">
        <f t="shared" si="721"/>
        <v>5303.46</v>
      </c>
      <c r="U212" s="142">
        <f t="shared" ref="U212" si="722">U201*U57</f>
        <v>1702</v>
      </c>
      <c r="V212" s="101" t="e">
        <f t="shared" si="662"/>
        <v>#DIV/0!</v>
      </c>
      <c r="W212" s="110"/>
      <c r="X212" s="142">
        <f t="shared" ref="X212:AG212" si="723">X201*X57</f>
        <v>5168.34</v>
      </c>
      <c r="Y212" s="142">
        <f t="shared" si="723"/>
        <v>5271.7068000000008</v>
      </c>
      <c r="Z212" s="142">
        <f t="shared" si="723"/>
        <v>5377.1409360000007</v>
      </c>
      <c r="AA212" s="142">
        <f t="shared" si="723"/>
        <v>5484.6837547200012</v>
      </c>
      <c r="AB212" s="142">
        <f t="shared" si="723"/>
        <v>5594.3774298144008</v>
      </c>
      <c r="AC212" s="142">
        <f t="shared" si="723"/>
        <v>5706.2649784106898</v>
      </c>
      <c r="AD212" s="142">
        <f t="shared" si="723"/>
        <v>5820.3902779789032</v>
      </c>
      <c r="AE212" s="142">
        <f t="shared" si="723"/>
        <v>5936.7980835384824</v>
      </c>
      <c r="AF212" s="142">
        <f t="shared" si="723"/>
        <v>6055.5340452092523</v>
      </c>
      <c r="AG212" s="142">
        <f t="shared" si="723"/>
        <v>6176.6447261134372</v>
      </c>
      <c r="AH212" s="116" t="e">
        <f t="shared" si="718"/>
        <v>#DIV/0!</v>
      </c>
      <c r="AI212" s="21">
        <f t="shared" si="712"/>
        <v>0.05</v>
      </c>
      <c r="AJ212" s="109" t="e">
        <f t="shared" si="666"/>
        <v>#DIV/0!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 t="e">
        <f t="shared" ref="G214" si="724">G72/G201</f>
        <v>#DIV/0!</v>
      </c>
      <c r="H214" s="138" t="e">
        <f t="shared" ref="H214:I214" si="725">H72/H201</f>
        <v>#DIV/0!</v>
      </c>
      <c r="I214" s="138" t="e">
        <f t="shared" si="725"/>
        <v>#DIV/0!</v>
      </c>
      <c r="J214" s="138" t="e">
        <f t="shared" ref="J214:T214" si="726">J72/J201</f>
        <v>#DIV/0!</v>
      </c>
      <c r="K214" s="138" t="e">
        <f t="shared" si="726"/>
        <v>#DIV/0!</v>
      </c>
      <c r="L214" s="138" t="e">
        <f t="shared" si="726"/>
        <v>#DIV/0!</v>
      </c>
      <c r="M214" s="138" t="e">
        <f t="shared" si="726"/>
        <v>#DIV/0!</v>
      </c>
      <c r="N214" s="138" t="e">
        <f t="shared" si="726"/>
        <v>#DIV/0!</v>
      </c>
      <c r="O214" s="138">
        <f t="shared" si="726"/>
        <v>-7.1874976554352635E-3</v>
      </c>
      <c r="P214" s="138">
        <f t="shared" si="726"/>
        <v>3.777007510109763E-2</v>
      </c>
      <c r="Q214" s="138">
        <f t="shared" si="726"/>
        <v>6.7952249770431586E-2</v>
      </c>
      <c r="R214" s="138">
        <f t="shared" si="726"/>
        <v>2.6537698412698412E-2</v>
      </c>
      <c r="S214" s="138">
        <f t="shared" si="726"/>
        <v>4.124984562183525E-2</v>
      </c>
      <c r="T214" s="138">
        <f t="shared" si="726"/>
        <v>2.9980427871615888E-2</v>
      </c>
      <c r="U214" s="138">
        <f t="shared" ref="U214" si="727">U72/U201</f>
        <v>1.8213866039952998E-2</v>
      </c>
      <c r="V214" s="101" t="e">
        <f t="shared" si="662"/>
        <v>#DIV/0!</v>
      </c>
      <c r="W214" s="110"/>
      <c r="X214" s="138">
        <f t="shared" ref="X214:AG214" si="728">X72/X201</f>
        <v>3.5378864393596395E-2</v>
      </c>
      <c r="Y214" s="138">
        <f t="shared" si="728"/>
        <v>3.9887935345721416E-2</v>
      </c>
      <c r="Z214" s="138">
        <f t="shared" si="728"/>
        <v>4.4971691811352577E-2</v>
      </c>
      <c r="AA214" s="138">
        <f t="shared" si="728"/>
        <v>5.0703378022603385E-2</v>
      </c>
      <c r="AB214" s="138">
        <f t="shared" si="728"/>
        <v>5.716557326077832E-2</v>
      </c>
      <c r="AC214" s="138">
        <f t="shared" si="728"/>
        <v>6.4451381617544184E-2</v>
      </c>
      <c r="AD214" s="138">
        <f t="shared" si="728"/>
        <v>7.2665773392329214E-2</v>
      </c>
      <c r="AE214" s="138">
        <f t="shared" si="728"/>
        <v>8.1927097452135861E-2</v>
      </c>
      <c r="AF214" s="138">
        <f t="shared" si="728"/>
        <v>9.2368786343094339E-2</v>
      </c>
      <c r="AG214" s="138">
        <f t="shared" si="728"/>
        <v>0.10414127872015538</v>
      </c>
      <c r="AH214" s="116" t="e">
        <f t="shared" ref="AH214" si="729">((AG214/J214)^(1/($AG$3-$K$1) ))-1</f>
        <v>#DIV/0!</v>
      </c>
      <c r="AI214" s="21">
        <f t="shared" ref="AI214" si="730">$O$1</f>
        <v>0.05</v>
      </c>
      <c r="AJ214" s="109" t="e">
        <f t="shared" ref="AJ214" si="731">(AG214*(1+AH214))/($C$1-AI214)</f>
        <v>#DIV/0!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732">G203</f>
        <v>0</v>
      </c>
      <c r="H215" s="158" t="e">
        <f t="shared" ref="H215:I215" si="733">H203</f>
        <v>#DIV/0!</v>
      </c>
      <c r="I215" s="158" t="e">
        <f t="shared" si="733"/>
        <v>#DIV/0!</v>
      </c>
      <c r="J215" s="158" t="e">
        <f t="shared" ref="J215:T215" si="734">J203</f>
        <v>#DIV/0!</v>
      </c>
      <c r="K215" s="158" t="e">
        <f t="shared" si="734"/>
        <v>#DIV/0!</v>
      </c>
      <c r="L215" s="158" t="e">
        <f t="shared" si="734"/>
        <v>#DIV/0!</v>
      </c>
      <c r="M215" s="158" t="e">
        <f t="shared" si="734"/>
        <v>#DIV/0!</v>
      </c>
      <c r="N215" s="158" t="e">
        <f t="shared" si="734"/>
        <v>#DIV/0!</v>
      </c>
      <c r="O215" s="158">
        <f t="shared" si="734"/>
        <v>-139.13048016701461</v>
      </c>
      <c r="P215" s="158">
        <f t="shared" si="734"/>
        <v>26.475986540226369</v>
      </c>
      <c r="Q215" s="158">
        <f t="shared" si="734"/>
        <v>14.716216216216218</v>
      </c>
      <c r="R215" s="158">
        <f t="shared" si="734"/>
        <v>37.682242990654203</v>
      </c>
      <c r="S215" s="158">
        <f t="shared" si="734"/>
        <v>24.242514970059879</v>
      </c>
      <c r="T215" s="158">
        <f t="shared" si="734"/>
        <v>33.355094339622639</v>
      </c>
      <c r="U215" s="158">
        <f t="shared" ref="U215" si="735">U203</f>
        <v>54.903225806451609</v>
      </c>
      <c r="V215" s="101" t="e">
        <f t="shared" si="662"/>
        <v>#DIV/0!</v>
      </c>
      <c r="W215" s="110"/>
      <c r="X215" s="129">
        <f t="shared" ref="X215:AG215" si="736">X203</f>
        <v>28.265463494667763</v>
      </c>
      <c r="Y215" s="129">
        <f t="shared" si="736"/>
        <v>25.070237186574889</v>
      </c>
      <c r="Z215" s="129">
        <f t="shared" si="736"/>
        <v>22.236210374179468</v>
      </c>
      <c r="AA215" s="129">
        <f t="shared" si="736"/>
        <v>19.722551810141795</v>
      </c>
      <c r="AB215" s="129">
        <f t="shared" si="736"/>
        <v>17.493045953343159</v>
      </c>
      <c r="AC215" s="129">
        <f t="shared" si="736"/>
        <v>15.515571193400019</v>
      </c>
      <c r="AD215" s="129">
        <f t="shared" si="736"/>
        <v>13.761637058493934</v>
      </c>
      <c r="AE215" s="129">
        <f t="shared" si="736"/>
        <v>12.205973738838098</v>
      </c>
      <c r="AF215" s="129">
        <f t="shared" si="736"/>
        <v>10.826168011839011</v>
      </c>
      <c r="AG215" s="129">
        <f t="shared" si="736"/>
        <v>9.6023403235441673</v>
      </c>
      <c r="AH215" s="116" t="e">
        <f t="shared" ref="AH215" si="737">((AG215/J215)^(1/($AG$3-$K$1) ))-1</f>
        <v>#DIV/0!</v>
      </c>
      <c r="AI215" s="21">
        <f t="shared" ref="AI215:AI217" si="738">$O$1</f>
        <v>0.05</v>
      </c>
      <c r="AJ215" s="158" t="e">
        <f>(AJ202)/($O$2*100)</f>
        <v>#DIV/0!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739">(G203)/($O$2*100)</f>
        <v>0</v>
      </c>
      <c r="H216" s="158" t="e">
        <f t="shared" ref="H216:I216" si="740">(H203)/($O$2*100)</f>
        <v>#DIV/0!</v>
      </c>
      <c r="I216" s="158" t="e">
        <f t="shared" si="740"/>
        <v>#DIV/0!</v>
      </c>
      <c r="J216" s="158" t="e">
        <f t="shared" ref="J216:T216" si="741">(J203)/($O$2*100)</f>
        <v>#DIV/0!</v>
      </c>
      <c r="K216" s="158" t="e">
        <f t="shared" si="741"/>
        <v>#DIV/0!</v>
      </c>
      <c r="L216" s="158" t="e">
        <f t="shared" si="741"/>
        <v>#DIV/0!</v>
      </c>
      <c r="M216" s="158" t="e">
        <f t="shared" si="741"/>
        <v>#DIV/0!</v>
      </c>
      <c r="N216" s="158" t="e">
        <f t="shared" si="741"/>
        <v>#DIV/0!</v>
      </c>
      <c r="O216" s="158">
        <f t="shared" si="741"/>
        <v>-9.2753653444676409</v>
      </c>
      <c r="P216" s="158">
        <f t="shared" si="741"/>
        <v>1.7650657693484246</v>
      </c>
      <c r="Q216" s="158">
        <f t="shared" si="741"/>
        <v>0.98108108108108116</v>
      </c>
      <c r="R216" s="158">
        <f t="shared" si="741"/>
        <v>2.5121495327102803</v>
      </c>
      <c r="S216" s="158">
        <f t="shared" si="741"/>
        <v>1.6161676646706586</v>
      </c>
      <c r="T216" s="158">
        <f t="shared" si="741"/>
        <v>2.2236729559748425</v>
      </c>
      <c r="U216" s="158">
        <f t="shared" ref="U216" si="742">(U203)/($O$2*100)</f>
        <v>3.6602150537634404</v>
      </c>
      <c r="V216" s="101" t="e">
        <f t="shared" si="662"/>
        <v>#DIV/0!</v>
      </c>
      <c r="W216" s="110"/>
      <c r="X216" s="158">
        <f t="shared" ref="X216:AG216" si="743">(X203)/($O$2*100)</f>
        <v>1.8843642329778509</v>
      </c>
      <c r="Y216" s="158">
        <f t="shared" si="743"/>
        <v>1.6713491457716594</v>
      </c>
      <c r="Z216" s="158">
        <f t="shared" si="743"/>
        <v>1.4824140249452979</v>
      </c>
      <c r="AA216" s="158">
        <f t="shared" si="743"/>
        <v>1.3148367873427864</v>
      </c>
      <c r="AB216" s="158">
        <f t="shared" si="743"/>
        <v>1.1662030635562106</v>
      </c>
      <c r="AC216" s="158">
        <f t="shared" si="743"/>
        <v>1.0343714128933346</v>
      </c>
      <c r="AD216" s="158">
        <f t="shared" si="743"/>
        <v>0.91744247056626227</v>
      </c>
      <c r="AE216" s="158">
        <f t="shared" si="743"/>
        <v>0.81373158258920653</v>
      </c>
      <c r="AF216" s="158">
        <f t="shared" si="743"/>
        <v>0.72174453412260076</v>
      </c>
      <c r="AG216" s="158">
        <f t="shared" si="743"/>
        <v>0.64015602156961116</v>
      </c>
      <c r="AH216" s="116" t="e">
        <f t="shared" si="718"/>
        <v>#DIV/0!</v>
      </c>
      <c r="AI216" s="21">
        <f t="shared" si="738"/>
        <v>0.05</v>
      </c>
      <c r="AJ216" s="158" t="e">
        <f>(AJ203)/($O$2*100)</f>
        <v>#DIV/0!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744">G216-1</f>
        <v>-1</v>
      </c>
      <c r="H217" s="129" t="e">
        <f t="shared" ref="H217:I217" si="745">H216-1</f>
        <v>#DIV/0!</v>
      </c>
      <c r="I217" s="129" t="e">
        <f t="shared" si="745"/>
        <v>#DIV/0!</v>
      </c>
      <c r="J217" s="129" t="e">
        <f t="shared" ref="J217:S217" si="746">J216-1</f>
        <v>#DIV/0!</v>
      </c>
      <c r="K217" s="129" t="e">
        <f t="shared" si="746"/>
        <v>#DIV/0!</v>
      </c>
      <c r="L217" s="129" t="e">
        <f t="shared" si="746"/>
        <v>#DIV/0!</v>
      </c>
      <c r="M217" s="129" t="e">
        <f t="shared" si="746"/>
        <v>#DIV/0!</v>
      </c>
      <c r="N217" s="129" t="e">
        <f t="shared" si="746"/>
        <v>#DIV/0!</v>
      </c>
      <c r="O217" s="129">
        <f t="shared" si="746"/>
        <v>-10.275365344467641</v>
      </c>
      <c r="P217" s="129">
        <f t="shared" si="746"/>
        <v>0.76506576934842463</v>
      </c>
      <c r="Q217" s="129">
        <f t="shared" si="746"/>
        <v>-1.8918918918918837E-2</v>
      </c>
      <c r="R217" s="129">
        <f t="shared" si="746"/>
        <v>1.5121495327102803</v>
      </c>
      <c r="S217" s="129">
        <f t="shared" si="746"/>
        <v>0.61616766467065864</v>
      </c>
      <c r="T217" s="129">
        <f>T216-1</f>
        <v>1.2236729559748425</v>
      </c>
      <c r="U217" s="129">
        <f>U216-1</f>
        <v>2.6602150537634404</v>
      </c>
      <c r="V217" s="101" t="e">
        <f t="shared" si="662"/>
        <v>#DIV/0!</v>
      </c>
      <c r="W217" s="110"/>
      <c r="X217" s="129">
        <f t="shared" ref="X217:AG217" si="747">X216-1</f>
        <v>0.88436423297785094</v>
      </c>
      <c r="Y217" s="129">
        <f t="shared" si="747"/>
        <v>0.67134914577165938</v>
      </c>
      <c r="Z217" s="129">
        <f t="shared" si="747"/>
        <v>0.48241402494529795</v>
      </c>
      <c r="AA217" s="129">
        <f t="shared" si="747"/>
        <v>0.31483678734278642</v>
      </c>
      <c r="AB217" s="129">
        <f t="shared" si="747"/>
        <v>0.16620306355621062</v>
      </c>
      <c r="AC217" s="129">
        <f t="shared" si="747"/>
        <v>3.4371412893334563E-2</v>
      </c>
      <c r="AD217" s="129">
        <f t="shared" si="747"/>
        <v>-8.2557529433737731E-2</v>
      </c>
      <c r="AE217" s="129">
        <f t="shared" si="747"/>
        <v>-0.18626841741079347</v>
      </c>
      <c r="AF217" s="129">
        <f t="shared" si="747"/>
        <v>-0.27825546587739924</v>
      </c>
      <c r="AG217" s="129">
        <f t="shared" si="747"/>
        <v>-0.35984397843038884</v>
      </c>
      <c r="AH217" s="116" t="e">
        <f t="shared" ref="AH217" si="748">((AG217/J217)^(1/($AG$3-$K$1) ))-1</f>
        <v>#DIV/0!</v>
      </c>
      <c r="AI217" s="21">
        <f t="shared" si="738"/>
        <v>0.05</v>
      </c>
      <c r="AJ217" s="158" t="e">
        <f>(AJ204)/($O$2*100)</f>
        <v>#DIV/0!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 t="e">
        <f t="shared" ref="G219:S219" si="749">1/G220</f>
        <v>#DIV/0!</v>
      </c>
      <c r="H219" s="129" t="e">
        <f t="shared" si="749"/>
        <v>#DIV/0!</v>
      </c>
      <c r="I219" s="129" t="e">
        <f t="shared" si="749"/>
        <v>#DIV/0!</v>
      </c>
      <c r="J219" s="129" t="e">
        <f t="shared" si="749"/>
        <v>#DIV/0!</v>
      </c>
      <c r="K219" s="129" t="e">
        <f t="shared" si="749"/>
        <v>#DIV/0!</v>
      </c>
      <c r="L219" s="129" t="e">
        <f t="shared" si="749"/>
        <v>#DIV/0!</v>
      </c>
      <c r="M219" s="129" t="e">
        <f t="shared" si="749"/>
        <v>#DIV/0!</v>
      </c>
      <c r="N219" s="129" t="e">
        <f t="shared" si="749"/>
        <v>#DIV/0!</v>
      </c>
      <c r="O219" s="129">
        <f t="shared" si="749"/>
        <v>7.4728636273929342E-3</v>
      </c>
      <c r="P219" s="129">
        <f t="shared" si="749"/>
        <v>7.4728636273929342E-3</v>
      </c>
      <c r="Q219" s="129">
        <f t="shared" si="749"/>
        <v>7.4728636273929342E-3</v>
      </c>
      <c r="R219" s="129">
        <f t="shared" si="749"/>
        <v>7.4728636273929342E-3</v>
      </c>
      <c r="S219" s="129">
        <f t="shared" si="749"/>
        <v>7.4728636273929342E-3</v>
      </c>
      <c r="T219" s="129">
        <f>1/T220</f>
        <v>7.1396786248977074E-3</v>
      </c>
      <c r="U219" s="129">
        <f>1/U220</f>
        <v>2.2418590882178804E-2</v>
      </c>
      <c r="V219" s="101" t="e">
        <f t="shared" si="662"/>
        <v>#DIV/0!</v>
      </c>
      <c r="W219" s="110"/>
      <c r="X219" s="129">
        <f t="shared" ref="X219:AG219" si="750">1/X220</f>
        <v>7.4728636273929342E-3</v>
      </c>
      <c r="Y219" s="129">
        <f t="shared" si="750"/>
        <v>7.4728636273929342E-3</v>
      </c>
      <c r="Z219" s="129">
        <f t="shared" si="750"/>
        <v>7.4728636273929342E-3</v>
      </c>
      <c r="AA219" s="129">
        <f t="shared" si="750"/>
        <v>7.4728636273929342E-3</v>
      </c>
      <c r="AB219" s="129">
        <f t="shared" si="750"/>
        <v>7.4728636273929342E-3</v>
      </c>
      <c r="AC219" s="129">
        <f t="shared" si="750"/>
        <v>7.4728636273929342E-3</v>
      </c>
      <c r="AD219" s="129">
        <f t="shared" si="750"/>
        <v>7.4728636273929342E-3</v>
      </c>
      <c r="AE219" s="129">
        <f t="shared" si="750"/>
        <v>7.4728636273929342E-3</v>
      </c>
      <c r="AF219" s="129">
        <f t="shared" si="750"/>
        <v>7.4728636273929342E-3</v>
      </c>
      <c r="AG219" s="129">
        <f t="shared" si="750"/>
        <v>7.4728636273929342E-3</v>
      </c>
      <c r="AH219" s="116" t="e">
        <f t="shared" ref="AH219" si="751">((AG219/J219)^(1/($AG$3-$K$1) ))-1</f>
        <v>#DIV/0!</v>
      </c>
      <c r="AI219" s="21">
        <f t="shared" ref="AI219:AI222" si="752">$O$1</f>
        <v>0.05</v>
      </c>
      <c r="AJ219" s="158" t="e">
        <f>(AJ206)/($O$2*100)</f>
        <v>#DIV/0!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753">G201/$W$170</f>
        <v>0</v>
      </c>
      <c r="H220" s="113">
        <f t="shared" ref="H220:I220" si="754">H201/$W$170</f>
        <v>0</v>
      </c>
      <c r="I220" s="113">
        <f t="shared" si="754"/>
        <v>0</v>
      </c>
      <c r="J220" s="113">
        <f t="shared" ref="J220:T220" si="755">J201/$W$170</f>
        <v>0</v>
      </c>
      <c r="K220" s="113">
        <f t="shared" si="755"/>
        <v>0</v>
      </c>
      <c r="L220" s="113">
        <f t="shared" si="755"/>
        <v>0</v>
      </c>
      <c r="M220" s="113">
        <f t="shared" si="755"/>
        <v>0</v>
      </c>
      <c r="N220" s="113">
        <f t="shared" si="755"/>
        <v>0</v>
      </c>
      <c r="O220" s="113">
        <f t="shared" si="755"/>
        <v>133.81750957348476</v>
      </c>
      <c r="P220" s="113">
        <f t="shared" si="755"/>
        <v>133.81750957348476</v>
      </c>
      <c r="Q220" s="113">
        <f t="shared" si="755"/>
        <v>133.81750957348476</v>
      </c>
      <c r="R220" s="113">
        <f t="shared" si="755"/>
        <v>133.81750957348476</v>
      </c>
      <c r="S220" s="113">
        <f t="shared" si="755"/>
        <v>133.81750957348476</v>
      </c>
      <c r="T220" s="113">
        <f t="shared" si="755"/>
        <v>140.06232668691405</v>
      </c>
      <c r="U220" s="113">
        <f t="shared" ref="U220" si="756">U201/$W$170</f>
        <v>44.605836524494919</v>
      </c>
      <c r="V220" s="101" t="e">
        <f t="shared" si="662"/>
        <v>#DIV/0!</v>
      </c>
      <c r="W220" s="110"/>
      <c r="X220" s="113">
        <f t="shared" ref="X220:AG220" si="757">X201/$W$170</f>
        <v>133.81750957348476</v>
      </c>
      <c r="Y220" s="113">
        <f t="shared" si="757"/>
        <v>133.81750957348476</v>
      </c>
      <c r="Z220" s="113">
        <f t="shared" si="757"/>
        <v>133.81750957348476</v>
      </c>
      <c r="AA220" s="113">
        <f t="shared" si="757"/>
        <v>133.81750957348476</v>
      </c>
      <c r="AB220" s="113">
        <f t="shared" si="757"/>
        <v>133.81750957348476</v>
      </c>
      <c r="AC220" s="113">
        <f t="shared" si="757"/>
        <v>133.81750957348476</v>
      </c>
      <c r="AD220" s="113">
        <f t="shared" si="757"/>
        <v>133.81750957348476</v>
      </c>
      <c r="AE220" s="113">
        <f t="shared" si="757"/>
        <v>133.81750957348476</v>
      </c>
      <c r="AF220" s="113">
        <f t="shared" si="757"/>
        <v>133.81750957348476</v>
      </c>
      <c r="AG220" s="113">
        <f t="shared" si="757"/>
        <v>133.81750957348476</v>
      </c>
      <c r="AH220" s="116" t="e">
        <f t="shared" ref="AH220:AH222" si="758">((AG220/J220)^(1/($AG$3-$K$1) ))-1</f>
        <v>#DIV/0!</v>
      </c>
      <c r="AI220" s="21">
        <f t="shared" si="752"/>
        <v>0.05</v>
      </c>
      <c r="AJ220" s="158" t="e">
        <f>(AJ206)/($O$2*100)</f>
        <v>#DIV/0!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759">(G220)/($O$2*100)</f>
        <v>0</v>
      </c>
      <c r="H221" s="158">
        <f t="shared" ref="H221:I221" si="760">(H220)/($O$2*100)</f>
        <v>0</v>
      </c>
      <c r="I221" s="158">
        <f t="shared" si="760"/>
        <v>0</v>
      </c>
      <c r="J221" s="158">
        <f t="shared" ref="J221:T221" si="761">(J220)/($O$2*100)</f>
        <v>0</v>
      </c>
      <c r="K221" s="158">
        <f t="shared" si="761"/>
        <v>0</v>
      </c>
      <c r="L221" s="158">
        <f t="shared" si="761"/>
        <v>0</v>
      </c>
      <c r="M221" s="158">
        <f t="shared" si="761"/>
        <v>0</v>
      </c>
      <c r="N221" s="158">
        <f t="shared" si="761"/>
        <v>0</v>
      </c>
      <c r="O221" s="158">
        <f t="shared" si="761"/>
        <v>8.921167304898983</v>
      </c>
      <c r="P221" s="158">
        <f t="shared" si="761"/>
        <v>8.921167304898983</v>
      </c>
      <c r="Q221" s="158">
        <f t="shared" si="761"/>
        <v>8.921167304898983</v>
      </c>
      <c r="R221" s="158">
        <f t="shared" si="761"/>
        <v>8.921167304898983</v>
      </c>
      <c r="S221" s="158">
        <f t="shared" si="761"/>
        <v>8.921167304898983</v>
      </c>
      <c r="T221" s="158">
        <f t="shared" si="761"/>
        <v>9.3374884457942695</v>
      </c>
      <c r="U221" s="158">
        <f t="shared" ref="U221" si="762">(U220)/($O$2*100)</f>
        <v>2.9737224349663278</v>
      </c>
      <c r="V221" s="101" t="e">
        <f t="shared" si="662"/>
        <v>#DIV/0!</v>
      </c>
      <c r="W221" s="110"/>
      <c r="X221" s="158">
        <f t="shared" ref="X221:AG221" si="763">(X220)/($O$2*100)</f>
        <v>8.921167304898983</v>
      </c>
      <c r="Y221" s="158">
        <f t="shared" si="763"/>
        <v>8.921167304898983</v>
      </c>
      <c r="Z221" s="158">
        <f t="shared" si="763"/>
        <v>8.921167304898983</v>
      </c>
      <c r="AA221" s="158">
        <f t="shared" si="763"/>
        <v>8.921167304898983</v>
      </c>
      <c r="AB221" s="158">
        <f t="shared" si="763"/>
        <v>8.921167304898983</v>
      </c>
      <c r="AC221" s="158">
        <f t="shared" si="763"/>
        <v>8.921167304898983</v>
      </c>
      <c r="AD221" s="158">
        <f t="shared" si="763"/>
        <v>8.921167304898983</v>
      </c>
      <c r="AE221" s="158">
        <f t="shared" si="763"/>
        <v>8.921167304898983</v>
      </c>
      <c r="AF221" s="158">
        <f t="shared" si="763"/>
        <v>8.921167304898983</v>
      </c>
      <c r="AG221" s="158">
        <f t="shared" si="763"/>
        <v>8.921167304898983</v>
      </c>
      <c r="AH221" s="116" t="e">
        <f t="shared" si="758"/>
        <v>#DIV/0!</v>
      </c>
      <c r="AI221" s="21">
        <f t="shared" si="752"/>
        <v>0.05</v>
      </c>
      <c r="AJ221" s="158" t="e">
        <f>(AJ207)/($O$2*100)</f>
        <v>#DIV/0!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764">G221-1</f>
        <v>-1</v>
      </c>
      <c r="H222" s="129">
        <f t="shared" ref="H222:I222" si="765">H221-1</f>
        <v>-1</v>
      </c>
      <c r="I222" s="129">
        <f t="shared" si="765"/>
        <v>-1</v>
      </c>
      <c r="J222" s="129">
        <f t="shared" ref="J222:T222" si="766">J221-1</f>
        <v>-1</v>
      </c>
      <c r="K222" s="129">
        <f t="shared" si="766"/>
        <v>-1</v>
      </c>
      <c r="L222" s="129">
        <f t="shared" si="766"/>
        <v>-1</v>
      </c>
      <c r="M222" s="129">
        <f t="shared" si="766"/>
        <v>-1</v>
      </c>
      <c r="N222" s="129">
        <f t="shared" si="766"/>
        <v>-1</v>
      </c>
      <c r="O222" s="129">
        <f t="shared" si="766"/>
        <v>7.921167304898983</v>
      </c>
      <c r="P222" s="129">
        <f t="shared" si="766"/>
        <v>7.921167304898983</v>
      </c>
      <c r="Q222" s="129">
        <f t="shared" si="766"/>
        <v>7.921167304898983</v>
      </c>
      <c r="R222" s="129">
        <f t="shared" si="766"/>
        <v>7.921167304898983</v>
      </c>
      <c r="S222" s="129">
        <f t="shared" si="766"/>
        <v>7.921167304898983</v>
      </c>
      <c r="T222" s="129">
        <f t="shared" si="766"/>
        <v>8.3374884457942695</v>
      </c>
      <c r="U222" s="129">
        <f t="shared" ref="U222" si="767">U221-1</f>
        <v>1.9737224349663278</v>
      </c>
      <c r="V222" s="101" t="e">
        <f t="shared" si="662"/>
        <v>#NUM!</v>
      </c>
      <c r="W222" s="110"/>
      <c r="X222" s="129">
        <f t="shared" ref="X222:AG222" si="768">X221-1</f>
        <v>7.921167304898983</v>
      </c>
      <c r="Y222" s="129">
        <f t="shared" si="768"/>
        <v>7.921167304898983</v>
      </c>
      <c r="Z222" s="129">
        <f t="shared" si="768"/>
        <v>7.921167304898983</v>
      </c>
      <c r="AA222" s="129">
        <f t="shared" si="768"/>
        <v>7.921167304898983</v>
      </c>
      <c r="AB222" s="129">
        <f t="shared" si="768"/>
        <v>7.921167304898983</v>
      </c>
      <c r="AC222" s="129">
        <f t="shared" si="768"/>
        <v>7.921167304898983</v>
      </c>
      <c r="AD222" s="129">
        <f t="shared" si="768"/>
        <v>7.921167304898983</v>
      </c>
      <c r="AE222" s="129">
        <f t="shared" si="768"/>
        <v>7.921167304898983</v>
      </c>
      <c r="AF222" s="129">
        <f t="shared" si="768"/>
        <v>7.921167304898983</v>
      </c>
      <c r="AG222" s="129">
        <f t="shared" si="768"/>
        <v>7.921167304898983</v>
      </c>
      <c r="AH222" s="116" t="e">
        <f t="shared" si="758"/>
        <v>#NUM!</v>
      </c>
      <c r="AI222" s="21">
        <f t="shared" si="752"/>
        <v>0.05</v>
      </c>
      <c r="AJ222" s="158" t="e">
        <f>(AJ208)/($O$2*100)</f>
        <v>#DIV/0!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 t="e">
        <f t="shared" ref="G224:U224" si="769">1/G225</f>
        <v>#DIV/0!</v>
      </c>
      <c r="H224" s="129" t="e">
        <f t="shared" si="769"/>
        <v>#DIV/0!</v>
      </c>
      <c r="I224" s="129" t="e">
        <f t="shared" si="769"/>
        <v>#DIV/0!</v>
      </c>
      <c r="J224" s="129" t="e">
        <f t="shared" si="769"/>
        <v>#DIV/0!</v>
      </c>
      <c r="K224" s="129" t="e">
        <f t="shared" si="769"/>
        <v>#DIV/0!</v>
      </c>
      <c r="L224" s="129" t="e">
        <f t="shared" si="769"/>
        <v>#DIV/0!</v>
      </c>
      <c r="M224" s="129" t="e">
        <f t="shared" si="769"/>
        <v>#DIV/0!</v>
      </c>
      <c r="N224" s="129" t="e">
        <f t="shared" si="769"/>
        <v>#DIV/0!</v>
      </c>
      <c r="O224" s="129">
        <f t="shared" si="769"/>
        <v>2.1302151174264847E-2</v>
      </c>
      <c r="P224" s="129">
        <f t="shared" si="769"/>
        <v>2.1302151174264847E-2</v>
      </c>
      <c r="Q224" s="129">
        <f t="shared" si="769"/>
        <v>2.1302151174264847E-2</v>
      </c>
      <c r="R224" s="129">
        <f t="shared" si="769"/>
        <v>2.1302151174264847E-2</v>
      </c>
      <c r="S224" s="129">
        <f t="shared" si="769"/>
        <v>2.1302151174264847E-2</v>
      </c>
      <c r="T224" s="129">
        <f t="shared" si="769"/>
        <v>2.0352373733374059E-2</v>
      </c>
      <c r="U224" s="129">
        <f t="shared" si="769"/>
        <v>6.3906453522794546E-2</v>
      </c>
      <c r="V224" s="101" t="e">
        <f t="shared" si="662"/>
        <v>#DIV/0!</v>
      </c>
      <c r="W224" s="110"/>
      <c r="X224" s="129">
        <f t="shared" ref="X224:AG224" si="770">1/X225</f>
        <v>2.1302151174264847E-2</v>
      </c>
      <c r="Y224" s="129">
        <f t="shared" si="770"/>
        <v>2.1302151174264847E-2</v>
      </c>
      <c r="Z224" s="129">
        <f t="shared" si="770"/>
        <v>2.1302151174264847E-2</v>
      </c>
      <c r="AA224" s="129">
        <f t="shared" si="770"/>
        <v>2.1302151174264847E-2</v>
      </c>
      <c r="AB224" s="129">
        <f t="shared" si="770"/>
        <v>2.1302151174264847E-2</v>
      </c>
      <c r="AC224" s="129">
        <f t="shared" si="770"/>
        <v>2.1302151174264847E-2</v>
      </c>
      <c r="AD224" s="129">
        <f t="shared" si="770"/>
        <v>2.1302151174264847E-2</v>
      </c>
      <c r="AE224" s="129">
        <f t="shared" si="770"/>
        <v>2.1302151174264847E-2</v>
      </c>
      <c r="AF224" s="129">
        <f t="shared" si="770"/>
        <v>2.1302151174264847E-2</v>
      </c>
      <c r="AG224" s="129">
        <f t="shared" si="770"/>
        <v>2.1302151174264847E-2</v>
      </c>
      <c r="AH224" s="116" t="e">
        <f t="shared" ref="AH224" si="771">((AG224/J224)^(1/($AG$3-$K$1) ))-1</f>
        <v>#DIV/0!</v>
      </c>
      <c r="AI224" s="21">
        <f t="shared" ref="AI224" si="772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73">G201/$T$170</f>
        <v>0</v>
      </c>
      <c r="H225" s="113">
        <f t="shared" ref="H225:I225" si="774">H201/$T$170</f>
        <v>0</v>
      </c>
      <c r="I225" s="113">
        <f t="shared" si="774"/>
        <v>0</v>
      </c>
      <c r="J225" s="113">
        <f t="shared" ref="J225:S225" si="775">J201/$T$170</f>
        <v>0</v>
      </c>
      <c r="K225" s="113">
        <f t="shared" si="775"/>
        <v>0</v>
      </c>
      <c r="L225" s="113">
        <f t="shared" si="775"/>
        <v>0</v>
      </c>
      <c r="M225" s="113">
        <f t="shared" si="775"/>
        <v>0</v>
      </c>
      <c r="N225" s="113">
        <f t="shared" si="775"/>
        <v>0</v>
      </c>
      <c r="O225" s="113">
        <f t="shared" si="775"/>
        <v>46.943615779428939</v>
      </c>
      <c r="P225" s="113">
        <f t="shared" si="775"/>
        <v>46.943615779428939</v>
      </c>
      <c r="Q225" s="113">
        <f t="shared" si="775"/>
        <v>46.943615779428939</v>
      </c>
      <c r="R225" s="113">
        <f t="shared" si="775"/>
        <v>46.943615779428939</v>
      </c>
      <c r="S225" s="113">
        <f t="shared" si="775"/>
        <v>46.943615779428939</v>
      </c>
      <c r="T225" s="113">
        <f>T201/$T$170</f>
        <v>49.13431784913562</v>
      </c>
      <c r="U225" s="113">
        <f>U201/$T$170</f>
        <v>15.647871926476313</v>
      </c>
      <c r="V225" s="101" t="e">
        <f t="shared" si="662"/>
        <v>#DIV/0!</v>
      </c>
      <c r="W225" s="110"/>
      <c r="X225" s="113">
        <f t="shared" ref="X225:AG225" si="776">X201/$T$170</f>
        <v>46.943615779428939</v>
      </c>
      <c r="Y225" s="113">
        <f t="shared" si="776"/>
        <v>46.943615779428939</v>
      </c>
      <c r="Z225" s="113">
        <f t="shared" si="776"/>
        <v>46.943615779428939</v>
      </c>
      <c r="AA225" s="113">
        <f t="shared" si="776"/>
        <v>46.943615779428939</v>
      </c>
      <c r="AB225" s="113">
        <f t="shared" si="776"/>
        <v>46.943615779428939</v>
      </c>
      <c r="AC225" s="113">
        <f t="shared" si="776"/>
        <v>46.943615779428939</v>
      </c>
      <c r="AD225" s="113">
        <f t="shared" si="776"/>
        <v>46.943615779428939</v>
      </c>
      <c r="AE225" s="113">
        <f t="shared" si="776"/>
        <v>46.943615779428939</v>
      </c>
      <c r="AF225" s="113">
        <f t="shared" si="776"/>
        <v>46.943615779428939</v>
      </c>
      <c r="AG225" s="113">
        <f t="shared" si="776"/>
        <v>46.943615779428939</v>
      </c>
      <c r="AH225" s="116" t="e">
        <f t="shared" ref="AH225:AH227" si="777">((AG225/J225)^(1/($AG$3-$K$1) ))-1</f>
        <v>#DIV/0!</v>
      </c>
      <c r="AI225" s="21">
        <f t="shared" ref="AI225:AI227" si="778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79">(G225)/($O$2*100)</f>
        <v>0</v>
      </c>
      <c r="H226" s="158">
        <f t="shared" ref="H226:I226" si="780">(H225)/($O$2*100)</f>
        <v>0</v>
      </c>
      <c r="I226" s="158">
        <f t="shared" si="780"/>
        <v>0</v>
      </c>
      <c r="J226" s="158">
        <f t="shared" ref="J226:T226" si="781">(J225)/($O$2*100)</f>
        <v>0</v>
      </c>
      <c r="K226" s="158">
        <f t="shared" si="781"/>
        <v>0</v>
      </c>
      <c r="L226" s="158">
        <f t="shared" si="781"/>
        <v>0</v>
      </c>
      <c r="M226" s="158">
        <f t="shared" si="781"/>
        <v>0</v>
      </c>
      <c r="N226" s="158">
        <f t="shared" si="781"/>
        <v>0</v>
      </c>
      <c r="O226" s="158">
        <f t="shared" si="781"/>
        <v>3.1295743852952627</v>
      </c>
      <c r="P226" s="158">
        <f t="shared" si="781"/>
        <v>3.1295743852952627</v>
      </c>
      <c r="Q226" s="158">
        <f t="shared" si="781"/>
        <v>3.1295743852952627</v>
      </c>
      <c r="R226" s="158">
        <f t="shared" si="781"/>
        <v>3.1295743852952627</v>
      </c>
      <c r="S226" s="158">
        <f t="shared" si="781"/>
        <v>3.1295743852952627</v>
      </c>
      <c r="T226" s="158">
        <f t="shared" si="781"/>
        <v>3.2756211899423748</v>
      </c>
      <c r="U226" s="158">
        <f t="shared" ref="U226" si="782">(U225)/($O$2*100)</f>
        <v>1.0431914617650875</v>
      </c>
      <c r="V226" s="101" t="e">
        <f t="shared" si="662"/>
        <v>#DIV/0!</v>
      </c>
      <c r="W226" s="110"/>
      <c r="X226" s="158">
        <f t="shared" ref="X226:AG226" si="783">(X225)/($O$2*100)</f>
        <v>3.1295743852952627</v>
      </c>
      <c r="Y226" s="158">
        <f t="shared" si="783"/>
        <v>3.1295743852952627</v>
      </c>
      <c r="Z226" s="158">
        <f t="shared" si="783"/>
        <v>3.1295743852952627</v>
      </c>
      <c r="AA226" s="158">
        <f t="shared" si="783"/>
        <v>3.1295743852952627</v>
      </c>
      <c r="AB226" s="158">
        <f t="shared" si="783"/>
        <v>3.1295743852952627</v>
      </c>
      <c r="AC226" s="158">
        <f t="shared" si="783"/>
        <v>3.1295743852952627</v>
      </c>
      <c r="AD226" s="158">
        <f t="shared" si="783"/>
        <v>3.1295743852952627</v>
      </c>
      <c r="AE226" s="158">
        <f t="shared" si="783"/>
        <v>3.1295743852952627</v>
      </c>
      <c r="AF226" s="158">
        <f t="shared" si="783"/>
        <v>3.1295743852952627</v>
      </c>
      <c r="AG226" s="158">
        <f t="shared" si="783"/>
        <v>3.1295743852952627</v>
      </c>
      <c r="AH226" s="116" t="e">
        <f t="shared" si="777"/>
        <v>#DIV/0!</v>
      </c>
      <c r="AI226" s="21">
        <f t="shared" si="778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84">G226-1</f>
        <v>-1</v>
      </c>
      <c r="H227" s="129">
        <f t="shared" ref="H227:I227" si="785">H226-1</f>
        <v>-1</v>
      </c>
      <c r="I227" s="129">
        <f t="shared" si="785"/>
        <v>-1</v>
      </c>
      <c r="J227" s="129">
        <f t="shared" ref="J227:T227" si="786">J226-1</f>
        <v>-1</v>
      </c>
      <c r="K227" s="129">
        <f t="shared" si="786"/>
        <v>-1</v>
      </c>
      <c r="L227" s="129">
        <f t="shared" si="786"/>
        <v>-1</v>
      </c>
      <c r="M227" s="129">
        <f t="shared" si="786"/>
        <v>-1</v>
      </c>
      <c r="N227" s="129">
        <f t="shared" si="786"/>
        <v>-1</v>
      </c>
      <c r="O227" s="129">
        <f t="shared" si="786"/>
        <v>2.1295743852952627</v>
      </c>
      <c r="P227" s="129">
        <f t="shared" si="786"/>
        <v>2.1295743852952627</v>
      </c>
      <c r="Q227" s="129">
        <f t="shared" si="786"/>
        <v>2.1295743852952627</v>
      </c>
      <c r="R227" s="129">
        <f t="shared" si="786"/>
        <v>2.1295743852952627</v>
      </c>
      <c r="S227" s="129">
        <f t="shared" si="786"/>
        <v>2.1295743852952627</v>
      </c>
      <c r="T227" s="129">
        <f t="shared" si="786"/>
        <v>2.2756211899423748</v>
      </c>
      <c r="U227" s="129">
        <f t="shared" ref="U227" si="787">U226-1</f>
        <v>4.319146176508748E-2</v>
      </c>
      <c r="V227" s="101" t="e">
        <f t="shared" si="662"/>
        <v>#NUM!</v>
      </c>
      <c r="W227" s="110"/>
      <c r="X227" s="129">
        <f t="shared" ref="X227:AG227" si="788">X226-1</f>
        <v>2.1295743852952627</v>
      </c>
      <c r="Y227" s="129">
        <f t="shared" si="788"/>
        <v>2.1295743852952627</v>
      </c>
      <c r="Z227" s="129">
        <f t="shared" si="788"/>
        <v>2.1295743852952627</v>
      </c>
      <c r="AA227" s="129">
        <f t="shared" si="788"/>
        <v>2.1295743852952627</v>
      </c>
      <c r="AB227" s="129">
        <f t="shared" si="788"/>
        <v>2.1295743852952627</v>
      </c>
      <c r="AC227" s="129">
        <f t="shared" si="788"/>
        <v>2.1295743852952627</v>
      </c>
      <c r="AD227" s="129">
        <f t="shared" si="788"/>
        <v>2.1295743852952627</v>
      </c>
      <c r="AE227" s="129">
        <f t="shared" si="788"/>
        <v>2.1295743852952627</v>
      </c>
      <c r="AF227" s="129">
        <f t="shared" si="788"/>
        <v>2.1295743852952627</v>
      </c>
      <c r="AG227" s="129">
        <f t="shared" si="788"/>
        <v>2.1295743852952627</v>
      </c>
      <c r="AH227" s="116" t="e">
        <f t="shared" si="777"/>
        <v>#NUM!</v>
      </c>
      <c r="AI227" s="21">
        <f t="shared" si="778"/>
        <v>0.05</v>
      </c>
      <c r="AJ227" s="158" t="e">
        <f>(AJ211)/($O$2*100)</f>
        <v>#DIV/0!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 t="e">
        <f t="shared" ref="G229:S229" si="789">1/G230</f>
        <v>#DIV/0!</v>
      </c>
      <c r="H229" s="129" t="e">
        <f t="shared" si="789"/>
        <v>#DIV/0!</v>
      </c>
      <c r="I229" s="129" t="e">
        <f t="shared" si="789"/>
        <v>#DIV/0!</v>
      </c>
      <c r="J229" s="129" t="e">
        <f t="shared" si="789"/>
        <v>#DIV/0!</v>
      </c>
      <c r="K229" s="129" t="e">
        <f t="shared" si="789"/>
        <v>#DIV/0!</v>
      </c>
      <c r="L229" s="129" t="e">
        <f t="shared" si="789"/>
        <v>#DIV/0!</v>
      </c>
      <c r="M229" s="129" t="e">
        <f t="shared" si="789"/>
        <v>#DIV/0!</v>
      </c>
      <c r="N229" s="129" t="e">
        <f t="shared" si="789"/>
        <v>#DIV/0!</v>
      </c>
      <c r="O229" s="129">
        <f t="shared" si="789"/>
        <v>2.9603451081936467E-2</v>
      </c>
      <c r="P229" s="129">
        <f t="shared" si="789"/>
        <v>2.9603451081936467E-2</v>
      </c>
      <c r="Q229" s="129">
        <f t="shared" si="789"/>
        <v>2.9603451081936467E-2</v>
      </c>
      <c r="R229" s="129">
        <f t="shared" si="789"/>
        <v>2.9603451081936467E-2</v>
      </c>
      <c r="S229" s="129">
        <f t="shared" si="789"/>
        <v>2.9603451081936467E-2</v>
      </c>
      <c r="T229" s="129">
        <f>1/T230</f>
        <v>2.8283551989111276E-2</v>
      </c>
      <c r="U229" s="129">
        <f>1/U230</f>
        <v>8.8810353245809409E-2</v>
      </c>
      <c r="V229" s="101" t="e">
        <f t="shared" ref="V229:V232" si="790">((T229/H229)^(1/($K$2-$K$1) ))-1</f>
        <v>#DIV/0!</v>
      </c>
      <c r="W229" s="110"/>
      <c r="X229" s="129">
        <f t="shared" ref="X229:AG229" si="791">1/X230</f>
        <v>1.345186864398398</v>
      </c>
      <c r="Y229" s="129">
        <f t="shared" si="791"/>
        <v>1.5166322490766253</v>
      </c>
      <c r="Z229" s="129">
        <f t="shared" si="791"/>
        <v>1.7099285161158031</v>
      </c>
      <c r="AA229" s="129">
        <f t="shared" si="791"/>
        <v>1.9278605818952681</v>
      </c>
      <c r="AB229" s="129">
        <f t="shared" si="791"/>
        <v>2.1735683031172135</v>
      </c>
      <c r="AC229" s="129">
        <f t="shared" si="791"/>
        <v>2.4505917142988194</v>
      </c>
      <c r="AD229" s="129">
        <f t="shared" si="791"/>
        <v>2.7629220308270996</v>
      </c>
      <c r="AE229" s="129">
        <f t="shared" si="791"/>
        <v>3.1150591524031017</v>
      </c>
      <c r="AF229" s="129">
        <f t="shared" si="791"/>
        <v>3.5120764953564381</v>
      </c>
      <c r="AG229" s="129">
        <f t="shared" si="791"/>
        <v>3.9596940879018652</v>
      </c>
      <c r="AH229" s="116" t="e">
        <f t="shared" ref="AH229:AH232" si="792">((AG229/J229)^(1/($AG$3-$K$1) ))-1</f>
        <v>#DIV/0!</v>
      </c>
      <c r="AI229" s="21">
        <f t="shared" ref="AI229:AI232" si="793">$O$1</f>
        <v>0.05</v>
      </c>
      <c r="AJ229" s="158" t="e">
        <f>(AJ215)/($O$2*100)</f>
        <v>#DIV/0!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794">G201/$X$171</f>
        <v>0</v>
      </c>
      <c r="H230" s="113">
        <f t="shared" ref="H230:S230" si="795">H201/$X$171</f>
        <v>0</v>
      </c>
      <c r="I230" s="113">
        <f t="shared" si="795"/>
        <v>0</v>
      </c>
      <c r="J230" s="113">
        <f t="shared" si="795"/>
        <v>0</v>
      </c>
      <c r="K230" s="113">
        <f t="shared" si="795"/>
        <v>0</v>
      </c>
      <c r="L230" s="113">
        <f t="shared" si="795"/>
        <v>0</v>
      </c>
      <c r="M230" s="113">
        <f t="shared" si="795"/>
        <v>0</v>
      </c>
      <c r="N230" s="113">
        <f t="shared" si="795"/>
        <v>0</v>
      </c>
      <c r="O230" s="113">
        <f t="shared" si="795"/>
        <v>33.77984537114267</v>
      </c>
      <c r="P230" s="113">
        <f t="shared" si="795"/>
        <v>33.77984537114267</v>
      </c>
      <c r="Q230" s="113">
        <f t="shared" si="795"/>
        <v>33.77984537114267</v>
      </c>
      <c r="R230" s="113">
        <f t="shared" si="795"/>
        <v>33.77984537114267</v>
      </c>
      <c r="S230" s="113">
        <f t="shared" si="795"/>
        <v>33.77984537114267</v>
      </c>
      <c r="T230" s="113">
        <f>T201/$X$171</f>
        <v>35.356238155129326</v>
      </c>
      <c r="U230" s="113">
        <f>U201/$X$171</f>
        <v>11.259948457047555</v>
      </c>
      <c r="V230" s="101" t="e">
        <f t="shared" si="790"/>
        <v>#DIV/0!</v>
      </c>
      <c r="W230" s="110"/>
      <c r="X230" s="113">
        <f t="shared" ref="X230:AG230" si="796">X206/$T$170</f>
        <v>0.74339114249916916</v>
      </c>
      <c r="Y230" s="113">
        <f t="shared" si="796"/>
        <v>0.65935562204274123</v>
      </c>
      <c r="Z230" s="113">
        <f t="shared" si="796"/>
        <v>0.58481976911617051</v>
      </c>
      <c r="AA230" s="113">
        <f t="shared" si="796"/>
        <v>0.51870970825955998</v>
      </c>
      <c r="AB230" s="113">
        <f t="shared" si="796"/>
        <v>0.46007295863021852</v>
      </c>
      <c r="AC230" s="113">
        <f t="shared" si="796"/>
        <v>0.40806471113288945</v>
      </c>
      <c r="AD230" s="113">
        <f t="shared" si="796"/>
        <v>0.36193565683091067</v>
      </c>
      <c r="AE230" s="113">
        <f t="shared" si="796"/>
        <v>0.32102119127611217</v>
      </c>
      <c r="AF230" s="113">
        <f t="shared" si="796"/>
        <v>0.28473183921881257</v>
      </c>
      <c r="AG230" s="113">
        <f t="shared" si="796"/>
        <v>0.25254476174190338</v>
      </c>
      <c r="AH230" s="116" t="e">
        <f t="shared" si="792"/>
        <v>#DIV/0!</v>
      </c>
      <c r="AI230" s="21">
        <f t="shared" si="793"/>
        <v>0.05</v>
      </c>
      <c r="AJ230" s="158" t="e">
        <f>(AJ215)/($O$2*100)</f>
        <v>#DIV/0!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797">(G230)/($O$2*100)</f>
        <v>0</v>
      </c>
      <c r="H231" s="158">
        <f t="shared" ref="H231:T231" si="798">(H230)/($O$2*100)</f>
        <v>0</v>
      </c>
      <c r="I231" s="158">
        <f t="shared" si="798"/>
        <v>0</v>
      </c>
      <c r="J231" s="158">
        <f t="shared" si="798"/>
        <v>0</v>
      </c>
      <c r="K231" s="158">
        <f t="shared" si="798"/>
        <v>0</v>
      </c>
      <c r="L231" s="158">
        <f t="shared" si="798"/>
        <v>0</v>
      </c>
      <c r="M231" s="158">
        <f t="shared" si="798"/>
        <v>0</v>
      </c>
      <c r="N231" s="158">
        <f t="shared" si="798"/>
        <v>0</v>
      </c>
      <c r="O231" s="158">
        <f t="shared" si="798"/>
        <v>2.2519896914095114</v>
      </c>
      <c r="P231" s="158">
        <f t="shared" si="798"/>
        <v>2.2519896914095114</v>
      </c>
      <c r="Q231" s="158">
        <f t="shared" si="798"/>
        <v>2.2519896914095114</v>
      </c>
      <c r="R231" s="158">
        <f t="shared" si="798"/>
        <v>2.2519896914095114</v>
      </c>
      <c r="S231" s="158">
        <f t="shared" si="798"/>
        <v>2.2519896914095114</v>
      </c>
      <c r="T231" s="158">
        <f t="shared" si="798"/>
        <v>2.3570825436752885</v>
      </c>
      <c r="U231" s="158">
        <f t="shared" ref="U231" si="799">(U230)/($O$2*100)</f>
        <v>0.75066323046983696</v>
      </c>
      <c r="V231" s="101" t="e">
        <f t="shared" si="790"/>
        <v>#DIV/0!</v>
      </c>
      <c r="W231" s="110"/>
      <c r="X231" s="158">
        <f t="shared" ref="X231:AG231" si="800">(X230)/($O$2*100)</f>
        <v>4.9559409499944612E-2</v>
      </c>
      <c r="Y231" s="158">
        <f t="shared" si="800"/>
        <v>4.3957041469516081E-2</v>
      </c>
      <c r="Z231" s="158">
        <f t="shared" si="800"/>
        <v>3.8987984607744698E-2</v>
      </c>
      <c r="AA231" s="158">
        <f t="shared" si="800"/>
        <v>3.4580647217304E-2</v>
      </c>
      <c r="AB231" s="158">
        <f t="shared" si="800"/>
        <v>3.06715305753479E-2</v>
      </c>
      <c r="AC231" s="158">
        <f t="shared" si="800"/>
        <v>2.7204314075525964E-2</v>
      </c>
      <c r="AD231" s="158">
        <f t="shared" si="800"/>
        <v>2.4129043788727378E-2</v>
      </c>
      <c r="AE231" s="158">
        <f t="shared" si="800"/>
        <v>2.140141275174081E-2</v>
      </c>
      <c r="AF231" s="158">
        <f t="shared" si="800"/>
        <v>1.8982122614587503E-2</v>
      </c>
      <c r="AG231" s="158">
        <f t="shared" si="800"/>
        <v>1.6836317449460226E-2</v>
      </c>
      <c r="AH231" s="116" t="e">
        <f t="shared" si="792"/>
        <v>#DIV/0!</v>
      </c>
      <c r="AI231" s="21">
        <f t="shared" si="793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801">G231-1</f>
        <v>-1</v>
      </c>
      <c r="H232" s="129">
        <f t="shared" ref="H232:T232" si="802">H231-1</f>
        <v>-1</v>
      </c>
      <c r="I232" s="129">
        <f t="shared" si="802"/>
        <v>-1</v>
      </c>
      <c r="J232" s="129">
        <f t="shared" si="802"/>
        <v>-1</v>
      </c>
      <c r="K232" s="129">
        <f t="shared" si="802"/>
        <v>-1</v>
      </c>
      <c r="L232" s="129">
        <f t="shared" si="802"/>
        <v>-1</v>
      </c>
      <c r="M232" s="129">
        <f t="shared" si="802"/>
        <v>-1</v>
      </c>
      <c r="N232" s="129">
        <f t="shared" si="802"/>
        <v>-1</v>
      </c>
      <c r="O232" s="129">
        <f t="shared" si="802"/>
        <v>1.2519896914095114</v>
      </c>
      <c r="P232" s="129">
        <f t="shared" si="802"/>
        <v>1.2519896914095114</v>
      </c>
      <c r="Q232" s="129">
        <f t="shared" si="802"/>
        <v>1.2519896914095114</v>
      </c>
      <c r="R232" s="129">
        <f t="shared" si="802"/>
        <v>1.2519896914095114</v>
      </c>
      <c r="S232" s="129">
        <f t="shared" si="802"/>
        <v>1.2519896914095114</v>
      </c>
      <c r="T232" s="129">
        <f t="shared" si="802"/>
        <v>1.3570825436752885</v>
      </c>
      <c r="U232" s="129">
        <f t="shared" ref="U232" si="803">U231-1</f>
        <v>-0.24933676953016304</v>
      </c>
      <c r="V232" s="101" t="e">
        <f t="shared" si="790"/>
        <v>#NUM!</v>
      </c>
      <c r="W232" s="110"/>
      <c r="X232" s="129">
        <f t="shared" ref="X232:AG232" si="804">X231-1</f>
        <v>-0.95044059050005536</v>
      </c>
      <c r="Y232" s="129">
        <f t="shared" si="804"/>
        <v>-0.95604295853048393</v>
      </c>
      <c r="Z232" s="129">
        <f t="shared" si="804"/>
        <v>-0.96101201539225534</v>
      </c>
      <c r="AA232" s="129">
        <f t="shared" si="804"/>
        <v>-0.96541935278269597</v>
      </c>
      <c r="AB232" s="129">
        <f t="shared" si="804"/>
        <v>-0.96932846942465212</v>
      </c>
      <c r="AC232" s="129">
        <f t="shared" si="804"/>
        <v>-0.97279568592447407</v>
      </c>
      <c r="AD232" s="129">
        <f t="shared" si="804"/>
        <v>-0.97587095621127262</v>
      </c>
      <c r="AE232" s="129">
        <f t="shared" si="804"/>
        <v>-0.97859858724825921</v>
      </c>
      <c r="AF232" s="129">
        <f t="shared" si="804"/>
        <v>-0.98101787738541246</v>
      </c>
      <c r="AG232" s="129">
        <f t="shared" si="804"/>
        <v>-0.98316368255053976</v>
      </c>
      <c r="AH232" s="116">
        <f t="shared" si="792"/>
        <v>-7.0723560011365372E-4</v>
      </c>
      <c r="AI232" s="21">
        <f t="shared" si="793"/>
        <v>0.05</v>
      </c>
      <c r="AJ232" s="158" t="e">
        <f>(AJ216)/($O$2*100)</f>
        <v>#DIV/0!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3" t="s">
        <v>296</v>
      </c>
      <c r="O236" s="314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1</v>
      </c>
      <c r="T237" s="110">
        <f>(T201-X188)/T201</f>
        <v>1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2.7878436415993351</v>
      </c>
      <c r="Q238" s="10"/>
      <c r="R238" s="10"/>
      <c r="S238" s="110">
        <f>(T201-W179)/T201</f>
        <v>2.7081308677700653</v>
      </c>
      <c r="T238" s="110">
        <f>(T201-X179)/T201</f>
        <v>1.1485331189365273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-3.7747201446305714</v>
      </c>
      <c r="Q239" s="10"/>
      <c r="R239" s="10"/>
      <c r="S239" s="110">
        <f>(T201-W172)/T201</f>
        <v>-3.5618345330865329</v>
      </c>
      <c r="T239" s="110">
        <f>(T201-X172)/T201</f>
        <v>0.60331873625334498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-2.478973693960727</v>
      </c>
      <c r="Q240" s="10"/>
      <c r="R240" s="10"/>
      <c r="S240" s="110">
        <f>(T201-W185)/T201</f>
        <v>-2.3238602171599303</v>
      </c>
      <c r="T240" s="110">
        <f>(T201-X185)/T201</f>
        <v>0.71096867676870168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(T201-W198)/T201</f>
        <v>1</v>
      </c>
      <c r="T241" s="110">
        <f>(T201-X198)/T201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3.0744554917503759</v>
      </c>
      <c r="T242" s="15">
        <f>T201/X171</f>
        <v>35.356238155129326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0.32526084787477971</v>
      </c>
      <c r="T243" s="129">
        <f>1/T242</f>
        <v>2.8283551989111276E-2</v>
      </c>
      <c r="U243" s="129"/>
      <c r="V243" s="10"/>
      <c r="W243" s="10"/>
      <c r="X243" s="111" t="e">
        <f>T201-X244</f>
        <v>#DIV/0!</v>
      </c>
      <c r="Y243" s="162" t="e">
        <f>X243-Y244</f>
        <v>#DIV/0!</v>
      </c>
      <c r="Z243" s="162" t="e">
        <f t="shared" ref="Z243:AB243" si="805">Y243-Z244</f>
        <v>#DIV/0!</v>
      </c>
      <c r="AA243" s="162" t="e">
        <f t="shared" si="805"/>
        <v>#DIV/0!</v>
      </c>
      <c r="AB243" s="162" t="e">
        <f t="shared" si="805"/>
        <v>#DIV/0!</v>
      </c>
      <c r="AC243" s="162" t="e">
        <f>AB243-AC244</f>
        <v>#DIV/0!</v>
      </c>
      <c r="AD243" s="162" t="e">
        <f t="shared" ref="AD243:AG243" si="806">AC243-AD244</f>
        <v>#DIV/0!</v>
      </c>
      <c r="AE243" s="162" t="e">
        <f t="shared" si="806"/>
        <v>#DIV/0!</v>
      </c>
      <c r="AF243" s="162" t="e">
        <f t="shared" si="806"/>
        <v>#DIV/0!</v>
      </c>
      <c r="AG243" s="162" t="e">
        <f t="shared" si="806"/>
        <v>#DIV/0!</v>
      </c>
      <c r="AH243" s="162" t="e">
        <f t="shared" ref="AH243" si="807">AG243-AH244</f>
        <v>#DIV/0!</v>
      </c>
      <c r="AI243" s="162" t="e">
        <f t="shared" ref="AI243" si="808">AH243-AI244</f>
        <v>#DIV/0!</v>
      </c>
      <c r="AJ243" s="162" t="e">
        <f t="shared" ref="AJ243" si="809">AI243-AJ244</f>
        <v>#DIV/0!</v>
      </c>
      <c r="AK243" s="162" t="e">
        <f t="shared" ref="AK243" si="810">AJ243-AK244</f>
        <v>#DIV/0!</v>
      </c>
      <c r="AL243" s="162" t="e">
        <f t="shared" ref="AL243" si="811">AK243-AL244</f>
        <v>#DIV/0!</v>
      </c>
      <c r="AM243" s="162" t="e">
        <f t="shared" ref="AM243" si="812">AL243-AM244</f>
        <v>#DIV/0!</v>
      </c>
      <c r="AN243" s="162" t="e">
        <f t="shared" ref="AN243" si="813">AM243-AN244</f>
        <v>#DIV/0!</v>
      </c>
      <c r="AO243" s="162" t="e">
        <f t="shared" ref="AO243" si="814">AN243-AO244</f>
        <v>#DIV/0!</v>
      </c>
      <c r="AP243" s="162" t="e">
        <f t="shared" ref="AP243" si="815">AO243-AP244</f>
        <v>#DIV/0!</v>
      </c>
      <c r="AQ243" s="162" t="e">
        <f t="shared" ref="AQ243" si="816">AP243-AQ244</f>
        <v>#DIV/0!</v>
      </c>
      <c r="AR243" s="162" t="e">
        <f t="shared" ref="AR243" si="817">AQ243-AR244</f>
        <v>#DIV/0!</v>
      </c>
      <c r="AS243" s="162" t="e">
        <f t="shared" ref="AS243" si="818">AR243-AS244</f>
        <v>#DIV/0!</v>
      </c>
      <c r="AT243" s="162" t="e">
        <f t="shared" ref="AT243" si="819">AS243-AT244</f>
        <v>#DIV/0!</v>
      </c>
      <c r="AU243" s="162" t="e">
        <f t="shared" ref="AU243" si="820">AT243-AU244</f>
        <v>#DIV/0!</v>
      </c>
      <c r="AV243" s="162" t="e">
        <f t="shared" ref="AV243" si="821">AU243-AV244</f>
        <v>#DIV/0!</v>
      </c>
      <c r="AW243" s="162" t="e">
        <f t="shared" ref="AW243" si="822">AV243-AW244</f>
        <v>#DIV/0!</v>
      </c>
      <c r="AX243" s="162" t="e">
        <f t="shared" ref="AX243" si="823">AW243-AX244</f>
        <v>#DIV/0!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0.2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140.06232668691405</v>
      </c>
      <c r="T244" s="158" t="s">
        <v>412</v>
      </c>
      <c r="U244" s="158"/>
      <c r="V244" s="10"/>
      <c r="W244" s="10"/>
      <c r="X244" s="163" t="e">
        <f>V170*(1+$N$244)</f>
        <v>#DIV/0!</v>
      </c>
      <c r="Y244" s="163" t="e">
        <f>X244*(1+$N$244)</f>
        <v>#DIV/0!</v>
      </c>
      <c r="Z244" s="163" t="e">
        <f t="shared" ref="Z244:AG244" si="824">Y244*(1+$N$244)</f>
        <v>#DIV/0!</v>
      </c>
      <c r="AA244" s="163" t="e">
        <f t="shared" si="824"/>
        <v>#DIV/0!</v>
      </c>
      <c r="AB244" s="163" t="e">
        <f t="shared" si="824"/>
        <v>#DIV/0!</v>
      </c>
      <c r="AC244" s="163" t="e">
        <f t="shared" si="824"/>
        <v>#DIV/0!</v>
      </c>
      <c r="AD244" s="163" t="e">
        <f t="shared" si="824"/>
        <v>#DIV/0!</v>
      </c>
      <c r="AE244" s="163" t="e">
        <f t="shared" si="824"/>
        <v>#DIV/0!</v>
      </c>
      <c r="AF244" s="163" t="e">
        <f t="shared" si="824"/>
        <v>#DIV/0!</v>
      </c>
      <c r="AG244" s="163" t="e">
        <f t="shared" si="824"/>
        <v>#DIV/0!</v>
      </c>
      <c r="AH244" s="163" t="e">
        <f t="shared" ref="AH244" si="825">AG244*(1+$N$244)</f>
        <v>#DIV/0!</v>
      </c>
      <c r="AI244" s="163" t="e">
        <f t="shared" ref="AI244" si="826">AH244*(1+$N$244)</f>
        <v>#DIV/0!</v>
      </c>
      <c r="AJ244" s="163" t="e">
        <f t="shared" ref="AJ244" si="827">AI244*(1+$N$244)</f>
        <v>#DIV/0!</v>
      </c>
      <c r="AK244" s="163" t="e">
        <f t="shared" ref="AK244" si="828">AJ244*(1+$N$244)</f>
        <v>#DIV/0!</v>
      </c>
      <c r="AL244" s="163" t="e">
        <f t="shared" ref="AL244" si="829">AK244*(1+$N$244)</f>
        <v>#DIV/0!</v>
      </c>
      <c r="AM244" s="163" t="e">
        <f t="shared" ref="AM244" si="830">AL244*(1+$N$244)</f>
        <v>#DIV/0!</v>
      </c>
      <c r="AN244" s="163" t="e">
        <f t="shared" ref="AN244" si="831">AM244*(1+$N$244)</f>
        <v>#DIV/0!</v>
      </c>
      <c r="AO244" s="163" t="e">
        <f t="shared" ref="AO244" si="832">AN244*(1+$N$244)</f>
        <v>#DIV/0!</v>
      </c>
      <c r="AP244" s="163" t="e">
        <f t="shared" ref="AP244" si="833">AO244*(1+$N$244)</f>
        <v>#DIV/0!</v>
      </c>
      <c r="AQ244" s="163" t="e">
        <f t="shared" ref="AQ244" si="834">AP244*(1+$N$244)</f>
        <v>#DIV/0!</v>
      </c>
      <c r="AR244" s="163" t="e">
        <f t="shared" ref="AR244" si="835">AQ244*(1+$N$244)</f>
        <v>#DIV/0!</v>
      </c>
      <c r="AS244" s="163" t="e">
        <f t="shared" ref="AS244" si="836">AR244*(1+$N$244)</f>
        <v>#DIV/0!</v>
      </c>
      <c r="AT244" s="163" t="e">
        <f t="shared" ref="AT244" si="837">AS244*(1+$N$244)</f>
        <v>#DIV/0!</v>
      </c>
      <c r="AU244" s="163" t="e">
        <f t="shared" ref="AU244" si="838">AT244*(1+$N$244)</f>
        <v>#DIV/0!</v>
      </c>
      <c r="AV244" s="163" t="e">
        <f t="shared" ref="AV244" si="839">AU244*(1+$N$244)</f>
        <v>#DIV/0!</v>
      </c>
      <c r="AW244" s="163" t="e">
        <f t="shared" ref="AW244" si="840">AV244*(1+$N$244)</f>
        <v>#DIV/0!</v>
      </c>
      <c r="AX244" s="163" t="e">
        <f t="shared" ref="AX244" si="841">AW244*(1+$N$244)</f>
        <v>#DIV/0!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33.355094339622639</v>
      </c>
      <c r="L245" s="168">
        <v>0.05</v>
      </c>
      <c r="M245" s="167"/>
      <c r="N245" s="161">
        <v>0.3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33.355094339622639</v>
      </c>
      <c r="T245" s="158" t="s">
        <v>412</v>
      </c>
      <c r="U245" s="158"/>
      <c r="V245" s="10"/>
      <c r="W245" s="10"/>
      <c r="X245" s="163">
        <f>U72*(1+$N$245)</f>
        <v>1.1839012925969448</v>
      </c>
      <c r="Y245" s="163">
        <f>X245*(1+$N$245)</f>
        <v>1.5390716803760283</v>
      </c>
      <c r="Z245" s="163">
        <f t="shared" ref="Z245:AG245" si="842">Y245*(1+$N$245)</f>
        <v>2.0007931844888369</v>
      </c>
      <c r="AA245" s="163">
        <f t="shared" si="842"/>
        <v>2.6010311398354879</v>
      </c>
      <c r="AB245" s="163">
        <f t="shared" si="842"/>
        <v>3.3813404817861343</v>
      </c>
      <c r="AC245" s="163">
        <f t="shared" si="842"/>
        <v>4.395742626321975</v>
      </c>
      <c r="AD245" s="163">
        <f t="shared" si="842"/>
        <v>5.7144654142185676</v>
      </c>
      <c r="AE245" s="163">
        <f t="shared" si="842"/>
        <v>7.4288050384841382</v>
      </c>
      <c r="AF245" s="163">
        <f t="shared" si="842"/>
        <v>9.6574465500293805</v>
      </c>
      <c r="AG245" s="163">
        <f t="shared" si="842"/>
        <v>12.554680515038195</v>
      </c>
      <c r="AH245" s="163">
        <f t="shared" ref="AH245" si="843">AG245*(1+$N$245)</f>
        <v>16.321084669549652</v>
      </c>
      <c r="AI245" s="163">
        <f t="shared" ref="AI245" si="844">AH245*(1+$N$245)</f>
        <v>21.217410070414548</v>
      </c>
      <c r="AJ245" s="163">
        <f t="shared" ref="AJ245" si="845">AI245*(1+$N$245)</f>
        <v>27.582633091538913</v>
      </c>
      <c r="AK245" s="163">
        <f t="shared" ref="AK245" si="846">AJ245*(1+$N$245)</f>
        <v>35.857423019000585</v>
      </c>
      <c r="AL245" s="163">
        <f t="shared" ref="AL245" si="847">AK245*(1+$N$245)</f>
        <v>46.614649924700764</v>
      </c>
      <c r="AM245" s="163">
        <f t="shared" ref="AM245" si="848">AL245*(1+$N$245)</f>
        <v>60.599044902110997</v>
      </c>
      <c r="AN245" s="163">
        <f t="shared" ref="AN245" si="849">AM245*(1+$N$245)</f>
        <v>78.778758372744292</v>
      </c>
      <c r="AO245" s="163">
        <f t="shared" ref="AO245" si="850">AN245*(1+$N$245)</f>
        <v>102.41238588456758</v>
      </c>
      <c r="AP245" s="163">
        <f t="shared" ref="AP245" si="851">AO245*(1+$N$245)</f>
        <v>133.13610164993787</v>
      </c>
      <c r="AQ245" s="163">
        <f t="shared" ref="AQ245" si="852">AP245*(1+$N$245)</f>
        <v>173.07693214491923</v>
      </c>
      <c r="AR245" s="163">
        <f t="shared" ref="AR245" si="853">AQ245*(1+$N$245)</f>
        <v>225.000011788395</v>
      </c>
      <c r="AS245" s="163">
        <f t="shared" ref="AS245" si="854">AR245*(1+$N$245)</f>
        <v>292.50001532491353</v>
      </c>
      <c r="AT245" s="163">
        <f t="shared" ref="AT245" si="855">AS245*(1+$N$245)</f>
        <v>380.25001992238759</v>
      </c>
      <c r="AU245" s="163">
        <f t="shared" ref="AU245" si="856">AT245*(1+$N$245)</f>
        <v>494.32502589910388</v>
      </c>
      <c r="AV245" s="163">
        <f t="shared" ref="AV245" si="857">AU245*(1+$N$245)</f>
        <v>642.6225336688351</v>
      </c>
      <c r="AW245" s="163">
        <f t="shared" ref="AW245" si="858">AV245*(1+$N$245)</f>
        <v>835.40929376948566</v>
      </c>
      <c r="AX245" s="163">
        <f t="shared" ref="AX245" si="859">AW245*(1+$N$245)</f>
        <v>1086.0320819003314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5">
        <f>U201-X245</f>
        <v>48.816098707403057</v>
      </c>
      <c r="Y246" s="162">
        <f>X246-Y245</f>
        <v>47.277027027027032</v>
      </c>
      <c r="Z246" s="162">
        <f t="shared" ref="Z246:AE246" si="860">Y246-Z245</f>
        <v>45.276233842538197</v>
      </c>
      <c r="AA246" s="162">
        <f t="shared" si="860"/>
        <v>42.675202702702705</v>
      </c>
      <c r="AB246" s="162">
        <f t="shared" si="860"/>
        <v>39.293862220916573</v>
      </c>
      <c r="AC246" s="162">
        <f t="shared" si="860"/>
        <v>34.898119594594597</v>
      </c>
      <c r="AD246" s="162">
        <f t="shared" si="860"/>
        <v>29.183654180376031</v>
      </c>
      <c r="AE246" s="162">
        <f t="shared" si="860"/>
        <v>21.754849141891892</v>
      </c>
      <c r="AF246" s="162">
        <f>AE246-AF245</f>
        <v>12.097402591862512</v>
      </c>
      <c r="AG246" s="162">
        <f t="shared" ref="AG246" si="861">AF246-AG245</f>
        <v>-0.45727792317568294</v>
      </c>
      <c r="AH246" s="162">
        <f t="shared" ref="AH246" si="862">AG246-AH245</f>
        <v>-16.778362592725337</v>
      </c>
      <c r="AI246" s="162">
        <f t="shared" ref="AI246" si="863">AH246-AI245</f>
        <v>-37.995772663139888</v>
      </c>
      <c r="AJ246" s="162">
        <f t="shared" ref="AJ246" si="864">AI246-AJ245</f>
        <v>-65.578405754678798</v>
      </c>
      <c r="AK246" s="162">
        <f t="shared" ref="AK246" si="865">AJ246-AK245</f>
        <v>-101.43582877367939</v>
      </c>
      <c r="AL246" s="162">
        <f t="shared" ref="AL246" si="866">AK246-AL245</f>
        <v>-148.05047869838015</v>
      </c>
      <c r="AM246" s="162">
        <f t="shared" ref="AM246" si="867">AL246-AM245</f>
        <v>-208.64952360049114</v>
      </c>
      <c r="AN246" s="162">
        <f t="shared" ref="AN246" si="868">AM246-AN245</f>
        <v>-287.42828197323541</v>
      </c>
      <c r="AO246" s="162">
        <f t="shared" ref="AO246" si="869">AN246-AO245</f>
        <v>-389.840667857803</v>
      </c>
      <c r="AP246" s="162">
        <f t="shared" ref="AP246" si="870">AO246-AP245</f>
        <v>-522.97676950774087</v>
      </c>
      <c r="AQ246" s="162">
        <f t="shared" ref="AQ246" si="871">AP246-AQ245</f>
        <v>-696.05370165266004</v>
      </c>
      <c r="AR246" s="162">
        <f t="shared" ref="AR246" si="872">AQ246-AR245</f>
        <v>-921.05371344105504</v>
      </c>
      <c r="AS246" s="162">
        <f t="shared" ref="AS246" si="873">AR246-AS245</f>
        <v>-1213.5537287659686</v>
      </c>
      <c r="AT246" s="162">
        <f t="shared" ref="AT246" si="874">AS246-AT245</f>
        <v>-1593.8037486883561</v>
      </c>
      <c r="AU246" s="162">
        <f t="shared" ref="AU246" si="875">AT246-AU245</f>
        <v>-2088.1287745874602</v>
      </c>
      <c r="AV246" s="162">
        <f t="shared" ref="AV246" si="876">AU246-AV245</f>
        <v>-2730.7513082562955</v>
      </c>
      <c r="AW246" s="162">
        <f t="shared" ref="AW246" si="877">AV246-AW245</f>
        <v>-3566.1606020257814</v>
      </c>
      <c r="AX246" s="162">
        <f t="shared" ref="AX246" si="878">AW246-AX245</f>
        <v>-4652.1926839261123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 t="e">
        <f t="shared" ref="H248:I248" si="879">H10/H7</f>
        <v>#DIV/0!</v>
      </c>
      <c r="I248" s="15" t="e">
        <f t="shared" si="879"/>
        <v>#DIV/0!</v>
      </c>
      <c r="J248" s="15" t="e">
        <f t="shared" ref="J248:T248" si="880">J10/J7</f>
        <v>#DIV/0!</v>
      </c>
      <c r="K248" s="15" t="e">
        <f t="shared" si="880"/>
        <v>#DIV/0!</v>
      </c>
      <c r="L248" s="15" t="e">
        <f t="shared" si="880"/>
        <v>#DIV/0!</v>
      </c>
      <c r="M248" s="15" t="e">
        <f t="shared" si="880"/>
        <v>#DIV/0!</v>
      </c>
      <c r="N248" s="15" t="e">
        <f t="shared" si="880"/>
        <v>#DIV/0!</v>
      </c>
      <c r="O248" s="15">
        <f t="shared" si="880"/>
        <v>1.185430463576159</v>
      </c>
      <c r="P248" s="15">
        <f t="shared" si="880"/>
        <v>1.7902542372881356</v>
      </c>
      <c r="Q248" s="15">
        <f t="shared" si="880"/>
        <v>1.417789757412399</v>
      </c>
      <c r="R248" s="15">
        <f t="shared" si="880"/>
        <v>1.6025641025641026</v>
      </c>
      <c r="S248" s="15">
        <f t="shared" si="880"/>
        <v>2.1200596569724088</v>
      </c>
      <c r="T248" s="15">
        <f t="shared" si="880"/>
        <v>2.9336322869955156</v>
      </c>
      <c r="U248" s="15"/>
      <c r="V248" s="101" t="e">
        <f t="shared" ref="V248:V250" si="881">((S248/J248)^(1/($K$2-$K$1)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82">H10/H12</f>
        <v>#DIV/0!</v>
      </c>
      <c r="I249" s="96" t="e">
        <f t="shared" si="882"/>
        <v>#DIV/0!</v>
      </c>
      <c r="J249" s="96" t="e">
        <f t="shared" ref="J249:T249" si="883">J10/J12</f>
        <v>#DIV/0!</v>
      </c>
      <c r="K249" s="96" t="e">
        <f t="shared" si="883"/>
        <v>#DIV/0!</v>
      </c>
      <c r="L249" s="96" t="e">
        <f t="shared" si="883"/>
        <v>#DIV/0!</v>
      </c>
      <c r="M249" s="96" t="e">
        <f t="shared" si="883"/>
        <v>#DIV/0!</v>
      </c>
      <c r="N249" s="96" t="e">
        <f t="shared" si="883"/>
        <v>#DIV/0!</v>
      </c>
      <c r="O249" s="96">
        <f t="shared" si="883"/>
        <v>1.9351351351351351</v>
      </c>
      <c r="P249" s="96">
        <f t="shared" si="883"/>
        <v>1.8946188340807175</v>
      </c>
      <c r="Q249" s="96">
        <f t="shared" si="883"/>
        <v>2.5349397590361447</v>
      </c>
      <c r="R249" s="96">
        <f t="shared" si="883"/>
        <v>3.360215053763441</v>
      </c>
      <c r="S249" s="96">
        <f t="shared" si="883"/>
        <v>3.0021119324181624</v>
      </c>
      <c r="T249" s="96">
        <f t="shared" si="883"/>
        <v>6.1427230046948358</v>
      </c>
      <c r="U249" s="96"/>
      <c r="V249" s="101" t="e">
        <f t="shared" si="881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 t="e">
        <f t="shared" ref="H250:I250" si="884">H10/(H12+H13)</f>
        <v>#DIV/0!</v>
      </c>
      <c r="I250" s="15" t="e">
        <f t="shared" si="884"/>
        <v>#DIV/0!</v>
      </c>
      <c r="J250" s="15" t="e">
        <f t="shared" ref="J250:T250" si="885">J10/(J12+J13)</f>
        <v>#DIV/0!</v>
      </c>
      <c r="K250" s="15" t="e">
        <f t="shared" si="885"/>
        <v>#DIV/0!</v>
      </c>
      <c r="L250" s="15" t="e">
        <f t="shared" si="885"/>
        <v>#DIV/0!</v>
      </c>
      <c r="M250" s="15" t="e">
        <f t="shared" si="885"/>
        <v>#DIV/0!</v>
      </c>
      <c r="N250" s="15" t="e">
        <f t="shared" si="885"/>
        <v>#DIV/0!</v>
      </c>
      <c r="O250" s="15">
        <f t="shared" si="885"/>
        <v>1.9330453563714904</v>
      </c>
      <c r="P250" s="15">
        <f t="shared" si="885"/>
        <v>1.8612334801762114</v>
      </c>
      <c r="Q250" s="15">
        <f t="shared" si="885"/>
        <v>2.5107398568019095</v>
      </c>
      <c r="R250" s="15">
        <f t="shared" si="885"/>
        <v>2.5544959128065394</v>
      </c>
      <c r="S250" s="15">
        <f t="shared" si="885"/>
        <v>2.9645464025026067</v>
      </c>
      <c r="T250" s="15">
        <f t="shared" si="885"/>
        <v>2.2101351351351353</v>
      </c>
      <c r="U250" s="15"/>
      <c r="V250" s="101" t="e">
        <f t="shared" si="881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0" t="s">
        <v>282</v>
      </c>
      <c r="P253" s="311"/>
      <c r="Q253" s="312"/>
      <c r="R253" s="13" t="s">
        <v>285</v>
      </c>
      <c r="S253" s="10"/>
      <c r="T253" s="115"/>
      <c r="U253" s="115"/>
      <c r="V253" s="310" t="s">
        <v>283</v>
      </c>
      <c r="W253" s="311"/>
      <c r="X253" s="312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/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0</v>
      </c>
      <c r="K255" s="154">
        <f>J255+D256</f>
        <v>0</v>
      </c>
      <c r="L255" s="10"/>
      <c r="M255" s="144" t="s">
        <v>286</v>
      </c>
      <c r="N255" s="144"/>
      <c r="O255" s="11">
        <v>1</v>
      </c>
      <c r="P255" s="150">
        <f>O255</f>
        <v>1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/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0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0</v>
      </c>
      <c r="L257" s="10"/>
      <c r="M257" s="144" t="s">
        <v>288</v>
      </c>
      <c r="N257" s="144"/>
      <c r="O257" s="145">
        <f>O255*O256</f>
        <v>1</v>
      </c>
      <c r="P257" s="150">
        <f>O257</f>
        <v>1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86">G258/H258</f>
        <v>0</v>
      </c>
      <c r="J258" s="144">
        <f t="shared" ref="J258:J260" si="887">I258*K257</f>
        <v>0</v>
      </c>
      <c r="K258" s="144">
        <f t="shared" ref="K258:K260" si="888">J258+K257</f>
        <v>0</v>
      </c>
      <c r="L258" s="10"/>
      <c r="M258" s="144" t="s">
        <v>290</v>
      </c>
      <c r="N258" s="144"/>
      <c r="O258" s="11">
        <v>1</v>
      </c>
      <c r="P258" s="11">
        <v>1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86"/>
        <v>0</v>
      </c>
      <c r="J259" s="144">
        <f t="shared" si="887"/>
        <v>0</v>
      </c>
      <c r="K259" s="144">
        <f t="shared" si="888"/>
        <v>0</v>
      </c>
      <c r="L259" s="10"/>
      <c r="M259" s="144" t="s">
        <v>291</v>
      </c>
      <c r="N259" s="144"/>
      <c r="O259" s="145">
        <f>O258*O256</f>
        <v>1</v>
      </c>
      <c r="P259" s="145">
        <f>P258*P256</f>
        <v>1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86"/>
        <v>0</v>
      </c>
      <c r="J260" s="144">
        <f t="shared" si="887"/>
        <v>0</v>
      </c>
      <c r="K260" s="144">
        <f t="shared" si="888"/>
        <v>0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86"/>
        <v>10</v>
      </c>
      <c r="J261" s="144">
        <f>I261*K260</f>
        <v>0</v>
      </c>
      <c r="K261" s="144">
        <f>J261</f>
        <v>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</v>
      </c>
      <c r="P262" s="147">
        <f>P259/P257</f>
        <v>1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/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/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0</v>
      </c>
      <c r="K264" s="154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0</v>
      </c>
      <c r="E265" s="144"/>
      <c r="F265" s="144"/>
      <c r="G265" s="144"/>
      <c r="H265" s="144"/>
      <c r="I265" s="146" t="s">
        <v>332</v>
      </c>
      <c r="J265" s="144"/>
      <c r="K265" s="144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0</v>
      </c>
      <c r="K266" s="144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 t="e">
        <f>D265/D257</f>
        <v>#DIV/0!</v>
      </c>
      <c r="E267" s="153"/>
      <c r="F267" s="153"/>
      <c r="G267" s="144"/>
      <c r="H267" s="144"/>
      <c r="I267" s="146" t="s">
        <v>332</v>
      </c>
      <c r="J267" s="144"/>
      <c r="K267" s="144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3" t="s">
        <v>15</v>
      </c>
      <c r="E270" s="304"/>
      <c r="F270" s="304"/>
      <c r="G270" s="304"/>
      <c r="H270" s="304"/>
      <c r="I270" s="304"/>
      <c r="J270" s="305"/>
      <c r="K270" s="10"/>
      <c r="L270" s="303" t="s">
        <v>337</v>
      </c>
      <c r="M270" s="304"/>
      <c r="N270" s="305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70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6" t="s">
        <v>15</v>
      </c>
      <c r="K5" s="276"/>
      <c r="M5" s="276" t="s">
        <v>53</v>
      </c>
      <c r="N5" s="276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6" t="s">
        <v>24</v>
      </c>
      <c r="K14" s="276"/>
      <c r="L14" s="276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6" t="s">
        <v>15</v>
      </c>
      <c r="S5" s="276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6" t="s">
        <v>24</v>
      </c>
      <c r="S14" s="276"/>
      <c r="T14" s="276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6" t="s">
        <v>15</v>
      </c>
      <c r="C2" s="276"/>
      <c r="E2" s="276" t="s">
        <v>53</v>
      </c>
      <c r="F2" s="276"/>
      <c r="H2" s="318" t="s">
        <v>24</v>
      </c>
      <c r="I2" s="319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0" t="s">
        <v>376</v>
      </c>
      <c r="C3" s="321"/>
      <c r="F3" s="320" t="s">
        <v>377</v>
      </c>
      <c r="G3" s="321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2018-07-28T19:57:25Z</dcterms:modified>
</cp:coreProperties>
</file>
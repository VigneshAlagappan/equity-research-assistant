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I12" i="18" l="1"/>
  <c r="H12" i="18"/>
  <c r="J12" i="18"/>
  <c r="R43" i="18" l="1"/>
  <c r="S4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G209" i="18" s="1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G210" i="18" s="1"/>
  <c r="K210" i="18" s="1"/>
  <c r="H202" i="18"/>
  <c r="I202" i="18" s="1"/>
  <c r="J202" i="18" s="1"/>
  <c r="J203" i="18" s="1"/>
  <c r="H200" i="18"/>
  <c r="H198" i="18"/>
  <c r="H197" i="18"/>
  <c r="I197" i="18" s="1"/>
  <c r="J197" i="18" s="1"/>
  <c r="G212" i="18" l="1"/>
  <c r="K209" i="18"/>
  <c r="G215" i="18"/>
  <c r="D205" i="18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Q100" i="18"/>
  <c r="Q97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6" i="18" l="1"/>
  <c r="Q99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8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T188" i="18" s="1"/>
  <c r="U188" i="18" s="1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V188" i="18" l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03" i="18" s="1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<sst xmlns="http://schemas.openxmlformats.org/spreadsheetml/2006/main" count="619" uniqueCount="430">
  <si>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</si>
  <si>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</si>
  <si>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</si>
  <si>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</si>
  <si>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</si>
  <si>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</si>
  <si>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</si>
  <si>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</si>
  <si>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</si>
  <si>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</si>
  <si>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</si>
  <si>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</si>
  <si>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</si>
  <si>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</si>
  <si>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</si>
  <si>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</si>
  <si>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</si>
  <si>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</si>
  <si>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</si>
  <si>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</si>
  <si>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</si>
  <si>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</si>
  <si>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</si>
  <si>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</si>
  <si>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</si>
  <si>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</si>
  <si>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</si>
  <si>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</si>
  <si>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</si>
  <si>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</si>
  <si>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</si>
  <si>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</si>
  <si>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</si>
  <si>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</si>
  <si>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</si>
  <si>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</si>
  <si>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</si>
  <si>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</si>
  <si>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</si>
  <si>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</si>
  <si>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</si>
  <si>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</si>
  <si>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</si>
  <si>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</si>
  <si>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</si>
  <si>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</si>
  <si>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</si>
  <si>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</si>
  <si>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</si>
  <si>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</si>
  <si>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</si>
  <si>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</si>
  <si>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</si>
  <si>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</si>
  <si>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</si>
  <si>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</si>
  <si>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</si>
  <si>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</si>
  <si>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</si>
  <si>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</si>
  <si>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</si>
  <si>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</si>
  <si>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</si>
  <si>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</si>
  <si>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</si>
  <si>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</si>
  <si>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</si>
  <si>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</si>
  <si>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</si>
  <si>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</si>
  <si>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</si>
  <si>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</si>
  <si>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</si>
  <si>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</si>
  <si>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</si>
  <si>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</si>
  <si>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</si>
  <si>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</si>
  <si>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</si>
  <si>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</si>
  <si>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</si>
  <si>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</si>
  <si>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</si>
  <si>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</si>
  <si>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</si>
  <si>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</si>
  <si>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</si>
  <si>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</si>
  <si>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</si>
  <si>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</si>
  <si>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</si>
  <si>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</si>
  <si>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</si>
  <si>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</si>
  <si>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</si>
  <si>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</si>
  <si>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</si>
  <si>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</si>
  <si>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</si>
  <si>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</si>
  <si>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</si>
  <si>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</si>
  <si>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</si>
  <si>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</si>
  <si>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</si>
  <si>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</si>
  <si>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</si>
  <si>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</si>
  <si>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</si>
  <si>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</si>
  <si>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</si>
  <si>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</si>
  <si>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</si>
  <si>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</si>
  <si>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</si>
  <si>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</si>
  <si>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</si>
  <si>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</si>
  <si>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</si>
  <si>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</si>
  <si>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</si>
  <si>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</si>
  <si>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</si>
  <si>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</si>
  <si>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</si>
  <si>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</si>
  <si>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</si>
  <si>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</si>
  <si>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</si>
  <si>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</si>
  <si>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</si>
  <si>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</si>
  <si>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</si>
  <si>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</si>
  <si>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</si>
  <si>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</si>
  <si>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</si>
  <si>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</si>
  <si>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</si>
  <si>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</si>
  <si>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</si>
  <si>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</si>
  <si>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</si>
  <si>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</si>
  <si>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</si>
  <si>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</si>
  <si>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</si>
  <si>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</si>
  <si>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</si>
  <si>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</si>
  <si>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</si>
  <si>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</si>
  <si>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</si>
  <si>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</si>
  <si>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</si>
  <si>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</si>
  <si>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</si>
  <si>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</si>
  <si>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</si>
  <si>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</si>
  <si>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</si>
  <si>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</si>
  <si>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</si>
  <si>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</si>
  <si>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</si>
  <si>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</si>
  <si>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</si>
  <si>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</si>
  <si>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</si>
  <si>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</si>
  <si>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</si>
  <si>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</si>
  <si>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</si>
  <si>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</si>
  <si>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</si>
  <si>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</si>
  <si>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</si>
  <si>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</si>
  <si>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</si>
  <si>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</si>
  <si>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</si>
  <si>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</si>
  <si>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</si>
  <si>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</si>
  <si>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</si>
  <si>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</si>
  <si>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</si>
  <si>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</si>
  <si>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</si>
  <si>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</si>
  <si>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</si>
  <si>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</si>
  <si>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</si>
  <si>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</si>
  <si>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</si>
  <si>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</si>
  <si>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</si>
  <si>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</si>
  <si>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</si>
  <si>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</si>
  <si>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</si>
  <si>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</si>
  <si>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</si>
  <si>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</si>
  <si>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</si>
  <si>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</si>
  <si>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</si>
  <si>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</si>
  <si>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</si>
  <si>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</si>
  <si>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</si>
  <si>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</si>
  <si>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</si>
  <si>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</si>
  <si>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</si>
  <si>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</si>
  <si>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</si>
  <si>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</si>
  <si>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</si>
  <si>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</si>
  <si>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</si>
  <si>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</si>
  <si>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</si>
  <si>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</si>
  <si>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</si>
  <si>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</si>
  <si>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</si>
  <si>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</si>
  <si>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</si>
  <si>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</si>
  <si>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</si>
  <si>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</si>
  <si>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</si>
  <si>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</si>
  <si>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</si>
  <si>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</si>
  <si>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</si>
  <si>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</si>
  <si>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</si>
  <si>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</si>
  <si>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</si>
  <si>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</si>
  <si>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</si>
  <si>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</si>
  <si>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</si>
  <si>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</si>
  <si>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</si>
  <si>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</si>
  <si>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</si>
  <si>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</si>
  <si>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</si>
  <si>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</si>
  <si>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</si>
  <si>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</si>
  <si>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</si>
  <si>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</si>
  <si>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</si>
  <si>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</si>
  <si>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</si>
  <si>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</si>
  <si>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</si>
  <si>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</si>
  <si>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</si>
  <si>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</si>
  <si>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</si>
  <si>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</si>
  <si>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</si>
  <si>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</si>
  <si>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</si>
  <si>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</si>
  <si>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</si>
  <si>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</si>
  <si>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</si>
  <si>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</si>
  <si>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</si>
  <si>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</si>
  <si>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</si>
  <si>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</si>
  <si>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</si>
  <si>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</si>
  <si>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</si>
  <si>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</si>
  <si>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</si>
  <si>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</si>
  <si>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</si>
  <si>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</si>
  <si>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</si>
  <si>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</si>
  <si>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</si>
  <si>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</si>
  <si>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</si>
  <si>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</si>
  <si>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</si>
  <si>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</si>
  <si>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</si>
  <si>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</si>
  <si>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</si>
  <si>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</si>
  <si>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</si>
  <si>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</si>
  <si>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</si>
  <si>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</si>
  <si>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</si>
  <si>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</si>
  <si>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</si>
  <si>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</si>
  <si>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</si>
  <si>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</si>
  <si>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</si>
  <si>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</si>
  <si>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</si>
  <si>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</si>
  <si>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</si>
  <si>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</si>
  <si>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</si>
  <si>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</si>
  <si>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</si>
  <si>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</si>
  <si>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</si>
  <si>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</si>
  <si>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</si>
  <si>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</si>
  <si>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</si>
  <si>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</si>
  <si>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</si>
  <si>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</si>
  <si>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</si>
  <si>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</si>
  <si>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</si>
  <si>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</si>
  <si>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</si>
  <si>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</si>
  <si>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</si>
  <si>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</si>
  <si>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</si>
  <si>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</si>
  <si>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</si>
  <si>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</si>
  <si>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</si>
  <si>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</si>
  <si>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</si>
  <si>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</si>
  <si>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</si>
  <si>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</si>
  <si>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</si>
  <si>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</si>
  <si>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</si>
  <si>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</si>
  <si>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</si>
  <si>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</si>
  <si>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</si>
  <si>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</si>
  <si>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</si>
  <si>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</si>
  <si>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</si>
  <si>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</si>
  <si>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</si>
  <si>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</si>
  <si>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</si>
  <si>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</si>
  <si>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</si>
  <si>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</si>
  <si>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</si>
  <si>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</si>
  <si>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</si>
  <si>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</si>
  <si>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</si>
  <si>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</si>
  <si>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</si>
  <si>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</si>
  <si>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</si>
  <si>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</si>
  <si>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</si>
  <si>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</si>
  <si>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</si>
  <si>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</si>
  <si>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</si>
  <si>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</si>
  <si>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</si>
  <si>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</si>
  <si>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</si>
  <si>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</si>
  <si>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</si>
  <si>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</si>
  <si>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</si>
  <si>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</si>
  <si>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</si>
  <si>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</si>
  <si>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</si>
  <si>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</si>
  <si>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</si>
  <si>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</si>
  <si>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</si>
  <si>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</si>
  <si>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</si>
  <si>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</si>
  <si>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</si>
  <si>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</si>
  <si>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</si>
  <si>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</si>
  <si>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</si>
  <si>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</si>
  <si>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</si>
  <si>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</si>
  <si>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</si>
  <si>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</si>
  <si>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</si>
  <si>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</si>
  <si>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</si>
  <si>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</si>
  <si>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</si>
  <si>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</si>
  <si>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</si>
  <si>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</si>
  <si>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</si>
  <si>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</si>
  <si>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</si>
  <si>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</si>
  <si>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</si>
  <si>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</si>
  <si>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</si>
  <si>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</si>
  <si>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</si>
  <si>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</si>
  <si>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</si>
  <si>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</si>
  <si>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</si>
  <si>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</si>
  <si>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1x2</t>
  </si>
  <si>
    <t>10x1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</si>
</sst>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4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38272"/>
        <c:axId val="95639808"/>
      </c:lineChart>
      <c:catAx>
        <c:axId val="95638272"/>
        <c:scaling>
          <c:orientation val="minMax"/>
        </c:scaling>
        <c:delete val="0"/>
        <c:axPos val="b"/>
        <c:majorTickMark val="out"/>
        <c:minorTickMark val="none"/>
        <c:tickLblPos val="nextTo"/>
        <c:crossAx val="95639808"/>
        <c:crosses val="autoZero"/>
        <c:auto val="1"/>
        <c:lblAlgn val="ctr"/>
        <c:lblOffset val="100"/>
        <c:noMultiLvlLbl val="0"/>
      </c:catAx>
      <c:valAx>
        <c:axId val="95639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63827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D157" activePane="bottomRight" state="frozen"/>
      <selection pane="topRight" activeCell="C1" sqref="C1"/>
      <selection pane="bottomLeft" activeCell="A5" sqref="A5"/>
      <selection pane="bottomRight" activeCell="L3" sqref="L3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291</v>
      </c>
      <c r="AE2" s="192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292</v>
      </c>
      <c r="AE3" s="194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23</v>
      </c>
      <c r="H6" s="147">
        <v>46</v>
      </c>
      <c r="I6" s="147">
        <v>76</v>
      </c>
      <c r="J6" s="147">
        <v>112</v>
      </c>
      <c r="K6" s="147">
        <v>208</v>
      </c>
      <c r="L6" s="147">
        <v>249</v>
      </c>
      <c r="M6" s="147">
        <v>411</v>
      </c>
      <c r="N6" s="147">
        <v>485</v>
      </c>
      <c r="O6" s="147">
        <v>533</v>
      </c>
      <c r="P6" s="147">
        <v>601</v>
      </c>
      <c r="Q6" s="118">
        <f>((P6/G6)^(1/($H$2-$H$1) ))-1</f>
        <v>0.43701313339922176</v>
      </c>
      <c r="R6" s="31">
        <f>$L$2</f>
        <v>0.1</v>
      </c>
      <c r="S6" s="154">
        <f>P6*(1+$R6)</f>
        <v>661.1</v>
      </c>
      <c r="T6" s="154">
        <f>S6*(1+$R6)</f>
        <v>727.21</v>
      </c>
      <c r="U6" s="154">
        <f t="shared" ref="U6:AB6" si="0">T6*(1+$R6)</f>
        <v>799.93100000000015</v>
      </c>
      <c r="V6" s="154">
        <f t="shared" si="0"/>
        <v>879.92410000000029</v>
      </c>
      <c r="W6" s="154">
        <f t="shared" si="0"/>
        <v>967.91651000000036</v>
      </c>
      <c r="X6" s="154">
        <f t="shared" si="0"/>
        <v>1064.7081610000005</v>
      </c>
      <c r="Y6" s="154">
        <f t="shared" si="0"/>
        <v>1171.1789771000006</v>
      </c>
      <c r="Z6" s="154">
        <f t="shared" si="0"/>
        <v>1288.2968748100006</v>
      </c>
      <c r="AA6" s="154">
        <f t="shared" si="0"/>
        <v>1417.1265622910009</v>
      </c>
      <c r="AB6" s="154">
        <f t="shared" si="0"/>
        <v>1558.8392185201012</v>
      </c>
      <c r="AC6" s="138">
        <f>((AB6/G6)^(1/($AB$3-$H$1) ))-1</f>
        <v>0.24845326312178084</v>
      </c>
      <c r="AD6" s="31">
        <f>$L$1</f>
        <v>0.05</v>
      </c>
      <c r="AE6" s="146">
        <f t="shared" ref="AE6:AE43" si="1">(AB6*(1+AD6))/($C$1-AD6)</f>
        <v>9628.1245849770967</v>
      </c>
    </row>
    <row r="7" spans="2:31" x14ac:dyDescent="0.2">
      <c r="B7" s="20" t="s">
        <v>240</v>
      </c>
      <c r="C7" s="141"/>
      <c r="D7" s="141"/>
      <c r="E7" s="147"/>
      <c r="F7" s="147"/>
      <c r="G7" s="147">
        <v>123</v>
      </c>
      <c r="H7" s="147">
        <v>146</v>
      </c>
      <c r="I7" s="147">
        <v>175</v>
      </c>
      <c r="J7" s="147">
        <v>212</v>
      </c>
      <c r="K7" s="147">
        <v>308</v>
      </c>
      <c r="L7" s="147">
        <v>349</v>
      </c>
      <c r="M7" s="147">
        <v>424</v>
      </c>
      <c r="N7" s="147">
        <v>505</v>
      </c>
      <c r="O7" s="147">
        <v>553</v>
      </c>
      <c r="P7" s="147">
        <v>620</v>
      </c>
      <c r="Q7" s="118">
        <f>((P7/G7)^(1/($H$2-$H$1) ))-1</f>
        <v>0.1968895198022389</v>
      </c>
      <c r="R7" s="31">
        <f>$L$2</f>
        <v>0.1</v>
      </c>
      <c r="S7" s="154">
        <f t="shared" ref="S7:S16" si="2">P7*(1+$R7)</f>
        <v>682</v>
      </c>
      <c r="T7" s="154">
        <f t="shared" ref="T7:AB7" si="3">S7*(1+$R7)</f>
        <v>750.2</v>
      </c>
      <c r="U7" s="154">
        <f t="shared" si="3"/>
        <v>825.22000000000014</v>
      </c>
      <c r="V7" s="154">
        <f t="shared" si="3"/>
        <v>907.74200000000019</v>
      </c>
      <c r="W7" s="154">
        <f t="shared" si="3"/>
        <v>998.51620000000025</v>
      </c>
      <c r="X7" s="154">
        <f t="shared" si="3"/>
        <v>1098.3678200000004</v>
      </c>
      <c r="Y7" s="154">
        <f t="shared" si="3"/>
        <v>1208.2046020000005</v>
      </c>
      <c r="Z7" s="154">
        <f t="shared" si="3"/>
        <v>1329.0250622000005</v>
      </c>
      <c r="AA7" s="154">
        <f t="shared" si="3"/>
        <v>1461.9275684200006</v>
      </c>
      <c r="AB7" s="154">
        <f t="shared" si="3"/>
        <v>1608.1203252620007</v>
      </c>
      <c r="AC7" s="138">
        <f>((AB7/G7)^(1/($AB$3-$H$1) ))-1</f>
        <v>0.14487639594276236</v>
      </c>
      <c r="AD7" s="31">
        <f>$L$1</f>
        <v>0.05</v>
      </c>
      <c r="AE7" s="146">
        <f t="shared" si="1"/>
        <v>9932.5078913241232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0.15753424657534246</v>
      </c>
      <c r="I8" s="151">
        <f t="shared" ref="I8:P8" si="4">(I7-H7)/I7</f>
        <v>0.1657142857142857</v>
      </c>
      <c r="J8" s="151">
        <f t="shared" si="4"/>
        <v>0.17452830188679244</v>
      </c>
      <c r="K8" s="151">
        <f t="shared" si="4"/>
        <v>0.31168831168831168</v>
      </c>
      <c r="L8" s="151">
        <f t="shared" si="4"/>
        <v>0.1174785100286533</v>
      </c>
      <c r="M8" s="151">
        <f t="shared" si="4"/>
        <v>0.17688679245283018</v>
      </c>
      <c r="N8" s="151">
        <f t="shared" si="4"/>
        <v>0.1603960396039604</v>
      </c>
      <c r="O8" s="151">
        <f t="shared" si="4"/>
        <v>8.6799276672694395E-2</v>
      </c>
      <c r="P8" s="151">
        <f t="shared" si="4"/>
        <v>0.10806451612903226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225</v>
      </c>
      <c r="H9" s="147">
        <v>186</v>
      </c>
      <c r="I9" s="147">
        <v>225</v>
      </c>
      <c r="J9" s="147">
        <v>235</v>
      </c>
      <c r="K9" s="147">
        <v>162</v>
      </c>
      <c r="L9" s="147">
        <v>214</v>
      </c>
      <c r="M9" s="147">
        <v>279</v>
      </c>
      <c r="N9" s="147">
        <v>336</v>
      </c>
      <c r="O9" s="147">
        <v>355</v>
      </c>
      <c r="P9" s="147">
        <v>443</v>
      </c>
      <c r="Q9" s="118">
        <f t="shared" ref="Q9:Q16" si="5">((P9/G9)^(1/($H$2-$H$1) ))-1</f>
        <v>7.8179935067018702E-2</v>
      </c>
      <c r="R9" s="31">
        <f t="shared" ref="R9:R40" si="6">$L$2</f>
        <v>0.1</v>
      </c>
      <c r="S9" s="154">
        <f t="shared" ref="S9" si="7">P9*(1+$R9)</f>
        <v>487.3</v>
      </c>
      <c r="T9" s="154">
        <f t="shared" ref="T9" si="8">S9*(1+$R9)</f>
        <v>536.03000000000009</v>
      </c>
      <c r="U9" s="154">
        <f t="shared" ref="U9" si="9">T9*(1+$R9)</f>
        <v>589.63300000000015</v>
      </c>
      <c r="V9" s="154">
        <f t="shared" ref="V9" si="10">U9*(1+$R9)</f>
        <v>648.59630000000027</v>
      </c>
      <c r="W9" s="154">
        <f t="shared" ref="W9" si="11">V9*(1+$R9)</f>
        <v>713.45593000000031</v>
      </c>
      <c r="X9" s="154">
        <f t="shared" ref="X9" si="12">W9*(1+$R9)</f>
        <v>784.80152300000043</v>
      </c>
      <c r="Y9" s="154">
        <f t="shared" ref="Y9" si="13">X9*(1+$R9)</f>
        <v>863.28167530000053</v>
      </c>
      <c r="Z9" s="154">
        <f t="shared" ref="Z9" si="14">Y9*(1+$R9)</f>
        <v>949.60984283000062</v>
      </c>
      <c r="AA9" s="154">
        <f t="shared" ref="AA9" si="15">Z9*(1+$R9)</f>
        <v>1044.5708271130009</v>
      </c>
      <c r="AB9" s="154">
        <f t="shared" ref="AB9" si="16">AA9*(1+$R9)</f>
        <v>1149.0279098243011</v>
      </c>
      <c r="AC9" s="138">
        <f>((AB9/G9)^(1/($AB$3-$H$1) ))-1</f>
        <v>8.9609674201914347E-2</v>
      </c>
      <c r="AD9" s="31">
        <f t="shared" ref="AD9:AD79" si="17">$L$1</f>
        <v>0.05</v>
      </c>
      <c r="AE9" s="146">
        <f t="shared" si="1"/>
        <v>7096.9370900912727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249</v>
      </c>
      <c r="H10" s="147">
        <v>139</v>
      </c>
      <c r="I10" s="147">
        <v>116</v>
      </c>
      <c r="J10" s="147">
        <v>36</v>
      </c>
      <c r="K10" s="147">
        <v>47</v>
      </c>
      <c r="L10" s="147">
        <v>82</v>
      </c>
      <c r="M10" s="147">
        <v>8</v>
      </c>
      <c r="N10" s="147">
        <v>115</v>
      </c>
      <c r="O10" s="147">
        <v>150</v>
      </c>
      <c r="P10" s="147">
        <v>54</v>
      </c>
      <c r="Q10" s="118">
        <f t="shared" si="5"/>
        <v>-0.15619164036386224</v>
      </c>
      <c r="R10" s="31">
        <f t="shared" si="6"/>
        <v>0.1</v>
      </c>
      <c r="S10" s="154">
        <f t="shared" si="2"/>
        <v>59.400000000000006</v>
      </c>
      <c r="T10" s="154">
        <f t="shared" ref="T10:AB10" si="18">S10*(1+$R10)</f>
        <v>65.340000000000018</v>
      </c>
      <c r="U10" s="154">
        <f t="shared" si="18"/>
        <v>71.874000000000024</v>
      </c>
      <c r="V10" s="154">
        <f t="shared" si="18"/>
        <v>79.061400000000035</v>
      </c>
      <c r="W10" s="154">
        <f t="shared" si="18"/>
        <v>86.967540000000042</v>
      </c>
      <c r="X10" s="154">
        <f t="shared" si="18"/>
        <v>95.664294000000055</v>
      </c>
      <c r="Y10" s="154">
        <f t="shared" si="18"/>
        <v>105.23072340000007</v>
      </c>
      <c r="Z10" s="154">
        <f t="shared" si="18"/>
        <v>115.75379574000009</v>
      </c>
      <c r="AA10" s="154">
        <f t="shared" si="18"/>
        <v>127.32917531400011</v>
      </c>
      <c r="AB10" s="154">
        <f t="shared" si="18"/>
        <v>140.06209284540014</v>
      </c>
      <c r="AC10" s="138">
        <f t="shared" ref="AC10:AC42" si="19">((AB10/G10)^(1/($AB$3-$H$1) ))-1</f>
        <v>-2.9828555711642446E-2</v>
      </c>
      <c r="AD10" s="31">
        <f t="shared" si="17"/>
        <v>0.05</v>
      </c>
      <c r="AE10" s="146">
        <f t="shared" si="1"/>
        <v>865.08939698629513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-0.79136690647482011</v>
      </c>
      <c r="I11" s="148">
        <f t="shared" si="20"/>
        <v>-0.19827586206896552</v>
      </c>
      <c r="J11" s="148">
        <f t="shared" si="20"/>
        <v>-2.2222222222222223</v>
      </c>
      <c r="K11" s="148">
        <f t="shared" si="20"/>
        <v>0.23404255319148937</v>
      </c>
      <c r="L11" s="148">
        <f t="shared" si="20"/>
        <v>0.42682926829268292</v>
      </c>
      <c r="M11" s="148">
        <f t="shared" si="20"/>
        <v>-9.25</v>
      </c>
      <c r="N11" s="148">
        <f t="shared" si="20"/>
        <v>0.93043478260869561</v>
      </c>
      <c r="O11" s="148">
        <f t="shared" si="20"/>
        <v>0.23333333333333334</v>
      </c>
      <c r="P11" s="148">
        <f t="shared" si="20"/>
        <v>-1.7777777777777777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42.5</v>
      </c>
      <c r="H12" s="147">
        <f>12.21+1.2</f>
        <v>13.41</v>
      </c>
      <c r="I12" s="147">
        <f>14</f>
        <v>14</v>
      </c>
      <c r="J12" s="147">
        <f>22+2</f>
        <v>24</v>
      </c>
      <c r="K12" s="147">
        <v>8.5</v>
      </c>
      <c r="L12" s="147">
        <v>8</v>
      </c>
      <c r="M12" s="147">
        <v>12</v>
      </c>
      <c r="N12" s="147">
        <v>15</v>
      </c>
      <c r="O12" s="147">
        <v>11</v>
      </c>
      <c r="P12" s="147">
        <v>26</v>
      </c>
      <c r="Q12" s="118">
        <f t="shared" si="5"/>
        <v>-5.3136975299559297E-2</v>
      </c>
      <c r="R12" s="31">
        <f t="shared" si="6"/>
        <v>0.1</v>
      </c>
      <c r="S12" s="154">
        <f t="shared" si="2"/>
        <v>28.6</v>
      </c>
      <c r="T12" s="154">
        <f t="shared" ref="T12:AB12" si="21">S12*(1+$R12)</f>
        <v>31.460000000000004</v>
      </c>
      <c r="U12" s="154">
        <f t="shared" si="21"/>
        <v>34.606000000000009</v>
      </c>
      <c r="V12" s="154">
        <f t="shared" si="21"/>
        <v>38.066600000000015</v>
      </c>
      <c r="W12" s="154">
        <f t="shared" si="21"/>
        <v>41.873260000000023</v>
      </c>
      <c r="X12" s="154">
        <f t="shared" si="21"/>
        <v>46.060586000000029</v>
      </c>
      <c r="Y12" s="154">
        <f t="shared" si="21"/>
        <v>50.666644600000033</v>
      </c>
      <c r="Z12" s="154">
        <f t="shared" si="21"/>
        <v>55.733309060000039</v>
      </c>
      <c r="AA12" s="154">
        <f t="shared" si="21"/>
        <v>61.306639966000049</v>
      </c>
      <c r="AB12" s="154">
        <f t="shared" si="21"/>
        <v>67.437303962600055</v>
      </c>
      <c r="AC12" s="138">
        <f t="shared" si="19"/>
        <v>2.4597341554611907E-2</v>
      </c>
      <c r="AD12" s="31">
        <f t="shared" si="17"/>
        <v>0.05</v>
      </c>
      <c r="AE12" s="146">
        <f t="shared" si="1"/>
        <v>416.52452447488275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3</v>
      </c>
      <c r="H13" s="147">
        <v>2.5</v>
      </c>
      <c r="I13" s="147">
        <v>49</v>
      </c>
      <c r="J13" s="147">
        <v>31</v>
      </c>
      <c r="K13" s="147">
        <v>55</v>
      </c>
      <c r="L13" s="147">
        <v>136</v>
      </c>
      <c r="M13" s="147">
        <v>140</v>
      </c>
      <c r="N13" s="147">
        <v>25</v>
      </c>
      <c r="O13" s="147">
        <v>23</v>
      </c>
      <c r="P13" s="147">
        <v>20</v>
      </c>
      <c r="Q13" s="118">
        <f t="shared" si="5"/>
        <v>0.23465442045881546</v>
      </c>
      <c r="R13" s="31">
        <f t="shared" si="6"/>
        <v>0.1</v>
      </c>
      <c r="S13" s="154">
        <f t="shared" si="2"/>
        <v>22</v>
      </c>
      <c r="T13" s="154">
        <f t="shared" ref="T13:AB13" si="22">S13*(1+$R13)</f>
        <v>24.200000000000003</v>
      </c>
      <c r="U13" s="154">
        <f t="shared" si="22"/>
        <v>26.620000000000005</v>
      </c>
      <c r="V13" s="154">
        <f t="shared" si="22"/>
        <v>29.282000000000007</v>
      </c>
      <c r="W13" s="154">
        <f t="shared" si="22"/>
        <v>32.210200000000007</v>
      </c>
      <c r="X13" s="154">
        <f t="shared" si="22"/>
        <v>35.43122000000001</v>
      </c>
      <c r="Y13" s="154">
        <f t="shared" si="22"/>
        <v>38.974342000000014</v>
      </c>
      <c r="Z13" s="154">
        <f t="shared" si="22"/>
        <v>42.871776200000021</v>
      </c>
      <c r="AA13" s="154">
        <f t="shared" si="22"/>
        <v>47.158953820000029</v>
      </c>
      <c r="AB13" s="154">
        <f t="shared" si="22"/>
        <v>51.874849202000036</v>
      </c>
      <c r="AC13" s="138">
        <f t="shared" si="19"/>
        <v>0.16184780464962079</v>
      </c>
      <c r="AD13" s="31">
        <f t="shared" si="17"/>
        <v>0.05</v>
      </c>
      <c r="AE13" s="146">
        <f t="shared" si="1"/>
        <v>320.4034803652944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104</v>
      </c>
      <c r="H14" s="147">
        <v>120</v>
      </c>
      <c r="I14" s="147">
        <v>143</v>
      </c>
      <c r="J14" s="147">
        <v>127</v>
      </c>
      <c r="K14" s="147">
        <v>148</v>
      </c>
      <c r="L14" s="147">
        <v>149</v>
      </c>
      <c r="M14" s="147">
        <v>149</v>
      </c>
      <c r="N14" s="147">
        <v>229</v>
      </c>
      <c r="O14" s="147">
        <v>272</v>
      </c>
      <c r="P14" s="147">
        <v>267</v>
      </c>
      <c r="Q14" s="118">
        <f t="shared" ref="Q14" si="23">((P14/G14)^(1/($H$2-$H$1) ))-1</f>
        <v>0.11044626298214832</v>
      </c>
      <c r="R14" s="31">
        <f t="shared" si="6"/>
        <v>0.1</v>
      </c>
      <c r="S14" s="154">
        <f t="shared" ref="S14" si="24">P14*(1+$R14)</f>
        <v>293.70000000000005</v>
      </c>
      <c r="T14" s="154">
        <f t="shared" ref="T14" si="25">S14*(1+$R14)</f>
        <v>323.07000000000005</v>
      </c>
      <c r="U14" s="154">
        <f t="shared" ref="U14" si="26">T14*(1+$R14)</f>
        <v>355.37700000000007</v>
      </c>
      <c r="V14" s="154">
        <f t="shared" ref="V14" si="27">U14*(1+$R14)</f>
        <v>390.9147000000001</v>
      </c>
      <c r="W14" s="154">
        <f t="shared" ref="W14" si="28">V14*(1+$R14)</f>
        <v>430.00617000000017</v>
      </c>
      <c r="X14" s="154">
        <f t="shared" ref="X14" si="29">W14*(1+$R14)</f>
        <v>473.0067870000002</v>
      </c>
      <c r="Y14" s="154">
        <f t="shared" ref="Y14" si="30">X14*(1+$R14)</f>
        <v>520.30746570000031</v>
      </c>
      <c r="Z14" s="154">
        <f t="shared" ref="Z14" si="31">Y14*(1+$R14)</f>
        <v>572.33821227000044</v>
      </c>
      <c r="AA14" s="154">
        <f t="shared" ref="AA14" si="32">Z14*(1+$R14)</f>
        <v>629.57203349700058</v>
      </c>
      <c r="AB14" s="154">
        <f t="shared" ref="AB14" si="33">AA14*(1+$R14)</f>
        <v>692.52923684670066</v>
      </c>
      <c r="AC14" s="138">
        <f t="shared" ref="AC14" si="34">((AB14/G14)^(1/($AB$3-$H$1) ))-1</f>
        <v>0.104935923075274</v>
      </c>
      <c r="AD14" s="31">
        <f t="shared" si="17"/>
        <v>0.05</v>
      </c>
      <c r="AE14" s="146">
        <f t="shared" ref="AE14" si="35">(AB14*(1+AD14))/($C$1-AD14)</f>
        <v>4277.3864628766814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318</v>
      </c>
      <c r="H15" s="147">
        <v>220</v>
      </c>
      <c r="I15" s="147">
        <v>243</v>
      </c>
      <c r="J15" s="147">
        <v>239</v>
      </c>
      <c r="K15" s="147">
        <v>257</v>
      </c>
      <c r="L15" s="147">
        <v>272</v>
      </c>
      <c r="M15" s="147">
        <v>235</v>
      </c>
      <c r="N15" s="147">
        <v>350</v>
      </c>
      <c r="O15" s="147">
        <v>386</v>
      </c>
      <c r="P15" s="147">
        <v>458</v>
      </c>
      <c r="Q15" s="118">
        <f t="shared" si="5"/>
        <v>4.1368081071665008E-2</v>
      </c>
      <c r="R15" s="31">
        <f t="shared" si="6"/>
        <v>0.1</v>
      </c>
      <c r="S15" s="154">
        <f t="shared" si="2"/>
        <v>503.80000000000007</v>
      </c>
      <c r="T15" s="154">
        <f t="shared" ref="T15:AB15" si="36">S15*(1+$R15)</f>
        <v>554.18000000000006</v>
      </c>
      <c r="U15" s="154">
        <f t="shared" si="36"/>
        <v>609.59800000000007</v>
      </c>
      <c r="V15" s="154">
        <f t="shared" si="36"/>
        <v>670.55780000000016</v>
      </c>
      <c r="W15" s="154">
        <f t="shared" si="36"/>
        <v>737.61358000000018</v>
      </c>
      <c r="X15" s="154">
        <f t="shared" si="36"/>
        <v>811.37493800000027</v>
      </c>
      <c r="Y15" s="154">
        <f t="shared" si="36"/>
        <v>892.5124318000004</v>
      </c>
      <c r="Z15" s="154">
        <f t="shared" si="36"/>
        <v>981.76367498000047</v>
      </c>
      <c r="AA15" s="154">
        <f t="shared" si="36"/>
        <v>1079.9400424780006</v>
      </c>
      <c r="AB15" s="154">
        <f t="shared" si="36"/>
        <v>1187.9340467258007</v>
      </c>
      <c r="AC15" s="138">
        <f t="shared" si="19"/>
        <v>7.182648596535901E-2</v>
      </c>
      <c r="AD15" s="31">
        <f t="shared" si="17"/>
        <v>0.05</v>
      </c>
      <c r="AE15" s="146">
        <f t="shared" si="1"/>
        <v>7337.2397003652404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177</v>
      </c>
      <c r="H16" s="147">
        <v>90</v>
      </c>
      <c r="I16" s="147">
        <v>71</v>
      </c>
      <c r="J16" s="147">
        <v>70</v>
      </c>
      <c r="K16" s="147">
        <v>150</v>
      </c>
      <c r="L16" s="147">
        <v>101</v>
      </c>
      <c r="M16" s="147">
        <v>27</v>
      </c>
      <c r="N16" s="147">
        <v>89</v>
      </c>
      <c r="O16" s="147">
        <v>105</v>
      </c>
      <c r="P16" s="147">
        <v>70</v>
      </c>
      <c r="Q16" s="118">
        <f t="shared" si="5"/>
        <v>-9.7938627861597238E-2</v>
      </c>
      <c r="R16" s="31">
        <f t="shared" si="6"/>
        <v>0.1</v>
      </c>
      <c r="S16" s="154">
        <f t="shared" si="2"/>
        <v>77</v>
      </c>
      <c r="T16" s="154">
        <f t="shared" ref="T16:AB16" si="37">S16*(1+$R16)</f>
        <v>84.7</v>
      </c>
      <c r="U16" s="154">
        <f t="shared" si="37"/>
        <v>93.170000000000016</v>
      </c>
      <c r="V16" s="154">
        <f t="shared" si="37"/>
        <v>102.48700000000002</v>
      </c>
      <c r="W16" s="154">
        <f t="shared" si="37"/>
        <v>112.73570000000004</v>
      </c>
      <c r="X16" s="154">
        <f t="shared" si="37"/>
        <v>124.00927000000006</v>
      </c>
      <c r="Y16" s="154">
        <f t="shared" si="37"/>
        <v>136.41019700000007</v>
      </c>
      <c r="Z16" s="154">
        <f t="shared" si="37"/>
        <v>150.05121670000008</v>
      </c>
      <c r="AA16" s="154">
        <f t="shared" si="37"/>
        <v>165.05633837000011</v>
      </c>
      <c r="AB16" s="154">
        <f t="shared" si="37"/>
        <v>181.56197220700014</v>
      </c>
      <c r="AC16" s="138">
        <f t="shared" si="19"/>
        <v>1.3402292802937588E-3</v>
      </c>
      <c r="AD16" s="31">
        <f t="shared" si="17"/>
        <v>0.05</v>
      </c>
      <c r="AE16" s="146">
        <f t="shared" si="1"/>
        <v>1121.4121812785304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171</v>
      </c>
      <c r="H18" s="147">
        <v>171</v>
      </c>
      <c r="I18" s="147">
        <v>161</v>
      </c>
      <c r="J18" s="147">
        <v>139</v>
      </c>
      <c r="K18" s="147">
        <v>135</v>
      </c>
      <c r="L18" s="147">
        <v>159</v>
      </c>
      <c r="M18" s="147">
        <v>152</v>
      </c>
      <c r="N18" s="147">
        <v>348</v>
      </c>
      <c r="O18" s="147">
        <v>517</v>
      </c>
      <c r="P18" s="147">
        <v>555</v>
      </c>
      <c r="Q18" s="118">
        <f>((P18/G18)^(1/($H$2-$H$1) ))-1</f>
        <v>0.13975305152527806</v>
      </c>
      <c r="R18" s="31">
        <f t="shared" si="6"/>
        <v>0.1</v>
      </c>
      <c r="S18" s="154">
        <f t="shared" ref="S18:S34" si="38">P18*(1+$R18)</f>
        <v>610.5</v>
      </c>
      <c r="T18" s="154">
        <f t="shared" ref="T18:T34" si="39">S18*(1+$R18)</f>
        <v>671.55000000000007</v>
      </c>
      <c r="U18" s="154">
        <f t="shared" ref="U18:U34" si="40">T18*(1+$R18)</f>
        <v>738.70500000000015</v>
      </c>
      <c r="V18" s="154">
        <f t="shared" ref="V18:V34" si="41">U18*(1+$R18)</f>
        <v>812.57550000000026</v>
      </c>
      <c r="W18" s="154">
        <f t="shared" ref="W18:W36" si="42">V18*(1+$R18)</f>
        <v>893.83305000000041</v>
      </c>
      <c r="X18" s="154">
        <f t="shared" ref="X18:X36" si="43">W18*(1+$R18)</f>
        <v>983.21635500000048</v>
      </c>
      <c r="Y18" s="154">
        <f t="shared" ref="Y18:Y36" si="44">X18*(1+$R18)</f>
        <v>1081.5379905000007</v>
      </c>
      <c r="Z18" s="154">
        <f t="shared" ref="Z18:Z36" si="45">Y18*(1+$R18)</f>
        <v>1189.6917895500007</v>
      </c>
      <c r="AA18" s="154">
        <f t="shared" ref="AA18:AA36" si="46">Z18*(1+$R18)</f>
        <v>1308.6609685050009</v>
      </c>
      <c r="AB18" s="154">
        <f t="shared" ref="AB18:AB36" si="47">AA18*(1+$R18)</f>
        <v>1439.5270653555012</v>
      </c>
      <c r="AC18" s="138">
        <f t="shared" si="19"/>
        <v>0.1186545295811039</v>
      </c>
      <c r="AD18" s="31">
        <f t="shared" si="17"/>
        <v>0.05</v>
      </c>
      <c r="AE18" s="146">
        <f t="shared" si="1"/>
        <v>8891.1965801369206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v>-23</v>
      </c>
      <c r="H20" s="147">
        <v>107</v>
      </c>
      <c r="I20" s="147">
        <v>76</v>
      </c>
      <c r="J20" s="147">
        <v>44</v>
      </c>
      <c r="K20" s="147">
        <v>-44</v>
      </c>
      <c r="L20" s="147">
        <v>138</v>
      </c>
      <c r="M20" s="147">
        <v>214</v>
      </c>
      <c r="N20" s="147">
        <v>97</v>
      </c>
      <c r="O20" s="147">
        <v>99</v>
      </c>
      <c r="P20" s="147">
        <v>146</v>
      </c>
      <c r="Q20" s="118">
        <f>((P20/G20)^(1/($H$2-$H$1) ))-1</f>
        <v>-2.2279496446076523</v>
      </c>
      <c r="R20" s="31">
        <f t="shared" si="6"/>
        <v>0.1</v>
      </c>
      <c r="S20" s="154">
        <f t="shared" ref="S20:S22" si="48">P20*(1+$R20)</f>
        <v>160.60000000000002</v>
      </c>
      <c r="T20" s="154">
        <f t="shared" ref="T20:T22" si="49">S20*(1+$R20)</f>
        <v>176.66000000000005</v>
      </c>
      <c r="U20" s="154">
        <f t="shared" ref="U20:U22" si="50">T20*(1+$R20)</f>
        <v>194.32600000000008</v>
      </c>
      <c r="V20" s="154">
        <f t="shared" ref="V20:V22" si="51">U20*(1+$R20)</f>
        <v>213.75860000000011</v>
      </c>
      <c r="W20" s="154">
        <f t="shared" ref="W20:W22" si="52">V20*(1+$R20)</f>
        <v>235.13446000000013</v>
      </c>
      <c r="X20" s="154">
        <f t="shared" ref="X20:X22" si="53">W20*(1+$R20)</f>
        <v>258.64790600000015</v>
      </c>
      <c r="Y20" s="154">
        <f t="shared" ref="Y20:Y22" si="54">X20*(1+$R20)</f>
        <v>284.5126966000002</v>
      </c>
      <c r="Z20" s="154">
        <f t="shared" ref="Z20:Z22" si="55">Y20*(1+$R20)</f>
        <v>312.96396626000023</v>
      </c>
      <c r="AA20" s="154">
        <f t="shared" ref="AA20:AA22" si="56">Z20*(1+$R20)</f>
        <v>344.26036288600028</v>
      </c>
      <c r="AB20" s="154">
        <f t="shared" ref="AB20:AB22" si="57">AA20*(1+$R20)</f>
        <v>378.68639917460035</v>
      </c>
      <c r="AC20" s="138">
        <f t="shared" ref="AC20:AC22" si="58">((AB20/G20)^(1/($AB$3-$H$1) ))-1</f>
        <v>-2.1588548584314911</v>
      </c>
      <c r="AD20" s="31">
        <f t="shared" si="17"/>
        <v>0.05</v>
      </c>
      <c r="AE20" s="146">
        <f t="shared" si="1"/>
        <v>2338.9454066666494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v>113</v>
      </c>
      <c r="H21" s="147">
        <v>-9</v>
      </c>
      <c r="I21" s="147">
        <v>-33</v>
      </c>
      <c r="J21" s="147">
        <v>67</v>
      </c>
      <c r="K21" s="147">
        <v>43</v>
      </c>
      <c r="L21" s="147">
        <v>-142</v>
      </c>
      <c r="M21" s="147">
        <v>-91</v>
      </c>
      <c r="N21" s="147">
        <v>-145</v>
      </c>
      <c r="O21" s="147">
        <v>-67</v>
      </c>
      <c r="P21" s="147">
        <v>-39</v>
      </c>
      <c r="Q21" s="118">
        <f>((P21/G21)^(1/($H$2-$H$1) ))-1</f>
        <v>-1.8885157473117546</v>
      </c>
      <c r="R21" s="31">
        <f t="shared" si="6"/>
        <v>0.1</v>
      </c>
      <c r="S21" s="154">
        <f t="shared" si="48"/>
        <v>-42.900000000000006</v>
      </c>
      <c r="T21" s="154">
        <f t="shared" si="49"/>
        <v>-47.190000000000012</v>
      </c>
      <c r="U21" s="154">
        <f t="shared" si="50"/>
        <v>-51.90900000000002</v>
      </c>
      <c r="V21" s="154">
        <f t="shared" si="51"/>
        <v>-57.099900000000027</v>
      </c>
      <c r="W21" s="154">
        <f t="shared" si="52"/>
        <v>-62.809890000000031</v>
      </c>
      <c r="X21" s="154">
        <f t="shared" si="53"/>
        <v>-69.090879000000044</v>
      </c>
      <c r="Y21" s="154">
        <f t="shared" si="54"/>
        <v>-75.999966900000061</v>
      </c>
      <c r="Z21" s="154">
        <f t="shared" si="55"/>
        <v>-83.599963590000073</v>
      </c>
      <c r="AA21" s="154">
        <f t="shared" si="56"/>
        <v>-91.959959949000094</v>
      </c>
      <c r="AB21" s="154">
        <f t="shared" si="57"/>
        <v>-101.15595594390011</v>
      </c>
      <c r="AC21" s="138">
        <f t="shared" si="58"/>
        <v>-1.9941893488560116</v>
      </c>
      <c r="AD21" s="31">
        <f t="shared" si="17"/>
        <v>0.05</v>
      </c>
      <c r="AE21" s="146">
        <f t="shared" si="1"/>
        <v>-624.78678671232433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v>-73</v>
      </c>
      <c r="H22" s="147">
        <v>-127</v>
      </c>
      <c r="I22" s="147">
        <v>-42</v>
      </c>
      <c r="J22" s="147">
        <v>-103</v>
      </c>
      <c r="K22" s="147">
        <v>-14</v>
      </c>
      <c r="L22" s="147">
        <v>4</v>
      </c>
      <c r="M22" s="147">
        <v>-118</v>
      </c>
      <c r="N22" s="147">
        <v>47</v>
      </c>
      <c r="O22" s="147">
        <v>-34</v>
      </c>
      <c r="P22" s="147">
        <v>-93</v>
      </c>
      <c r="Q22" s="118">
        <f>((P22/G22)^(1/($H$2-$H$1) ))-1</f>
        <v>2.7269642688455997E-2</v>
      </c>
      <c r="R22" s="31">
        <f t="shared" si="6"/>
        <v>0.1</v>
      </c>
      <c r="S22" s="154">
        <f t="shared" si="48"/>
        <v>-102.30000000000001</v>
      </c>
      <c r="T22" s="154">
        <f t="shared" si="49"/>
        <v>-112.53000000000002</v>
      </c>
      <c r="U22" s="154">
        <f t="shared" si="50"/>
        <v>-123.78300000000003</v>
      </c>
      <c r="V22" s="154">
        <f t="shared" si="51"/>
        <v>-136.16130000000004</v>
      </c>
      <c r="W22" s="154">
        <f t="shared" si="52"/>
        <v>-149.77743000000007</v>
      </c>
      <c r="X22" s="154">
        <f t="shared" si="53"/>
        <v>-164.7551730000001</v>
      </c>
      <c r="Y22" s="154">
        <f t="shared" si="54"/>
        <v>-181.23069030000013</v>
      </c>
      <c r="Z22" s="154">
        <f t="shared" si="55"/>
        <v>-199.35375933000017</v>
      </c>
      <c r="AA22" s="154">
        <f t="shared" si="56"/>
        <v>-219.28913526300022</v>
      </c>
      <c r="AB22" s="154">
        <f t="shared" si="57"/>
        <v>-241.21804878930027</v>
      </c>
      <c r="AC22" s="138">
        <f t="shared" si="58"/>
        <v>6.4928292375792784E-2</v>
      </c>
      <c r="AD22" s="31">
        <f t="shared" si="17"/>
        <v>0.05</v>
      </c>
      <c r="AE22" s="146">
        <f t="shared" si="1"/>
        <v>-1489.8761836986196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v>43</v>
      </c>
      <c r="H23" s="147">
        <v>13</v>
      </c>
      <c r="I23" s="147">
        <v>14</v>
      </c>
      <c r="J23" s="147">
        <v>22</v>
      </c>
      <c r="K23" s="147">
        <v>6.33</v>
      </c>
      <c r="L23" s="147">
        <v>6</v>
      </c>
      <c r="M23" s="147">
        <v>10</v>
      </c>
      <c r="N23" s="147">
        <v>8.6</v>
      </c>
      <c r="O23" s="147">
        <v>8</v>
      </c>
      <c r="P23" s="147">
        <v>22</v>
      </c>
      <c r="Q23" s="118">
        <f>((P23/G23)^(1/($H$2-$H$1) ))-1</f>
        <v>-7.1757218560732139E-2</v>
      </c>
      <c r="R23" s="31">
        <f t="shared" si="6"/>
        <v>0.1</v>
      </c>
      <c r="S23" s="154">
        <f t="shared" ref="S23" si="59">P23*(1+$R23)</f>
        <v>24.200000000000003</v>
      </c>
      <c r="T23" s="154">
        <f t="shared" ref="T23" si="60">S23*(1+$R23)</f>
        <v>26.620000000000005</v>
      </c>
      <c r="U23" s="154">
        <f t="shared" ref="U23" si="61">T23*(1+$R23)</f>
        <v>29.282000000000007</v>
      </c>
      <c r="V23" s="154">
        <f t="shared" ref="V23" si="62">U23*(1+$R23)</f>
        <v>32.210200000000007</v>
      </c>
      <c r="W23" s="154">
        <f t="shared" ref="W23" si="63">V23*(1+$R23)</f>
        <v>35.43122000000001</v>
      </c>
      <c r="X23" s="154">
        <f t="shared" ref="X23" si="64">W23*(1+$R23)</f>
        <v>38.974342000000014</v>
      </c>
      <c r="Y23" s="154">
        <f t="shared" ref="Y23" si="65">X23*(1+$R23)</f>
        <v>42.871776200000021</v>
      </c>
      <c r="Z23" s="154">
        <f t="shared" ref="Z23" si="66">Y23*(1+$R23)</f>
        <v>47.158953820000029</v>
      </c>
      <c r="AA23" s="154">
        <f t="shared" ref="AA23" si="67">Z23*(1+$R23)</f>
        <v>51.874849202000036</v>
      </c>
      <c r="AB23" s="154">
        <f t="shared" ref="AB23" si="68">AA23*(1+$R23)</f>
        <v>57.062334122200042</v>
      </c>
      <c r="AC23" s="138">
        <f t="shared" ref="AC23" si="69">((AB23/G23)^(1/($AB$3-$H$1) ))-1</f>
        <v>1.5003231889442192E-2</v>
      </c>
      <c r="AD23" s="31">
        <f t="shared" si="17"/>
        <v>0.05</v>
      </c>
      <c r="AE23" s="146">
        <f t="shared" si="1"/>
        <v>352.44382840182385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569</v>
      </c>
      <c r="H25" s="147">
        <v>599</v>
      </c>
      <c r="I25" s="147">
        <v>657</v>
      </c>
      <c r="J25" s="147">
        <v>674</v>
      </c>
      <c r="K25" s="147">
        <v>793</v>
      </c>
      <c r="L25" s="147">
        <v>858</v>
      </c>
      <c r="M25" s="147">
        <v>907</v>
      </c>
      <c r="N25" s="147">
        <v>1141</v>
      </c>
      <c r="O25" s="147">
        <v>1280</v>
      </c>
      <c r="P25" s="147">
        <v>1480</v>
      </c>
      <c r="Q25" s="118">
        <f>((P25/G25)^(1/($H$2-$H$1) ))-1</f>
        <v>0.11205871146498958</v>
      </c>
      <c r="R25" s="31">
        <f t="shared" si="6"/>
        <v>0.1</v>
      </c>
      <c r="S25" s="154">
        <f t="shared" si="38"/>
        <v>1628.0000000000002</v>
      </c>
      <c r="T25" s="154">
        <f t="shared" si="39"/>
        <v>1790.8000000000004</v>
      </c>
      <c r="U25" s="154">
        <f t="shared" si="40"/>
        <v>1969.8800000000006</v>
      </c>
      <c r="V25" s="154">
        <f t="shared" si="41"/>
        <v>2166.8680000000008</v>
      </c>
      <c r="W25" s="154">
        <f t="shared" si="42"/>
        <v>2383.5548000000013</v>
      </c>
      <c r="X25" s="154">
        <f t="shared" si="43"/>
        <v>2621.9102800000014</v>
      </c>
      <c r="Y25" s="154">
        <f t="shared" si="44"/>
        <v>2884.1013080000016</v>
      </c>
      <c r="Z25" s="154">
        <f t="shared" si="45"/>
        <v>3172.511438800002</v>
      </c>
      <c r="AA25" s="154">
        <f t="shared" si="46"/>
        <v>3489.7625826800027</v>
      </c>
      <c r="AB25" s="154">
        <f t="shared" si="47"/>
        <v>3838.7388409480031</v>
      </c>
      <c r="AC25" s="138">
        <f t="shared" si="19"/>
        <v>0.10569563411823713</v>
      </c>
      <c r="AD25" s="31">
        <f t="shared" si="17"/>
        <v>0.05</v>
      </c>
      <c r="AE25" s="146">
        <f t="shared" si="1"/>
        <v>23709.857547031788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5.0083472454090151E-2</v>
      </c>
      <c r="I26" s="148">
        <f t="shared" ref="I26" si="70">(I25-H25)/I25</f>
        <v>8.8280060882800604E-2</v>
      </c>
      <c r="J26" s="148">
        <f t="shared" ref="J26" si="71">(J25-I25)/J25</f>
        <v>2.5222551928783383E-2</v>
      </c>
      <c r="K26" s="148">
        <f t="shared" ref="K26" si="72">(K25-J25)/K25</f>
        <v>0.15006305170239598</v>
      </c>
      <c r="L26" s="148">
        <f t="shared" ref="L26" si="73">(L25-K25)/L25</f>
        <v>7.575757575757576E-2</v>
      </c>
      <c r="M26" s="148">
        <f t="shared" ref="M26" si="74">(M25-L25)/M25</f>
        <v>5.4024255788313123E-2</v>
      </c>
      <c r="N26" s="148">
        <f t="shared" ref="N26" si="75">(N25-M25)/N25</f>
        <v>0.20508326029798424</v>
      </c>
      <c r="O26" s="148">
        <f t="shared" ref="O26" si="76">(O25-N25)/O25</f>
        <v>0.10859375</v>
      </c>
      <c r="P26" s="148">
        <f t="shared" ref="P26" si="77">(P25-O25)/P25</f>
        <v>0.13513513513513514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477</v>
      </c>
      <c r="H27" s="147">
        <v>525</v>
      </c>
      <c r="I27" s="147">
        <v>577</v>
      </c>
      <c r="J27" s="147">
        <v>572</v>
      </c>
      <c r="K27" s="147">
        <v>619</v>
      </c>
      <c r="L27" s="147">
        <v>719</v>
      </c>
      <c r="M27" s="147">
        <v>729</v>
      </c>
      <c r="N27" s="147">
        <v>936</v>
      </c>
      <c r="O27" s="147">
        <v>1088</v>
      </c>
      <c r="P27" s="147">
        <v>1258</v>
      </c>
      <c r="Q27" s="118">
        <f>((P27/G27)^(1/($H$2-$H$1) ))-1</f>
        <v>0.11377074665131004</v>
      </c>
      <c r="R27" s="31">
        <f t="shared" si="6"/>
        <v>0.1</v>
      </c>
      <c r="S27" s="154">
        <f t="shared" si="38"/>
        <v>1383.8000000000002</v>
      </c>
      <c r="T27" s="154">
        <f t="shared" si="39"/>
        <v>1522.1800000000003</v>
      </c>
      <c r="U27" s="154">
        <f t="shared" si="40"/>
        <v>1674.3980000000004</v>
      </c>
      <c r="V27" s="154">
        <f t="shared" si="41"/>
        <v>1841.8378000000005</v>
      </c>
      <c r="W27" s="154">
        <f t="shared" si="42"/>
        <v>2026.0215800000008</v>
      </c>
      <c r="X27" s="154">
        <f t="shared" si="43"/>
        <v>2228.6237380000011</v>
      </c>
      <c r="Y27" s="154">
        <f t="shared" si="44"/>
        <v>2451.4861118000013</v>
      </c>
      <c r="Z27" s="154">
        <f t="shared" si="45"/>
        <v>2696.6347229800017</v>
      </c>
      <c r="AA27" s="154">
        <f t="shared" si="46"/>
        <v>2966.2981952780019</v>
      </c>
      <c r="AB27" s="154">
        <f t="shared" si="47"/>
        <v>3262.9280148058024</v>
      </c>
      <c r="AC27" s="138">
        <f t="shared" si="19"/>
        <v>0.10650163149147907</v>
      </c>
      <c r="AD27" s="31">
        <f t="shared" si="17"/>
        <v>0.05</v>
      </c>
      <c r="AE27" s="146">
        <f t="shared" si="1"/>
        <v>20153.378914977016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9.1428571428571428E-2</v>
      </c>
      <c r="I28" s="148">
        <f t="shared" si="78"/>
        <v>9.0121317157712308E-2</v>
      </c>
      <c r="J28" s="148">
        <f t="shared" si="78"/>
        <v>-8.7412587412587419E-3</v>
      </c>
      <c r="K28" s="148">
        <f t="shared" si="78"/>
        <v>7.5928917609046853E-2</v>
      </c>
      <c r="L28" s="148">
        <f t="shared" si="78"/>
        <v>0.13908205841446453</v>
      </c>
      <c r="M28" s="148">
        <f t="shared" si="78"/>
        <v>1.3717421124828532E-2</v>
      </c>
      <c r="N28" s="148">
        <f t="shared" ref="N28" si="79">(N27-M27)/N27</f>
        <v>0.22115384615384615</v>
      </c>
      <c r="O28" s="148">
        <f t="shared" ref="O28" si="80">(O27-N27)/O27</f>
        <v>0.13970588235294118</v>
      </c>
      <c r="P28" s="148">
        <f t="shared" ref="P28" si="81">(P27-O27)/P27</f>
        <v>0.13513513513513514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46</v>
      </c>
      <c r="H29" s="147">
        <v>20</v>
      </c>
      <c r="I29" s="147">
        <v>16</v>
      </c>
      <c r="J29" s="147">
        <v>14.5</v>
      </c>
      <c r="K29" s="147">
        <v>8</v>
      </c>
      <c r="L29" s="147">
        <v>8.6999999999999993</v>
      </c>
      <c r="M29" s="147">
        <v>6</v>
      </c>
      <c r="N29" s="147">
        <v>4</v>
      </c>
      <c r="O29" s="147">
        <v>15</v>
      </c>
      <c r="P29" s="147">
        <v>18.489999999999998</v>
      </c>
      <c r="Q29" s="118">
        <f>((P29/G29)^(1/($H$2-$H$1) ))-1</f>
        <v>-9.6309123550698206E-2</v>
      </c>
      <c r="R29" s="31">
        <f t="shared" si="6"/>
        <v>0.1</v>
      </c>
      <c r="S29" s="154">
        <f t="shared" ref="S29" si="82">P29*(1+$R29)</f>
        <v>20.338999999999999</v>
      </c>
      <c r="T29" s="154">
        <f t="shared" ref="T29" si="83">S29*(1+$R29)</f>
        <v>22.372900000000001</v>
      </c>
      <c r="U29" s="154">
        <f t="shared" ref="U29" si="84">T29*(1+$R29)</f>
        <v>24.610190000000003</v>
      </c>
      <c r="V29" s="154">
        <f t="shared" ref="V29" si="85">U29*(1+$R29)</f>
        <v>27.071209000000007</v>
      </c>
      <c r="W29" s="154">
        <f t="shared" ref="W29" si="86">V29*(1+$R29)</f>
        <v>29.77832990000001</v>
      </c>
      <c r="X29" s="154">
        <f t="shared" ref="X29" si="87">W29*(1+$R29)</f>
        <v>32.756162890000013</v>
      </c>
      <c r="Y29" s="154">
        <f t="shared" ref="Y29" si="88">X29*(1+$R29)</f>
        <v>36.031779179000019</v>
      </c>
      <c r="Z29" s="154">
        <f t="shared" ref="Z29" si="89">Y29*(1+$R29)</f>
        <v>39.634957096900024</v>
      </c>
      <c r="AA29" s="154">
        <f t="shared" ref="AA29" si="90">Z29*(1+$R29)</f>
        <v>43.598452806590032</v>
      </c>
      <c r="AB29" s="154">
        <f t="shared" ref="AB29" si="91">AA29*(1+$R29)</f>
        <v>47.958298087249041</v>
      </c>
      <c r="AC29" s="138">
        <f t="shared" ref="AC29" si="92">((AB29/G29)^(1/($AB$3-$H$1) ))-1</f>
        <v>2.1966431434170541E-3</v>
      </c>
      <c r="AD29" s="31">
        <f t="shared" si="17"/>
        <v>0.05</v>
      </c>
      <c r="AE29" s="146">
        <f t="shared" ref="AE29" si="93">(AB29*(1+AD29))/($C$1-AD29)</f>
        <v>296.21301759771467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-1.3</v>
      </c>
      <c r="I30" s="148">
        <f t="shared" si="94"/>
        <v>-0.25</v>
      </c>
      <c r="J30" s="148">
        <f t="shared" si="94"/>
        <v>-0.10344827586206896</v>
      </c>
      <c r="K30" s="148">
        <f t="shared" si="94"/>
        <v>-0.8125</v>
      </c>
      <c r="L30" s="148">
        <f t="shared" si="94"/>
        <v>8.0459770114942458E-2</v>
      </c>
      <c r="M30" s="148">
        <f t="shared" ref="M30" si="95">(M29-L29)/M29</f>
        <v>-0.4499999999999999</v>
      </c>
      <c r="N30" s="148">
        <f t="shared" ref="N30" si="96">(N29-M29)/N29</f>
        <v>-0.5</v>
      </c>
      <c r="O30" s="148">
        <f t="shared" ref="O30" si="97">(O29-N29)/O29</f>
        <v>0.73333333333333328</v>
      </c>
      <c r="P30" s="148">
        <f t="shared" ref="P30" si="98">(P29-O29)/P29</f>
        <v>0.18875067604110324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274</v>
      </c>
      <c r="H33" s="147">
        <v>345</v>
      </c>
      <c r="I33" s="147">
        <v>402</v>
      </c>
      <c r="J33" s="147">
        <v>375</v>
      </c>
      <c r="K33" s="147">
        <v>423</v>
      </c>
      <c r="L33" s="147">
        <v>514</v>
      </c>
      <c r="M33" s="147">
        <v>518</v>
      </c>
      <c r="N33" s="147">
        <v>680</v>
      </c>
      <c r="O33" s="147">
        <v>764</v>
      </c>
      <c r="P33" s="147">
        <v>893</v>
      </c>
      <c r="Q33" s="118">
        <f>((P33/G33)^(1/($H$2-$H$1) ))-1</f>
        <v>0.14027922181474839</v>
      </c>
      <c r="R33" s="31">
        <f t="shared" si="6"/>
        <v>0.1</v>
      </c>
      <c r="S33" s="154">
        <f t="shared" si="38"/>
        <v>982.30000000000007</v>
      </c>
      <c r="T33" s="154">
        <f t="shared" si="39"/>
        <v>1080.5300000000002</v>
      </c>
      <c r="U33" s="154">
        <f t="shared" si="40"/>
        <v>1188.5830000000003</v>
      </c>
      <c r="V33" s="154">
        <f t="shared" si="41"/>
        <v>1307.4413000000004</v>
      </c>
      <c r="W33" s="154">
        <f t="shared" si="42"/>
        <v>1438.1854300000007</v>
      </c>
      <c r="X33" s="154">
        <f t="shared" si="43"/>
        <v>1582.0039730000008</v>
      </c>
      <c r="Y33" s="154">
        <f t="shared" si="44"/>
        <v>1740.2043703000011</v>
      </c>
      <c r="Z33" s="154">
        <f t="shared" si="45"/>
        <v>1914.2248073300013</v>
      </c>
      <c r="AA33" s="154">
        <f t="shared" si="46"/>
        <v>2105.6472880630017</v>
      </c>
      <c r="AB33" s="154">
        <f t="shared" si="47"/>
        <v>2316.2120168693023</v>
      </c>
      <c r="AC33" s="138">
        <f t="shared" si="19"/>
        <v>0.11889912465144947</v>
      </c>
      <c r="AD33" s="31">
        <f t="shared" si="17"/>
        <v>0.05</v>
      </c>
      <c r="AE33" s="146">
        <f t="shared" si="1"/>
        <v>14306.015398310397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56</v>
      </c>
      <c r="H34" s="147">
        <v>50</v>
      </c>
      <c r="I34" s="147">
        <v>48</v>
      </c>
      <c r="J34" s="147">
        <v>53</v>
      </c>
      <c r="K34" s="147">
        <v>60</v>
      </c>
      <c r="L34" s="147">
        <v>69</v>
      </c>
      <c r="M34" s="147">
        <v>67</v>
      </c>
      <c r="N34" s="147">
        <v>73</v>
      </c>
      <c r="O34" s="147">
        <v>90</v>
      </c>
      <c r="P34" s="147">
        <v>94</v>
      </c>
      <c r="Q34" s="118">
        <f>((P34/G34)^(1/($H$2-$H$1) ))-1</f>
        <v>5.9237418163647249E-2</v>
      </c>
      <c r="R34" s="31">
        <f t="shared" si="6"/>
        <v>0.1</v>
      </c>
      <c r="S34" s="154">
        <f t="shared" si="38"/>
        <v>103.4</v>
      </c>
      <c r="T34" s="154">
        <f t="shared" si="39"/>
        <v>113.74000000000001</v>
      </c>
      <c r="U34" s="154">
        <f t="shared" si="40"/>
        <v>125.11400000000002</v>
      </c>
      <c r="V34" s="154">
        <f t="shared" si="41"/>
        <v>137.62540000000004</v>
      </c>
      <c r="W34" s="154">
        <f t="shared" si="42"/>
        <v>151.38794000000007</v>
      </c>
      <c r="X34" s="154">
        <f t="shared" si="43"/>
        <v>166.52673400000009</v>
      </c>
      <c r="Y34" s="154">
        <f t="shared" si="44"/>
        <v>183.17940740000012</v>
      </c>
      <c r="Z34" s="154">
        <f t="shared" si="45"/>
        <v>201.49734814000016</v>
      </c>
      <c r="AA34" s="154">
        <f t="shared" si="46"/>
        <v>221.64708295400018</v>
      </c>
      <c r="AB34" s="154">
        <f t="shared" si="47"/>
        <v>243.81179124940022</v>
      </c>
      <c r="AC34" s="138">
        <f t="shared" si="19"/>
        <v>8.0499479497504689E-2</v>
      </c>
      <c r="AD34" s="31">
        <f t="shared" si="17"/>
        <v>0.05</v>
      </c>
      <c r="AE34" s="146">
        <f t="shared" si="1"/>
        <v>1505.8963577168838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-3.48</v>
      </c>
      <c r="H36" s="147">
        <v>43</v>
      </c>
      <c r="I36" s="147">
        <v>56</v>
      </c>
      <c r="J36" s="147">
        <v>31</v>
      </c>
      <c r="K36" s="147">
        <v>78</v>
      </c>
      <c r="L36" s="147">
        <v>134</v>
      </c>
      <c r="M36" s="147">
        <v>166</v>
      </c>
      <c r="N36" s="147">
        <v>191</v>
      </c>
      <c r="O36" s="147">
        <v>203</v>
      </c>
      <c r="P36" s="147">
        <v>210</v>
      </c>
      <c r="Q36" s="118">
        <f>((P36/G36)^(1/($H$2-$H$1) ))-1</f>
        <v>-2.57706246184445</v>
      </c>
      <c r="R36" s="31">
        <f t="shared" si="6"/>
        <v>0.1</v>
      </c>
      <c r="S36" s="154">
        <f t="shared" ref="S36" si="102">P36*(1+$R36)</f>
        <v>231.00000000000003</v>
      </c>
      <c r="T36" s="154">
        <f t="shared" ref="T36" si="103">S36*(1+$R36)</f>
        <v>254.10000000000005</v>
      </c>
      <c r="U36" s="154">
        <f t="shared" ref="U36" si="104">T36*(1+$R36)</f>
        <v>279.5100000000001</v>
      </c>
      <c r="V36" s="154">
        <f t="shared" ref="V36" si="105">U36*(1+$R36)</f>
        <v>307.46100000000013</v>
      </c>
      <c r="W36" s="154">
        <f t="shared" si="42"/>
        <v>338.20710000000014</v>
      </c>
      <c r="X36" s="154">
        <f t="shared" si="43"/>
        <v>372.02781000000016</v>
      </c>
      <c r="Y36" s="154">
        <f t="shared" si="44"/>
        <v>409.23059100000023</v>
      </c>
      <c r="Z36" s="154">
        <f t="shared" si="45"/>
        <v>450.15365010000028</v>
      </c>
      <c r="AA36" s="154">
        <f t="shared" si="46"/>
        <v>495.16901511000037</v>
      </c>
      <c r="AB36" s="154">
        <f t="shared" si="47"/>
        <v>544.6859166210005</v>
      </c>
      <c r="AC36" s="138">
        <f t="shared" si="19"/>
        <v>-2.3046785466833919</v>
      </c>
      <c r="AD36" s="31">
        <f t="shared" si="17"/>
        <v>0.05</v>
      </c>
      <c r="AE36" s="146">
        <f t="shared" si="1"/>
        <v>3364.2365438355919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1.0809302325581394</v>
      </c>
      <c r="I37" s="148">
        <f t="shared" ref="I37" si="108">(I36-H36)/I36</f>
        <v>0.23214285714285715</v>
      </c>
      <c r="J37" s="148">
        <f t="shared" ref="J37" si="109">(J36-I36)/J36</f>
        <v>-0.80645161290322576</v>
      </c>
      <c r="K37" s="148">
        <f t="shared" ref="K37" si="110">(K36-J36)/K36</f>
        <v>0.60256410256410253</v>
      </c>
      <c r="L37" s="148">
        <f t="shared" ref="L37" si="111">(L36-K36)/L36</f>
        <v>0.41791044776119401</v>
      </c>
      <c r="M37" s="148">
        <f t="shared" ref="M37" si="112">(M36-L36)/M36</f>
        <v>0.19277108433734941</v>
      </c>
      <c r="N37" s="148">
        <f t="shared" ref="N37" si="113">(N36-M36)/N36</f>
        <v>0.13089005235602094</v>
      </c>
      <c r="O37" s="148">
        <f t="shared" ref="O37" si="114">(O36-N36)/O36</f>
        <v>5.9113300492610835E-2</v>
      </c>
      <c r="P37" s="148">
        <f t="shared" ref="P37" si="115">(P36-O36)/P36</f>
        <v>3.3333333333333333E-2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>
        <v>26</v>
      </c>
      <c r="H38" s="147">
        <v>34.5</v>
      </c>
      <c r="I38" s="147">
        <v>44.5</v>
      </c>
      <c r="J38" s="147">
        <v>55</v>
      </c>
      <c r="K38" s="147">
        <v>146</v>
      </c>
      <c r="L38" s="147">
        <v>107</v>
      </c>
      <c r="M38" s="147">
        <v>153</v>
      </c>
      <c r="N38" s="147">
        <v>184</v>
      </c>
      <c r="O38" s="147">
        <v>149</v>
      </c>
      <c r="P38" s="147">
        <v>172</v>
      </c>
      <c r="Q38" s="118">
        <f>((P38/G38)^(1/($H$2-$H$1) ))-1</f>
        <v>0.23359553497226848</v>
      </c>
      <c r="R38" s="31">
        <f t="shared" si="6"/>
        <v>0.1</v>
      </c>
      <c r="S38" s="154">
        <f t="shared" ref="S38" si="116">P38*(1+$R38)</f>
        <v>189.20000000000002</v>
      </c>
      <c r="T38" s="154">
        <f t="shared" ref="T38" si="117">S38*(1+$R38)</f>
        <v>208.12000000000003</v>
      </c>
      <c r="U38" s="154">
        <f t="shared" ref="U38" si="118">T38*(1+$R38)</f>
        <v>228.93200000000004</v>
      </c>
      <c r="V38" s="154">
        <f t="shared" ref="V38" si="119">U38*(1+$R38)</f>
        <v>251.82520000000008</v>
      </c>
      <c r="W38" s="154">
        <f t="shared" ref="W38" si="120">V38*(1+$R38)</f>
        <v>277.00772000000012</v>
      </c>
      <c r="X38" s="154">
        <f t="shared" ref="X38" si="121">W38*(1+$R38)</f>
        <v>304.70849200000015</v>
      </c>
      <c r="Y38" s="154">
        <f t="shared" ref="Y38" si="122">X38*(1+$R38)</f>
        <v>335.17934120000018</v>
      </c>
      <c r="Z38" s="154">
        <f t="shared" ref="Z38" si="123">Y38*(1+$R38)</f>
        <v>368.69727532000024</v>
      </c>
      <c r="AA38" s="154">
        <f t="shared" ref="AA38" si="124">Z38*(1+$R38)</f>
        <v>405.56700285200031</v>
      </c>
      <c r="AB38" s="154">
        <f t="shared" ref="AB38" si="125">AA38*(1+$R38)</f>
        <v>446.12370313720038</v>
      </c>
      <c r="AC38" s="138">
        <f t="shared" ref="AC38" si="126">((AB38/G38)^(1/($AB$3-$H$1) ))-1</f>
        <v>0.1613756983672574</v>
      </c>
      <c r="AD38" s="31">
        <f t="shared" si="17"/>
        <v>0.05</v>
      </c>
      <c r="AE38" s="146">
        <f t="shared" ref="AE38" si="127">(AB38*(1+AD38))/($C$1-AD38)</f>
        <v>2755.469931141532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0.24637681159420291</v>
      </c>
      <c r="I39" s="148">
        <f t="shared" ref="I39" si="130">(I38-H38)/I38</f>
        <v>0.2247191011235955</v>
      </c>
      <c r="J39" s="148">
        <f t="shared" ref="J39" si="131">(J38-I38)/J38</f>
        <v>0.19090909090909092</v>
      </c>
      <c r="K39" s="148">
        <f t="shared" ref="K39" si="132">(K38-J38)/K38</f>
        <v>0.62328767123287676</v>
      </c>
      <c r="L39" s="148">
        <f t="shared" ref="L39" si="133">(L38-K38)/L38</f>
        <v>-0.3644859813084112</v>
      </c>
      <c r="M39" s="148">
        <f t="shared" ref="M39" si="134">(M38-L38)/M38</f>
        <v>0.30065359477124182</v>
      </c>
      <c r="N39" s="148">
        <f t="shared" ref="N39" si="135">(N38-M38)/N38</f>
        <v>0.16847826086956522</v>
      </c>
      <c r="O39" s="148">
        <f t="shared" ref="O39" si="136">(O38-N38)/O38</f>
        <v>-0.2348993288590604</v>
      </c>
      <c r="P39" s="148">
        <f t="shared" ref="P39" si="137">(P38-O38)/P38</f>
        <v>0.13372093023255813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25.5</v>
      </c>
      <c r="H40" s="147">
        <v>33.5</v>
      </c>
      <c r="I40" s="147">
        <v>42.52</v>
      </c>
      <c r="J40" s="147">
        <v>58.5</v>
      </c>
      <c r="K40" s="147">
        <v>125.3</v>
      </c>
      <c r="L40" s="147">
        <v>72</v>
      </c>
      <c r="M40" s="147">
        <v>101</v>
      </c>
      <c r="N40" s="147">
        <v>126</v>
      </c>
      <c r="O40" s="147">
        <v>101</v>
      </c>
      <c r="P40" s="147">
        <v>119</v>
      </c>
      <c r="Q40" s="118">
        <f>((P40/G40)^(1/($H$2-$H$1) ))-1</f>
        <v>0.18668126739565527</v>
      </c>
      <c r="R40" s="31">
        <f t="shared" si="6"/>
        <v>0.1</v>
      </c>
      <c r="S40" s="154">
        <f>P40*(1+$R40)</f>
        <v>130.9</v>
      </c>
      <c r="T40" s="154">
        <f t="shared" ref="T40:AB40" si="138">S40*(1+$R40)</f>
        <v>143.99</v>
      </c>
      <c r="U40" s="154">
        <f t="shared" si="138"/>
        <v>158.38900000000001</v>
      </c>
      <c r="V40" s="154">
        <f t="shared" si="138"/>
        <v>174.22790000000003</v>
      </c>
      <c r="W40" s="154">
        <f t="shared" si="138"/>
        <v>191.65069000000005</v>
      </c>
      <c r="X40" s="154">
        <f t="shared" si="138"/>
        <v>210.81575900000007</v>
      </c>
      <c r="Y40" s="154">
        <f t="shared" si="138"/>
        <v>231.89733490000009</v>
      </c>
      <c r="Z40" s="154">
        <f t="shared" si="138"/>
        <v>255.08706839000013</v>
      </c>
      <c r="AA40" s="154">
        <f t="shared" si="138"/>
        <v>280.59577522900014</v>
      </c>
      <c r="AB40" s="154">
        <f t="shared" si="138"/>
        <v>308.65535275190018</v>
      </c>
      <c r="AC40" s="138">
        <f t="shared" si="19"/>
        <v>0.14024061658568288</v>
      </c>
      <c r="AD40" s="31">
        <f t="shared" si="17"/>
        <v>0.05</v>
      </c>
      <c r="AE40" s="146">
        <f t="shared" si="1"/>
        <v>1906.4007081735015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0.23880597014925373</v>
      </c>
      <c r="I41" s="148">
        <f t="shared" si="139"/>
        <v>0.21213546566321737</v>
      </c>
      <c r="J41" s="148">
        <f t="shared" si="139"/>
        <v>0.2731623931623931</v>
      </c>
      <c r="K41" s="148">
        <f t="shared" si="139"/>
        <v>0.53312051077414202</v>
      </c>
      <c r="L41" s="148">
        <f t="shared" si="139"/>
        <v>-0.7402777777777777</v>
      </c>
      <c r="M41" s="148">
        <f t="shared" si="139"/>
        <v>0.28712871287128711</v>
      </c>
      <c r="N41" s="148">
        <f t="shared" si="139"/>
        <v>0.1984126984126984</v>
      </c>
      <c r="O41" s="148">
        <f t="shared" si="139"/>
        <v>-0.24752475247524752</v>
      </c>
      <c r="P41" s="148">
        <f t="shared" si="139"/>
        <v>0.15126050420168066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206">
        <v>1.19</v>
      </c>
      <c r="H42" s="206">
        <v>1.19</v>
      </c>
      <c r="I42" s="206">
        <v>1.19</v>
      </c>
      <c r="J42" s="206">
        <v>1.19</v>
      </c>
      <c r="K42" s="206">
        <v>1.19</v>
      </c>
      <c r="L42" s="206">
        <v>1.19</v>
      </c>
      <c r="M42" s="206">
        <v>1.29</v>
      </c>
      <c r="N42" s="206">
        <v>1.94</v>
      </c>
      <c r="O42" s="206">
        <v>19.440000000000001</v>
      </c>
      <c r="P42" s="206">
        <v>19.440000000000001</v>
      </c>
      <c r="Q42" s="118">
        <f>((P42/G42)^(1/($H$2-$H$1) ))-1</f>
        <v>0.36393717517000623</v>
      </c>
      <c r="R42" s="31">
        <v>0.02</v>
      </c>
      <c r="S42" s="154">
        <f t="shared" ref="S42:S43" si="140">P42*(1+$R42)</f>
        <v>19.828800000000001</v>
      </c>
      <c r="T42" s="154">
        <f t="shared" ref="T42:AB42" si="141">S42*(1+$R42)</f>
        <v>20.225376000000001</v>
      </c>
      <c r="U42" s="154">
        <f t="shared" si="141"/>
        <v>20.62988352</v>
      </c>
      <c r="V42" s="154">
        <f t="shared" si="141"/>
        <v>21.0424811904</v>
      </c>
      <c r="W42" s="154">
        <f t="shared" si="141"/>
        <v>21.463330814208</v>
      </c>
      <c r="X42" s="154">
        <f t="shared" si="141"/>
        <v>21.89259743049216</v>
      </c>
      <c r="Y42" s="154">
        <f t="shared" si="141"/>
        <v>22.330449379102003</v>
      </c>
      <c r="Z42" s="154">
        <f t="shared" si="141"/>
        <v>22.777058366684042</v>
      </c>
      <c r="AA42" s="154">
        <f t="shared" si="141"/>
        <v>23.232599534017723</v>
      </c>
      <c r="AB42" s="154">
        <f t="shared" si="141"/>
        <v>23.697251524698078</v>
      </c>
      <c r="AC42" s="138">
        <f t="shared" si="19"/>
        <v>0.17051334462886536</v>
      </c>
      <c r="AD42" s="31">
        <f t="shared" si="17"/>
        <v>0.05</v>
      </c>
      <c r="AE42" s="146">
        <f t="shared" si="1"/>
        <v>146.36537706431167</v>
      </c>
    </row>
    <row r="43" spans="2:31" x14ac:dyDescent="0.2">
      <c r="B43" s="20" t="s">
        <v>282</v>
      </c>
      <c r="C43" s="145"/>
      <c r="D43" s="145"/>
      <c r="E43" s="145"/>
      <c r="F43" s="147"/>
      <c r="G43" s="206">
        <v>0</v>
      </c>
      <c r="H43" s="206">
        <v>1</v>
      </c>
      <c r="I43" s="206">
        <v>4</v>
      </c>
      <c r="J43" s="206">
        <v>8</v>
      </c>
      <c r="K43" s="206">
        <v>16</v>
      </c>
      <c r="L43" s="206">
        <v>16</v>
      </c>
      <c r="M43" s="206">
        <v>18</v>
      </c>
      <c r="N43" s="206">
        <v>20</v>
      </c>
      <c r="O43" s="206">
        <v>2.2000000000000002</v>
      </c>
      <c r="P43" s="206">
        <v>2.2999999999999998</v>
      </c>
      <c r="Q43" s="118" t="e">
        <f>((P43/G43)^(1/($H$2-$H$1) ))-1</f>
        <v>#DIV/0!</v>
      </c>
      <c r="R43" s="31">
        <f>P1</f>
        <v>0.05</v>
      </c>
      <c r="S43" s="154">
        <f t="shared" si="140"/>
        <v>2.415</v>
      </c>
      <c r="T43" s="154">
        <f t="shared" ref="T43" si="142">S43*(1+$R43)</f>
        <v>2.5357500000000002</v>
      </c>
      <c r="U43" s="154">
        <f t="shared" ref="U43" si="143">T43*(1+$R43)</f>
        <v>2.6625375000000004</v>
      </c>
      <c r="V43" s="154">
        <f t="shared" ref="V43" si="144">U43*(1+$R43)</f>
        <v>2.7956643750000008</v>
      </c>
      <c r="W43" s="154">
        <f t="shared" ref="W43" si="145">V43*(1+$R43)</f>
        <v>2.9354475937500011</v>
      </c>
      <c r="X43" s="154">
        <f t="shared" ref="X43" si="146">W43*(1+$R43)</f>
        <v>3.0822199734375011</v>
      </c>
      <c r="Y43" s="154">
        <f t="shared" ref="Y43" si="147">X43*(1+$R43)</f>
        <v>3.2363309721093763</v>
      </c>
      <c r="Z43" s="154">
        <f t="shared" ref="Z43" si="148">Y43*(1+$R43)</f>
        <v>3.3981475207148453</v>
      </c>
      <c r="AA43" s="154">
        <f t="shared" ref="AA43" si="149">Z43*(1+$R43)</f>
        <v>3.5680548967505876</v>
      </c>
      <c r="AB43" s="154">
        <f t="shared" ref="AB43" si="150">AA43*(1+$R43)</f>
        <v>3.7464576415881172</v>
      </c>
      <c r="AC43" s="138" t="e">
        <f t="shared" ref="AC43" si="151">((AB43/G43)^(1/($AB$3-$H$1) ))-1</f>
        <v>#DIV/0!</v>
      </c>
      <c r="AD43" s="31">
        <f t="shared" si="17"/>
        <v>0.05</v>
      </c>
      <c r="AE43" s="146">
        <f t="shared" si="1"/>
        <v>23.139885433338375</v>
      </c>
    </row>
    <row r="44" spans="2:31" x14ac:dyDescent="0.2">
      <c r="B44" s="20" t="s">
        <v>427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47" t="s">
        <v>429</v>
      </c>
      <c r="O44" s="147">
        <v>0</v>
      </c>
      <c r="P44" s="147">
        <v>0</v>
      </c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 t="s">
        <v>428</v>
      </c>
      <c r="O45" s="147">
        <v>0</v>
      </c>
      <c r="P45" s="147">
        <v>0</v>
      </c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2">C25/C42</f>
        <v>0</v>
      </c>
      <c r="D49" s="133">
        <f t="shared" si="152"/>
        <v>0</v>
      </c>
      <c r="E49" s="133">
        <f t="shared" si="152"/>
        <v>0</v>
      </c>
      <c r="F49" s="133">
        <f t="shared" si="152"/>
        <v>0</v>
      </c>
      <c r="G49" s="133">
        <f t="shared" si="152"/>
        <v>478.15126050420173</v>
      </c>
      <c r="H49" s="133">
        <f t="shared" si="152"/>
        <v>503.36134453781517</v>
      </c>
      <c r="I49" s="133">
        <f t="shared" si="152"/>
        <v>552.10084033613452</v>
      </c>
      <c r="J49" s="133">
        <f t="shared" si="152"/>
        <v>566.38655462184875</v>
      </c>
      <c r="K49" s="133">
        <f t="shared" si="152"/>
        <v>666.38655462184875</v>
      </c>
      <c r="L49" s="133">
        <f t="shared" si="152"/>
        <v>721.00840336134456</v>
      </c>
      <c r="M49" s="133">
        <f t="shared" si="152"/>
        <v>703.10077519379843</v>
      </c>
      <c r="N49" s="133">
        <f t="shared" si="152"/>
        <v>588.14432989690727</v>
      </c>
      <c r="O49" s="133">
        <f t="shared" si="152"/>
        <v>65.843621399176953</v>
      </c>
      <c r="P49" s="133">
        <f t="shared" si="152"/>
        <v>76.13168724279835</v>
      </c>
      <c r="Q49" s="118">
        <f>((P49/G49)^(1/($H$2-$H$1) ))-1</f>
        <v>-0.18467013605199334</v>
      </c>
      <c r="R49" s="128"/>
      <c r="S49" s="158">
        <f t="shared" ref="S49:AB49" si="153">S25/S42</f>
        <v>82.102799967723726</v>
      </c>
      <c r="T49" s="158">
        <f t="shared" si="153"/>
        <v>88.542235259309905</v>
      </c>
      <c r="U49" s="158">
        <f t="shared" si="153"/>
        <v>95.486724299255783</v>
      </c>
      <c r="V49" s="158">
        <f t="shared" si="153"/>
        <v>102.97587914625625</v>
      </c>
      <c r="W49" s="158">
        <f t="shared" si="153"/>
        <v>111.05241868713911</v>
      </c>
      <c r="X49" s="158">
        <f t="shared" si="153"/>
        <v>119.76241230965984</v>
      </c>
      <c r="Y49" s="158">
        <f t="shared" si="153"/>
        <v>129.15554268688805</v>
      </c>
      <c r="Z49" s="158">
        <f t="shared" si="153"/>
        <v>139.28538917213419</v>
      </c>
      <c r="AA49" s="158">
        <f t="shared" si="153"/>
        <v>150.20973342092904</v>
      </c>
      <c r="AB49" s="158">
        <f t="shared" si="153"/>
        <v>161.99088898335486</v>
      </c>
      <c r="AC49" s="138">
        <f t="shared" ref="AC49" si="154">((AB49/G49)^(1/($AB$3-$H$1) ))-1</f>
        <v>-5.5375456254349698E-2</v>
      </c>
      <c r="AD49" s="31">
        <f t="shared" si="17"/>
        <v>0.05</v>
      </c>
      <c r="AE49" s="146">
        <f t="shared" ref="AE49:AE50" si="155">(AB49*(1+AD49))/($C$1-AD49)</f>
        <v>1000.5319613677802</v>
      </c>
    </row>
    <row r="50" spans="2:31" x14ac:dyDescent="0.2">
      <c r="B50" s="20" t="s">
        <v>304</v>
      </c>
      <c r="C50" s="133">
        <f t="shared" ref="C50:P50" si="156">C27/C42</f>
        <v>0</v>
      </c>
      <c r="D50" s="133">
        <f t="shared" si="156"/>
        <v>0</v>
      </c>
      <c r="E50" s="133">
        <f t="shared" si="156"/>
        <v>0</v>
      </c>
      <c r="F50" s="133">
        <f t="shared" si="156"/>
        <v>0</v>
      </c>
      <c r="G50" s="133">
        <f t="shared" si="156"/>
        <v>400.84033613445382</v>
      </c>
      <c r="H50" s="133">
        <f t="shared" si="156"/>
        <v>441.1764705882353</v>
      </c>
      <c r="I50" s="133">
        <f t="shared" si="156"/>
        <v>484.87394957983196</v>
      </c>
      <c r="J50" s="133">
        <f t="shared" si="156"/>
        <v>480.67226890756302</v>
      </c>
      <c r="K50" s="133">
        <f t="shared" si="156"/>
        <v>520.1680672268908</v>
      </c>
      <c r="L50" s="133">
        <f t="shared" si="156"/>
        <v>604.20168067226894</v>
      </c>
      <c r="M50" s="133">
        <f t="shared" si="156"/>
        <v>565.11627906976742</v>
      </c>
      <c r="N50" s="133">
        <f t="shared" si="156"/>
        <v>482.4742268041237</v>
      </c>
      <c r="O50" s="133">
        <f t="shared" si="156"/>
        <v>55.967078189300409</v>
      </c>
      <c r="P50" s="133">
        <f t="shared" si="156"/>
        <v>64.711934156378589</v>
      </c>
      <c r="Q50" s="118">
        <f>((P50/G50)^(1/($H$2-$H$1) ))-1</f>
        <v>-0.18341492047646157</v>
      </c>
      <c r="R50" s="128"/>
      <c r="S50" s="158">
        <f t="shared" ref="S50:AB50" si="157">S27/S42</f>
        <v>69.787379972565162</v>
      </c>
      <c r="T50" s="158">
        <f t="shared" si="157"/>
        <v>75.260899970413419</v>
      </c>
      <c r="U50" s="158">
        <f t="shared" si="157"/>
        <v>81.163715654367422</v>
      </c>
      <c r="V50" s="158">
        <f t="shared" si="157"/>
        <v>87.529497274317805</v>
      </c>
      <c r="W50" s="158">
        <f t="shared" si="157"/>
        <v>94.394555884068239</v>
      </c>
      <c r="X50" s="158">
        <f t="shared" si="157"/>
        <v>101.79805046321086</v>
      </c>
      <c r="Y50" s="158">
        <f t="shared" si="157"/>
        <v>109.78221128385483</v>
      </c>
      <c r="Z50" s="158">
        <f t="shared" si="157"/>
        <v>118.39258079631406</v>
      </c>
      <c r="AA50" s="158">
        <f t="shared" si="157"/>
        <v>127.67827340778967</v>
      </c>
      <c r="AB50" s="158">
        <f t="shared" si="157"/>
        <v>137.69225563585161</v>
      </c>
      <c r="AC50" s="138">
        <f t="shared" ref="AC50" si="158">((AB50/G50)^(1/($AB$3-$H$1) ))-1</f>
        <v>-5.4686871731208231E-2</v>
      </c>
      <c r="AD50" s="31">
        <f t="shared" si="17"/>
        <v>0.05</v>
      </c>
      <c r="AE50" s="146">
        <f t="shared" si="155"/>
        <v>850.45216716261302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59">C40/C42</f>
        <v>0</v>
      </c>
      <c r="D52" s="25">
        <f t="shared" si="159"/>
        <v>0</v>
      </c>
      <c r="E52" s="25">
        <f t="shared" si="159"/>
        <v>0</v>
      </c>
      <c r="F52" s="133">
        <f t="shared" si="159"/>
        <v>0</v>
      </c>
      <c r="G52" s="133">
        <f t="shared" si="159"/>
        <v>21.428571428571431</v>
      </c>
      <c r="H52" s="133">
        <f t="shared" si="159"/>
        <v>28.151260504201684</v>
      </c>
      <c r="I52" s="133">
        <f t="shared" si="159"/>
        <v>35.731092436974791</v>
      </c>
      <c r="J52" s="133">
        <f t="shared" si="159"/>
        <v>49.159663865546221</v>
      </c>
      <c r="K52" s="133">
        <f t="shared" si="159"/>
        <v>105.29411764705883</v>
      </c>
      <c r="L52" s="133">
        <f t="shared" si="159"/>
        <v>60.504201680672274</v>
      </c>
      <c r="M52" s="133">
        <f t="shared" si="159"/>
        <v>78.294573643410857</v>
      </c>
      <c r="N52" s="133">
        <f t="shared" si="159"/>
        <v>64.948453608247419</v>
      </c>
      <c r="O52" s="133">
        <f t="shared" si="159"/>
        <v>5.1954732510288064</v>
      </c>
      <c r="P52" s="133">
        <f t="shared" si="159"/>
        <v>6.121399176954732</v>
      </c>
      <c r="Q52" s="118">
        <f>((P52/G52)^(1/($H$2-$H$1) ))-1</f>
        <v>-0.12995899737996153</v>
      </c>
      <c r="R52" s="128"/>
      <c r="S52" s="158">
        <f t="shared" ref="S52:AB52" si="160">S40/S42</f>
        <v>6.6015089163237315</v>
      </c>
      <c r="T52" s="158">
        <f t="shared" si="160"/>
        <v>7.1192743215255927</v>
      </c>
      <c r="U52" s="158">
        <f t="shared" si="160"/>
        <v>7.6776487781158353</v>
      </c>
      <c r="V52" s="158">
        <f t="shared" si="160"/>
        <v>8.2798173097327652</v>
      </c>
      <c r="W52" s="158">
        <f t="shared" si="160"/>
        <v>8.9292147457902367</v>
      </c>
      <c r="X52" s="158">
        <f t="shared" si="160"/>
        <v>9.6295453140875118</v>
      </c>
      <c r="Y52" s="158">
        <f t="shared" si="160"/>
        <v>10.384803770094376</v>
      </c>
      <c r="Z52" s="158">
        <f t="shared" si="160"/>
        <v>11.199298183435113</v>
      </c>
      <c r="AA52" s="158">
        <f t="shared" si="160"/>
        <v>12.07767451154767</v>
      </c>
      <c r="AB52" s="158">
        <f t="shared" si="160"/>
        <v>13.024943100688665</v>
      </c>
      <c r="AC52" s="138">
        <f t="shared" ref="AC52:AC66" si="161">((AB52/G52)^(1/($AB$3-$H$1) ))-1</f>
        <v>-2.586277908072987E-2</v>
      </c>
      <c r="AD52" s="31">
        <f t="shared" si="17"/>
        <v>0.05</v>
      </c>
      <c r="AE52" s="146">
        <f t="shared" ref="AE52:AE80" si="162">(AB52*(1+AD52))/($C$1-AD52)</f>
        <v>80.448177974841755</v>
      </c>
    </row>
    <row r="53" spans="2:31" x14ac:dyDescent="0.2">
      <c r="B53" s="20" t="s">
        <v>388</v>
      </c>
      <c r="C53" s="133">
        <f t="shared" ref="C53:F53" si="163">C20/C42</f>
        <v>0</v>
      </c>
      <c r="D53" s="133">
        <f t="shared" si="163"/>
        <v>0</v>
      </c>
      <c r="E53" s="133">
        <f t="shared" si="163"/>
        <v>0</v>
      </c>
      <c r="F53" s="133">
        <f t="shared" si="163"/>
        <v>0</v>
      </c>
      <c r="G53" s="133">
        <f>G20/G42</f>
        <v>-19.327731092436977</v>
      </c>
      <c r="H53" s="133">
        <f t="shared" ref="H53:P53" si="164">H20/H42</f>
        <v>89.915966386554629</v>
      </c>
      <c r="I53" s="133">
        <f t="shared" si="164"/>
        <v>63.865546218487395</v>
      </c>
      <c r="J53" s="133">
        <f t="shared" si="164"/>
        <v>36.97478991596639</v>
      </c>
      <c r="K53" s="133">
        <f t="shared" si="164"/>
        <v>-36.97478991596639</v>
      </c>
      <c r="L53" s="133">
        <f t="shared" si="164"/>
        <v>115.96638655462185</v>
      </c>
      <c r="M53" s="133">
        <f t="shared" si="164"/>
        <v>165.89147286821705</v>
      </c>
      <c r="N53" s="133">
        <f t="shared" si="164"/>
        <v>50</v>
      </c>
      <c r="O53" s="133">
        <f t="shared" si="164"/>
        <v>5.0925925925925926</v>
      </c>
      <c r="P53" s="133">
        <f t="shared" si="164"/>
        <v>7.5102880658436213</v>
      </c>
      <c r="Q53" s="118">
        <f>((P53/G53)^(1/($H$2-$H$1) ))-1</f>
        <v>-1.9002978047391341</v>
      </c>
      <c r="R53" s="128"/>
      <c r="S53" s="133">
        <f t="shared" ref="S53:AB53" si="165">S20/S42</f>
        <v>8.099330267086259</v>
      </c>
      <c r="T53" s="133">
        <f t="shared" si="165"/>
        <v>8.7345718566616544</v>
      </c>
      <c r="U53" s="133">
        <f t="shared" si="165"/>
        <v>9.4196363160076668</v>
      </c>
      <c r="V53" s="133">
        <f t="shared" si="165"/>
        <v>10.158431321184739</v>
      </c>
      <c r="W53" s="133">
        <f t="shared" si="165"/>
        <v>10.95517103265021</v>
      </c>
      <c r="X53" s="133">
        <f t="shared" si="165"/>
        <v>11.814400133250228</v>
      </c>
      <c r="Y53" s="133">
        <f t="shared" si="165"/>
        <v>12.741019751544364</v>
      </c>
      <c r="Z53" s="133">
        <f t="shared" si="165"/>
        <v>13.740315418332159</v>
      </c>
      <c r="AA53" s="133">
        <f t="shared" si="165"/>
        <v>14.817987215848408</v>
      </c>
      <c r="AB53" s="133">
        <f t="shared" si="165"/>
        <v>15.980182291601224</v>
      </c>
      <c r="AC53" s="138">
        <f t="shared" ref="AC53" si="166">((AB53/G53)^(1/($AB$3-$H$1) ))-1</f>
        <v>-1.9900398519582272</v>
      </c>
      <c r="AD53" s="31">
        <f t="shared" si="17"/>
        <v>0.05</v>
      </c>
      <c r="AE53" s="146">
        <f t="shared" si="162"/>
        <v>98.701125918713458</v>
      </c>
    </row>
    <row r="54" spans="2:31" x14ac:dyDescent="0.2">
      <c r="B54" s="20" t="s">
        <v>245</v>
      </c>
      <c r="C54" s="25">
        <f t="shared" ref="C54:P54" si="167">C7/C42</f>
        <v>0</v>
      </c>
      <c r="D54" s="25">
        <f t="shared" si="167"/>
        <v>0</v>
      </c>
      <c r="E54" s="25">
        <f t="shared" si="167"/>
        <v>0</v>
      </c>
      <c r="F54" s="133">
        <f t="shared" si="167"/>
        <v>0</v>
      </c>
      <c r="G54" s="133">
        <f t="shared" si="167"/>
        <v>103.36134453781513</v>
      </c>
      <c r="H54" s="133">
        <f t="shared" si="167"/>
        <v>122.68907563025211</v>
      </c>
      <c r="I54" s="133">
        <f t="shared" si="167"/>
        <v>147.05882352941177</v>
      </c>
      <c r="J54" s="133">
        <f t="shared" si="167"/>
        <v>178.1512605042017</v>
      </c>
      <c r="K54" s="133">
        <f t="shared" si="167"/>
        <v>258.8235294117647</v>
      </c>
      <c r="L54" s="133">
        <f t="shared" si="167"/>
        <v>293.27731092436977</v>
      </c>
      <c r="M54" s="133">
        <f t="shared" si="167"/>
        <v>328.68217054263567</v>
      </c>
      <c r="N54" s="133">
        <f t="shared" si="167"/>
        <v>260.30927835051546</v>
      </c>
      <c r="O54" s="133">
        <f t="shared" si="167"/>
        <v>28.446502057613166</v>
      </c>
      <c r="P54" s="133">
        <f t="shared" si="167"/>
        <v>31.893004115226336</v>
      </c>
      <c r="Q54" s="118">
        <f>((P54/G54)^(1/($H$2-$H$1) ))-1</f>
        <v>-0.12247459663744853</v>
      </c>
      <c r="R54" s="128"/>
      <c r="S54" s="158">
        <f t="shared" ref="S54:AB54" si="168">S7/S42</f>
        <v>34.394416202695069</v>
      </c>
      <c r="T54" s="158">
        <f t="shared" si="168"/>
        <v>37.092017473494685</v>
      </c>
      <c r="U54" s="158">
        <f t="shared" si="168"/>
        <v>40.001195314553094</v>
      </c>
      <c r="V54" s="158">
        <f t="shared" si="168"/>
        <v>43.138543966674909</v>
      </c>
      <c r="W54" s="158">
        <f t="shared" si="168"/>
        <v>46.521959179747455</v>
      </c>
      <c r="X54" s="158">
        <f t="shared" si="168"/>
        <v>50.170740291884513</v>
      </c>
      <c r="Y54" s="158">
        <f t="shared" si="168"/>
        <v>54.105700314777422</v>
      </c>
      <c r="Z54" s="158">
        <f t="shared" si="168"/>
        <v>58.34928465319134</v>
      </c>
      <c r="AA54" s="158">
        <f t="shared" si="168"/>
        <v>62.925699135794581</v>
      </c>
      <c r="AB54" s="158">
        <f t="shared" si="168"/>
        <v>67.861048087621612</v>
      </c>
      <c r="AC54" s="138">
        <f t="shared" si="161"/>
        <v>-2.1902312181013017E-2</v>
      </c>
      <c r="AD54" s="31">
        <f t="shared" si="17"/>
        <v>0.05</v>
      </c>
      <c r="AE54" s="146">
        <f t="shared" si="162"/>
        <v>419.1417676000159</v>
      </c>
    </row>
    <row r="55" spans="2:31" x14ac:dyDescent="0.2">
      <c r="B55" s="20" t="s">
        <v>246</v>
      </c>
      <c r="C55" s="127">
        <f t="shared" ref="C55:P55" si="169">C6/C42</f>
        <v>0</v>
      </c>
      <c r="D55" s="127">
        <f t="shared" si="169"/>
        <v>0</v>
      </c>
      <c r="E55" s="127">
        <f t="shared" si="169"/>
        <v>0</v>
      </c>
      <c r="F55" s="144">
        <f t="shared" si="169"/>
        <v>0</v>
      </c>
      <c r="G55" s="144">
        <f t="shared" si="169"/>
        <v>19.327731092436977</v>
      </c>
      <c r="H55" s="144">
        <f t="shared" si="169"/>
        <v>38.655462184873954</v>
      </c>
      <c r="I55" s="144">
        <f t="shared" si="169"/>
        <v>63.865546218487395</v>
      </c>
      <c r="J55" s="144">
        <f t="shared" si="169"/>
        <v>94.117647058823536</v>
      </c>
      <c r="K55" s="144">
        <f t="shared" si="169"/>
        <v>174.78991596638656</v>
      </c>
      <c r="L55" s="144">
        <f t="shared" si="169"/>
        <v>209.24369747899161</v>
      </c>
      <c r="M55" s="144">
        <f t="shared" si="169"/>
        <v>318.60465116279067</v>
      </c>
      <c r="N55" s="144">
        <f t="shared" si="169"/>
        <v>250</v>
      </c>
      <c r="O55" s="144">
        <f t="shared" si="169"/>
        <v>27.417695473251026</v>
      </c>
      <c r="P55" s="144">
        <f t="shared" si="169"/>
        <v>30.915637860082303</v>
      </c>
      <c r="Q55" s="118">
        <f>((P55/G55)^(1/($H$2-$H$1) ))-1</f>
        <v>5.3577217161858703E-2</v>
      </c>
      <c r="R55" s="128"/>
      <c r="S55" s="157">
        <f t="shared" ref="S55:AB55" si="170">S6/S42</f>
        <v>33.340393770676997</v>
      </c>
      <c r="T55" s="157">
        <f t="shared" si="170"/>
        <v>35.955326615435979</v>
      </c>
      <c r="U55" s="157">
        <f t="shared" si="170"/>
        <v>38.775352232332921</v>
      </c>
      <c r="V55" s="157">
        <f t="shared" si="170"/>
        <v>41.816556328986486</v>
      </c>
      <c r="W55" s="157">
        <f t="shared" si="170"/>
        <v>45.096286237142294</v>
      </c>
      <c r="X55" s="157">
        <f t="shared" si="170"/>
        <v>48.63324986358483</v>
      </c>
      <c r="Y55" s="157">
        <f t="shared" si="170"/>
        <v>52.447622401905214</v>
      </c>
      <c r="Z55" s="157">
        <f t="shared" si="170"/>
        <v>56.561161413819349</v>
      </c>
      <c r="AA55" s="157">
        <f t="shared" si="170"/>
        <v>60.997330936471862</v>
      </c>
      <c r="AB55" s="157">
        <f t="shared" si="170"/>
        <v>65.781435323646122</v>
      </c>
      <c r="AC55" s="138">
        <f t="shared" si="161"/>
        <v>6.6586099894168971E-2</v>
      </c>
      <c r="AD55" s="31">
        <f t="shared" si="17"/>
        <v>0.05</v>
      </c>
      <c r="AE55" s="146">
        <f t="shared" si="162"/>
        <v>406.29710052840255</v>
      </c>
    </row>
    <row r="56" spans="2:31" x14ac:dyDescent="0.2">
      <c r="B56" s="20" t="s">
        <v>247</v>
      </c>
      <c r="C56" s="127">
        <f t="shared" ref="C56:P56" si="171">C10/C42</f>
        <v>0</v>
      </c>
      <c r="D56" s="127">
        <f t="shared" si="171"/>
        <v>0</v>
      </c>
      <c r="E56" s="127">
        <f t="shared" si="171"/>
        <v>0</v>
      </c>
      <c r="F56" s="144">
        <f t="shared" si="171"/>
        <v>0</v>
      </c>
      <c r="G56" s="144">
        <f t="shared" si="171"/>
        <v>209.24369747899161</v>
      </c>
      <c r="H56" s="144">
        <f t="shared" si="171"/>
        <v>116.80672268907564</v>
      </c>
      <c r="I56" s="144">
        <f t="shared" si="171"/>
        <v>97.478991596638664</v>
      </c>
      <c r="J56" s="144">
        <f t="shared" si="171"/>
        <v>30.252100840336137</v>
      </c>
      <c r="K56" s="144">
        <f t="shared" si="171"/>
        <v>39.495798319327733</v>
      </c>
      <c r="L56" s="144">
        <f t="shared" si="171"/>
        <v>68.907563025210081</v>
      </c>
      <c r="M56" s="144">
        <f t="shared" si="171"/>
        <v>6.2015503875968987</v>
      </c>
      <c r="N56" s="144">
        <f t="shared" si="171"/>
        <v>59.27835051546392</v>
      </c>
      <c r="O56" s="144">
        <f t="shared" si="171"/>
        <v>7.716049382716049</v>
      </c>
      <c r="P56" s="144">
        <f t="shared" si="171"/>
        <v>2.7777777777777777</v>
      </c>
      <c r="Q56" s="118">
        <f>((P56/G56)^(1/($H$2-$H$1) ))-1</f>
        <v>-0.38134367550253023</v>
      </c>
      <c r="R56" s="128"/>
      <c r="S56" s="157">
        <f t="shared" ref="S56:AB56" si="172">S10/S42</f>
        <v>2.9956427015250546</v>
      </c>
      <c r="T56" s="157">
        <f t="shared" si="172"/>
        <v>3.2305950702721185</v>
      </c>
      <c r="U56" s="157">
        <f t="shared" si="172"/>
        <v>3.4839750757836572</v>
      </c>
      <c r="V56" s="157">
        <f t="shared" si="172"/>
        <v>3.7572280229039445</v>
      </c>
      <c r="W56" s="157">
        <f t="shared" si="172"/>
        <v>4.0519125737199406</v>
      </c>
      <c r="X56" s="157">
        <f t="shared" si="172"/>
        <v>4.3697096383254266</v>
      </c>
      <c r="Y56" s="157">
        <f t="shared" si="172"/>
        <v>4.71243196289997</v>
      </c>
      <c r="Z56" s="157">
        <f t="shared" si="172"/>
        <v>5.0820344697940865</v>
      </c>
      <c r="AA56" s="157">
        <f t="shared" si="172"/>
        <v>5.4806254086014663</v>
      </c>
      <c r="AB56" s="157">
        <f t="shared" si="172"/>
        <v>5.9104783818251114</v>
      </c>
      <c r="AC56" s="138">
        <f t="shared" si="161"/>
        <v>-0.17115729714643302</v>
      </c>
      <c r="AD56" s="31">
        <f t="shared" si="17"/>
        <v>0.05</v>
      </c>
      <c r="AE56" s="146">
        <f t="shared" si="162"/>
        <v>36.505895887743343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3">(C7-C10)/C42</f>
        <v>0</v>
      </c>
      <c r="D58" s="127">
        <f t="shared" si="173"/>
        <v>0</v>
      </c>
      <c r="E58" s="127">
        <f t="shared" si="173"/>
        <v>0</v>
      </c>
      <c r="F58" s="144">
        <f t="shared" si="173"/>
        <v>0</v>
      </c>
      <c r="G58" s="144">
        <f t="shared" si="173"/>
        <v>-105.88235294117648</v>
      </c>
      <c r="H58" s="144">
        <f t="shared" si="173"/>
        <v>5.882352941176471</v>
      </c>
      <c r="I58" s="144">
        <f t="shared" si="173"/>
        <v>49.579831932773111</v>
      </c>
      <c r="J58" s="144">
        <f t="shared" si="173"/>
        <v>147.89915966386556</v>
      </c>
      <c r="K58" s="144">
        <f t="shared" si="173"/>
        <v>219.32773109243698</v>
      </c>
      <c r="L58" s="144">
        <f t="shared" si="173"/>
        <v>224.36974789915968</v>
      </c>
      <c r="M58" s="144">
        <f t="shared" si="173"/>
        <v>322.48062015503876</v>
      </c>
      <c r="N58" s="144">
        <f t="shared" si="173"/>
        <v>201.03092783505156</v>
      </c>
      <c r="O58" s="144">
        <f t="shared" si="173"/>
        <v>20.730452674897119</v>
      </c>
      <c r="P58" s="144">
        <f t="shared" si="173"/>
        <v>29.115226337448558</v>
      </c>
      <c r="Q58" s="118">
        <f>((P58/G58)^(1/($H$2-$H$1) ))-1</f>
        <v>-1.8663624499789062</v>
      </c>
      <c r="R58" s="128"/>
      <c r="S58" s="157">
        <f t="shared" ref="S58:AB58" si="174">(S7-S10)/S42</f>
        <v>31.398773501170016</v>
      </c>
      <c r="T58" s="157">
        <f t="shared" si="174"/>
        <v>33.861422403222562</v>
      </c>
      <c r="U58" s="157">
        <f t="shared" si="174"/>
        <v>36.51722023876944</v>
      </c>
      <c r="V58" s="157">
        <f t="shared" si="174"/>
        <v>39.381315943770964</v>
      </c>
      <c r="W58" s="157">
        <f t="shared" si="174"/>
        <v>42.470046606027509</v>
      </c>
      <c r="X58" s="157">
        <f t="shared" si="174"/>
        <v>45.801030653559089</v>
      </c>
      <c r="Y58" s="157">
        <f t="shared" si="174"/>
        <v>49.393268351877452</v>
      </c>
      <c r="Z58" s="157">
        <f t="shared" si="174"/>
        <v>53.267250183397259</v>
      </c>
      <c r="AA58" s="157">
        <f t="shared" si="174"/>
        <v>57.445073727193112</v>
      </c>
      <c r="AB58" s="157">
        <f t="shared" si="174"/>
        <v>61.950569705796489</v>
      </c>
      <c r="AC58" s="138">
        <f t="shared" si="161"/>
        <v>-1.9721840948086067</v>
      </c>
      <c r="AD58" s="31">
        <f t="shared" si="17"/>
        <v>0.05</v>
      </c>
      <c r="AE58" s="146">
        <f t="shared" si="162"/>
        <v>382.63587171227243</v>
      </c>
    </row>
    <row r="59" spans="2:31" x14ac:dyDescent="0.2">
      <c r="B59" s="20" t="s">
        <v>271</v>
      </c>
      <c r="C59" s="127">
        <f t="shared" ref="C59:P59" si="175">(C7-C10-C9)/C42</f>
        <v>0</v>
      </c>
      <c r="D59" s="127">
        <f t="shared" si="175"/>
        <v>0</v>
      </c>
      <c r="E59" s="127">
        <f t="shared" si="175"/>
        <v>0</v>
      </c>
      <c r="F59" s="144">
        <f t="shared" si="175"/>
        <v>0</v>
      </c>
      <c r="G59" s="144">
        <f t="shared" si="175"/>
        <v>-294.9579831932773</v>
      </c>
      <c r="H59" s="144">
        <f t="shared" si="175"/>
        <v>-150.42016806722691</v>
      </c>
      <c r="I59" s="144">
        <f t="shared" si="175"/>
        <v>-139.49579831932775</v>
      </c>
      <c r="J59" s="144">
        <f t="shared" si="175"/>
        <v>-49.579831932773111</v>
      </c>
      <c r="K59" s="144">
        <f t="shared" si="175"/>
        <v>83.193277310924373</v>
      </c>
      <c r="L59" s="144">
        <f t="shared" si="175"/>
        <v>44.537815126050425</v>
      </c>
      <c r="M59" s="144">
        <f t="shared" si="175"/>
        <v>106.2015503875969</v>
      </c>
      <c r="N59" s="144">
        <f t="shared" si="175"/>
        <v>27.835051546391753</v>
      </c>
      <c r="O59" s="144">
        <f t="shared" si="175"/>
        <v>2.4691358024691357</v>
      </c>
      <c r="P59" s="144">
        <f t="shared" si="175"/>
        <v>6.3271604938271597</v>
      </c>
      <c r="Q59" s="118">
        <f>((P59/G59)^(1/($H$2-$H$1) ))-1</f>
        <v>-1.6525374036817506</v>
      </c>
      <c r="R59" s="128"/>
      <c r="S59" s="157">
        <f t="shared" ref="S59:AB59" si="176">(S7-S10-S9)/S42</f>
        <v>6.8234083756959576</v>
      </c>
      <c r="T59" s="157">
        <f t="shared" si="176"/>
        <v>7.3585776600642641</v>
      </c>
      <c r="U59" s="157">
        <f t="shared" si="176"/>
        <v>7.9357210059516596</v>
      </c>
      <c r="V59" s="157">
        <f t="shared" si="176"/>
        <v>8.5581304966145311</v>
      </c>
      <c r="W59" s="157">
        <f t="shared" si="176"/>
        <v>9.2293564179176304</v>
      </c>
      <c r="X59" s="157">
        <f t="shared" si="176"/>
        <v>9.9532275095190172</v>
      </c>
      <c r="Y59" s="157">
        <f t="shared" si="176"/>
        <v>10.733872804383257</v>
      </c>
      <c r="Z59" s="157">
        <f t="shared" si="176"/>
        <v>11.575745181197629</v>
      </c>
      <c r="AA59" s="157">
        <f t="shared" si="176"/>
        <v>12.483646764036644</v>
      </c>
      <c r="AB59" s="157">
        <f t="shared" si="176"/>
        <v>13.462756314157158</v>
      </c>
      <c r="AC59" s="138">
        <f t="shared" si="161"/>
        <v>-1.8500426722135312</v>
      </c>
      <c r="AD59" s="31">
        <f t="shared" si="17"/>
        <v>0.05</v>
      </c>
      <c r="AE59" s="146">
        <f t="shared" si="162"/>
        <v>83.152318410970693</v>
      </c>
    </row>
    <row r="60" spans="2:31" x14ac:dyDescent="0.2">
      <c r="B60" s="20" t="s">
        <v>276</v>
      </c>
      <c r="C60" s="127">
        <f t="shared" ref="C60:P60" si="177">(C7+C15-C10-C9)/C42</f>
        <v>0</v>
      </c>
      <c r="D60" s="127">
        <f t="shared" si="177"/>
        <v>0</v>
      </c>
      <c r="E60" s="127">
        <f t="shared" si="177"/>
        <v>0</v>
      </c>
      <c r="F60" s="144">
        <f t="shared" si="177"/>
        <v>0</v>
      </c>
      <c r="G60" s="144">
        <f t="shared" si="177"/>
        <v>-27.731092436974791</v>
      </c>
      <c r="H60" s="144">
        <f t="shared" si="177"/>
        <v>34.45378151260504</v>
      </c>
      <c r="I60" s="144">
        <f t="shared" si="177"/>
        <v>64.705882352941174</v>
      </c>
      <c r="J60" s="144">
        <f t="shared" si="177"/>
        <v>151.26050420168067</v>
      </c>
      <c r="K60" s="144">
        <f t="shared" si="177"/>
        <v>299.15966386554624</v>
      </c>
      <c r="L60" s="144">
        <f t="shared" si="177"/>
        <v>273.10924369747903</v>
      </c>
      <c r="M60" s="144">
        <f t="shared" si="177"/>
        <v>288.37209302325579</v>
      </c>
      <c r="N60" s="144">
        <f t="shared" si="177"/>
        <v>208.24742268041237</v>
      </c>
      <c r="O60" s="144">
        <f t="shared" si="177"/>
        <v>22.325102880658434</v>
      </c>
      <c r="P60" s="144">
        <f t="shared" si="177"/>
        <v>29.886831275720162</v>
      </c>
      <c r="Q60" s="118">
        <f>((P60/G60)^(1/($H$2-$H$1) ))-1</f>
        <v>-2.0083528815371352</v>
      </c>
      <c r="R60" s="128"/>
      <c r="S60" s="157">
        <f t="shared" ref="S60:AB60" si="178">(S7+S15-S10-S9)/S42</f>
        <v>32.230896473815868</v>
      </c>
      <c r="T60" s="157">
        <f t="shared" si="178"/>
        <v>34.7588099227426</v>
      </c>
      <c r="U60" s="157">
        <f t="shared" si="178"/>
        <v>37.484991093153788</v>
      </c>
      <c r="V60" s="157">
        <f t="shared" si="178"/>
        <v>40.424990394577605</v>
      </c>
      <c r="W60" s="157">
        <f t="shared" si="178"/>
        <v>43.595577876505267</v>
      </c>
      <c r="X60" s="157">
        <f t="shared" si="178"/>
        <v>47.014838886427249</v>
      </c>
      <c r="Y60" s="157">
        <f t="shared" si="178"/>
        <v>50.702277230460773</v>
      </c>
      <c r="Z60" s="157">
        <f t="shared" si="178"/>
        <v>54.678926425006722</v>
      </c>
      <c r="AA60" s="157">
        <f t="shared" si="178"/>
        <v>58.967469674026837</v>
      </c>
      <c r="AB60" s="157">
        <f t="shared" si="178"/>
        <v>63.592369256303456</v>
      </c>
      <c r="AC60" s="138">
        <f t="shared" si="161"/>
        <v>-2.0446490712472758</v>
      </c>
      <c r="AD60" s="31">
        <f t="shared" si="17"/>
        <v>0.05</v>
      </c>
      <c r="AE60" s="146">
        <f t="shared" si="162"/>
        <v>392.77639834775664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79">C12/C42</f>
        <v>0</v>
      </c>
      <c r="D62" s="127">
        <f t="shared" si="179"/>
        <v>0</v>
      </c>
      <c r="E62" s="127">
        <f t="shared" si="179"/>
        <v>0</v>
      </c>
      <c r="F62" s="144">
        <f t="shared" si="179"/>
        <v>0</v>
      </c>
      <c r="G62" s="144">
        <f t="shared" si="179"/>
        <v>35.714285714285715</v>
      </c>
      <c r="H62" s="144">
        <f t="shared" si="179"/>
        <v>11.268907563025211</v>
      </c>
      <c r="I62" s="144">
        <f t="shared" si="179"/>
        <v>11.764705882352942</v>
      </c>
      <c r="J62" s="144">
        <f t="shared" si="179"/>
        <v>20.168067226890756</v>
      </c>
      <c r="K62" s="144">
        <f t="shared" si="179"/>
        <v>7.1428571428571432</v>
      </c>
      <c r="L62" s="144">
        <f t="shared" si="179"/>
        <v>6.7226890756302522</v>
      </c>
      <c r="M62" s="144">
        <f t="shared" si="179"/>
        <v>9.3023255813953494</v>
      </c>
      <c r="N62" s="144">
        <f t="shared" si="179"/>
        <v>7.731958762886598</v>
      </c>
      <c r="O62" s="144">
        <f t="shared" si="179"/>
        <v>0.56584362139917688</v>
      </c>
      <c r="P62" s="144">
        <f t="shared" si="179"/>
        <v>1.3374485596707819</v>
      </c>
      <c r="Q62" s="118">
        <f>((P62/G62)^(1/($H$2-$H$1) ))-1</f>
        <v>-0.30578692190685386</v>
      </c>
      <c r="R62" s="128"/>
      <c r="S62" s="157">
        <f t="shared" ref="S62:AB62" si="180">S12/S42</f>
        <v>1.4423464859194706</v>
      </c>
      <c r="T62" s="157">
        <f t="shared" si="180"/>
        <v>1.5554717005013901</v>
      </c>
      <c r="U62" s="157">
        <f t="shared" si="180"/>
        <v>1.6774694809328718</v>
      </c>
      <c r="V62" s="157">
        <f t="shared" si="180"/>
        <v>1.8090357147315288</v>
      </c>
      <c r="W62" s="157">
        <f t="shared" si="180"/>
        <v>1.9509208688281197</v>
      </c>
      <c r="X62" s="157">
        <f t="shared" si="180"/>
        <v>2.1039342703048352</v>
      </c>
      <c r="Y62" s="157">
        <f t="shared" si="180"/>
        <v>2.2689487228777634</v>
      </c>
      <c r="Z62" s="157">
        <f t="shared" si="180"/>
        <v>2.4469054854564116</v>
      </c>
      <c r="AA62" s="157">
        <f t="shared" si="180"/>
        <v>2.6388196411784834</v>
      </c>
      <c r="AB62" s="157">
        <f t="shared" si="180"/>
        <v>2.8457858875454232</v>
      </c>
      <c r="AC62" s="138">
        <f t="shared" si="161"/>
        <v>-0.12465983727893248</v>
      </c>
      <c r="AD62" s="31">
        <f t="shared" si="17"/>
        <v>0.05</v>
      </c>
      <c r="AE62" s="146">
        <f t="shared" si="162"/>
        <v>17.57691283483938</v>
      </c>
    </row>
    <row r="63" spans="2:31" x14ac:dyDescent="0.2">
      <c r="B63" s="20" t="s">
        <v>255</v>
      </c>
      <c r="C63" s="127">
        <f t="shared" ref="C63:P63" si="181">C13/C42</f>
        <v>0</v>
      </c>
      <c r="D63" s="127">
        <f t="shared" si="181"/>
        <v>0</v>
      </c>
      <c r="E63" s="127">
        <f t="shared" si="181"/>
        <v>0</v>
      </c>
      <c r="F63" s="144">
        <f t="shared" si="181"/>
        <v>0</v>
      </c>
      <c r="G63" s="144">
        <f t="shared" si="181"/>
        <v>2.5210084033613445</v>
      </c>
      <c r="H63" s="144">
        <f t="shared" si="181"/>
        <v>2.1008403361344539</v>
      </c>
      <c r="I63" s="144">
        <f t="shared" si="181"/>
        <v>41.176470588235297</v>
      </c>
      <c r="J63" s="144">
        <f t="shared" si="181"/>
        <v>26.050420168067227</v>
      </c>
      <c r="K63" s="144">
        <f t="shared" si="181"/>
        <v>46.218487394957982</v>
      </c>
      <c r="L63" s="144">
        <f t="shared" si="181"/>
        <v>114.28571428571429</v>
      </c>
      <c r="M63" s="144">
        <f t="shared" si="181"/>
        <v>108.52713178294573</v>
      </c>
      <c r="N63" s="144">
        <f t="shared" si="181"/>
        <v>12.88659793814433</v>
      </c>
      <c r="O63" s="144">
        <f t="shared" si="181"/>
        <v>1.1831275720164609</v>
      </c>
      <c r="P63" s="144">
        <f t="shared" si="181"/>
        <v>1.0288065843621399</v>
      </c>
      <c r="Q63" s="118">
        <f>((P63/G63)^(1/($H$2-$H$1) ))-1</f>
        <v>-9.4786444027435857E-2</v>
      </c>
      <c r="R63" s="128"/>
      <c r="S63" s="157">
        <f t="shared" ref="S63:AB63" si="182">S13/S42</f>
        <v>1.1094972968611312</v>
      </c>
      <c r="T63" s="157">
        <f t="shared" si="182"/>
        <v>1.196516692693377</v>
      </c>
      <c r="U63" s="157">
        <f t="shared" si="182"/>
        <v>1.2903611391791321</v>
      </c>
      <c r="V63" s="157">
        <f t="shared" si="182"/>
        <v>1.391565934408868</v>
      </c>
      <c r="W63" s="157">
        <f t="shared" si="182"/>
        <v>1.5007083606370146</v>
      </c>
      <c r="X63" s="157">
        <f t="shared" si="182"/>
        <v>1.618410977157565</v>
      </c>
      <c r="Y63" s="157">
        <f t="shared" si="182"/>
        <v>1.7453451714444328</v>
      </c>
      <c r="Z63" s="157">
        <f t="shared" si="182"/>
        <v>1.882234988812624</v>
      </c>
      <c r="AA63" s="157">
        <f t="shared" si="182"/>
        <v>2.029861262444987</v>
      </c>
      <c r="AB63" s="157">
        <f t="shared" si="182"/>
        <v>2.1890660673426328</v>
      </c>
      <c r="AC63" s="138">
        <f t="shared" si="161"/>
        <v>-7.4031962292512299E-3</v>
      </c>
      <c r="AD63" s="31">
        <f t="shared" si="17"/>
        <v>0.05</v>
      </c>
      <c r="AE63" s="146">
        <f t="shared" si="162"/>
        <v>13.520702180645674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3">(D62+D63)</f>
        <v>0</v>
      </c>
      <c r="E64" s="127">
        <f t="shared" si="183"/>
        <v>0</v>
      </c>
      <c r="F64" s="144">
        <f t="shared" si="183"/>
        <v>0</v>
      </c>
      <c r="G64" s="144">
        <f t="shared" si="183"/>
        <v>38.235294117647058</v>
      </c>
      <c r="H64" s="144">
        <f t="shared" si="183"/>
        <v>13.369747899159664</v>
      </c>
      <c r="I64" s="144">
        <f t="shared" si="183"/>
        <v>52.941176470588239</v>
      </c>
      <c r="J64" s="144">
        <f t="shared" si="183"/>
        <v>46.218487394957982</v>
      </c>
      <c r="K64" s="144">
        <f t="shared" si="183"/>
        <v>53.361344537815128</v>
      </c>
      <c r="L64" s="144">
        <f t="shared" si="183"/>
        <v>121.00840336134455</v>
      </c>
      <c r="M64" s="144">
        <f t="shared" si="183"/>
        <v>117.82945736434108</v>
      </c>
      <c r="N64" s="144">
        <f t="shared" si="183"/>
        <v>20.618556701030929</v>
      </c>
      <c r="O64" s="144">
        <f t="shared" ref="O64" si="184">(O62+O63)</f>
        <v>1.7489711934156378</v>
      </c>
      <c r="P64" s="144">
        <f t="shared" si="183"/>
        <v>2.3662551440329218</v>
      </c>
      <c r="Q64" s="118">
        <f>((P64/G64)^(1/($H$2-$H$1) ))-1</f>
        <v>-0.26593753949390875</v>
      </c>
      <c r="R64" s="128"/>
      <c r="S64" s="157">
        <f t="shared" ref="S64:AB64" si="185">(S62+S63)</f>
        <v>2.551843782780602</v>
      </c>
      <c r="T64" s="157">
        <f t="shared" si="185"/>
        <v>2.7519883931947673</v>
      </c>
      <c r="U64" s="157">
        <f t="shared" si="185"/>
        <v>2.9678306201120037</v>
      </c>
      <c r="V64" s="157">
        <f t="shared" si="185"/>
        <v>3.2006016491403968</v>
      </c>
      <c r="W64" s="157">
        <f t="shared" si="185"/>
        <v>3.4516292294651345</v>
      </c>
      <c r="X64" s="157">
        <f t="shared" si="185"/>
        <v>3.7223452474624001</v>
      </c>
      <c r="Y64" s="157">
        <f t="shared" si="185"/>
        <v>4.0142938943221962</v>
      </c>
      <c r="Z64" s="157">
        <f t="shared" si="185"/>
        <v>4.3291404742690354</v>
      </c>
      <c r="AA64" s="157">
        <f t="shared" si="185"/>
        <v>4.6686809036234704</v>
      </c>
      <c r="AB64" s="157">
        <f t="shared" si="185"/>
        <v>5.0348519548880564</v>
      </c>
      <c r="AC64" s="138">
        <f t="shared" si="161"/>
        <v>-0.10120827183342918</v>
      </c>
      <c r="AD64" s="31">
        <f t="shared" si="17"/>
        <v>0.05</v>
      </c>
      <c r="AE64" s="146">
        <f t="shared" si="162"/>
        <v>31.097615015485061</v>
      </c>
    </row>
    <row r="65" spans="2:31" x14ac:dyDescent="0.2">
      <c r="B65" s="20" t="s">
        <v>249</v>
      </c>
      <c r="C65" s="127">
        <f t="shared" ref="C65:P65" si="186">C15/C42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0</v>
      </c>
      <c r="G65" s="144">
        <f t="shared" si="186"/>
        <v>267.22689075630251</v>
      </c>
      <c r="H65" s="144">
        <f t="shared" si="186"/>
        <v>184.87394957983193</v>
      </c>
      <c r="I65" s="144">
        <f t="shared" si="186"/>
        <v>204.20168067226891</v>
      </c>
      <c r="J65" s="144">
        <f t="shared" si="186"/>
        <v>200.84033613445379</v>
      </c>
      <c r="K65" s="144">
        <f t="shared" si="186"/>
        <v>215.96638655462186</v>
      </c>
      <c r="L65" s="144">
        <f t="shared" si="186"/>
        <v>228.57142857142858</v>
      </c>
      <c r="M65" s="144">
        <f t="shared" si="186"/>
        <v>182.1705426356589</v>
      </c>
      <c r="N65" s="144">
        <f t="shared" si="186"/>
        <v>180.41237113402062</v>
      </c>
      <c r="O65" s="144">
        <f t="shared" si="186"/>
        <v>19.855967078189298</v>
      </c>
      <c r="P65" s="144">
        <f t="shared" si="186"/>
        <v>23.559670781893004</v>
      </c>
      <c r="Q65" s="118">
        <f>((P65/G65)^(1/($H$2-$H$1) ))-1</f>
        <v>-0.2364984985896692</v>
      </c>
      <c r="R65" s="128"/>
      <c r="S65" s="157">
        <f t="shared" ref="S65:AB65" si="187">S15/S42</f>
        <v>25.407488098119909</v>
      </c>
      <c r="T65" s="157">
        <f t="shared" si="187"/>
        <v>27.400232262678333</v>
      </c>
      <c r="U65" s="157">
        <f t="shared" si="187"/>
        <v>29.549270087202125</v>
      </c>
      <c r="V65" s="157">
        <f t="shared" si="187"/>
        <v>31.866859897963078</v>
      </c>
      <c r="W65" s="157">
        <f t="shared" si="187"/>
        <v>34.366221458587638</v>
      </c>
      <c r="X65" s="157">
        <f t="shared" si="187"/>
        <v>37.061611376908239</v>
      </c>
      <c r="Y65" s="157">
        <f t="shared" si="187"/>
        <v>39.968404426077512</v>
      </c>
      <c r="Z65" s="157">
        <f t="shared" si="187"/>
        <v>43.10318124380909</v>
      </c>
      <c r="AA65" s="157">
        <f t="shared" si="187"/>
        <v>46.483822909990195</v>
      </c>
      <c r="AB65" s="157">
        <f t="shared" si="187"/>
        <v>50.129612942146288</v>
      </c>
      <c r="AC65" s="138">
        <f t="shared" si="161"/>
        <v>-8.4310750591909733E-2</v>
      </c>
      <c r="AD65" s="31">
        <f t="shared" si="17"/>
        <v>0.05</v>
      </c>
      <c r="AE65" s="146">
        <f t="shared" si="162"/>
        <v>309.62407993678596</v>
      </c>
    </row>
    <row r="66" spans="2:31" x14ac:dyDescent="0.2">
      <c r="B66" s="20" t="s">
        <v>250</v>
      </c>
      <c r="C66" s="127">
        <f t="shared" ref="C66:P66" si="188">C16/C42</f>
        <v>0</v>
      </c>
      <c r="D66" s="127">
        <f t="shared" si="188"/>
        <v>0</v>
      </c>
      <c r="E66" s="127">
        <f t="shared" si="188"/>
        <v>0</v>
      </c>
      <c r="F66" s="144">
        <f t="shared" si="188"/>
        <v>0</v>
      </c>
      <c r="G66" s="144">
        <f t="shared" si="188"/>
        <v>148.73949579831933</v>
      </c>
      <c r="H66" s="144">
        <f t="shared" si="188"/>
        <v>75.630252100840337</v>
      </c>
      <c r="I66" s="144">
        <f t="shared" si="188"/>
        <v>59.663865546218489</v>
      </c>
      <c r="J66" s="144">
        <f t="shared" si="188"/>
        <v>58.82352941176471</v>
      </c>
      <c r="K66" s="144">
        <f t="shared" si="188"/>
        <v>126.05042016806723</v>
      </c>
      <c r="L66" s="144">
        <f t="shared" si="188"/>
        <v>84.87394957983193</v>
      </c>
      <c r="M66" s="144">
        <f t="shared" si="188"/>
        <v>20.930232558139533</v>
      </c>
      <c r="N66" s="144">
        <f t="shared" si="188"/>
        <v>45.876288659793815</v>
      </c>
      <c r="O66" s="144">
        <f t="shared" si="188"/>
        <v>5.4012345679012341</v>
      </c>
      <c r="P66" s="144">
        <f t="shared" si="188"/>
        <v>3.6008230452674894</v>
      </c>
      <c r="Q66" s="118">
        <f>((P66/G66)^(1/($H$2-$H$1) ))-1</f>
        <v>-0.33863422116494002</v>
      </c>
      <c r="R66" s="128"/>
      <c r="S66" s="157">
        <f t="shared" ref="S66:AB66" si="189">S16/S42</f>
        <v>3.8832405390139595</v>
      </c>
      <c r="T66" s="157">
        <f t="shared" si="189"/>
        <v>4.1878084244268194</v>
      </c>
      <c r="U66" s="157">
        <f t="shared" si="189"/>
        <v>4.5162639871269628</v>
      </c>
      <c r="V66" s="157">
        <f t="shared" si="189"/>
        <v>4.8704807704310378</v>
      </c>
      <c r="W66" s="157">
        <f t="shared" si="189"/>
        <v>5.252479262229552</v>
      </c>
      <c r="X66" s="157">
        <f t="shared" si="189"/>
        <v>5.6644384200514777</v>
      </c>
      <c r="Y66" s="157">
        <f t="shared" si="189"/>
        <v>6.1087081000555159</v>
      </c>
      <c r="Z66" s="157">
        <f t="shared" si="189"/>
        <v>6.5878224608441842</v>
      </c>
      <c r="AA66" s="157">
        <f t="shared" si="189"/>
        <v>7.1045144185574545</v>
      </c>
      <c r="AB66" s="157">
        <f t="shared" si="189"/>
        <v>7.6617312356992162</v>
      </c>
      <c r="AC66" s="138">
        <f t="shared" si="161"/>
        <v>-0.14452899330439606</v>
      </c>
      <c r="AD66" s="137"/>
      <c r="AE66" s="146">
        <f t="shared" si="162"/>
        <v>34.826051071360077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0">D43</f>
        <v>0</v>
      </c>
      <c r="E68" s="159">
        <f t="shared" si="190"/>
        <v>0</v>
      </c>
      <c r="F68" s="159">
        <f t="shared" si="190"/>
        <v>0</v>
      </c>
      <c r="G68" s="159">
        <f t="shared" si="190"/>
        <v>0</v>
      </c>
      <c r="H68" s="159">
        <f t="shared" si="190"/>
        <v>1</v>
      </c>
      <c r="I68" s="159">
        <f t="shared" si="190"/>
        <v>4</v>
      </c>
      <c r="J68" s="159">
        <f t="shared" si="190"/>
        <v>8</v>
      </c>
      <c r="K68" s="159">
        <f t="shared" si="190"/>
        <v>16</v>
      </c>
      <c r="L68" s="159">
        <f t="shared" si="190"/>
        <v>16</v>
      </c>
      <c r="M68" s="159">
        <f t="shared" si="190"/>
        <v>18</v>
      </c>
      <c r="N68" s="159">
        <f t="shared" si="190"/>
        <v>20</v>
      </c>
      <c r="O68" s="159">
        <f t="shared" si="190"/>
        <v>2.2000000000000002</v>
      </c>
      <c r="P68" s="159">
        <f t="shared" si="190"/>
        <v>2.2999999999999998</v>
      </c>
      <c r="Q68" s="118" t="e">
        <f>((P68/G68)^(1/($H$2-$H$1) ))-1</f>
        <v>#DIV/0!</v>
      </c>
      <c r="R68" s="128"/>
      <c r="S68" s="159">
        <f t="shared" ref="S68:AB68" si="191">S43</f>
        <v>2.415</v>
      </c>
      <c r="T68" s="159">
        <f t="shared" si="191"/>
        <v>2.5357500000000002</v>
      </c>
      <c r="U68" s="159">
        <f t="shared" si="191"/>
        <v>2.6625375000000004</v>
      </c>
      <c r="V68" s="159">
        <f t="shared" si="191"/>
        <v>2.7956643750000008</v>
      </c>
      <c r="W68" s="159">
        <f t="shared" si="191"/>
        <v>2.9354475937500011</v>
      </c>
      <c r="X68" s="159">
        <f t="shared" si="191"/>
        <v>3.0822199734375011</v>
      </c>
      <c r="Y68" s="159">
        <f t="shared" si="191"/>
        <v>3.2363309721093763</v>
      </c>
      <c r="Z68" s="159">
        <f t="shared" si="191"/>
        <v>3.3981475207148453</v>
      </c>
      <c r="AA68" s="159">
        <f t="shared" si="191"/>
        <v>3.5680548967505876</v>
      </c>
      <c r="AB68" s="159">
        <f t="shared" si="191"/>
        <v>3.7464576415881172</v>
      </c>
      <c r="AC68" s="138" t="e">
        <f t="shared" ref="AC68" si="192">((AB68/G68)^(1/($AB$3-$H$1) ))-1</f>
        <v>#DIV/0!</v>
      </c>
      <c r="AD68" s="31">
        <f t="shared" si="17"/>
        <v>0.05</v>
      </c>
      <c r="AE68" s="146">
        <f t="shared" si="162"/>
        <v>23.139885433338375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93">C20+C21</f>
        <v>0</v>
      </c>
      <c r="D70" s="127">
        <f t="shared" si="193"/>
        <v>0</v>
      </c>
      <c r="E70" s="127">
        <f t="shared" si="193"/>
        <v>0</v>
      </c>
      <c r="F70" s="144">
        <f t="shared" si="193"/>
        <v>0</v>
      </c>
      <c r="G70" s="144">
        <f t="shared" si="193"/>
        <v>90</v>
      </c>
      <c r="H70" s="144">
        <f t="shared" si="193"/>
        <v>98</v>
      </c>
      <c r="I70" s="144">
        <f t="shared" si="193"/>
        <v>43</v>
      </c>
      <c r="J70" s="144">
        <f t="shared" si="193"/>
        <v>111</v>
      </c>
      <c r="K70" s="144">
        <f t="shared" si="193"/>
        <v>-1</v>
      </c>
      <c r="L70" s="144">
        <f t="shared" si="193"/>
        <v>-4</v>
      </c>
      <c r="M70" s="144">
        <f t="shared" si="193"/>
        <v>123</v>
      </c>
      <c r="N70" s="144">
        <f t="shared" si="193"/>
        <v>-48</v>
      </c>
      <c r="O70" s="144">
        <f t="shared" si="193"/>
        <v>32</v>
      </c>
      <c r="P70" s="144">
        <f t="shared" si="193"/>
        <v>107</v>
      </c>
      <c r="Q70" s="118">
        <f>((P70/G70)^(1/($H$2-$H$1) ))-1</f>
        <v>1.9410329272049109E-2</v>
      </c>
      <c r="R70" s="128"/>
      <c r="S70" s="144">
        <f t="shared" ref="S70:AB70" si="194">S20+S21</f>
        <v>117.70000000000002</v>
      </c>
      <c r="T70" s="144">
        <f t="shared" si="194"/>
        <v>129.47000000000003</v>
      </c>
      <c r="U70" s="144">
        <f t="shared" si="194"/>
        <v>142.41700000000006</v>
      </c>
      <c r="V70" s="144">
        <f t="shared" si="194"/>
        <v>156.6587000000001</v>
      </c>
      <c r="W70" s="144">
        <f t="shared" si="194"/>
        <v>172.32457000000011</v>
      </c>
      <c r="X70" s="144">
        <f t="shared" si="194"/>
        <v>189.55702700000012</v>
      </c>
      <c r="Y70" s="144">
        <f t="shared" si="194"/>
        <v>208.51272970000014</v>
      </c>
      <c r="Z70" s="144">
        <f t="shared" si="194"/>
        <v>229.36400267000016</v>
      </c>
      <c r="AA70" s="144">
        <f t="shared" si="194"/>
        <v>252.30040293700017</v>
      </c>
      <c r="AB70" s="144">
        <f t="shared" si="194"/>
        <v>277.53044323070026</v>
      </c>
      <c r="AC70" s="138">
        <f t="shared" ref="AC70:AC75" si="195">((AB70/G70)^(1/($AB$3-$H$1) ))-1</f>
        <v>6.1061184003491586E-2</v>
      </c>
      <c r="AD70" s="31">
        <f t="shared" si="17"/>
        <v>0.05</v>
      </c>
      <c r="AE70" s="146">
        <f t="shared" si="162"/>
        <v>1714.1586199543253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96">C70/C42</f>
        <v>0</v>
      </c>
      <c r="D72" s="127">
        <f t="shared" si="196"/>
        <v>0</v>
      </c>
      <c r="E72" s="127">
        <f t="shared" si="196"/>
        <v>0</v>
      </c>
      <c r="F72" s="144">
        <f t="shared" si="196"/>
        <v>0</v>
      </c>
      <c r="G72" s="144">
        <f t="shared" si="196"/>
        <v>75.630252100840337</v>
      </c>
      <c r="H72" s="144">
        <f t="shared" si="196"/>
        <v>82.352941176470594</v>
      </c>
      <c r="I72" s="144">
        <f t="shared" si="196"/>
        <v>36.134453781512605</v>
      </c>
      <c r="J72" s="144">
        <f t="shared" si="196"/>
        <v>93.277310924369758</v>
      </c>
      <c r="K72" s="144">
        <f t="shared" si="196"/>
        <v>-0.84033613445378152</v>
      </c>
      <c r="L72" s="144">
        <f t="shared" si="196"/>
        <v>-3.3613445378151261</v>
      </c>
      <c r="M72" s="144">
        <f t="shared" si="196"/>
        <v>95.348837209302317</v>
      </c>
      <c r="N72" s="144">
        <f t="shared" si="196"/>
        <v>-24.742268041237114</v>
      </c>
      <c r="O72" s="144">
        <f t="shared" si="196"/>
        <v>1.6460905349794237</v>
      </c>
      <c r="P72" s="144">
        <f t="shared" si="196"/>
        <v>5.504115226337448</v>
      </c>
      <c r="Q72" s="118">
        <f>((P72/G72)^(1/($H$2-$H$1) ))-1</f>
        <v>-0.25259729859259394</v>
      </c>
      <c r="R72" s="128"/>
      <c r="S72" s="146">
        <f t="shared" ref="S72:AB72" si="197">S70/S42</f>
        <v>5.9358105382070532</v>
      </c>
      <c r="T72" s="146">
        <f t="shared" si="197"/>
        <v>6.4013643059095671</v>
      </c>
      <c r="U72" s="146">
        <f t="shared" si="197"/>
        <v>6.9034320946083589</v>
      </c>
      <c r="V72" s="146">
        <f t="shared" si="197"/>
        <v>7.4448777490874471</v>
      </c>
      <c r="W72" s="146">
        <f t="shared" si="197"/>
        <v>8.0287897294080306</v>
      </c>
      <c r="X72" s="146">
        <f t="shared" si="197"/>
        <v>8.6584987277929759</v>
      </c>
      <c r="Y72" s="146">
        <f t="shared" si="197"/>
        <v>9.337596667227718</v>
      </c>
      <c r="Z72" s="146">
        <f t="shared" si="197"/>
        <v>10.069957190147541</v>
      </c>
      <c r="AA72" s="146">
        <f t="shared" si="197"/>
        <v>10.859757754080681</v>
      </c>
      <c r="AB72" s="146">
        <f t="shared" si="197"/>
        <v>11.711503460283089</v>
      </c>
      <c r="AC72" s="138">
        <f t="shared" si="195"/>
        <v>-9.3507828106032975E-2</v>
      </c>
      <c r="AD72" s="31">
        <f t="shared" si="17"/>
        <v>0.05</v>
      </c>
      <c r="AE72" s="146">
        <f t="shared" si="162"/>
        <v>72.335756666454373</v>
      </c>
    </row>
    <row r="73" spans="2:31" x14ac:dyDescent="0.2">
      <c r="B73" s="20" t="s">
        <v>287</v>
      </c>
      <c r="C73" s="127">
        <f t="shared" ref="C73:P73" si="198">C20/C42</f>
        <v>0</v>
      </c>
      <c r="D73" s="127">
        <f t="shared" si="198"/>
        <v>0</v>
      </c>
      <c r="E73" s="127">
        <f t="shared" si="198"/>
        <v>0</v>
      </c>
      <c r="F73" s="144">
        <f t="shared" si="198"/>
        <v>0</v>
      </c>
      <c r="G73" s="144">
        <f t="shared" si="198"/>
        <v>-19.327731092436977</v>
      </c>
      <c r="H73" s="144">
        <f t="shared" si="198"/>
        <v>89.915966386554629</v>
      </c>
      <c r="I73" s="144">
        <f t="shared" si="198"/>
        <v>63.865546218487395</v>
      </c>
      <c r="J73" s="144">
        <f t="shared" si="198"/>
        <v>36.97478991596639</v>
      </c>
      <c r="K73" s="144">
        <f t="shared" si="198"/>
        <v>-36.97478991596639</v>
      </c>
      <c r="L73" s="144">
        <f t="shared" si="198"/>
        <v>115.96638655462185</v>
      </c>
      <c r="M73" s="144">
        <f t="shared" si="198"/>
        <v>165.89147286821705</v>
      </c>
      <c r="N73" s="144">
        <f t="shared" si="198"/>
        <v>50</v>
      </c>
      <c r="O73" s="144">
        <f t="shared" si="198"/>
        <v>5.0925925925925926</v>
      </c>
      <c r="P73" s="144">
        <f t="shared" si="198"/>
        <v>7.5102880658436213</v>
      </c>
      <c r="Q73" s="118">
        <f>((P73/G73)^(1/($H$2-$H$1) ))-1</f>
        <v>-1.9002978047391341</v>
      </c>
      <c r="R73" s="128"/>
      <c r="S73" s="146">
        <f t="shared" ref="S73:AB73" si="199">S20/S42</f>
        <v>8.099330267086259</v>
      </c>
      <c r="T73" s="146">
        <f t="shared" si="199"/>
        <v>8.7345718566616544</v>
      </c>
      <c r="U73" s="146">
        <f t="shared" si="199"/>
        <v>9.4196363160076668</v>
      </c>
      <c r="V73" s="146">
        <f t="shared" si="199"/>
        <v>10.158431321184739</v>
      </c>
      <c r="W73" s="146">
        <f t="shared" si="199"/>
        <v>10.95517103265021</v>
      </c>
      <c r="X73" s="146">
        <f t="shared" si="199"/>
        <v>11.814400133250228</v>
      </c>
      <c r="Y73" s="146">
        <f t="shared" si="199"/>
        <v>12.741019751544364</v>
      </c>
      <c r="Z73" s="146">
        <f t="shared" si="199"/>
        <v>13.740315418332159</v>
      </c>
      <c r="AA73" s="146">
        <f t="shared" si="199"/>
        <v>14.817987215848408</v>
      </c>
      <c r="AB73" s="146">
        <f t="shared" si="199"/>
        <v>15.980182291601224</v>
      </c>
      <c r="AC73" s="138">
        <f t="shared" si="195"/>
        <v>-1.9900398519582272</v>
      </c>
      <c r="AD73" s="31">
        <f t="shared" si="17"/>
        <v>0.05</v>
      </c>
      <c r="AE73" s="146">
        <f t="shared" si="162"/>
        <v>98.701125918713458</v>
      </c>
    </row>
    <row r="74" spans="2:31" x14ac:dyDescent="0.2">
      <c r="B74" s="20" t="s">
        <v>288</v>
      </c>
      <c r="C74" s="127">
        <f t="shared" ref="C74:P74" si="200">C21/C42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0</v>
      </c>
      <c r="G74" s="144">
        <f t="shared" si="200"/>
        <v>94.957983193277315</v>
      </c>
      <c r="H74" s="144">
        <f t="shared" si="200"/>
        <v>-7.5630252100840343</v>
      </c>
      <c r="I74" s="144">
        <f t="shared" si="200"/>
        <v>-27.731092436974791</v>
      </c>
      <c r="J74" s="144">
        <f t="shared" si="200"/>
        <v>56.302521008403367</v>
      </c>
      <c r="K74" s="144">
        <f t="shared" si="200"/>
        <v>36.134453781512605</v>
      </c>
      <c r="L74" s="144">
        <f t="shared" si="200"/>
        <v>-119.32773109243698</v>
      </c>
      <c r="M74" s="144">
        <f t="shared" si="200"/>
        <v>-70.542635658914733</v>
      </c>
      <c r="N74" s="144">
        <f t="shared" si="200"/>
        <v>-74.742268041237111</v>
      </c>
      <c r="O74" s="144">
        <f t="shared" si="200"/>
        <v>-3.4465020576131686</v>
      </c>
      <c r="P74" s="144">
        <f t="shared" si="200"/>
        <v>-2.0061728395061729</v>
      </c>
      <c r="Q74" s="118">
        <f>((P74/G74)^(1/($H$2-$H$1) ))-1</f>
        <v>-1.6514345114180253</v>
      </c>
      <c r="R74" s="128"/>
      <c r="S74" s="146">
        <f t="shared" ref="S74:AB74" si="201">S21/S42</f>
        <v>-2.1635197288792063</v>
      </c>
      <c r="T74" s="146">
        <f t="shared" si="201"/>
        <v>-2.3332075507520855</v>
      </c>
      <c r="U74" s="146">
        <f t="shared" si="201"/>
        <v>-2.5162042213993083</v>
      </c>
      <c r="V74" s="146">
        <f t="shared" si="201"/>
        <v>-2.7135535720972932</v>
      </c>
      <c r="W74" s="146">
        <f t="shared" si="201"/>
        <v>-2.9263813032421795</v>
      </c>
      <c r="X74" s="146">
        <f t="shared" si="201"/>
        <v>-3.1559014054572527</v>
      </c>
      <c r="Y74" s="146">
        <f t="shared" si="201"/>
        <v>-3.4034230843166458</v>
      </c>
      <c r="Z74" s="146">
        <f t="shared" si="201"/>
        <v>-3.6703582281846181</v>
      </c>
      <c r="AA74" s="146">
        <f t="shared" si="201"/>
        <v>-3.9582294617677261</v>
      </c>
      <c r="AB74" s="146">
        <f t="shared" si="201"/>
        <v>-4.2686788313181356</v>
      </c>
      <c r="AC74" s="138">
        <f t="shared" si="195"/>
        <v>-1.8493618235264453</v>
      </c>
      <c r="AD74" s="31">
        <f t="shared" si="17"/>
        <v>0.05</v>
      </c>
      <c r="AE74" s="146">
        <f t="shared" si="162"/>
        <v>-26.365369252259079</v>
      </c>
    </row>
    <row r="75" spans="2:31" x14ac:dyDescent="0.2">
      <c r="B75" s="20" t="s">
        <v>289</v>
      </c>
      <c r="C75" s="127">
        <f t="shared" ref="C75:P75" si="202">C22/C42</f>
        <v>0</v>
      </c>
      <c r="D75" s="127">
        <f t="shared" si="202"/>
        <v>0</v>
      </c>
      <c r="E75" s="127">
        <f t="shared" si="202"/>
        <v>0</v>
      </c>
      <c r="F75" s="144">
        <f t="shared" si="202"/>
        <v>0</v>
      </c>
      <c r="G75" s="144">
        <f t="shared" si="202"/>
        <v>-61.344537815126053</v>
      </c>
      <c r="H75" s="144">
        <f t="shared" si="202"/>
        <v>-106.72268907563026</v>
      </c>
      <c r="I75" s="144">
        <f t="shared" si="202"/>
        <v>-35.294117647058826</v>
      </c>
      <c r="J75" s="144">
        <f t="shared" si="202"/>
        <v>-86.554621848739501</v>
      </c>
      <c r="K75" s="144">
        <f t="shared" si="202"/>
        <v>-11.764705882352942</v>
      </c>
      <c r="L75" s="144">
        <f t="shared" si="202"/>
        <v>3.3613445378151261</v>
      </c>
      <c r="M75" s="144">
        <f t="shared" si="202"/>
        <v>-91.472868217054256</v>
      </c>
      <c r="N75" s="144">
        <f t="shared" si="202"/>
        <v>24.226804123711339</v>
      </c>
      <c r="O75" s="144">
        <f t="shared" si="202"/>
        <v>-1.7489711934156378</v>
      </c>
      <c r="P75" s="144">
        <f t="shared" si="202"/>
        <v>-4.7839506172839501</v>
      </c>
      <c r="Q75" s="118">
        <f>((P75/G75)^(1/($H$2-$H$1) ))-1</f>
        <v>-0.24683507320605647</v>
      </c>
      <c r="R75" s="128"/>
      <c r="S75" s="146">
        <f t="shared" ref="S75:AB75" si="203">S22/S42</f>
        <v>-5.1591624304042609</v>
      </c>
      <c r="T75" s="146">
        <f t="shared" si="203"/>
        <v>-5.5638026210242026</v>
      </c>
      <c r="U75" s="146">
        <f t="shared" si="203"/>
        <v>-6.0001792971829646</v>
      </c>
      <c r="V75" s="146">
        <f t="shared" si="203"/>
        <v>-6.4707815950012373</v>
      </c>
      <c r="W75" s="146">
        <f t="shared" si="203"/>
        <v>-6.9782938769621197</v>
      </c>
      <c r="X75" s="146">
        <f t="shared" si="203"/>
        <v>-7.5256110437826793</v>
      </c>
      <c r="Y75" s="146">
        <f t="shared" si="203"/>
        <v>-8.1158550472166162</v>
      </c>
      <c r="Z75" s="146">
        <f t="shared" si="203"/>
        <v>-8.7523926979787046</v>
      </c>
      <c r="AA75" s="146">
        <f t="shared" si="203"/>
        <v>-9.4388548703691928</v>
      </c>
      <c r="AB75" s="146">
        <f t="shared" si="203"/>
        <v>-10.179157213143247</v>
      </c>
      <c r="AC75" s="138">
        <f t="shared" si="195"/>
        <v>-9.020405682478605E-2</v>
      </c>
      <c r="AD75" s="31">
        <f t="shared" si="17"/>
        <v>0.05</v>
      </c>
      <c r="AE75" s="146">
        <f t="shared" si="162"/>
        <v>-62.871265140002414</v>
      </c>
    </row>
    <row r="76" spans="2:31" x14ac:dyDescent="0.2">
      <c r="B76" s="20" t="s">
        <v>296</v>
      </c>
      <c r="C76" s="127">
        <f t="shared" ref="C76:P76" si="204">C23/C42</f>
        <v>0</v>
      </c>
      <c r="D76" s="127">
        <f t="shared" si="204"/>
        <v>0</v>
      </c>
      <c r="E76" s="127">
        <f t="shared" si="204"/>
        <v>0</v>
      </c>
      <c r="F76" s="144">
        <f t="shared" si="204"/>
        <v>0</v>
      </c>
      <c r="G76" s="144">
        <f t="shared" si="204"/>
        <v>36.134453781512605</v>
      </c>
      <c r="H76" s="144">
        <f t="shared" si="204"/>
        <v>10.92436974789916</v>
      </c>
      <c r="I76" s="144">
        <f t="shared" si="204"/>
        <v>11.764705882352942</v>
      </c>
      <c r="J76" s="144">
        <f t="shared" si="204"/>
        <v>18.487394957983195</v>
      </c>
      <c r="K76" s="144">
        <f t="shared" si="204"/>
        <v>5.3193277310924376</v>
      </c>
      <c r="L76" s="144">
        <f t="shared" si="204"/>
        <v>5.0420168067226889</v>
      </c>
      <c r="M76" s="144">
        <f t="shared" si="204"/>
        <v>7.7519379844961236</v>
      </c>
      <c r="N76" s="144">
        <f t="shared" si="204"/>
        <v>4.4329896907216497</v>
      </c>
      <c r="O76" s="144">
        <f t="shared" si="204"/>
        <v>0.41152263374485593</v>
      </c>
      <c r="P76" s="144">
        <f t="shared" si="204"/>
        <v>1.1316872427983538</v>
      </c>
      <c r="Q76" s="118">
        <f>((P76/G76)^(1/($H$2-$H$1) ))-1</f>
        <v>-0.31943875543712763</v>
      </c>
      <c r="R76" s="128"/>
      <c r="S76" s="146">
        <f t="shared" ref="S76:AB76" si="205">S23/S42</f>
        <v>1.2204470265472445</v>
      </c>
      <c r="T76" s="146">
        <f t="shared" si="205"/>
        <v>1.3161683619627147</v>
      </c>
      <c r="U76" s="146">
        <f t="shared" si="205"/>
        <v>1.4193972530970456</v>
      </c>
      <c r="V76" s="146">
        <f t="shared" si="205"/>
        <v>1.5307225278497549</v>
      </c>
      <c r="W76" s="146">
        <f t="shared" si="205"/>
        <v>1.6507791967007162</v>
      </c>
      <c r="X76" s="146">
        <f t="shared" si="205"/>
        <v>1.7802520748733215</v>
      </c>
      <c r="Y76" s="146">
        <f t="shared" si="205"/>
        <v>1.9198796885888763</v>
      </c>
      <c r="Z76" s="146">
        <f t="shared" si="205"/>
        <v>2.0704584876938865</v>
      </c>
      <c r="AA76" s="146">
        <f t="shared" si="205"/>
        <v>2.2328473886894855</v>
      </c>
      <c r="AB76" s="146">
        <f t="shared" si="205"/>
        <v>2.4079726740768965</v>
      </c>
      <c r="AC76" s="138">
        <f t="shared" ref="AC76" si="206">((AB76/G76)^(1/($AB$3-$H$1) ))-1</f>
        <v>-0.13285633474664116</v>
      </c>
      <c r="AD76" s="31">
        <f t="shared" si="17"/>
        <v>0.05</v>
      </c>
      <c r="AE76" s="146">
        <f t="shared" si="162"/>
        <v>14.872772398710245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7">C36/C42</f>
        <v>0</v>
      </c>
      <c r="D78" s="144">
        <f t="shared" si="207"/>
        <v>0</v>
      </c>
      <c r="E78" s="144">
        <f t="shared" si="207"/>
        <v>0</v>
      </c>
      <c r="F78" s="144">
        <f t="shared" si="207"/>
        <v>0</v>
      </c>
      <c r="G78" s="144">
        <f t="shared" si="207"/>
        <v>-2.9243697478991599</v>
      </c>
      <c r="H78" s="144">
        <f t="shared" si="207"/>
        <v>36.134453781512605</v>
      </c>
      <c r="I78" s="144">
        <f t="shared" si="207"/>
        <v>47.058823529411768</v>
      </c>
      <c r="J78" s="144">
        <f t="shared" si="207"/>
        <v>26.050420168067227</v>
      </c>
      <c r="K78" s="144">
        <f t="shared" si="207"/>
        <v>65.546218487394967</v>
      </c>
      <c r="L78" s="144">
        <f t="shared" si="207"/>
        <v>112.60504201680673</v>
      </c>
      <c r="M78" s="144">
        <f t="shared" si="207"/>
        <v>128.68217054263565</v>
      </c>
      <c r="N78" s="144">
        <f t="shared" si="207"/>
        <v>98.453608247422679</v>
      </c>
      <c r="O78" s="144">
        <f t="shared" si="207"/>
        <v>10.442386831275719</v>
      </c>
      <c r="P78" s="144">
        <f t="shared" si="207"/>
        <v>10.802469135802468</v>
      </c>
      <c r="Q78" s="118">
        <f>((P78/G78)^(1/($H$2-$H$1) ))-1</f>
        <v>-2.1562574072723537</v>
      </c>
      <c r="R78" s="128"/>
      <c r="S78" s="144">
        <f t="shared" ref="S78:AB78" si="208">S36/S42</f>
        <v>11.649721617041878</v>
      </c>
      <c r="T78" s="144">
        <f t="shared" si="208"/>
        <v>12.56342527328046</v>
      </c>
      <c r="U78" s="144">
        <f t="shared" si="208"/>
        <v>13.548791961380891</v>
      </c>
      <c r="V78" s="144">
        <f t="shared" si="208"/>
        <v>14.611442311293118</v>
      </c>
      <c r="W78" s="144">
        <f t="shared" si="208"/>
        <v>15.757437786688657</v>
      </c>
      <c r="X78" s="144">
        <f t="shared" si="208"/>
        <v>16.993315260154432</v>
      </c>
      <c r="Y78" s="144">
        <f t="shared" si="208"/>
        <v>18.326124300166548</v>
      </c>
      <c r="Z78" s="144">
        <f t="shared" si="208"/>
        <v>19.763467382532554</v>
      </c>
      <c r="AA78" s="144">
        <f t="shared" si="208"/>
        <v>21.313543255672364</v>
      </c>
      <c r="AB78" s="144">
        <f t="shared" si="208"/>
        <v>22.98519370709765</v>
      </c>
      <c r="AC78" s="138">
        <f t="shared" ref="AC78:AC80" si="209">((AB78/G78)^(1/($AB$3-$H$1) ))-1</f>
        <v>-2.1146208222829497</v>
      </c>
      <c r="AD78" s="31">
        <f t="shared" si="17"/>
        <v>0.05</v>
      </c>
      <c r="AE78" s="146">
        <f t="shared" si="162"/>
        <v>141.96737289677964</v>
      </c>
    </row>
    <row r="79" spans="2:31" x14ac:dyDescent="0.2">
      <c r="B79" s="20" t="s">
        <v>312</v>
      </c>
      <c r="C79" s="144">
        <f t="shared" ref="C79:P79" si="210">C40/C42</f>
        <v>0</v>
      </c>
      <c r="D79" s="144">
        <f t="shared" si="210"/>
        <v>0</v>
      </c>
      <c r="E79" s="144">
        <f t="shared" si="210"/>
        <v>0</v>
      </c>
      <c r="F79" s="144">
        <f t="shared" si="210"/>
        <v>0</v>
      </c>
      <c r="G79" s="144">
        <f t="shared" si="210"/>
        <v>21.428571428571431</v>
      </c>
      <c r="H79" s="144">
        <f t="shared" si="210"/>
        <v>28.151260504201684</v>
      </c>
      <c r="I79" s="144">
        <f t="shared" si="210"/>
        <v>35.731092436974791</v>
      </c>
      <c r="J79" s="144">
        <f t="shared" si="210"/>
        <v>49.159663865546221</v>
      </c>
      <c r="K79" s="144">
        <f t="shared" si="210"/>
        <v>105.29411764705883</v>
      </c>
      <c r="L79" s="144">
        <f t="shared" si="210"/>
        <v>60.504201680672274</v>
      </c>
      <c r="M79" s="144">
        <f t="shared" si="210"/>
        <v>78.294573643410857</v>
      </c>
      <c r="N79" s="144">
        <f t="shared" si="210"/>
        <v>64.948453608247419</v>
      </c>
      <c r="O79" s="144">
        <f t="shared" si="210"/>
        <v>5.1954732510288064</v>
      </c>
      <c r="P79" s="144">
        <f t="shared" si="210"/>
        <v>6.121399176954732</v>
      </c>
      <c r="Q79" s="118">
        <f>((P79/G79)^(1/($H$2-$H$1) ))-1</f>
        <v>-0.12995899737996153</v>
      </c>
      <c r="R79" s="128"/>
      <c r="S79" s="144">
        <f t="shared" ref="S79:AB79" si="211">S40/S42</f>
        <v>6.6015089163237315</v>
      </c>
      <c r="T79" s="144">
        <f t="shared" si="211"/>
        <v>7.1192743215255927</v>
      </c>
      <c r="U79" s="144">
        <f t="shared" si="211"/>
        <v>7.6776487781158353</v>
      </c>
      <c r="V79" s="144">
        <f t="shared" si="211"/>
        <v>8.2798173097327652</v>
      </c>
      <c r="W79" s="144">
        <f t="shared" si="211"/>
        <v>8.9292147457902367</v>
      </c>
      <c r="X79" s="144">
        <f t="shared" si="211"/>
        <v>9.6295453140875118</v>
      </c>
      <c r="Y79" s="144">
        <f t="shared" si="211"/>
        <v>10.384803770094376</v>
      </c>
      <c r="Z79" s="144">
        <f t="shared" si="211"/>
        <v>11.199298183435113</v>
      </c>
      <c r="AA79" s="144">
        <f t="shared" si="211"/>
        <v>12.07767451154767</v>
      </c>
      <c r="AB79" s="144">
        <f t="shared" si="211"/>
        <v>13.024943100688665</v>
      </c>
      <c r="AC79" s="138">
        <f t="shared" si="209"/>
        <v>-2.586277908072987E-2</v>
      </c>
      <c r="AD79" s="31">
        <f t="shared" si="17"/>
        <v>0.05</v>
      </c>
      <c r="AE79" s="146">
        <f t="shared" si="162"/>
        <v>80.448177974841755</v>
      </c>
    </row>
    <row r="80" spans="2:31" x14ac:dyDescent="0.2">
      <c r="B80" s="20" t="s">
        <v>313</v>
      </c>
      <c r="C80" s="144">
        <f t="shared" ref="C80:P80" si="212">C6/C42</f>
        <v>0</v>
      </c>
      <c r="D80" s="144">
        <f t="shared" si="212"/>
        <v>0</v>
      </c>
      <c r="E80" s="144">
        <f t="shared" si="212"/>
        <v>0</v>
      </c>
      <c r="F80" s="144">
        <f t="shared" si="212"/>
        <v>0</v>
      </c>
      <c r="G80" s="144">
        <f t="shared" si="212"/>
        <v>19.327731092436977</v>
      </c>
      <c r="H80" s="144">
        <f t="shared" si="212"/>
        <v>38.655462184873954</v>
      </c>
      <c r="I80" s="144">
        <f t="shared" si="212"/>
        <v>63.865546218487395</v>
      </c>
      <c r="J80" s="144">
        <f t="shared" si="212"/>
        <v>94.117647058823536</v>
      </c>
      <c r="K80" s="144">
        <f t="shared" si="212"/>
        <v>174.78991596638656</v>
      </c>
      <c r="L80" s="144">
        <f t="shared" si="212"/>
        <v>209.24369747899161</v>
      </c>
      <c r="M80" s="144">
        <f t="shared" si="212"/>
        <v>318.60465116279067</v>
      </c>
      <c r="N80" s="144">
        <f t="shared" si="212"/>
        <v>250</v>
      </c>
      <c r="O80" s="144">
        <f t="shared" si="212"/>
        <v>27.417695473251026</v>
      </c>
      <c r="P80" s="144">
        <f t="shared" si="212"/>
        <v>30.915637860082303</v>
      </c>
      <c r="Q80" s="118">
        <f>((P80/G80)^(1/($H$2-$H$1) ))-1</f>
        <v>5.3577217161858703E-2</v>
      </c>
      <c r="R80" s="128"/>
      <c r="S80" s="144">
        <f t="shared" ref="S80:AB80" si="213">S6/S42</f>
        <v>33.340393770676997</v>
      </c>
      <c r="T80" s="144">
        <f t="shared" si="213"/>
        <v>35.955326615435979</v>
      </c>
      <c r="U80" s="144">
        <f t="shared" si="213"/>
        <v>38.775352232332921</v>
      </c>
      <c r="V80" s="144">
        <f t="shared" si="213"/>
        <v>41.816556328986486</v>
      </c>
      <c r="W80" s="144">
        <f t="shared" si="213"/>
        <v>45.096286237142294</v>
      </c>
      <c r="X80" s="144">
        <f t="shared" si="213"/>
        <v>48.63324986358483</v>
      </c>
      <c r="Y80" s="144">
        <f t="shared" si="213"/>
        <v>52.447622401905214</v>
      </c>
      <c r="Z80" s="144">
        <f t="shared" si="213"/>
        <v>56.561161413819349</v>
      </c>
      <c r="AA80" s="144">
        <f t="shared" si="213"/>
        <v>60.997330936471862</v>
      </c>
      <c r="AB80" s="144">
        <f t="shared" si="213"/>
        <v>65.781435323646122</v>
      </c>
      <c r="AC80" s="138">
        <f t="shared" si="209"/>
        <v>6.6586099894168971E-2</v>
      </c>
      <c r="AD80" s="31">
        <f t="shared" ref="AD80" si="214">$L$1</f>
        <v>0.05</v>
      </c>
      <c r="AE80" s="146">
        <f t="shared" si="162"/>
        <v>406.29710052840255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5">E36/E25</f>
        <v>#DIV/0!</v>
      </c>
      <c r="F84" s="152" t="e">
        <f t="shared" si="215"/>
        <v>#DIV/0!</v>
      </c>
      <c r="G84" s="152">
        <f t="shared" si="215"/>
        <v>-6.1159929701230225E-3</v>
      </c>
      <c r="H84" s="152">
        <f t="shared" si="215"/>
        <v>7.178631051752922E-2</v>
      </c>
      <c r="I84" s="152">
        <f t="shared" si="215"/>
        <v>8.5235920852359204E-2</v>
      </c>
      <c r="J84" s="152">
        <f t="shared" si="215"/>
        <v>4.5994065281899109E-2</v>
      </c>
      <c r="K84" s="152">
        <f t="shared" si="215"/>
        <v>9.8360655737704916E-2</v>
      </c>
      <c r="L84" s="152">
        <f t="shared" si="215"/>
        <v>0.15617715617715619</v>
      </c>
      <c r="M84" s="152">
        <f t="shared" si="215"/>
        <v>0.18302094818081588</v>
      </c>
      <c r="N84" s="152">
        <f t="shared" si="215"/>
        <v>0.16739702015775634</v>
      </c>
      <c r="O84" s="152">
        <f t="shared" si="215"/>
        <v>0.15859375000000001</v>
      </c>
      <c r="P84" s="152">
        <f t="shared" si="215"/>
        <v>0.14189189189189189</v>
      </c>
      <c r="Q84" s="118">
        <f t="shared" ref="Q84:Q134" si="216">((P84/G84)^(1/($H$2-$H$1) ))-1</f>
        <v>-2.4181467629230471</v>
      </c>
      <c r="R84" s="152"/>
      <c r="S84" s="152">
        <f t="shared" ref="S84:AB84" si="217">S36/S25</f>
        <v>0.14189189189189189</v>
      </c>
      <c r="T84" s="152">
        <f t="shared" si="217"/>
        <v>0.14189189189189189</v>
      </c>
      <c r="U84" s="152">
        <f t="shared" si="217"/>
        <v>0.14189189189189191</v>
      </c>
      <c r="V84" s="152">
        <f t="shared" si="217"/>
        <v>0.14189189189189189</v>
      </c>
      <c r="W84" s="152">
        <f t="shared" si="217"/>
        <v>0.14189189189189189</v>
      </c>
      <c r="X84" s="152">
        <f t="shared" si="217"/>
        <v>0.14189189189189189</v>
      </c>
      <c r="Y84" s="152">
        <f t="shared" si="217"/>
        <v>0.14189189189189189</v>
      </c>
      <c r="Z84" s="152">
        <f t="shared" si="217"/>
        <v>0.14189189189189189</v>
      </c>
      <c r="AA84" s="152">
        <f t="shared" si="217"/>
        <v>0.14189189189189189</v>
      </c>
      <c r="AB84" s="152">
        <f t="shared" si="217"/>
        <v>0.14189189189189191</v>
      </c>
      <c r="AC84" s="138">
        <f t="shared" ref="AC84:AC121" si="218">((AB84/G84)^(1/($AB$3-$H$1) ))-1</f>
        <v>-2.1799617421152595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19">E40/E25</f>
        <v>#DIV/0!</v>
      </c>
      <c r="F85" s="152" t="e">
        <f t="shared" si="219"/>
        <v>#DIV/0!</v>
      </c>
      <c r="G85" s="152">
        <f t="shared" si="219"/>
        <v>4.4815465729349739E-2</v>
      </c>
      <c r="H85" s="152">
        <f t="shared" si="219"/>
        <v>5.5926544240400666E-2</v>
      </c>
      <c r="I85" s="152">
        <f t="shared" si="219"/>
        <v>6.4718417047184174E-2</v>
      </c>
      <c r="J85" s="152">
        <f t="shared" si="219"/>
        <v>8.6795252225519287E-2</v>
      </c>
      <c r="K85" s="152">
        <f t="shared" si="219"/>
        <v>0.15800756620428752</v>
      </c>
      <c r="L85" s="152">
        <f t="shared" si="219"/>
        <v>8.3916083916083919E-2</v>
      </c>
      <c r="M85" s="152">
        <f t="shared" si="219"/>
        <v>0.1113561190738699</v>
      </c>
      <c r="N85" s="152">
        <f t="shared" si="219"/>
        <v>0.11042944785276074</v>
      </c>
      <c r="O85" s="152">
        <f t="shared" si="219"/>
        <v>7.8906249999999997E-2</v>
      </c>
      <c r="P85" s="152">
        <f t="shared" si="219"/>
        <v>8.0405405405405403E-2</v>
      </c>
      <c r="Q85" s="118">
        <f t="shared" si="216"/>
        <v>6.7103072132190134E-2</v>
      </c>
      <c r="R85" s="152"/>
      <c r="S85" s="152">
        <f t="shared" ref="S85:AB85" si="220">S40/S25</f>
        <v>8.0405405405405403E-2</v>
      </c>
      <c r="T85" s="152">
        <f t="shared" si="220"/>
        <v>8.0405405405405389E-2</v>
      </c>
      <c r="U85" s="152">
        <f t="shared" si="220"/>
        <v>8.0405405405405389E-2</v>
      </c>
      <c r="V85" s="152">
        <f t="shared" si="220"/>
        <v>8.0405405405405389E-2</v>
      </c>
      <c r="W85" s="152">
        <f t="shared" si="220"/>
        <v>8.0405405405405389E-2</v>
      </c>
      <c r="X85" s="152">
        <f t="shared" si="220"/>
        <v>8.0405405405405389E-2</v>
      </c>
      <c r="Y85" s="152">
        <f t="shared" si="220"/>
        <v>8.0405405405405389E-2</v>
      </c>
      <c r="Z85" s="152">
        <f t="shared" si="220"/>
        <v>8.0405405405405389E-2</v>
      </c>
      <c r="AA85" s="152">
        <f t="shared" si="220"/>
        <v>8.0405405405405389E-2</v>
      </c>
      <c r="AB85" s="152">
        <f t="shared" si="220"/>
        <v>8.0405405405405389E-2</v>
      </c>
      <c r="AC85" s="138">
        <f t="shared" si="218"/>
        <v>3.1242759220076355E-2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21">E40/E7</f>
        <v>#DIV/0!</v>
      </c>
      <c r="F86" s="152" t="e">
        <f t="shared" si="221"/>
        <v>#DIV/0!</v>
      </c>
      <c r="G86" s="152">
        <f>G40/G7</f>
        <v>0.2073170731707317</v>
      </c>
      <c r="H86" s="152">
        <f t="shared" si="221"/>
        <v>0.22945205479452055</v>
      </c>
      <c r="I86" s="152">
        <f t="shared" si="221"/>
        <v>0.24297142857142859</v>
      </c>
      <c r="J86" s="152">
        <f t="shared" si="221"/>
        <v>0.27594339622641512</v>
      </c>
      <c r="K86" s="152">
        <f t="shared" si="221"/>
        <v>0.4068181818181818</v>
      </c>
      <c r="L86" s="152">
        <f t="shared" si="221"/>
        <v>0.20630372492836677</v>
      </c>
      <c r="M86" s="152">
        <f t="shared" si="221"/>
        <v>0.23820754716981132</v>
      </c>
      <c r="N86" s="152">
        <f t="shared" si="221"/>
        <v>0.2495049504950495</v>
      </c>
      <c r="O86" s="152">
        <f t="shared" si="221"/>
        <v>0.18264014466546113</v>
      </c>
      <c r="P86" s="152">
        <f t="shared" ref="P86" si="222">P40/P7</f>
        <v>0.19193548387096773</v>
      </c>
      <c r="Q86" s="118">
        <f t="shared" si="216"/>
        <v>-8.5289847038432232E-3</v>
      </c>
      <c r="R86" s="20"/>
      <c r="S86" s="152">
        <f t="shared" ref="S86" si="223">S40/S7</f>
        <v>0.19193548387096776</v>
      </c>
      <c r="T86" s="152">
        <f t="shared" ref="T86:AB86" si="224">T40/T7</f>
        <v>0.19193548387096773</v>
      </c>
      <c r="U86" s="152">
        <f t="shared" si="224"/>
        <v>0.19193548387096773</v>
      </c>
      <c r="V86" s="152">
        <f t="shared" si="224"/>
        <v>0.19193548387096773</v>
      </c>
      <c r="W86" s="152">
        <f t="shared" si="224"/>
        <v>0.19193548387096776</v>
      </c>
      <c r="X86" s="152">
        <f t="shared" si="224"/>
        <v>0.19193548387096773</v>
      </c>
      <c r="Y86" s="152">
        <f t="shared" si="224"/>
        <v>0.19193548387096773</v>
      </c>
      <c r="Z86" s="152">
        <f t="shared" si="224"/>
        <v>0.19193548387096776</v>
      </c>
      <c r="AA86" s="152">
        <f t="shared" si="224"/>
        <v>0.19193548387096776</v>
      </c>
      <c r="AB86" s="152">
        <f t="shared" si="224"/>
        <v>0.19193548387096776</v>
      </c>
      <c r="AC86" s="138">
        <f t="shared" si="218"/>
        <v>-4.0491527063600818E-3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25">(E40)/(E7+E10)</f>
        <v>#DIV/0!</v>
      </c>
      <c r="F87" s="152" t="e">
        <f t="shared" si="225"/>
        <v>#DIV/0!</v>
      </c>
      <c r="G87" s="152">
        <f>(G40)/(G7+G10)</f>
        <v>6.8548387096774188E-2</v>
      </c>
      <c r="H87" s="152">
        <f t="shared" ref="H87:O87" si="226">(H40)/(H7+H10)</f>
        <v>0.11754385964912281</v>
      </c>
      <c r="I87" s="152">
        <f t="shared" si="226"/>
        <v>0.14611683848797252</v>
      </c>
      <c r="J87" s="152">
        <f t="shared" si="226"/>
        <v>0.23588709677419356</v>
      </c>
      <c r="K87" s="152">
        <f t="shared" si="226"/>
        <v>0.35295774647887324</v>
      </c>
      <c r="L87" s="152">
        <f t="shared" si="226"/>
        <v>0.16705336426914152</v>
      </c>
      <c r="M87" s="152">
        <f t="shared" si="226"/>
        <v>0.23379629629629631</v>
      </c>
      <c r="N87" s="152">
        <f t="shared" si="226"/>
        <v>0.20322580645161289</v>
      </c>
      <c r="O87" s="152">
        <f t="shared" si="226"/>
        <v>0.14366998577524892</v>
      </c>
      <c r="P87" s="152">
        <f t="shared" ref="P87" si="227">(P40)/(P7+P10)</f>
        <v>0.17655786350148367</v>
      </c>
      <c r="Q87" s="118">
        <f t="shared" si="216"/>
        <v>0.11084745639573756</v>
      </c>
      <c r="R87" s="20"/>
      <c r="S87" s="152">
        <f t="shared" ref="S87:AB87" si="228">(S40)/(S7+S10)</f>
        <v>0.1765578635014837</v>
      </c>
      <c r="T87" s="152">
        <f t="shared" si="228"/>
        <v>0.17655786350148367</v>
      </c>
      <c r="U87" s="152">
        <f t="shared" si="228"/>
        <v>0.17655786350148367</v>
      </c>
      <c r="V87" s="152">
        <f t="shared" si="228"/>
        <v>0.17655786350148367</v>
      </c>
      <c r="W87" s="152">
        <f t="shared" si="228"/>
        <v>0.17655786350148367</v>
      </c>
      <c r="X87" s="152">
        <f t="shared" si="228"/>
        <v>0.17655786350148367</v>
      </c>
      <c r="Y87" s="152">
        <f t="shared" si="228"/>
        <v>0.1765578635014837</v>
      </c>
      <c r="Z87" s="152">
        <f t="shared" si="228"/>
        <v>0.1765578635014837</v>
      </c>
      <c r="AA87" s="152">
        <f t="shared" si="228"/>
        <v>0.17655786350148367</v>
      </c>
      <c r="AB87" s="152">
        <f t="shared" si="228"/>
        <v>0.1765578635014837</v>
      </c>
      <c r="AC87" s="138">
        <f t="shared" si="218"/>
        <v>5.1055817232672052E-2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-4.0421792618629174E-2</v>
      </c>
      <c r="H88" s="152">
        <f t="shared" ref="H88:P88" si="229">H20/H25</f>
        <v>0.17863105175292154</v>
      </c>
      <c r="I88" s="152">
        <f t="shared" si="229"/>
        <v>0.11567732115677321</v>
      </c>
      <c r="J88" s="152">
        <f t="shared" si="229"/>
        <v>6.5281899109792291E-2</v>
      </c>
      <c r="K88" s="152">
        <f t="shared" si="229"/>
        <v>-5.5485498108448932E-2</v>
      </c>
      <c r="L88" s="152">
        <f t="shared" si="229"/>
        <v>0.16083916083916083</v>
      </c>
      <c r="M88" s="152">
        <f t="shared" si="229"/>
        <v>0.23594266813671444</v>
      </c>
      <c r="N88" s="152">
        <f t="shared" si="229"/>
        <v>8.5013146362839617E-2</v>
      </c>
      <c r="O88" s="152">
        <f t="shared" si="229"/>
        <v>7.7343750000000003E-2</v>
      </c>
      <c r="P88" s="152">
        <f t="shared" si="229"/>
        <v>9.8648648648648654E-2</v>
      </c>
      <c r="Q88" s="118">
        <f t="shared" si="216"/>
        <v>-2.1042129628120012</v>
      </c>
      <c r="R88" s="20"/>
      <c r="S88" s="152">
        <f t="shared" ref="S88:AB88" si="230">S20/S25</f>
        <v>9.8648648648648654E-2</v>
      </c>
      <c r="T88" s="152">
        <f t="shared" si="230"/>
        <v>9.8648648648648654E-2</v>
      </c>
      <c r="U88" s="152">
        <f t="shared" si="230"/>
        <v>9.8648648648648654E-2</v>
      </c>
      <c r="V88" s="152">
        <f t="shared" si="230"/>
        <v>9.8648648648648668E-2</v>
      </c>
      <c r="W88" s="152">
        <f t="shared" si="230"/>
        <v>9.8648648648648654E-2</v>
      </c>
      <c r="X88" s="152">
        <f t="shared" si="230"/>
        <v>9.8648648648648654E-2</v>
      </c>
      <c r="Y88" s="152">
        <f t="shared" si="230"/>
        <v>9.8648648648648668E-2</v>
      </c>
      <c r="Z88" s="152">
        <f t="shared" si="230"/>
        <v>9.8648648648648654E-2</v>
      </c>
      <c r="AA88" s="152">
        <f t="shared" si="230"/>
        <v>9.8648648648648654E-2</v>
      </c>
      <c r="AB88" s="152">
        <f t="shared" si="230"/>
        <v>9.8648648648648654E-2</v>
      </c>
      <c r="AC88" s="138">
        <f t="shared" si="218"/>
        <v>-2.0480776288455251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8.0843585237258347E-2</v>
      </c>
      <c r="H90" s="152">
        <f t="shared" ref="H90:P90" si="231">H29/H25</f>
        <v>3.3388981636060099E-2</v>
      </c>
      <c r="I90" s="152">
        <f t="shared" si="231"/>
        <v>2.4353120243531201E-2</v>
      </c>
      <c r="J90" s="152">
        <f t="shared" si="231"/>
        <v>2.1513353115727003E-2</v>
      </c>
      <c r="K90" s="152">
        <f t="shared" si="231"/>
        <v>1.0088272383354351E-2</v>
      </c>
      <c r="L90" s="152">
        <f t="shared" si="231"/>
        <v>1.013986013986014E-2</v>
      </c>
      <c r="M90" s="152">
        <f t="shared" si="231"/>
        <v>6.615214994487321E-3</v>
      </c>
      <c r="N90" s="152">
        <f t="shared" si="231"/>
        <v>3.5056967572304996E-3</v>
      </c>
      <c r="O90" s="152">
        <f t="shared" si="231"/>
        <v>1.171875E-2</v>
      </c>
      <c r="P90" s="152">
        <f t="shared" si="231"/>
        <v>1.2493243243243243E-2</v>
      </c>
      <c r="Q90" s="118">
        <f t="shared" si="216"/>
        <v>-0.18737125375439123</v>
      </c>
      <c r="R90" s="20"/>
      <c r="S90" s="152">
        <f t="shared" ref="S90:AB90" si="232">S29/S25</f>
        <v>1.2493243243243241E-2</v>
      </c>
      <c r="T90" s="152">
        <f t="shared" si="232"/>
        <v>1.2493243243243241E-2</v>
      </c>
      <c r="U90" s="152">
        <f t="shared" si="232"/>
        <v>1.2493243243243241E-2</v>
      </c>
      <c r="V90" s="152">
        <f t="shared" si="232"/>
        <v>1.2493243243243241E-2</v>
      </c>
      <c r="W90" s="152">
        <f t="shared" si="232"/>
        <v>1.2493243243243241E-2</v>
      </c>
      <c r="X90" s="152">
        <f t="shared" si="232"/>
        <v>1.2493243243243241E-2</v>
      </c>
      <c r="Y90" s="152">
        <f t="shared" si="232"/>
        <v>1.2493243243243243E-2</v>
      </c>
      <c r="Z90" s="152">
        <f t="shared" si="232"/>
        <v>1.2493243243243243E-2</v>
      </c>
      <c r="AA90" s="152">
        <f t="shared" si="232"/>
        <v>1.2493243243243243E-2</v>
      </c>
      <c r="AB90" s="152">
        <f t="shared" si="232"/>
        <v>1.2493243243243244E-2</v>
      </c>
      <c r="AC90" s="138">
        <f t="shared" si="218"/>
        <v>-9.3605317576710534E-2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-13.218390804597702</v>
      </c>
      <c r="H91" s="152">
        <f t="shared" ref="H91:P91" si="233">H29/H36</f>
        <v>0.46511627906976744</v>
      </c>
      <c r="I91" s="152">
        <f t="shared" si="233"/>
        <v>0.2857142857142857</v>
      </c>
      <c r="J91" s="152">
        <f t="shared" si="233"/>
        <v>0.46774193548387094</v>
      </c>
      <c r="K91" s="152">
        <f t="shared" si="233"/>
        <v>0.10256410256410256</v>
      </c>
      <c r="L91" s="152">
        <f t="shared" si="233"/>
        <v>6.4925373134328349E-2</v>
      </c>
      <c r="M91" s="152">
        <f t="shared" si="233"/>
        <v>3.614457831325301E-2</v>
      </c>
      <c r="N91" s="152">
        <f t="shared" si="233"/>
        <v>2.0942408376963352E-2</v>
      </c>
      <c r="O91" s="152">
        <f t="shared" si="233"/>
        <v>7.3891625615763554E-2</v>
      </c>
      <c r="P91" s="152">
        <f t="shared" si="233"/>
        <v>8.8047619047619041E-2</v>
      </c>
      <c r="Q91" s="118">
        <f t="shared" ref="Q91" si="234">((P91/G91)^(1/($H$2-$H$1) ))-1</f>
        <v>-1.5730216134828243</v>
      </c>
      <c r="R91" s="20"/>
      <c r="S91" s="152">
        <f t="shared" ref="S91:AB91" si="235">S29/S36</f>
        <v>8.8047619047619027E-2</v>
      </c>
      <c r="T91" s="152">
        <f t="shared" si="235"/>
        <v>8.8047619047619041E-2</v>
      </c>
      <c r="U91" s="152">
        <f t="shared" si="235"/>
        <v>8.8047619047619027E-2</v>
      </c>
      <c r="V91" s="152">
        <f t="shared" si="235"/>
        <v>8.8047619047619027E-2</v>
      </c>
      <c r="W91" s="152">
        <f t="shared" si="235"/>
        <v>8.8047619047619041E-2</v>
      </c>
      <c r="X91" s="152">
        <f t="shared" si="235"/>
        <v>8.8047619047619041E-2</v>
      </c>
      <c r="Y91" s="152">
        <f t="shared" si="235"/>
        <v>8.8047619047619041E-2</v>
      </c>
      <c r="Z91" s="152">
        <f t="shared" si="235"/>
        <v>8.8047619047619041E-2</v>
      </c>
      <c r="AA91" s="152">
        <f t="shared" si="235"/>
        <v>8.8047619047619041E-2</v>
      </c>
      <c r="AB91" s="152">
        <f t="shared" si="235"/>
        <v>8.8047619047619041E-2</v>
      </c>
      <c r="AC91" s="138">
        <f t="shared" ref="AC91" si="236">((AB91/G91)^(1/($AB$3-$H$1) ))-1</f>
        <v>-1.7681559919039751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37">G29/G40</f>
        <v>1.803921568627451</v>
      </c>
      <c r="H92" s="171">
        <f t="shared" si="237"/>
        <v>0.59701492537313428</v>
      </c>
      <c r="I92" s="171">
        <f t="shared" si="237"/>
        <v>0.37629350893697083</v>
      </c>
      <c r="J92" s="171">
        <f t="shared" si="237"/>
        <v>0.24786324786324787</v>
      </c>
      <c r="K92" s="171">
        <f t="shared" si="237"/>
        <v>6.3846767757382281E-2</v>
      </c>
      <c r="L92" s="171">
        <f t="shared" si="237"/>
        <v>0.12083333333333332</v>
      </c>
      <c r="M92" s="171">
        <f t="shared" si="237"/>
        <v>5.9405940594059403E-2</v>
      </c>
      <c r="N92" s="171">
        <f t="shared" si="237"/>
        <v>3.1746031746031744E-2</v>
      </c>
      <c r="O92" s="171">
        <f t="shared" si="237"/>
        <v>0.14851485148514851</v>
      </c>
      <c r="P92" s="171">
        <f t="shared" si="237"/>
        <v>0.15537815126050419</v>
      </c>
      <c r="Q92" s="118">
        <f t="shared" ref="Q92" si="238">((P92/G92)^(1/($H$2-$H$1) ))-1</f>
        <v>-0.23847211439295501</v>
      </c>
      <c r="R92" s="20"/>
      <c r="S92" s="171">
        <f t="shared" ref="S92:AB92" si="239">S29/S40</f>
        <v>0.15537815126050419</v>
      </c>
      <c r="T92" s="171">
        <f t="shared" si="239"/>
        <v>0.15537815126050419</v>
      </c>
      <c r="U92" s="171">
        <f t="shared" si="239"/>
        <v>0.15537815126050422</v>
      </c>
      <c r="V92" s="171">
        <f t="shared" si="239"/>
        <v>0.15537815126050422</v>
      </c>
      <c r="W92" s="171">
        <f t="shared" si="239"/>
        <v>0.15537815126050422</v>
      </c>
      <c r="X92" s="171">
        <f t="shared" si="239"/>
        <v>0.15537815126050422</v>
      </c>
      <c r="Y92" s="171">
        <f t="shared" si="239"/>
        <v>0.15537815126050422</v>
      </c>
      <c r="Z92" s="171">
        <f t="shared" si="239"/>
        <v>0.15537815126050422</v>
      </c>
      <c r="AA92" s="171">
        <f t="shared" si="239"/>
        <v>0.15537815126050425</v>
      </c>
      <c r="AB92" s="171">
        <f t="shared" si="239"/>
        <v>0.15537815126050425</v>
      </c>
      <c r="AC92" s="138">
        <f t="shared" ref="AC92" si="240">((AB92/G92)^(1/($AB$3-$H$1) ))-1</f>
        <v>-0.12106565178814821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41">G29/G12</f>
        <v>1.0823529411764705</v>
      </c>
      <c r="H93" s="171">
        <f t="shared" si="241"/>
        <v>1.4914243102162565</v>
      </c>
      <c r="I93" s="171">
        <f t="shared" si="241"/>
        <v>1.1428571428571428</v>
      </c>
      <c r="J93" s="171">
        <f t="shared" si="241"/>
        <v>0.60416666666666663</v>
      </c>
      <c r="K93" s="171">
        <f t="shared" si="241"/>
        <v>0.94117647058823528</v>
      </c>
      <c r="L93" s="171">
        <f t="shared" si="241"/>
        <v>1.0874999999999999</v>
      </c>
      <c r="M93" s="171">
        <f t="shared" si="241"/>
        <v>0.5</v>
      </c>
      <c r="N93" s="171">
        <f t="shared" si="241"/>
        <v>0.26666666666666666</v>
      </c>
      <c r="O93" s="171">
        <f t="shared" si="241"/>
        <v>1.3636363636363635</v>
      </c>
      <c r="P93" s="171">
        <f t="shared" si="241"/>
        <v>0.71115384615384614</v>
      </c>
      <c r="Q93" s="118">
        <f t="shared" si="216"/>
        <v>-4.5594924635268375E-2</v>
      </c>
      <c r="R93" s="20"/>
      <c r="S93" s="152">
        <f t="shared" ref="S93:AB93" si="242">S29/S12</f>
        <v>0.71115384615384603</v>
      </c>
      <c r="T93" s="152">
        <f t="shared" si="242"/>
        <v>0.71115384615384614</v>
      </c>
      <c r="U93" s="152">
        <f t="shared" si="242"/>
        <v>0.71115384615384603</v>
      </c>
      <c r="V93" s="152">
        <f t="shared" si="242"/>
        <v>0.71115384615384603</v>
      </c>
      <c r="W93" s="152">
        <f t="shared" si="242"/>
        <v>0.71115384615384603</v>
      </c>
      <c r="X93" s="152">
        <f t="shared" si="242"/>
        <v>0.71115384615384603</v>
      </c>
      <c r="Y93" s="152">
        <f t="shared" si="242"/>
        <v>0.71115384615384603</v>
      </c>
      <c r="Z93" s="152">
        <f t="shared" si="242"/>
        <v>0.71115384615384614</v>
      </c>
      <c r="AA93" s="152">
        <f t="shared" si="242"/>
        <v>0.71115384615384614</v>
      </c>
      <c r="AB93" s="152">
        <f t="shared" si="242"/>
        <v>0.71115384615384614</v>
      </c>
      <c r="AC93" s="138">
        <f t="shared" si="218"/>
        <v>-2.1862928491700351E-2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>
        <f>G29/G23</f>
        <v>1.069767441860465</v>
      </c>
      <c r="H94" s="171">
        <f t="shared" ref="H94:P94" si="243">H29/H23</f>
        <v>1.5384615384615385</v>
      </c>
      <c r="I94" s="171">
        <f t="shared" si="243"/>
        <v>1.1428571428571428</v>
      </c>
      <c r="J94" s="171">
        <f t="shared" si="243"/>
        <v>0.65909090909090906</v>
      </c>
      <c r="K94" s="171">
        <f t="shared" si="243"/>
        <v>1.2638230647709321</v>
      </c>
      <c r="L94" s="171">
        <f t="shared" si="243"/>
        <v>1.45</v>
      </c>
      <c r="M94" s="171">
        <f t="shared" si="243"/>
        <v>0.6</v>
      </c>
      <c r="N94" s="171">
        <f t="shared" si="243"/>
        <v>0.46511627906976744</v>
      </c>
      <c r="O94" s="171">
        <f t="shared" si="243"/>
        <v>1.875</v>
      </c>
      <c r="P94" s="171">
        <f t="shared" si="243"/>
        <v>0.84045454545454534</v>
      </c>
      <c r="Q94" s="118">
        <f t="shared" ref="Q94" si="244">((P94/G94)^(1/($H$2-$H$1) ))-1</f>
        <v>-2.644987440882407E-2</v>
      </c>
      <c r="R94" s="20"/>
      <c r="S94" s="171">
        <f t="shared" ref="S94:AB94" si="245">S29/S23</f>
        <v>0.84045454545454534</v>
      </c>
      <c r="T94" s="171">
        <f t="shared" si="245"/>
        <v>0.84045454545454534</v>
      </c>
      <c r="U94" s="171">
        <f t="shared" si="245"/>
        <v>0.84045454545454534</v>
      </c>
      <c r="V94" s="171">
        <f t="shared" si="245"/>
        <v>0.84045454545454545</v>
      </c>
      <c r="W94" s="171">
        <f t="shared" si="245"/>
        <v>0.84045454545454545</v>
      </c>
      <c r="X94" s="171">
        <f t="shared" si="245"/>
        <v>0.84045454545454545</v>
      </c>
      <c r="Y94" s="171">
        <f t="shared" si="245"/>
        <v>0.84045454545454545</v>
      </c>
      <c r="Z94" s="171">
        <f t="shared" si="245"/>
        <v>0.84045454545454545</v>
      </c>
      <c r="AA94" s="171">
        <f t="shared" si="245"/>
        <v>0.84045454545454545</v>
      </c>
      <c r="AB94" s="171">
        <f t="shared" si="245"/>
        <v>0.84045454545454557</v>
      </c>
      <c r="AC94" s="138">
        <f t="shared" ref="AC94" si="246">((AB94/G94)^(1/($AB$3-$H$1) ))-1</f>
        <v>-1.261728863876177E-2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>
        <f>1/G90</f>
        <v>12.369565217391305</v>
      </c>
      <c r="H96" s="127">
        <f t="shared" ref="H96:P96" si="247">1/H90</f>
        <v>29.950000000000003</v>
      </c>
      <c r="I96" s="127">
        <f t="shared" si="247"/>
        <v>41.0625</v>
      </c>
      <c r="J96" s="127">
        <f t="shared" si="247"/>
        <v>46.482758620689651</v>
      </c>
      <c r="K96" s="127">
        <f t="shared" si="247"/>
        <v>99.125</v>
      </c>
      <c r="L96" s="127">
        <f t="shared" si="247"/>
        <v>98.620689655172413</v>
      </c>
      <c r="M96" s="127">
        <f t="shared" si="247"/>
        <v>151.16666666666666</v>
      </c>
      <c r="N96" s="127">
        <f t="shared" si="247"/>
        <v>285.25</v>
      </c>
      <c r="O96" s="127">
        <f t="shared" si="247"/>
        <v>85.333333333333329</v>
      </c>
      <c r="P96" s="127">
        <f t="shared" si="247"/>
        <v>80.043266630611143</v>
      </c>
      <c r="Q96" s="118">
        <f t="shared" si="216"/>
        <v>0.23057423776854691</v>
      </c>
      <c r="R96" s="20"/>
      <c r="S96" s="127">
        <f t="shared" ref="S96:AB96" si="248">1/S90</f>
        <v>80.043266630611157</v>
      </c>
      <c r="T96" s="127">
        <f t="shared" si="248"/>
        <v>80.043266630611157</v>
      </c>
      <c r="U96" s="127">
        <f t="shared" si="248"/>
        <v>80.043266630611157</v>
      </c>
      <c r="V96" s="127">
        <f t="shared" si="248"/>
        <v>80.043266630611157</v>
      </c>
      <c r="W96" s="127">
        <f t="shared" si="248"/>
        <v>80.043266630611157</v>
      </c>
      <c r="X96" s="127">
        <f t="shared" si="248"/>
        <v>80.043266630611157</v>
      </c>
      <c r="Y96" s="127">
        <f t="shared" si="248"/>
        <v>80.043266630611143</v>
      </c>
      <c r="Z96" s="127">
        <f t="shared" si="248"/>
        <v>80.043266630611143</v>
      </c>
      <c r="AA96" s="127">
        <f t="shared" si="248"/>
        <v>80.043266630611143</v>
      </c>
      <c r="AB96" s="127">
        <f t="shared" si="248"/>
        <v>80.043266630611129</v>
      </c>
      <c r="AC96" s="138">
        <f t="shared" si="218"/>
        <v>0.10327213893891374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>
        <f t="shared" ref="G97:P100" si="249">1/G91</f>
        <v>-7.5652173913043477E-2</v>
      </c>
      <c r="H97" s="127">
        <f t="shared" si="249"/>
        <v>2.15</v>
      </c>
      <c r="I97" s="127">
        <f t="shared" si="249"/>
        <v>3.5</v>
      </c>
      <c r="J97" s="127">
        <f t="shared" si="249"/>
        <v>2.1379310344827589</v>
      </c>
      <c r="K97" s="127">
        <f t="shared" si="249"/>
        <v>9.75</v>
      </c>
      <c r="L97" s="127">
        <f t="shared" si="249"/>
        <v>15.402298850574715</v>
      </c>
      <c r="M97" s="127">
        <f t="shared" si="249"/>
        <v>27.666666666666668</v>
      </c>
      <c r="N97" s="127">
        <f t="shared" si="249"/>
        <v>47.75</v>
      </c>
      <c r="O97" s="127">
        <f t="shared" si="249"/>
        <v>13.533333333333331</v>
      </c>
      <c r="P97" s="127">
        <f t="shared" si="249"/>
        <v>11.357490535424555</v>
      </c>
      <c r="Q97" s="118">
        <f t="shared" si="216"/>
        <v>-2.7451348718279611</v>
      </c>
      <c r="R97" s="20"/>
      <c r="S97" s="127">
        <f t="shared" ref="S97:AB97" si="250">1/S91</f>
        <v>11.357490535424557</v>
      </c>
      <c r="T97" s="127">
        <f t="shared" si="250"/>
        <v>11.357490535424555</v>
      </c>
      <c r="U97" s="127">
        <f t="shared" si="250"/>
        <v>11.357490535424557</v>
      </c>
      <c r="V97" s="127">
        <f t="shared" si="250"/>
        <v>11.357490535424557</v>
      </c>
      <c r="W97" s="127">
        <f t="shared" si="250"/>
        <v>11.357490535424555</v>
      </c>
      <c r="X97" s="127">
        <f t="shared" si="250"/>
        <v>11.357490535424555</v>
      </c>
      <c r="Y97" s="127">
        <f t="shared" si="250"/>
        <v>11.357490535424555</v>
      </c>
      <c r="Z97" s="127">
        <f t="shared" si="250"/>
        <v>11.357490535424555</v>
      </c>
      <c r="AA97" s="127">
        <f t="shared" si="250"/>
        <v>11.357490535424555</v>
      </c>
      <c r="AB97" s="127">
        <f t="shared" si="250"/>
        <v>11.357490535424555</v>
      </c>
      <c r="AC97" s="138">
        <f t="shared" si="218"/>
        <v>-2.3018189150895894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>
        <f t="shared" si="249"/>
        <v>0.55434782608695654</v>
      </c>
      <c r="H98" s="127">
        <f t="shared" si="249"/>
        <v>1.675</v>
      </c>
      <c r="I98" s="127">
        <f t="shared" si="249"/>
        <v>2.6575000000000002</v>
      </c>
      <c r="J98" s="127">
        <f t="shared" si="249"/>
        <v>4.0344827586206895</v>
      </c>
      <c r="K98" s="127">
        <f t="shared" si="249"/>
        <v>15.6625</v>
      </c>
      <c r="L98" s="127">
        <f t="shared" si="249"/>
        <v>8.2758620689655178</v>
      </c>
      <c r="M98" s="127">
        <f t="shared" si="249"/>
        <v>16.833333333333336</v>
      </c>
      <c r="N98" s="127">
        <f t="shared" si="249"/>
        <v>31.5</v>
      </c>
      <c r="O98" s="127">
        <f t="shared" si="249"/>
        <v>6.7333333333333334</v>
      </c>
      <c r="P98" s="127">
        <f t="shared" si="249"/>
        <v>6.4359113034072477</v>
      </c>
      <c r="Q98" s="118">
        <f t="shared" si="216"/>
        <v>0.31314954960954466</v>
      </c>
      <c r="R98" s="20"/>
      <c r="S98" s="127">
        <f t="shared" ref="S98:AB98" si="251">1/S92</f>
        <v>6.4359113034072477</v>
      </c>
      <c r="T98" s="127">
        <f t="shared" si="251"/>
        <v>6.4359113034072477</v>
      </c>
      <c r="U98" s="127">
        <f t="shared" si="251"/>
        <v>6.4359113034072459</v>
      </c>
      <c r="V98" s="127">
        <f t="shared" si="251"/>
        <v>6.4359113034072459</v>
      </c>
      <c r="W98" s="127">
        <f t="shared" si="251"/>
        <v>6.4359113034072459</v>
      </c>
      <c r="X98" s="127">
        <f t="shared" si="251"/>
        <v>6.4359113034072459</v>
      </c>
      <c r="Y98" s="127">
        <f t="shared" si="251"/>
        <v>6.4359113034072459</v>
      </c>
      <c r="Z98" s="127">
        <f t="shared" si="251"/>
        <v>6.4359113034072459</v>
      </c>
      <c r="AA98" s="127">
        <f t="shared" si="251"/>
        <v>6.435911303407245</v>
      </c>
      <c r="AB98" s="127">
        <f t="shared" si="251"/>
        <v>6.435911303407245</v>
      </c>
      <c r="AC98" s="138">
        <f t="shared" si="218"/>
        <v>0.13774140473000096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>
        <f t="shared" si="249"/>
        <v>0.92391304347826098</v>
      </c>
      <c r="H99" s="127">
        <f t="shared" si="249"/>
        <v>0.67049999999999998</v>
      </c>
      <c r="I99" s="127">
        <f t="shared" si="249"/>
        <v>0.875</v>
      </c>
      <c r="J99" s="127">
        <f t="shared" si="249"/>
        <v>1.6551724137931036</v>
      </c>
      <c r="K99" s="127">
        <f t="shared" si="249"/>
        <v>1.0625</v>
      </c>
      <c r="L99" s="127">
        <f t="shared" si="249"/>
        <v>0.91954022988505757</v>
      </c>
      <c r="M99" s="127">
        <f t="shared" si="249"/>
        <v>2</v>
      </c>
      <c r="N99" s="127">
        <f t="shared" si="249"/>
        <v>3.75</v>
      </c>
      <c r="O99" s="127">
        <f t="shared" si="249"/>
        <v>0.73333333333333339</v>
      </c>
      <c r="P99" s="127">
        <f t="shared" si="249"/>
        <v>1.4061654948620876</v>
      </c>
      <c r="Q99" s="118">
        <f t="shared" si="216"/>
        <v>4.7773137226710505E-2</v>
      </c>
      <c r="R99" s="20"/>
      <c r="S99" s="127">
        <f t="shared" ref="S99:AB99" si="252">1/S93</f>
        <v>1.4061654948620879</v>
      </c>
      <c r="T99" s="127">
        <f t="shared" si="252"/>
        <v>1.4061654948620876</v>
      </c>
      <c r="U99" s="127">
        <f t="shared" si="252"/>
        <v>1.4061654948620879</v>
      </c>
      <c r="V99" s="127">
        <f t="shared" si="252"/>
        <v>1.4061654948620879</v>
      </c>
      <c r="W99" s="127">
        <f t="shared" si="252"/>
        <v>1.4061654948620879</v>
      </c>
      <c r="X99" s="127">
        <f t="shared" si="252"/>
        <v>1.4061654948620879</v>
      </c>
      <c r="Y99" s="127">
        <f t="shared" si="252"/>
        <v>1.4061654948620879</v>
      </c>
      <c r="Z99" s="127">
        <f t="shared" si="252"/>
        <v>1.4061654948620876</v>
      </c>
      <c r="AA99" s="127">
        <f t="shared" si="252"/>
        <v>1.4061654948620876</v>
      </c>
      <c r="AB99" s="127">
        <f t="shared" si="252"/>
        <v>1.4061654948620876</v>
      </c>
      <c r="AC99" s="138">
        <f t="shared" si="218"/>
        <v>2.2351599922480592E-2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>
        <f t="shared" si="249"/>
        <v>0.93478260869565222</v>
      </c>
      <c r="H100" s="127">
        <f t="shared" si="249"/>
        <v>0.64999999999999991</v>
      </c>
      <c r="I100" s="127">
        <f t="shared" si="249"/>
        <v>0.875</v>
      </c>
      <c r="J100" s="127">
        <f t="shared" si="249"/>
        <v>1.517241379310345</v>
      </c>
      <c r="K100" s="127">
        <f t="shared" si="249"/>
        <v>0.79125000000000001</v>
      </c>
      <c r="L100" s="127">
        <f t="shared" si="249"/>
        <v>0.68965517241379315</v>
      </c>
      <c r="M100" s="127">
        <f t="shared" si="249"/>
        <v>1.6666666666666667</v>
      </c>
      <c r="N100" s="127">
        <f t="shared" si="249"/>
        <v>2.15</v>
      </c>
      <c r="O100" s="127">
        <f t="shared" si="249"/>
        <v>0.53333333333333333</v>
      </c>
      <c r="P100" s="127">
        <f t="shared" si="249"/>
        <v>1.1898323418063821</v>
      </c>
      <c r="Q100" s="118">
        <f t="shared" si="216"/>
        <v>2.7168477219149612E-2</v>
      </c>
      <c r="R100" s="20"/>
      <c r="S100" s="127">
        <f t="shared" ref="S100:AB100" si="253">1/S94</f>
        <v>1.1898323418063821</v>
      </c>
      <c r="T100" s="127">
        <f t="shared" si="253"/>
        <v>1.1898323418063821</v>
      </c>
      <c r="U100" s="127">
        <f t="shared" si="253"/>
        <v>1.1898323418063821</v>
      </c>
      <c r="V100" s="127">
        <f t="shared" si="253"/>
        <v>1.1898323418063819</v>
      </c>
      <c r="W100" s="127">
        <f t="shared" si="253"/>
        <v>1.1898323418063819</v>
      </c>
      <c r="X100" s="127">
        <f t="shared" si="253"/>
        <v>1.1898323418063819</v>
      </c>
      <c r="Y100" s="127">
        <f t="shared" si="253"/>
        <v>1.1898323418063819</v>
      </c>
      <c r="Z100" s="127">
        <f t="shared" si="253"/>
        <v>1.1898323418063819</v>
      </c>
      <c r="AA100" s="127">
        <f t="shared" si="253"/>
        <v>1.1898323418063819</v>
      </c>
      <c r="AB100" s="127">
        <f t="shared" si="253"/>
        <v>1.1898323418063816</v>
      </c>
      <c r="AC100" s="138">
        <f t="shared" si="218"/>
        <v>1.2778518900100178E-2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54">F10-(F12+F13)</f>
        <v>0</v>
      </c>
      <c r="G103" s="163">
        <f t="shared" si="254"/>
        <v>203.5</v>
      </c>
      <c r="H103" s="163">
        <f t="shared" si="254"/>
        <v>123.09</v>
      </c>
      <c r="I103" s="163">
        <f t="shared" si="254"/>
        <v>53</v>
      </c>
      <c r="J103" s="163">
        <f t="shared" si="254"/>
        <v>-19</v>
      </c>
      <c r="K103" s="163">
        <f t="shared" si="254"/>
        <v>-16.5</v>
      </c>
      <c r="L103" s="163">
        <f t="shared" si="254"/>
        <v>-62</v>
      </c>
      <c r="M103" s="163">
        <f t="shared" si="254"/>
        <v>-144</v>
      </c>
      <c r="N103" s="163">
        <f t="shared" si="254"/>
        <v>75</v>
      </c>
      <c r="O103" s="163">
        <f t="shared" si="254"/>
        <v>116</v>
      </c>
      <c r="P103" s="163">
        <f>P10-(P12+P13)</f>
        <v>8</v>
      </c>
      <c r="Q103" s="118">
        <f t="shared" si="216"/>
        <v>-0.30203093445927021</v>
      </c>
      <c r="R103" s="20"/>
      <c r="S103" s="163">
        <f>S10-(S12+S13)</f>
        <v>8.8000000000000043</v>
      </c>
      <c r="T103" s="163">
        <f t="shared" ref="T103:AB103" si="255">T10-(T12+T13)</f>
        <v>9.6800000000000068</v>
      </c>
      <c r="U103" s="163">
        <f t="shared" si="255"/>
        <v>10.64800000000001</v>
      </c>
      <c r="V103" s="163">
        <f t="shared" si="255"/>
        <v>11.712800000000016</v>
      </c>
      <c r="W103" s="163">
        <f t="shared" si="255"/>
        <v>12.884080000000012</v>
      </c>
      <c r="X103" s="163">
        <f t="shared" si="255"/>
        <v>14.172488000000016</v>
      </c>
      <c r="Y103" s="163">
        <f t="shared" si="255"/>
        <v>15.589736800000026</v>
      </c>
      <c r="Z103" s="163">
        <f t="shared" si="255"/>
        <v>17.14871048000002</v>
      </c>
      <c r="AA103" s="163">
        <f t="shared" si="255"/>
        <v>18.863581528000026</v>
      </c>
      <c r="AB103" s="163">
        <f t="shared" si="255"/>
        <v>20.749939680800054</v>
      </c>
      <c r="AC103" s="138">
        <f t="shared" si="218"/>
        <v>-0.11322531738653596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56">G40/G18</f>
        <v>0.14912280701754385</v>
      </c>
      <c r="H104" s="152">
        <f t="shared" si="256"/>
        <v>0.195906432748538</v>
      </c>
      <c r="I104" s="152">
        <f t="shared" si="256"/>
        <v>0.26409937888198759</v>
      </c>
      <c r="J104" s="152">
        <f t="shared" si="256"/>
        <v>0.42086330935251798</v>
      </c>
      <c r="K104" s="152">
        <f t="shared" si="256"/>
        <v>0.92814814814814817</v>
      </c>
      <c r="L104" s="152">
        <f t="shared" si="256"/>
        <v>0.45283018867924529</v>
      </c>
      <c r="M104" s="152">
        <f t="shared" si="256"/>
        <v>0.66447368421052633</v>
      </c>
      <c r="N104" s="152">
        <f t="shared" si="256"/>
        <v>0.36206896551724138</v>
      </c>
      <c r="O104" s="152">
        <f t="shared" si="256"/>
        <v>0.195357833655706</v>
      </c>
      <c r="P104" s="152">
        <f t="shared" si="256"/>
        <v>0.21441441441441442</v>
      </c>
      <c r="Q104" s="118">
        <f t="shared" si="216"/>
        <v>4.1174020817558166E-2</v>
      </c>
      <c r="R104" s="20"/>
      <c r="S104" s="152">
        <f t="shared" ref="S104:AB104" si="257">S40/S18</f>
        <v>0.21441441441441442</v>
      </c>
      <c r="T104" s="152">
        <f t="shared" si="257"/>
        <v>0.21441441441441442</v>
      </c>
      <c r="U104" s="152">
        <f t="shared" si="257"/>
        <v>0.21441441441441439</v>
      </c>
      <c r="V104" s="152">
        <f t="shared" si="257"/>
        <v>0.21441441441441439</v>
      </c>
      <c r="W104" s="152">
        <f t="shared" si="257"/>
        <v>0.21441441441441439</v>
      </c>
      <c r="X104" s="152">
        <f t="shared" si="257"/>
        <v>0.21441441441441439</v>
      </c>
      <c r="Y104" s="152">
        <f t="shared" si="257"/>
        <v>0.21441441441441436</v>
      </c>
      <c r="Z104" s="152">
        <f t="shared" si="257"/>
        <v>0.21441441441441439</v>
      </c>
      <c r="AA104" s="152">
        <f t="shared" si="257"/>
        <v>0.21441441441441436</v>
      </c>
      <c r="AB104" s="152">
        <f t="shared" si="257"/>
        <v>0.21441441441441436</v>
      </c>
      <c r="AC104" s="138">
        <f t="shared" si="218"/>
        <v>1.9296473069895903E-2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58">G40/G25</f>
        <v>4.4815465729349739E-2</v>
      </c>
      <c r="H105" s="152">
        <f t="shared" si="258"/>
        <v>5.5926544240400666E-2</v>
      </c>
      <c r="I105" s="152">
        <f t="shared" si="258"/>
        <v>6.4718417047184174E-2</v>
      </c>
      <c r="J105" s="152">
        <f t="shared" si="258"/>
        <v>8.6795252225519287E-2</v>
      </c>
      <c r="K105" s="152">
        <f t="shared" si="258"/>
        <v>0.15800756620428752</v>
      </c>
      <c r="L105" s="152">
        <f t="shared" si="258"/>
        <v>8.3916083916083919E-2</v>
      </c>
      <c r="M105" s="152">
        <f t="shared" si="258"/>
        <v>0.1113561190738699</v>
      </c>
      <c r="N105" s="152">
        <f t="shared" si="258"/>
        <v>0.11042944785276074</v>
      </c>
      <c r="O105" s="152">
        <f t="shared" si="258"/>
        <v>7.8906249999999997E-2</v>
      </c>
      <c r="P105" s="152">
        <f t="shared" si="258"/>
        <v>8.0405405405405403E-2</v>
      </c>
      <c r="Q105" s="118">
        <f t="shared" si="216"/>
        <v>6.7103072132190134E-2</v>
      </c>
      <c r="R105" s="20"/>
      <c r="S105" s="152">
        <f t="shared" ref="S105:AB105" si="259">S40/S25</f>
        <v>8.0405405405405403E-2</v>
      </c>
      <c r="T105" s="152">
        <f t="shared" si="259"/>
        <v>8.0405405405405389E-2</v>
      </c>
      <c r="U105" s="152">
        <f t="shared" si="259"/>
        <v>8.0405405405405389E-2</v>
      </c>
      <c r="V105" s="152">
        <f t="shared" si="259"/>
        <v>8.0405405405405389E-2</v>
      </c>
      <c r="W105" s="152">
        <f t="shared" si="259"/>
        <v>8.0405405405405389E-2</v>
      </c>
      <c r="X105" s="152">
        <f t="shared" si="259"/>
        <v>8.0405405405405389E-2</v>
      </c>
      <c r="Y105" s="152">
        <f t="shared" si="259"/>
        <v>8.0405405405405389E-2</v>
      </c>
      <c r="Z105" s="152">
        <f t="shared" si="259"/>
        <v>8.0405405405405389E-2</v>
      </c>
      <c r="AA105" s="152">
        <f t="shared" si="259"/>
        <v>8.0405405405405389E-2</v>
      </c>
      <c r="AB105" s="152">
        <f t="shared" si="259"/>
        <v>8.0405405405405389E-2</v>
      </c>
      <c r="AC105" s="138">
        <f t="shared" si="218"/>
        <v>3.1242759220076355E-2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60">G25/G18</f>
        <v>3.327485380116959</v>
      </c>
      <c r="H106" s="152">
        <f t="shared" si="260"/>
        <v>3.5029239766081872</v>
      </c>
      <c r="I106" s="152">
        <f t="shared" si="260"/>
        <v>4.0807453416149064</v>
      </c>
      <c r="J106" s="152">
        <f t="shared" si="260"/>
        <v>4.8489208633093526</v>
      </c>
      <c r="K106" s="152">
        <f t="shared" si="260"/>
        <v>5.8740740740740742</v>
      </c>
      <c r="L106" s="152">
        <f t="shared" si="260"/>
        <v>5.3962264150943398</v>
      </c>
      <c r="M106" s="152">
        <f t="shared" si="260"/>
        <v>5.9671052631578947</v>
      </c>
      <c r="N106" s="152">
        <f t="shared" si="260"/>
        <v>3.2787356321839081</v>
      </c>
      <c r="O106" s="152">
        <f t="shared" si="260"/>
        <v>2.4758220502901356</v>
      </c>
      <c r="P106" s="152">
        <f>P25/P18</f>
        <v>2.6666666666666665</v>
      </c>
      <c r="Q106" s="118">
        <f t="shared" si="216"/>
        <v>-2.4298544341009976E-2</v>
      </c>
      <c r="R106" s="20"/>
      <c r="S106" s="152">
        <f>S25/S18</f>
        <v>2.666666666666667</v>
      </c>
      <c r="T106" s="152">
        <f t="shared" ref="T106:AB106" si="261">T25/T18</f>
        <v>2.666666666666667</v>
      </c>
      <c r="U106" s="152">
        <f t="shared" si="261"/>
        <v>2.666666666666667</v>
      </c>
      <c r="V106" s="152">
        <f t="shared" si="261"/>
        <v>2.666666666666667</v>
      </c>
      <c r="W106" s="152">
        <f t="shared" si="261"/>
        <v>2.666666666666667</v>
      </c>
      <c r="X106" s="152">
        <f t="shared" si="261"/>
        <v>2.666666666666667</v>
      </c>
      <c r="Y106" s="152">
        <f t="shared" si="261"/>
        <v>2.6666666666666665</v>
      </c>
      <c r="Z106" s="152">
        <f t="shared" si="261"/>
        <v>2.6666666666666665</v>
      </c>
      <c r="AA106" s="152">
        <f t="shared" si="261"/>
        <v>2.666666666666667</v>
      </c>
      <c r="AB106" s="152">
        <f t="shared" si="261"/>
        <v>2.6666666666666665</v>
      </c>
      <c r="AC106" s="138">
        <f t="shared" si="218"/>
        <v>-1.1584358816943641E-2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62">E68*E42</f>
        <v>0</v>
      </c>
      <c r="F108" s="165">
        <f t="shared" si="262"/>
        <v>0</v>
      </c>
      <c r="G108" s="165">
        <f>G68*G42</f>
        <v>0</v>
      </c>
      <c r="H108" s="165">
        <f t="shared" ref="H108:P108" si="263">H68*H42</f>
        <v>1.19</v>
      </c>
      <c r="I108" s="165">
        <f t="shared" si="263"/>
        <v>4.76</v>
      </c>
      <c r="J108" s="165">
        <f t="shared" si="263"/>
        <v>9.52</v>
      </c>
      <c r="K108" s="165">
        <f t="shared" si="263"/>
        <v>19.04</v>
      </c>
      <c r="L108" s="165">
        <f t="shared" si="263"/>
        <v>19.04</v>
      </c>
      <c r="M108" s="165">
        <f t="shared" si="263"/>
        <v>23.22</v>
      </c>
      <c r="N108" s="165">
        <f t="shared" si="263"/>
        <v>38.799999999999997</v>
      </c>
      <c r="O108" s="165">
        <f t="shared" si="263"/>
        <v>42.768000000000008</v>
      </c>
      <c r="P108" s="165">
        <f t="shared" si="263"/>
        <v>44.711999999999996</v>
      </c>
      <c r="Q108" s="118" t="e">
        <f t="shared" si="216"/>
        <v>#DIV/0!</v>
      </c>
      <c r="R108" s="20"/>
      <c r="S108" s="165">
        <f t="shared" ref="S108:AB108" si="264">S68*S42</f>
        <v>47.886552000000002</v>
      </c>
      <c r="T108" s="165">
        <f t="shared" si="264"/>
        <v>51.286497192000006</v>
      </c>
      <c r="U108" s="165">
        <f t="shared" si="264"/>
        <v>54.927838492632006</v>
      </c>
      <c r="V108" s="165">
        <f t="shared" si="264"/>
        <v>58.827715025608889</v>
      </c>
      <c r="W108" s="165">
        <f t="shared" si="264"/>
        <v>63.004482792427126</v>
      </c>
      <c r="X108" s="165">
        <f t="shared" si="264"/>
        <v>67.477801070689452</v>
      </c>
      <c r="Y108" s="165">
        <f t="shared" si="264"/>
        <v>72.268724946708403</v>
      </c>
      <c r="Z108" s="165">
        <f t="shared" si="264"/>
        <v>77.399804417924699</v>
      </c>
      <c r="AA108" s="165">
        <f t="shared" si="264"/>
        <v>82.895190531597351</v>
      </c>
      <c r="AB108" s="165">
        <f t="shared" si="264"/>
        <v>88.780749059340778</v>
      </c>
      <c r="AC108" s="138" t="e">
        <f t="shared" si="218"/>
        <v>#DIV/0!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65">(G108*0.17)+G108</f>
        <v>0</v>
      </c>
      <c r="H109" s="165">
        <f t="shared" si="265"/>
        <v>1.3922999999999999</v>
      </c>
      <c r="I109" s="165">
        <f t="shared" si="265"/>
        <v>5.5691999999999995</v>
      </c>
      <c r="J109" s="165">
        <f t="shared" si="265"/>
        <v>11.138399999999999</v>
      </c>
      <c r="K109" s="165">
        <f t="shared" si="265"/>
        <v>22.276799999999998</v>
      </c>
      <c r="L109" s="165">
        <f t="shared" si="265"/>
        <v>22.276799999999998</v>
      </c>
      <c r="M109" s="165">
        <f t="shared" si="265"/>
        <v>27.167400000000001</v>
      </c>
      <c r="N109" s="165">
        <f t="shared" si="265"/>
        <v>45.396000000000001</v>
      </c>
      <c r="O109" s="165">
        <f t="shared" si="265"/>
        <v>50.038560000000011</v>
      </c>
      <c r="P109" s="165">
        <f t="shared" si="265"/>
        <v>52.313039999999994</v>
      </c>
      <c r="Q109" s="118" t="e">
        <f t="shared" si="216"/>
        <v>#DIV/0!</v>
      </c>
      <c r="R109" s="20"/>
      <c r="S109" s="165">
        <f t="shared" ref="S109:AB109" si="266">(S108*0.17)+S108</f>
        <v>56.027265839999998</v>
      </c>
      <c r="T109" s="165">
        <f t="shared" si="266"/>
        <v>60.005201714640009</v>
      </c>
      <c r="U109" s="165">
        <f t="shared" si="266"/>
        <v>64.265571036379441</v>
      </c>
      <c r="V109" s="165">
        <f t="shared" si="266"/>
        <v>68.828426579962397</v>
      </c>
      <c r="W109" s="165">
        <f t="shared" si="266"/>
        <v>73.715244867139745</v>
      </c>
      <c r="X109" s="165">
        <f t="shared" si="266"/>
        <v>78.949027252706657</v>
      </c>
      <c r="Y109" s="165">
        <f t="shared" si="266"/>
        <v>84.554408187648832</v>
      </c>
      <c r="Z109" s="165">
        <f t="shared" si="266"/>
        <v>90.557771168971897</v>
      </c>
      <c r="AA109" s="165">
        <f t="shared" si="266"/>
        <v>96.987372921968898</v>
      </c>
      <c r="AB109" s="165">
        <f t="shared" si="266"/>
        <v>103.87347639942871</v>
      </c>
      <c r="AC109" s="138" t="e">
        <f t="shared" si="218"/>
        <v>#DIV/0!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67">F109/F40</f>
        <v>#DIV/0!</v>
      </c>
      <c r="G110" s="152">
        <f t="shared" si="267"/>
        <v>0</v>
      </c>
      <c r="H110" s="152">
        <f t="shared" si="267"/>
        <v>4.1561194029850743E-2</v>
      </c>
      <c r="I110" s="152">
        <f t="shared" si="267"/>
        <v>0.1309783631232361</v>
      </c>
      <c r="J110" s="152">
        <f t="shared" si="267"/>
        <v>0.19039999999999999</v>
      </c>
      <c r="K110" s="152">
        <f t="shared" si="267"/>
        <v>0.17778770949720668</v>
      </c>
      <c r="L110" s="152">
        <f t="shared" si="267"/>
        <v>0.30939999999999995</v>
      </c>
      <c r="M110" s="152">
        <f t="shared" si="267"/>
        <v>0.26898415841584161</v>
      </c>
      <c r="N110" s="152">
        <f t="shared" si="267"/>
        <v>0.36028571428571426</v>
      </c>
      <c r="O110" s="152">
        <f t="shared" si="267"/>
        <v>0.49543128712871298</v>
      </c>
      <c r="P110" s="152">
        <f t="shared" si="267"/>
        <v>0.43960537815126044</v>
      </c>
      <c r="Q110" s="118" t="e">
        <f t="shared" si="216"/>
        <v>#DIV/0!</v>
      </c>
      <c r="R110" s="20"/>
      <c r="S110" s="152">
        <f t="shared" ref="S110:AB110" si="268">S109/S40</f>
        <v>0.42801578181818178</v>
      </c>
      <c r="T110" s="152">
        <f t="shared" si="268"/>
        <v>0.41673172938842978</v>
      </c>
      <c r="U110" s="152">
        <f t="shared" si="268"/>
        <v>0.40574516561364388</v>
      </c>
      <c r="V110" s="152">
        <f t="shared" si="268"/>
        <v>0.39504824761110235</v>
      </c>
      <c r="W110" s="152">
        <f t="shared" si="268"/>
        <v>0.38463333926499155</v>
      </c>
      <c r="X110" s="152">
        <f t="shared" si="268"/>
        <v>0.37449300577527805</v>
      </c>
      <c r="Y110" s="152">
        <f t="shared" si="268"/>
        <v>0.36462000835029346</v>
      </c>
      <c r="Z110" s="152">
        <f t="shared" si="268"/>
        <v>0.35500729903924022</v>
      </c>
      <c r="AA110" s="152">
        <f t="shared" si="268"/>
        <v>0.34564801570093295</v>
      </c>
      <c r="AB110" s="152">
        <f t="shared" si="268"/>
        <v>0.33653547710518111</v>
      </c>
      <c r="AC110" s="138" t="e">
        <f t="shared" si="218"/>
        <v>#DIV/0!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1</v>
      </c>
      <c r="H111" s="152">
        <f t="shared" ref="H111:P111" si="269">1-H110</f>
        <v>0.9584388059701493</v>
      </c>
      <c r="I111" s="152">
        <f t="shared" si="269"/>
        <v>0.86902163687676393</v>
      </c>
      <c r="J111" s="152">
        <f t="shared" si="269"/>
        <v>0.80959999999999999</v>
      </c>
      <c r="K111" s="152">
        <f t="shared" si="269"/>
        <v>0.82221229050279332</v>
      </c>
      <c r="L111" s="152">
        <f t="shared" si="269"/>
        <v>0.6906000000000001</v>
      </c>
      <c r="M111" s="152">
        <f t="shared" si="269"/>
        <v>0.73101584158415833</v>
      </c>
      <c r="N111" s="152">
        <f t="shared" si="269"/>
        <v>0.63971428571428568</v>
      </c>
      <c r="O111" s="152">
        <f t="shared" si="269"/>
        <v>0.50456871287128702</v>
      </c>
      <c r="P111" s="152">
        <f t="shared" si="269"/>
        <v>0.56039462184873956</v>
      </c>
      <c r="Q111" s="118">
        <f t="shared" si="216"/>
        <v>-6.2319500471368916E-2</v>
      </c>
      <c r="R111" s="20"/>
      <c r="S111" s="152">
        <f t="shared" ref="S111:AB111" si="270">1-S110</f>
        <v>0.57198421818181822</v>
      </c>
      <c r="T111" s="152">
        <f t="shared" si="270"/>
        <v>0.58326827061157016</v>
      </c>
      <c r="U111" s="152">
        <f t="shared" si="270"/>
        <v>0.59425483438635607</v>
      </c>
      <c r="V111" s="152">
        <f t="shared" si="270"/>
        <v>0.60495175238889765</v>
      </c>
      <c r="W111" s="152">
        <f t="shared" si="270"/>
        <v>0.61536666073500845</v>
      </c>
      <c r="X111" s="152">
        <f t="shared" si="270"/>
        <v>0.625506994224722</v>
      </c>
      <c r="Y111" s="152">
        <f t="shared" si="270"/>
        <v>0.63537999164970649</v>
      </c>
      <c r="Z111" s="152">
        <f t="shared" si="270"/>
        <v>0.64499270096075978</v>
      </c>
      <c r="AA111" s="152">
        <f t="shared" si="270"/>
        <v>0.65435198429906705</v>
      </c>
      <c r="AB111" s="152">
        <f t="shared" si="270"/>
        <v>0.66346452289481883</v>
      </c>
      <c r="AC111" s="138">
        <f t="shared" si="218"/>
        <v>-2.136220439194314E-2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71">H31/H25</f>
        <v>0</v>
      </c>
      <c r="I113" s="152">
        <f t="shared" si="271"/>
        <v>0</v>
      </c>
      <c r="J113" s="152">
        <f t="shared" si="271"/>
        <v>0</v>
      </c>
      <c r="K113" s="152">
        <f t="shared" si="271"/>
        <v>0</v>
      </c>
      <c r="L113" s="152">
        <f t="shared" si="271"/>
        <v>0</v>
      </c>
      <c r="M113" s="152">
        <f t="shared" si="271"/>
        <v>0</v>
      </c>
      <c r="N113" s="152">
        <f t="shared" si="271"/>
        <v>0</v>
      </c>
      <c r="O113" s="152">
        <f t="shared" si="271"/>
        <v>0</v>
      </c>
      <c r="P113" s="152">
        <f t="shared" si="271"/>
        <v>0</v>
      </c>
      <c r="Q113" s="118" t="e">
        <f t="shared" si="216"/>
        <v>#DIV/0!</v>
      </c>
      <c r="R113" s="20"/>
      <c r="S113" s="152">
        <f t="shared" ref="S113:AB113" si="272">S31/S25</f>
        <v>0</v>
      </c>
      <c r="T113" s="152">
        <f t="shared" si="272"/>
        <v>0</v>
      </c>
      <c r="U113" s="152">
        <f t="shared" si="272"/>
        <v>0</v>
      </c>
      <c r="V113" s="152">
        <f t="shared" si="272"/>
        <v>0</v>
      </c>
      <c r="W113" s="152">
        <f t="shared" si="272"/>
        <v>0</v>
      </c>
      <c r="X113" s="152">
        <f t="shared" si="272"/>
        <v>0</v>
      </c>
      <c r="Y113" s="152">
        <f t="shared" si="272"/>
        <v>0</v>
      </c>
      <c r="Z113" s="152">
        <f t="shared" si="272"/>
        <v>0</v>
      </c>
      <c r="AA113" s="152">
        <f t="shared" si="272"/>
        <v>0</v>
      </c>
      <c r="AB113" s="152">
        <f t="shared" si="272"/>
        <v>0</v>
      </c>
      <c r="AC113" s="138" t="e">
        <f t="shared" si="218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73">H32/H25</f>
        <v>0</v>
      </c>
      <c r="I114" s="152">
        <f t="shared" si="273"/>
        <v>0</v>
      </c>
      <c r="J114" s="152">
        <f t="shared" si="273"/>
        <v>0</v>
      </c>
      <c r="K114" s="152">
        <f t="shared" si="273"/>
        <v>0</v>
      </c>
      <c r="L114" s="152">
        <f t="shared" si="273"/>
        <v>0</v>
      </c>
      <c r="M114" s="152">
        <f t="shared" si="273"/>
        <v>0</v>
      </c>
      <c r="N114" s="152">
        <f t="shared" si="273"/>
        <v>0</v>
      </c>
      <c r="O114" s="152">
        <f t="shared" si="273"/>
        <v>0</v>
      </c>
      <c r="P114" s="152">
        <f t="shared" si="273"/>
        <v>0</v>
      </c>
      <c r="Q114" s="118" t="e">
        <f t="shared" si="216"/>
        <v>#DIV/0!</v>
      </c>
      <c r="R114" s="20"/>
      <c r="S114" s="152">
        <f t="shared" ref="S114:AB114" si="274">S32/S25</f>
        <v>0</v>
      </c>
      <c r="T114" s="152">
        <f t="shared" si="274"/>
        <v>0</v>
      </c>
      <c r="U114" s="152">
        <f t="shared" si="274"/>
        <v>0</v>
      </c>
      <c r="V114" s="152">
        <f t="shared" si="274"/>
        <v>0</v>
      </c>
      <c r="W114" s="152">
        <f t="shared" si="274"/>
        <v>0</v>
      </c>
      <c r="X114" s="152">
        <f t="shared" si="274"/>
        <v>0</v>
      </c>
      <c r="Y114" s="152">
        <f t="shared" si="274"/>
        <v>0</v>
      </c>
      <c r="Z114" s="152">
        <f t="shared" si="274"/>
        <v>0</v>
      </c>
      <c r="AA114" s="152">
        <f t="shared" si="274"/>
        <v>0</v>
      </c>
      <c r="AB114" s="152">
        <f t="shared" si="274"/>
        <v>0</v>
      </c>
      <c r="AC114" s="138" t="e">
        <f t="shared" si="21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0.83831282952548325</v>
      </c>
      <c r="H116" s="152">
        <f t="shared" ref="H116:P116" si="275">H27/H25</f>
        <v>0.87646076794657768</v>
      </c>
      <c r="I116" s="152">
        <f t="shared" si="275"/>
        <v>0.87823439878234399</v>
      </c>
      <c r="J116" s="152">
        <f t="shared" si="275"/>
        <v>0.8486646884272997</v>
      </c>
      <c r="K116" s="152">
        <f t="shared" si="275"/>
        <v>0.7805800756620429</v>
      </c>
      <c r="L116" s="152">
        <f t="shared" si="275"/>
        <v>0.83799533799533799</v>
      </c>
      <c r="M116" s="152">
        <f t="shared" si="275"/>
        <v>0.80374862183020945</v>
      </c>
      <c r="N116" s="152">
        <f t="shared" si="275"/>
        <v>0.82033304119193695</v>
      </c>
      <c r="O116" s="152">
        <f t="shared" si="275"/>
        <v>0.85</v>
      </c>
      <c r="P116" s="152">
        <f t="shared" si="275"/>
        <v>0.85</v>
      </c>
      <c r="Q116" s="118">
        <f t="shared" si="216"/>
        <v>1.5395187040663227E-3</v>
      </c>
      <c r="R116" s="20"/>
      <c r="S116" s="152">
        <f t="shared" ref="S116:AB116" si="276">S27/S25</f>
        <v>0.85</v>
      </c>
      <c r="T116" s="152">
        <f t="shared" si="276"/>
        <v>0.85</v>
      </c>
      <c r="U116" s="152">
        <f t="shared" si="276"/>
        <v>0.85</v>
      </c>
      <c r="V116" s="152">
        <f t="shared" si="276"/>
        <v>0.84999999999999987</v>
      </c>
      <c r="W116" s="152">
        <f t="shared" si="276"/>
        <v>0.84999999999999987</v>
      </c>
      <c r="X116" s="152">
        <f t="shared" si="276"/>
        <v>0.85</v>
      </c>
      <c r="Y116" s="152">
        <f t="shared" si="276"/>
        <v>0.85</v>
      </c>
      <c r="Z116" s="152">
        <f t="shared" si="276"/>
        <v>0.85</v>
      </c>
      <c r="AA116" s="152">
        <f t="shared" si="276"/>
        <v>0.84999999999999987</v>
      </c>
      <c r="AB116" s="152">
        <f t="shared" si="276"/>
        <v>0.85</v>
      </c>
      <c r="AC116" s="138">
        <f t="shared" si="218"/>
        <v>7.2895048905996518E-4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0.48154657293497366</v>
      </c>
      <c r="H117" s="152">
        <f t="shared" ref="H117:P117" si="277">H33/H25</f>
        <v>0.57595993322203676</v>
      </c>
      <c r="I117" s="152">
        <f t="shared" si="277"/>
        <v>0.61187214611872143</v>
      </c>
      <c r="J117" s="152">
        <f t="shared" si="277"/>
        <v>0.55637982195845692</v>
      </c>
      <c r="K117" s="152">
        <f t="shared" si="277"/>
        <v>0.53341740226986134</v>
      </c>
      <c r="L117" s="152">
        <f t="shared" si="277"/>
        <v>0.5990675990675991</v>
      </c>
      <c r="M117" s="152">
        <f t="shared" si="277"/>
        <v>0.57111356119073875</v>
      </c>
      <c r="N117" s="152">
        <f t="shared" si="277"/>
        <v>0.59596844872918497</v>
      </c>
      <c r="O117" s="152">
        <f t="shared" si="277"/>
        <v>0.59687500000000004</v>
      </c>
      <c r="P117" s="152">
        <f t="shared" si="277"/>
        <v>0.60337837837837838</v>
      </c>
      <c r="Q117" s="118">
        <f t="shared" si="216"/>
        <v>2.5376816942139557E-2</v>
      </c>
      <c r="R117" s="20"/>
      <c r="S117" s="152">
        <f t="shared" ref="S117:AB117" si="278">S33/S25</f>
        <v>0.60337837837837838</v>
      </c>
      <c r="T117" s="152">
        <f t="shared" si="278"/>
        <v>0.60337837837837838</v>
      </c>
      <c r="U117" s="152">
        <f t="shared" si="278"/>
        <v>0.60337837837837838</v>
      </c>
      <c r="V117" s="152">
        <f t="shared" si="278"/>
        <v>0.60337837837837838</v>
      </c>
      <c r="W117" s="152">
        <f t="shared" si="278"/>
        <v>0.60337837837837838</v>
      </c>
      <c r="X117" s="152">
        <f t="shared" si="278"/>
        <v>0.60337837837837838</v>
      </c>
      <c r="Y117" s="152">
        <f t="shared" si="278"/>
        <v>0.60337837837837838</v>
      </c>
      <c r="Z117" s="152">
        <f t="shared" si="278"/>
        <v>0.60337837837837838</v>
      </c>
      <c r="AA117" s="152">
        <f t="shared" si="278"/>
        <v>0.60337837837837838</v>
      </c>
      <c r="AB117" s="152">
        <f t="shared" si="278"/>
        <v>0.60337837837837849</v>
      </c>
      <c r="AC117" s="138">
        <f t="shared" si="218"/>
        <v>1.1941342740076966E-2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9.8418277680140595E-2</v>
      </c>
      <c r="H118" s="152">
        <f t="shared" ref="H118:P118" si="279">H34/H25</f>
        <v>8.347245409015025E-2</v>
      </c>
      <c r="I118" s="152">
        <f t="shared" si="279"/>
        <v>7.3059360730593603E-2</v>
      </c>
      <c r="J118" s="152">
        <f t="shared" si="279"/>
        <v>7.8635014836795247E-2</v>
      </c>
      <c r="K118" s="152">
        <f t="shared" si="279"/>
        <v>7.5662042875157626E-2</v>
      </c>
      <c r="L118" s="152">
        <f t="shared" si="279"/>
        <v>8.0419580419580416E-2</v>
      </c>
      <c r="M118" s="152">
        <f t="shared" si="279"/>
        <v>7.3869900771775077E-2</v>
      </c>
      <c r="N118" s="152">
        <f t="shared" si="279"/>
        <v>6.3978965819456612E-2</v>
      </c>
      <c r="O118" s="152">
        <f t="shared" si="279"/>
        <v>7.03125E-2</v>
      </c>
      <c r="P118" s="152">
        <f t="shared" si="279"/>
        <v>6.3513513513513517E-2</v>
      </c>
      <c r="Q118" s="118">
        <f t="shared" si="216"/>
        <v>-4.7498655202977025E-2</v>
      </c>
      <c r="R118" s="20"/>
      <c r="S118" s="152">
        <f t="shared" ref="S118:AB118" si="280">S34/S25</f>
        <v>6.3513513513513503E-2</v>
      </c>
      <c r="T118" s="152">
        <f t="shared" si="280"/>
        <v>6.3513513513513503E-2</v>
      </c>
      <c r="U118" s="152">
        <f t="shared" si="280"/>
        <v>6.3513513513513503E-2</v>
      </c>
      <c r="V118" s="152">
        <f t="shared" si="280"/>
        <v>6.3513513513513503E-2</v>
      </c>
      <c r="W118" s="152">
        <f t="shared" si="280"/>
        <v>6.3513513513513517E-2</v>
      </c>
      <c r="X118" s="152">
        <f t="shared" si="280"/>
        <v>6.3513513513513517E-2</v>
      </c>
      <c r="Y118" s="152">
        <f t="shared" si="280"/>
        <v>6.3513513513513517E-2</v>
      </c>
      <c r="Z118" s="152">
        <f t="shared" si="280"/>
        <v>6.3513513513513517E-2</v>
      </c>
      <c r="AA118" s="152">
        <f t="shared" si="280"/>
        <v>6.3513513513513517E-2</v>
      </c>
      <c r="AB118" s="152">
        <f t="shared" si="280"/>
        <v>6.3513513513513517E-2</v>
      </c>
      <c r="AC118" s="138">
        <f t="shared" si="218"/>
        <v>-2.2787604330938405E-2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1.4133333333333333</v>
      </c>
      <c r="H121" s="25">
        <f t="shared" ref="H121:AB121" si="281">H15/H9</f>
        <v>1.1827956989247312</v>
      </c>
      <c r="I121" s="25">
        <f t="shared" si="281"/>
        <v>1.08</v>
      </c>
      <c r="J121" s="25">
        <f t="shared" si="281"/>
        <v>1.0170212765957447</v>
      </c>
      <c r="K121" s="25">
        <f t="shared" si="281"/>
        <v>1.5864197530864197</v>
      </c>
      <c r="L121" s="25">
        <f t="shared" si="281"/>
        <v>1.2710280373831775</v>
      </c>
      <c r="M121" s="25">
        <f t="shared" si="281"/>
        <v>0.8422939068100358</v>
      </c>
      <c r="N121" s="25">
        <f t="shared" si="281"/>
        <v>1.0416666666666667</v>
      </c>
      <c r="O121" s="25">
        <f t="shared" si="281"/>
        <v>1.0873239436619719</v>
      </c>
      <c r="P121" s="25">
        <f t="shared" si="281"/>
        <v>1.0338600451467268</v>
      </c>
      <c r="Q121" s="118">
        <f t="shared" si="216"/>
        <v>-3.4142588633005344E-2</v>
      </c>
      <c r="R121" s="20"/>
      <c r="S121" s="20">
        <f t="shared" si="281"/>
        <v>1.033860045146727</v>
      </c>
      <c r="T121" s="20">
        <f t="shared" si="281"/>
        <v>1.0338600451467268</v>
      </c>
      <c r="U121" s="20">
        <f t="shared" si="281"/>
        <v>1.0338600451467268</v>
      </c>
      <c r="V121" s="20">
        <f t="shared" si="281"/>
        <v>1.0338600451467266</v>
      </c>
      <c r="W121" s="20">
        <f t="shared" si="281"/>
        <v>1.0338600451467266</v>
      </c>
      <c r="X121" s="20">
        <f t="shared" si="281"/>
        <v>1.0338600451467266</v>
      </c>
      <c r="Y121" s="20">
        <f t="shared" si="281"/>
        <v>1.0338600451467266</v>
      </c>
      <c r="Z121" s="20">
        <f t="shared" si="281"/>
        <v>1.0338600451467266</v>
      </c>
      <c r="AA121" s="20">
        <f t="shared" si="281"/>
        <v>1.0338600451467266</v>
      </c>
      <c r="AB121" s="20">
        <f t="shared" si="281"/>
        <v>1.0338600451467266</v>
      </c>
      <c r="AC121" s="138">
        <f t="shared" si="218"/>
        <v>-1.6320695986460021E-2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0.18888888888888888</v>
      </c>
      <c r="H122" s="25">
        <f t="shared" ref="H122:P122" si="282">H12/H9</f>
        <v>7.2096774193548388E-2</v>
      </c>
      <c r="I122" s="25">
        <f t="shared" si="282"/>
        <v>6.222222222222222E-2</v>
      </c>
      <c r="J122" s="25">
        <f t="shared" si="282"/>
        <v>0.10212765957446808</v>
      </c>
      <c r="K122" s="25">
        <f t="shared" si="282"/>
        <v>5.2469135802469133E-2</v>
      </c>
      <c r="L122" s="25">
        <f t="shared" si="282"/>
        <v>3.7383177570093455E-2</v>
      </c>
      <c r="M122" s="25">
        <f t="shared" si="282"/>
        <v>4.3010752688172046E-2</v>
      </c>
      <c r="N122" s="25">
        <f t="shared" si="282"/>
        <v>4.4642857142857144E-2</v>
      </c>
      <c r="O122" s="25">
        <f t="shared" si="282"/>
        <v>3.0985915492957747E-2</v>
      </c>
      <c r="P122" s="25">
        <f t="shared" si="282"/>
        <v>5.8690744920993229E-2</v>
      </c>
      <c r="Q122" s="118">
        <f t="shared" si="216"/>
        <v>-0.12179498625005991</v>
      </c>
      <c r="R122" s="128"/>
      <c r="S122" s="20">
        <f t="shared" ref="S122:AB122" si="283">S12/S9</f>
        <v>5.8690744920993229E-2</v>
      </c>
      <c r="T122" s="20">
        <f t="shared" si="283"/>
        <v>5.8690744920993229E-2</v>
      </c>
      <c r="U122" s="20">
        <f t="shared" si="283"/>
        <v>5.8690744920993229E-2</v>
      </c>
      <c r="V122" s="20">
        <f t="shared" si="283"/>
        <v>5.8690744920993229E-2</v>
      </c>
      <c r="W122" s="20">
        <f t="shared" si="283"/>
        <v>5.8690744920993236E-2</v>
      </c>
      <c r="X122" s="20">
        <f t="shared" si="283"/>
        <v>5.8690744920993236E-2</v>
      </c>
      <c r="Y122" s="20">
        <f t="shared" si="283"/>
        <v>5.8690744920993229E-2</v>
      </c>
      <c r="Z122" s="20">
        <f t="shared" si="283"/>
        <v>5.8690744920993229E-2</v>
      </c>
      <c r="AA122" s="20">
        <f t="shared" si="283"/>
        <v>5.8690744920993229E-2</v>
      </c>
      <c r="AB122" s="20">
        <f t="shared" si="283"/>
        <v>5.8690744920993222E-2</v>
      </c>
      <c r="AC122" s="118">
        <f t="shared" ref="AC122" si="284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1.5805555555555555</v>
      </c>
      <c r="H123" s="25">
        <f t="shared" ref="H123:P123" si="285">H25/360</f>
        <v>1.663888888888889</v>
      </c>
      <c r="I123" s="25">
        <f t="shared" si="285"/>
        <v>1.825</v>
      </c>
      <c r="J123" s="25">
        <f t="shared" si="285"/>
        <v>1.8722222222222222</v>
      </c>
      <c r="K123" s="25">
        <f t="shared" si="285"/>
        <v>2.2027777777777779</v>
      </c>
      <c r="L123" s="25">
        <f t="shared" si="285"/>
        <v>2.3833333333333333</v>
      </c>
      <c r="M123" s="25">
        <f t="shared" si="285"/>
        <v>2.5194444444444444</v>
      </c>
      <c r="N123" s="25">
        <f t="shared" si="285"/>
        <v>3.1694444444444443</v>
      </c>
      <c r="O123" s="25">
        <f t="shared" si="285"/>
        <v>3.5555555555555554</v>
      </c>
      <c r="P123" s="25">
        <f t="shared" si="285"/>
        <v>4.1111111111111107</v>
      </c>
      <c r="Q123" s="118">
        <f t="shared" si="216"/>
        <v>0.11205871146498958</v>
      </c>
      <c r="R123" s="128"/>
      <c r="S123" s="25">
        <f t="shared" ref="S123:AB123" si="286">S25/360</f>
        <v>4.522222222222223</v>
      </c>
      <c r="T123" s="25">
        <f t="shared" si="286"/>
        <v>4.9744444444444458</v>
      </c>
      <c r="U123" s="25">
        <f t="shared" si="286"/>
        <v>5.4718888888888904</v>
      </c>
      <c r="V123" s="25">
        <f t="shared" si="286"/>
        <v>6.0190777777777802</v>
      </c>
      <c r="W123" s="25">
        <f t="shared" si="286"/>
        <v>6.620985555555559</v>
      </c>
      <c r="X123" s="25">
        <f t="shared" si="286"/>
        <v>7.2830841111111146</v>
      </c>
      <c r="Y123" s="25">
        <f t="shared" si="286"/>
        <v>8.0113925222222271</v>
      </c>
      <c r="Z123" s="25">
        <f t="shared" si="286"/>
        <v>8.8125317744444498</v>
      </c>
      <c r="AA123" s="25">
        <f t="shared" si="286"/>
        <v>9.6937849518888957</v>
      </c>
      <c r="AB123" s="25">
        <f t="shared" si="286"/>
        <v>10.663163447077787</v>
      </c>
      <c r="AC123" s="118">
        <f t="shared" ref="AC123:AC134" si="287">((AB123/S123)^(1/($H$2-$H$1) ))-1</f>
        <v>0.10000000000000009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1.325</v>
      </c>
      <c r="H124" s="25">
        <f t="shared" ref="H124:P124" si="288">H27/360</f>
        <v>1.4583333333333333</v>
      </c>
      <c r="I124" s="25">
        <f t="shared" si="288"/>
        <v>1.6027777777777779</v>
      </c>
      <c r="J124" s="25">
        <f t="shared" si="288"/>
        <v>1.5888888888888888</v>
      </c>
      <c r="K124" s="25">
        <f t="shared" si="288"/>
        <v>1.7194444444444446</v>
      </c>
      <c r="L124" s="25">
        <f t="shared" si="288"/>
        <v>1.9972222222222222</v>
      </c>
      <c r="M124" s="25">
        <f t="shared" si="288"/>
        <v>2.0249999999999999</v>
      </c>
      <c r="N124" s="25">
        <f t="shared" si="288"/>
        <v>2.6</v>
      </c>
      <c r="O124" s="25">
        <f t="shared" si="288"/>
        <v>3.0222222222222221</v>
      </c>
      <c r="P124" s="25">
        <f t="shared" si="288"/>
        <v>3.4944444444444445</v>
      </c>
      <c r="Q124" s="118">
        <f t="shared" si="216"/>
        <v>0.11377074665131004</v>
      </c>
      <c r="R124" s="128"/>
      <c r="S124" s="25">
        <f t="shared" ref="S124:AB124" si="289">S27/360</f>
        <v>3.8438888888888894</v>
      </c>
      <c r="T124" s="25">
        <f t="shared" si="289"/>
        <v>4.2282777777777785</v>
      </c>
      <c r="U124" s="25">
        <f t="shared" si="289"/>
        <v>4.6511055555555565</v>
      </c>
      <c r="V124" s="25">
        <f t="shared" si="289"/>
        <v>5.1162161111111129</v>
      </c>
      <c r="W124" s="25">
        <f t="shared" si="289"/>
        <v>5.6278377222222247</v>
      </c>
      <c r="X124" s="25">
        <f t="shared" si="289"/>
        <v>6.1906214944444473</v>
      </c>
      <c r="Y124" s="25">
        <f t="shared" si="289"/>
        <v>6.8096836438888921</v>
      </c>
      <c r="Z124" s="25">
        <f t="shared" si="289"/>
        <v>7.4906520082777828</v>
      </c>
      <c r="AA124" s="25">
        <f t="shared" si="289"/>
        <v>8.2397172091055602</v>
      </c>
      <c r="AB124" s="25">
        <f t="shared" si="289"/>
        <v>9.0636889300161183</v>
      </c>
      <c r="AC124" s="118">
        <f t="shared" si="287"/>
        <v>0.10000000000000009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2.024390243902439</v>
      </c>
      <c r="H126" s="25">
        <f t="shared" ref="H126:P126" si="290">H10/H7</f>
        <v>0.95205479452054798</v>
      </c>
      <c r="I126" s="25">
        <f t="shared" si="290"/>
        <v>0.66285714285714281</v>
      </c>
      <c r="J126" s="25">
        <f t="shared" si="290"/>
        <v>0.16981132075471697</v>
      </c>
      <c r="K126" s="25">
        <f t="shared" si="290"/>
        <v>0.15259740259740259</v>
      </c>
      <c r="L126" s="25">
        <f t="shared" si="290"/>
        <v>0.23495702005730659</v>
      </c>
      <c r="M126" s="25">
        <f t="shared" si="290"/>
        <v>1.8867924528301886E-2</v>
      </c>
      <c r="N126" s="25">
        <f t="shared" si="290"/>
        <v>0.22772277227722773</v>
      </c>
      <c r="O126" s="25">
        <f t="shared" si="290"/>
        <v>0.27124773960216997</v>
      </c>
      <c r="P126" s="25">
        <f t="shared" si="290"/>
        <v>8.7096774193548387E-2</v>
      </c>
      <c r="Q126" s="118">
        <f t="shared" si="216"/>
        <v>-0.29499895715056512</v>
      </c>
      <c r="R126" s="128"/>
      <c r="S126" s="25">
        <f t="shared" ref="S126:AB126" si="291">S10/S7</f>
        <v>8.7096774193548401E-2</v>
      </c>
      <c r="T126" s="25">
        <f t="shared" si="291"/>
        <v>8.7096774193548401E-2</v>
      </c>
      <c r="U126" s="25">
        <f t="shared" si="291"/>
        <v>8.7096774193548401E-2</v>
      </c>
      <c r="V126" s="25">
        <f t="shared" si="291"/>
        <v>8.7096774193548401E-2</v>
      </c>
      <c r="W126" s="25">
        <f t="shared" si="291"/>
        <v>8.7096774193548401E-2</v>
      </c>
      <c r="X126" s="25">
        <f t="shared" si="291"/>
        <v>8.7096774193548401E-2</v>
      </c>
      <c r="Y126" s="25">
        <f t="shared" si="291"/>
        <v>8.7096774193548415E-2</v>
      </c>
      <c r="Z126" s="25">
        <f t="shared" si="291"/>
        <v>8.7096774193548415E-2</v>
      </c>
      <c r="AA126" s="25">
        <f t="shared" si="291"/>
        <v>8.7096774193548429E-2</v>
      </c>
      <c r="AB126" s="25">
        <f t="shared" si="291"/>
        <v>8.7096774193548443E-2</v>
      </c>
      <c r="AC126" s="118">
        <f t="shared" si="287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0.66935483870967738</v>
      </c>
      <c r="H127" s="25">
        <f t="shared" ref="H127:P127" si="292">H10/(H10+H7)</f>
        <v>0.48771929824561405</v>
      </c>
      <c r="I127" s="25">
        <f t="shared" si="292"/>
        <v>0.39862542955326463</v>
      </c>
      <c r="J127" s="25">
        <f t="shared" si="292"/>
        <v>0.14516129032258066</v>
      </c>
      <c r="K127" s="25">
        <f t="shared" si="292"/>
        <v>0.13239436619718309</v>
      </c>
      <c r="L127" s="25">
        <f t="shared" si="292"/>
        <v>0.1902552204176334</v>
      </c>
      <c r="M127" s="25">
        <f t="shared" si="292"/>
        <v>1.8518518518518517E-2</v>
      </c>
      <c r="N127" s="25">
        <f t="shared" si="292"/>
        <v>0.18548387096774194</v>
      </c>
      <c r="O127" s="25">
        <f t="shared" si="292"/>
        <v>0.21337126600284495</v>
      </c>
      <c r="P127" s="25">
        <f t="shared" si="292"/>
        <v>8.0118694362017809E-2</v>
      </c>
      <c r="Q127" s="118">
        <f t="shared" si="216"/>
        <v>-0.21011446313263404</v>
      </c>
      <c r="R127" s="128"/>
      <c r="S127" s="25">
        <f t="shared" ref="S127:AB127" si="293">S10/(S10+S7)</f>
        <v>8.0118694362017809E-2</v>
      </c>
      <c r="T127" s="25">
        <f t="shared" si="293"/>
        <v>8.0118694362017823E-2</v>
      </c>
      <c r="U127" s="25">
        <f t="shared" si="293"/>
        <v>8.0118694362017823E-2</v>
      </c>
      <c r="V127" s="25">
        <f t="shared" si="293"/>
        <v>8.0118694362017823E-2</v>
      </c>
      <c r="W127" s="25">
        <f t="shared" si="293"/>
        <v>8.0118694362017823E-2</v>
      </c>
      <c r="X127" s="25">
        <f t="shared" si="293"/>
        <v>8.0118694362017809E-2</v>
      </c>
      <c r="Y127" s="25">
        <f t="shared" si="293"/>
        <v>8.0118694362017837E-2</v>
      </c>
      <c r="Z127" s="25">
        <f t="shared" si="293"/>
        <v>8.0118694362017837E-2</v>
      </c>
      <c r="AA127" s="25">
        <f t="shared" si="293"/>
        <v>8.0118694362017837E-2</v>
      </c>
      <c r="AB127" s="25">
        <f t="shared" si="293"/>
        <v>8.0118694362017837E-2</v>
      </c>
      <c r="AC127" s="118">
        <f t="shared" si="287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177</v>
      </c>
      <c r="H129" s="25">
        <f t="shared" ref="H129:P129" si="294">H16</f>
        <v>90</v>
      </c>
      <c r="I129" s="25">
        <f t="shared" si="294"/>
        <v>71</v>
      </c>
      <c r="J129" s="25">
        <f t="shared" si="294"/>
        <v>70</v>
      </c>
      <c r="K129" s="25">
        <f t="shared" si="294"/>
        <v>150</v>
      </c>
      <c r="L129" s="25">
        <f t="shared" si="294"/>
        <v>101</v>
      </c>
      <c r="M129" s="25">
        <f t="shared" si="294"/>
        <v>27</v>
      </c>
      <c r="N129" s="25">
        <f t="shared" si="294"/>
        <v>89</v>
      </c>
      <c r="O129" s="25">
        <f t="shared" si="294"/>
        <v>105</v>
      </c>
      <c r="P129" s="25">
        <f t="shared" si="294"/>
        <v>70</v>
      </c>
      <c r="Q129" s="118">
        <f t="shared" si="216"/>
        <v>-9.7938627861597238E-2</v>
      </c>
      <c r="R129" s="128"/>
      <c r="S129" s="25">
        <f t="shared" ref="S129:AB129" si="295">S16</f>
        <v>77</v>
      </c>
      <c r="T129" s="25">
        <f t="shared" si="295"/>
        <v>84.7</v>
      </c>
      <c r="U129" s="25">
        <f t="shared" si="295"/>
        <v>93.170000000000016</v>
      </c>
      <c r="V129" s="25">
        <f t="shared" si="295"/>
        <v>102.48700000000002</v>
      </c>
      <c r="W129" s="25">
        <f t="shared" si="295"/>
        <v>112.73570000000004</v>
      </c>
      <c r="X129" s="25">
        <f t="shared" si="295"/>
        <v>124.00927000000006</v>
      </c>
      <c r="Y129" s="25">
        <f t="shared" si="295"/>
        <v>136.41019700000007</v>
      </c>
      <c r="Z129" s="25">
        <f t="shared" si="295"/>
        <v>150.05121670000008</v>
      </c>
      <c r="AA129" s="25">
        <f t="shared" si="295"/>
        <v>165.05633837000011</v>
      </c>
      <c r="AB129" s="25">
        <f t="shared" si="295"/>
        <v>181.56197220700014</v>
      </c>
      <c r="AC129" s="118">
        <f t="shared" si="287"/>
        <v>0.10000000000000009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96">G129*365/G25</f>
        <v>113.54130052724078</v>
      </c>
      <c r="H130" s="119">
        <f t="shared" si="296"/>
        <v>54.841402337228715</v>
      </c>
      <c r="I130" s="119">
        <f t="shared" si="296"/>
        <v>39.444444444444443</v>
      </c>
      <c r="J130" s="119">
        <f t="shared" si="296"/>
        <v>37.908011869436201</v>
      </c>
      <c r="K130" s="119">
        <f t="shared" si="296"/>
        <v>69.04161412358134</v>
      </c>
      <c r="L130" s="119">
        <f t="shared" si="296"/>
        <v>42.966200466200469</v>
      </c>
      <c r="M130" s="119">
        <f t="shared" si="296"/>
        <v>10.865490628445425</v>
      </c>
      <c r="N130" s="119">
        <f t="shared" si="296"/>
        <v>28.470639789658193</v>
      </c>
      <c r="O130" s="119">
        <f t="shared" si="296"/>
        <v>29.94140625</v>
      </c>
      <c r="P130" s="119">
        <f t="shared" si="296"/>
        <v>17.263513513513512</v>
      </c>
      <c r="Q130" s="118">
        <f t="shared" si="216"/>
        <v>-0.18883655796369181</v>
      </c>
      <c r="R130" s="128"/>
      <c r="S130" s="119">
        <f t="shared" ref="S130:AB130" si="297">S129*365/S25</f>
        <v>17.263513513513512</v>
      </c>
      <c r="T130" s="119">
        <f t="shared" si="297"/>
        <v>17.263513513513509</v>
      </c>
      <c r="U130" s="119">
        <f t="shared" si="297"/>
        <v>17.263513513513509</v>
      </c>
      <c r="V130" s="119">
        <f t="shared" si="297"/>
        <v>17.263513513513512</v>
      </c>
      <c r="W130" s="119">
        <f t="shared" si="297"/>
        <v>17.263513513513512</v>
      </c>
      <c r="X130" s="119">
        <f t="shared" si="297"/>
        <v>17.263513513513512</v>
      </c>
      <c r="Y130" s="119">
        <f t="shared" si="297"/>
        <v>17.263513513513512</v>
      </c>
      <c r="Z130" s="119">
        <f t="shared" si="297"/>
        <v>17.263513513513512</v>
      </c>
      <c r="AA130" s="119">
        <f t="shared" si="297"/>
        <v>17.263513513513509</v>
      </c>
      <c r="AB130" s="119">
        <f t="shared" si="297"/>
        <v>17.263513513513512</v>
      </c>
      <c r="AC130" s="118">
        <f t="shared" si="287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-6.3573255389112168E-2</v>
      </c>
      <c r="H131" s="133">
        <f t="shared" ref="H131:P131" si="298">H78/H29</f>
        <v>1.8067226890756303</v>
      </c>
      <c r="I131" s="133">
        <f t="shared" si="298"/>
        <v>2.9411764705882355</v>
      </c>
      <c r="J131" s="133">
        <f t="shared" si="298"/>
        <v>1.7965807012460155</v>
      </c>
      <c r="K131" s="133">
        <f t="shared" si="298"/>
        <v>8.1932773109243708</v>
      </c>
      <c r="L131" s="133">
        <f t="shared" si="298"/>
        <v>12.943108277793879</v>
      </c>
      <c r="M131" s="133">
        <f t="shared" si="298"/>
        <v>21.447028423772608</v>
      </c>
      <c r="N131" s="133">
        <f t="shared" si="298"/>
        <v>24.61340206185567</v>
      </c>
      <c r="O131" s="133">
        <f t="shared" si="298"/>
        <v>0.69615912208504793</v>
      </c>
      <c r="P131" s="133">
        <f t="shared" si="298"/>
        <v>0.58423305223377331</v>
      </c>
      <c r="Q131" s="118">
        <f t="shared" si="216"/>
        <v>-2.2794833248902693</v>
      </c>
      <c r="R131" s="128"/>
      <c r="S131" s="133">
        <f t="shared" ref="S131:AB131" si="299">S78/S29</f>
        <v>0.57277750218997392</v>
      </c>
      <c r="T131" s="133">
        <f t="shared" si="299"/>
        <v>0.56154657077448433</v>
      </c>
      <c r="U131" s="133">
        <f t="shared" si="299"/>
        <v>0.55053585370047486</v>
      </c>
      <c r="V131" s="133">
        <f t="shared" si="299"/>
        <v>0.53974103303968113</v>
      </c>
      <c r="W131" s="133">
        <f t="shared" si="299"/>
        <v>0.5291578755290991</v>
      </c>
      <c r="X131" s="133">
        <f t="shared" si="299"/>
        <v>0.51878223091088138</v>
      </c>
      <c r="Y131" s="133">
        <f t="shared" si="299"/>
        <v>0.5086100303047858</v>
      </c>
      <c r="Z131" s="133">
        <f t="shared" si="299"/>
        <v>0.49863728461253504</v>
      </c>
      <c r="AA131" s="133">
        <f t="shared" si="299"/>
        <v>0.48886008295346572</v>
      </c>
      <c r="AB131" s="133">
        <f t="shared" si="299"/>
        <v>0.47927459113084875</v>
      </c>
      <c r="AC131" s="118">
        <f t="shared" si="287"/>
        <v>-1.9607843137254943E-2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>
        <f>G25/G14</f>
        <v>5.4711538461538458</v>
      </c>
      <c r="H133" s="180">
        <f t="shared" ref="H133:P133" si="300">H25/H14</f>
        <v>4.9916666666666663</v>
      </c>
      <c r="I133" s="180">
        <f t="shared" si="300"/>
        <v>4.5944055944055942</v>
      </c>
      <c r="J133" s="180">
        <f t="shared" si="300"/>
        <v>5.3070866141732287</v>
      </c>
      <c r="K133" s="180">
        <f t="shared" si="300"/>
        <v>5.3581081081081079</v>
      </c>
      <c r="L133" s="180">
        <f t="shared" si="300"/>
        <v>5.7583892617449663</v>
      </c>
      <c r="M133" s="180">
        <f t="shared" si="300"/>
        <v>6.0872483221476514</v>
      </c>
      <c r="N133" s="180">
        <f t="shared" si="300"/>
        <v>4.9825327510917035</v>
      </c>
      <c r="O133" s="180">
        <f t="shared" si="300"/>
        <v>4.7058823529411766</v>
      </c>
      <c r="P133" s="180">
        <f t="shared" si="300"/>
        <v>5.5430711610486894</v>
      </c>
      <c r="Q133" s="118">
        <f t="shared" si="216"/>
        <v>1.4520725014743885E-3</v>
      </c>
      <c r="R133" s="128"/>
      <c r="S133" s="20">
        <f t="shared" ref="S133" si="301">S25/S14</f>
        <v>5.5430711610486894</v>
      </c>
      <c r="T133" s="20">
        <f t="shared" ref="T133:AB133" si="302">T25/T14</f>
        <v>5.5430711610486894</v>
      </c>
      <c r="U133" s="20">
        <f t="shared" si="302"/>
        <v>5.5430711610486894</v>
      </c>
      <c r="V133" s="20">
        <f t="shared" si="302"/>
        <v>5.5430711610486902</v>
      </c>
      <c r="W133" s="20">
        <f t="shared" si="302"/>
        <v>5.5430711610486902</v>
      </c>
      <c r="X133" s="20">
        <f t="shared" si="302"/>
        <v>5.5430711610486894</v>
      </c>
      <c r="Y133" s="20">
        <f t="shared" si="302"/>
        <v>5.5430711610486894</v>
      </c>
      <c r="Z133" s="20">
        <f t="shared" si="302"/>
        <v>5.5430711610486885</v>
      </c>
      <c r="AA133" s="20">
        <f t="shared" si="302"/>
        <v>5.5430711610486885</v>
      </c>
      <c r="AB133" s="20">
        <f t="shared" si="302"/>
        <v>5.5430711610486885</v>
      </c>
      <c r="AC133" s="118">
        <f t="shared" si="287"/>
        <v>0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>
        <f>G27/G14</f>
        <v>4.5865384615384617</v>
      </c>
      <c r="H134" s="180">
        <f t="shared" ref="H134:P134" si="303">H27/H14</f>
        <v>4.375</v>
      </c>
      <c r="I134" s="180">
        <f t="shared" si="303"/>
        <v>4.034965034965035</v>
      </c>
      <c r="J134" s="180">
        <f t="shared" si="303"/>
        <v>4.5039370078740157</v>
      </c>
      <c r="K134" s="180">
        <f t="shared" si="303"/>
        <v>4.1824324324324325</v>
      </c>
      <c r="L134" s="180">
        <f t="shared" si="303"/>
        <v>4.825503355704698</v>
      </c>
      <c r="M134" s="180">
        <f t="shared" si="303"/>
        <v>4.8926174496644297</v>
      </c>
      <c r="N134" s="180">
        <f t="shared" si="303"/>
        <v>4.0873362445414845</v>
      </c>
      <c r="O134" s="180">
        <f t="shared" si="303"/>
        <v>4</v>
      </c>
      <c r="P134" s="180">
        <f t="shared" si="303"/>
        <v>4.7116104868913862</v>
      </c>
      <c r="Q134" s="118">
        <f t="shared" si="216"/>
        <v>2.993826698316493E-3</v>
      </c>
      <c r="R134" s="128"/>
      <c r="S134" s="20">
        <f t="shared" ref="S134:AB134" si="304">S27/S14</f>
        <v>4.7116104868913853</v>
      </c>
      <c r="T134" s="20">
        <f t="shared" si="304"/>
        <v>4.7116104868913862</v>
      </c>
      <c r="U134" s="20">
        <f t="shared" si="304"/>
        <v>4.7116104868913862</v>
      </c>
      <c r="V134" s="20">
        <f t="shared" si="304"/>
        <v>4.7116104868913862</v>
      </c>
      <c r="W134" s="20">
        <f t="shared" si="304"/>
        <v>4.7116104868913853</v>
      </c>
      <c r="X134" s="20">
        <f t="shared" si="304"/>
        <v>4.7116104868913862</v>
      </c>
      <c r="Y134" s="20">
        <f t="shared" si="304"/>
        <v>4.7116104868913853</v>
      </c>
      <c r="Z134" s="20">
        <f t="shared" si="304"/>
        <v>4.7116104868913853</v>
      </c>
      <c r="AA134" s="20">
        <f t="shared" si="304"/>
        <v>4.7116104868913844</v>
      </c>
      <c r="AB134" s="20">
        <f t="shared" si="304"/>
        <v>4.7116104868913844</v>
      </c>
      <c r="AC134" s="118">
        <f t="shared" si="287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45.482880724266707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15.61163065275165</v>
      </c>
      <c r="S138" s="133">
        <f>PV($C$1, ($AB$3-$S$3), 0, -AB52)</f>
        <v>2.1753911565309676</v>
      </c>
      <c r="T138" s="133">
        <f>PV($C$1, ($AB$3-$S$3), 0, -AE52)</f>
        <v>13.436239496220683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305">S139+T139</f>
        <v>81.337907602571633</v>
      </c>
      <c r="S139" s="133">
        <f>PV($C$1, ($AB$3-$S$3), 0, -AB54)</f>
        <v>11.333970731505881</v>
      </c>
      <c r="T139" s="133">
        <f>PV($C$1, ($AB$3-$S$3), 0, -AE54)</f>
        <v>70.003936871065747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305"/>
        <v>78.84529430507348</v>
      </c>
      <c r="S140" s="133">
        <f>PV($C$1, ($AB$3-$S$3), 0, -AB55)</f>
        <v>10.986639370379089</v>
      </c>
      <c r="T140" s="133">
        <f>PV($C$1, ($AB$3-$S$3), 0, -AE55)</f>
        <v>67.858654934694385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5"/>
        <v>7.0842693718368874</v>
      </c>
      <c r="S141" s="133">
        <f>PV($C$1, ($AB$3-$S$3), 0, -AB56)</f>
        <v>0.98715228951825473</v>
      </c>
      <c r="T141" s="133">
        <f>PV($C$1, ($AB$3-$S$3), 0, -AE56)</f>
        <v>6.0971170823186327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5"/>
        <v>3.4109445123659077</v>
      </c>
      <c r="S142" s="133">
        <f>PV($C$1, ($AB$3-$S$3), 0, -AB62)</f>
        <v>0.47529554680508546</v>
      </c>
      <c r="T142" s="133">
        <f>PV($C$1, ($AB$3-$S$3), 0, -AE62)</f>
        <v>2.935648965560822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05"/>
        <v>74.253638230734722</v>
      </c>
      <c r="S144" s="133">
        <f>PV($C$1, ($AB$3-$S$3), 0, -AB58)</f>
        <v>10.346818441987624</v>
      </c>
      <c r="T144" s="133">
        <f>PV($C$1, ($AB$3-$S$3), 0, -$AE$58)</f>
        <v>63.906819788747093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5"/>
        <v>16.136391346961751</v>
      </c>
      <c r="S145" s="133">
        <f>PV($C$1, ($AB$3-$S$3), 0, -AB59)</f>
        <v>2.248513548347129</v>
      </c>
      <c r="T145" s="133">
        <f>PV($C$1, ($AB$3-$S$3), 0, -$AE$59)</f>
        <v>13.887877798614621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5"/>
        <v>76.221490834022717</v>
      </c>
      <c r="S146" s="133">
        <f>PV($C$1, ($AB$3-$S$3), 0, -AB60)</f>
        <v>10.621027411298249</v>
      </c>
      <c r="T146" s="133">
        <f>PV($C$1, ($AB$3-$S$3), 0, -$AE$60)</f>
        <v>65.600463422724474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05"/>
        <v>60.08509948706098</v>
      </c>
      <c r="S148" s="133">
        <f>PV($C$1, ($AB$3-$S$3), 0, -AB65)</f>
        <v>8.3725138629511182</v>
      </c>
      <c r="T148" s="133">
        <f>PV($C$1, ($AB$3-$S$3), 0, -AE65)</f>
        <v>51.712585624109863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05"/>
        <v>7.0961957512507521</v>
      </c>
      <c r="S149" s="133">
        <f>PV($C$1, ($AB$3-$S$3), 0, -AB66)</f>
        <v>1.2796418567829224</v>
      </c>
      <c r="T149" s="133">
        <f>PV($C$1, ($AB$3-$S$3), 0, -AE66)</f>
        <v>5.8165538944678294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6">S151+T151</f>
        <v>80.830010046323551</v>
      </c>
      <c r="S151" s="133">
        <f>PV($C$1, ($AB$3-$S$3), 0, -AB12)</f>
        <v>11.263198121209019</v>
      </c>
      <c r="T151" s="133">
        <f>PV($C$1, ($AB$3-$S$3), 0, -AE12)</f>
        <v>69.566811925114536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4.1579223274857799</v>
      </c>
      <c r="S152" s="140">
        <f>S151/P42</f>
        <v>0.57938261940375613</v>
      </c>
      <c r="T152" s="140">
        <f>T151/P42</f>
        <v>3.5785397080820234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7">S155+T155</f>
        <v>21.796375353957117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17.931613585273265</v>
      </c>
      <c r="T155" s="133">
        <f>PV($C$1, ($AB$3-$S$3), 0, -AE68)</f>
        <v>3.8647617686838518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5"/>
        <v>1614.6339533261616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1328.3397657881903</v>
      </c>
      <c r="T157" s="133">
        <f>PV($C$1, ($AB$3-$S$3), 0, -AE70)</f>
        <v>286.29418753797137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308">S159+T159</f>
        <v>68.135916591142873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56.054592002104101</v>
      </c>
      <c r="T159" s="133">
        <f>PV($C$1, ($AB$3-$S$3), 0, -AE72)</f>
        <v>12.081324589038768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08"/>
        <v>92.970503012213641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76.485704974833638</v>
      </c>
      <c r="T160" s="133">
        <f>PV($C$1, ($AB$3-$S$3), 0, -AE73)</f>
        <v>16.484798037380003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08"/>
        <v>-24.834586421070771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-20.431112972729537</v>
      </c>
      <c r="T161" s="133">
        <f>PV($C$1, ($AB$3-$S$3), 0, -AE74)</f>
        <v>-4.4034734483412343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08"/>
        <v>-59.220936850245693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-48.720346319585822</v>
      </c>
      <c r="T162" s="133">
        <f>PV($C$1, ($AB$3-$S$3), 0, -AE75)</f>
        <v>-10.500590530659867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14.009253878552739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11.52524321538589</v>
      </c>
      <c r="T164" s="133">
        <f>PV($C$1, ($AB$3-$S$3), 0, -AE76)</f>
        <v>2.4840106631668495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110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170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53</v>
      </c>
      <c r="H167" s="22">
        <v>215</v>
      </c>
      <c r="I167" s="22">
        <v>285</v>
      </c>
      <c r="J167" s="22">
        <v>230</v>
      </c>
      <c r="K167" s="22">
        <v>300</v>
      </c>
      <c r="L167" s="22">
        <v>350</v>
      </c>
      <c r="M167" s="22">
        <v>1155</v>
      </c>
      <c r="N167" s="22">
        <v>1210</v>
      </c>
      <c r="O167" s="22">
        <v>120</v>
      </c>
      <c r="P167" s="22">
        <v>90</v>
      </c>
      <c r="Q167" s="118">
        <f t="shared" ref="Q167:Q172" si="309">((P167/G167)^(1/($H$2-$H$1) ))-1</f>
        <v>6.0600552135553709E-2</v>
      </c>
      <c r="R167" s="31">
        <f>L2-3%</f>
        <v>7.0000000000000007E-2</v>
      </c>
      <c r="S167" s="119">
        <f t="shared" ref="S167" si="310">P167*(1+$R167)</f>
        <v>96.300000000000011</v>
      </c>
      <c r="T167" s="119">
        <f t="shared" ref="T167:AB167" si="311">S167*(1+$R167)</f>
        <v>103.04100000000003</v>
      </c>
      <c r="U167" s="119">
        <f t="shared" si="311"/>
        <v>110.25387000000003</v>
      </c>
      <c r="V167" s="119">
        <f t="shared" si="311"/>
        <v>117.97164090000004</v>
      </c>
      <c r="W167" s="119">
        <f t="shared" si="311"/>
        <v>126.22965576300005</v>
      </c>
      <c r="X167" s="119">
        <f t="shared" si="311"/>
        <v>135.06573166641007</v>
      </c>
      <c r="Y167" s="119">
        <f t="shared" si="311"/>
        <v>144.52033288305879</v>
      </c>
      <c r="Z167" s="119">
        <f t="shared" si="311"/>
        <v>154.63675618487292</v>
      </c>
      <c r="AA167" s="119">
        <f t="shared" si="311"/>
        <v>165.46132911781405</v>
      </c>
      <c r="AB167" s="119">
        <f t="shared" si="311"/>
        <v>177.04362215606105</v>
      </c>
      <c r="AC167" s="138">
        <f t="shared" ref="AC167:AC172" si="312">((AB167/G167)^(1/($AB$3-$H$1) ))-1</f>
        <v>6.5537291074387438E-2</v>
      </c>
      <c r="AD167" s="31">
        <v>0.08</v>
      </c>
      <c r="AE167" s="127">
        <f t="shared" ref="AE167:AE175" si="313">(AB167*(1+AC167))/($C$1-AD167)</f>
        <v>1347.4755825297618</v>
      </c>
    </row>
    <row r="168" spans="2:31" x14ac:dyDescent="0.2">
      <c r="B168" s="20" t="s">
        <v>361</v>
      </c>
      <c r="C168" s="25" t="e">
        <f t="shared" ref="C168:P168" si="314">C167/C49</f>
        <v>#DIV/0!</v>
      </c>
      <c r="D168" s="25" t="e">
        <f t="shared" si="314"/>
        <v>#DIV/0!</v>
      </c>
      <c r="E168" s="25" t="e">
        <f t="shared" si="314"/>
        <v>#DIV/0!</v>
      </c>
      <c r="F168" s="25" t="e">
        <f t="shared" si="314"/>
        <v>#DIV/0!</v>
      </c>
      <c r="G168" s="25">
        <f t="shared" si="314"/>
        <v>0.11084358523725833</v>
      </c>
      <c r="H168" s="25">
        <f t="shared" si="314"/>
        <v>0.4271285475792988</v>
      </c>
      <c r="I168" s="25">
        <f t="shared" si="314"/>
        <v>0.51621004566210038</v>
      </c>
      <c r="J168" s="25">
        <f t="shared" si="314"/>
        <v>0.40608308605341248</v>
      </c>
      <c r="K168" s="25">
        <f t="shared" si="314"/>
        <v>0.45018915510718788</v>
      </c>
      <c r="L168" s="25">
        <f t="shared" si="314"/>
        <v>0.4854312354312354</v>
      </c>
      <c r="M168" s="25">
        <f t="shared" si="314"/>
        <v>1.642723263506064</v>
      </c>
      <c r="N168" s="25">
        <f t="shared" si="314"/>
        <v>2.0573181419807187</v>
      </c>
      <c r="O168" s="25">
        <f t="shared" si="314"/>
        <v>1.8225</v>
      </c>
      <c r="P168" s="25">
        <f t="shared" si="314"/>
        <v>1.1821621621621623</v>
      </c>
      <c r="Q168" s="118">
        <f t="shared" ref="Q168" si="315">((P168/G168)^(1/($H$2-$H$1) ))-1</f>
        <v>0.30082387391023868</v>
      </c>
      <c r="R168" s="128"/>
      <c r="S168" s="25">
        <f t="shared" ref="S168:AB168" si="316">S167/S49</f>
        <v>1.1729198034398034</v>
      </c>
      <c r="T168" s="25">
        <f t="shared" si="316"/>
        <v>1.163749703158365</v>
      </c>
      <c r="U168" s="25">
        <f t="shared" si="316"/>
        <v>1.1546512963882178</v>
      </c>
      <c r="V168" s="25">
        <f t="shared" si="316"/>
        <v>1.1456240226164554</v>
      </c>
      <c r="W168" s="25">
        <f t="shared" si="316"/>
        <v>1.136667325712363</v>
      </c>
      <c r="X168" s="25">
        <f t="shared" si="316"/>
        <v>1.1277806538931572</v>
      </c>
      <c r="Y168" s="25">
        <f t="shared" si="316"/>
        <v>1.1189634596899927</v>
      </c>
      <c r="Z168" s="25">
        <f t="shared" si="316"/>
        <v>1.1102151999142347</v>
      </c>
      <c r="AA168" s="25">
        <f t="shared" si="316"/>
        <v>1.1015353356239961</v>
      </c>
      <c r="AB168" s="25">
        <f t="shared" si="316"/>
        <v>1.0929233320909357</v>
      </c>
      <c r="AC168" s="138">
        <f t="shared" ref="AC168" si="317">((AB168/G168)^(1/($AB$3-$H$1) ))-1</f>
        <v>0.12800085296248032</v>
      </c>
      <c r="AD168" s="31">
        <v>0.08</v>
      </c>
      <c r="AE168" s="127">
        <f t="shared" ref="AE168" si="318">(AB168*(1+AC168))/($C$1-AD168)</f>
        <v>8.805846077294083</v>
      </c>
    </row>
    <row r="169" spans="2:31" x14ac:dyDescent="0.2">
      <c r="B169" s="20" t="s">
        <v>389</v>
      </c>
      <c r="C169" s="25" t="e">
        <f t="shared" ref="C169:P169" si="319">C167/C52</f>
        <v>#DIV/0!</v>
      </c>
      <c r="D169" s="25" t="e">
        <f t="shared" si="319"/>
        <v>#DIV/0!</v>
      </c>
      <c r="E169" s="25" t="e">
        <f t="shared" si="319"/>
        <v>#DIV/0!</v>
      </c>
      <c r="F169" s="25" t="e">
        <f t="shared" si="319"/>
        <v>#DIV/0!</v>
      </c>
      <c r="G169" s="25">
        <f t="shared" si="319"/>
        <v>2.4733333333333332</v>
      </c>
      <c r="H169" s="25">
        <f t="shared" si="319"/>
        <v>7.6373134328358203</v>
      </c>
      <c r="I169" s="25">
        <f t="shared" si="319"/>
        <v>7.9762464722483539</v>
      </c>
      <c r="J169" s="25">
        <f t="shared" si="319"/>
        <v>4.678632478632478</v>
      </c>
      <c r="K169" s="25">
        <f t="shared" si="319"/>
        <v>2.8491620111731844</v>
      </c>
      <c r="L169" s="25">
        <f t="shared" si="319"/>
        <v>5.7847222222222214</v>
      </c>
      <c r="M169" s="25">
        <f t="shared" si="319"/>
        <v>14.751980198019801</v>
      </c>
      <c r="N169" s="25">
        <f t="shared" si="319"/>
        <v>18.63015873015873</v>
      </c>
      <c r="O169" s="25">
        <f t="shared" si="319"/>
        <v>23.097029702970296</v>
      </c>
      <c r="P169" s="25">
        <f t="shared" si="319"/>
        <v>14.702521008403362</v>
      </c>
      <c r="Q169" s="118">
        <f t="shared" si="309"/>
        <v>0.21902364249692252</v>
      </c>
      <c r="R169" s="128"/>
      <c r="S169" s="119">
        <f t="shared" ref="S169:AB169" si="320">S167/S52</f>
        <v>14.587574025974027</v>
      </c>
      <c r="T169" s="119">
        <f t="shared" si="320"/>
        <v>14.473525719952777</v>
      </c>
      <c r="U169" s="119">
        <f t="shared" si="320"/>
        <v>14.360369064324056</v>
      </c>
      <c r="V169" s="119">
        <f t="shared" si="320"/>
        <v>14.248097088002975</v>
      </c>
      <c r="W169" s="119">
        <f t="shared" si="320"/>
        <v>14.136702874405863</v>
      </c>
      <c r="X169" s="119">
        <f t="shared" si="320"/>
        <v>14.026179561024144</v>
      </c>
      <c r="Y169" s="119">
        <f t="shared" si="320"/>
        <v>13.916520339001591</v>
      </c>
      <c r="Z169" s="119">
        <f t="shared" si="320"/>
        <v>13.807718452714852</v>
      </c>
      <c r="AA169" s="119">
        <f t="shared" si="320"/>
        <v>13.699767199357265</v>
      </c>
      <c r="AB169" s="119">
        <f t="shared" si="320"/>
        <v>13.592659928525926</v>
      </c>
      <c r="AC169" s="138">
        <f t="shared" si="312"/>
        <v>9.382668908684666E-2</v>
      </c>
      <c r="AD169" s="31">
        <v>0.08</v>
      </c>
      <c r="AE169" s="127">
        <f t="shared" si="313"/>
        <v>106.20010146787833</v>
      </c>
    </row>
    <row r="170" spans="2:31" x14ac:dyDescent="0.2">
      <c r="B170" s="20" t="s">
        <v>258</v>
      </c>
      <c r="C170" s="25" t="e">
        <f t="shared" ref="C170:P170" si="321">C167/C55</f>
        <v>#DIV/0!</v>
      </c>
      <c r="D170" s="25" t="e">
        <f t="shared" si="321"/>
        <v>#DIV/0!</v>
      </c>
      <c r="E170" s="25" t="e">
        <f t="shared" si="321"/>
        <v>#DIV/0!</v>
      </c>
      <c r="F170" s="25" t="e">
        <f t="shared" si="321"/>
        <v>#DIV/0!</v>
      </c>
      <c r="G170" s="25">
        <f t="shared" si="321"/>
        <v>2.7421739130434779</v>
      </c>
      <c r="H170" s="25">
        <f t="shared" si="321"/>
        <v>5.5619565217391296</v>
      </c>
      <c r="I170" s="25">
        <f t="shared" si="321"/>
        <v>4.4625000000000004</v>
      </c>
      <c r="J170" s="25">
        <f t="shared" si="321"/>
        <v>2.4437499999999996</v>
      </c>
      <c r="K170" s="25">
        <f t="shared" si="321"/>
        <v>1.7163461538461537</v>
      </c>
      <c r="L170" s="25">
        <f t="shared" si="321"/>
        <v>1.6726907630522088</v>
      </c>
      <c r="M170" s="25">
        <f t="shared" si="321"/>
        <v>3.6251824817518252</v>
      </c>
      <c r="N170" s="25">
        <f t="shared" si="321"/>
        <v>4.84</v>
      </c>
      <c r="O170" s="25">
        <f t="shared" si="321"/>
        <v>4.3767354596622896</v>
      </c>
      <c r="P170" s="25">
        <f t="shared" si="321"/>
        <v>2.9111480865224628</v>
      </c>
      <c r="Q170" s="118">
        <f t="shared" si="309"/>
        <v>6.6661796205262913E-3</v>
      </c>
      <c r="R170" s="128"/>
      <c r="S170" s="119">
        <f t="shared" ref="S170:AB170" si="322">S167/S55</f>
        <v>2.8883882014823778</v>
      </c>
      <c r="T170" s="119">
        <f t="shared" si="322"/>
        <v>2.8658062573616978</v>
      </c>
      <c r="U170" s="119">
        <f t="shared" si="322"/>
        <v>2.8434008629859608</v>
      </c>
      <c r="V170" s="119">
        <f t="shared" si="322"/>
        <v>2.8211706380571613</v>
      </c>
      <c r="W170" s="119">
        <f t="shared" si="322"/>
        <v>2.7991142130687146</v>
      </c>
      <c r="X170" s="119">
        <f t="shared" si="322"/>
        <v>2.7772302292210864</v>
      </c>
      <c r="Y170" s="119">
        <f t="shared" si="322"/>
        <v>2.7555173383380853</v>
      </c>
      <c r="Z170" s="119">
        <f t="shared" si="322"/>
        <v>2.7339742027838061</v>
      </c>
      <c r="AA170" s="119">
        <f t="shared" si="322"/>
        <v>2.712599495380223</v>
      </c>
      <c r="AB170" s="119">
        <f t="shared" si="322"/>
        <v>2.6913918993254327</v>
      </c>
      <c r="AC170" s="138">
        <f t="shared" si="312"/>
        <v>-9.8333254097893175E-4</v>
      </c>
      <c r="AD170" s="31">
        <v>0.08</v>
      </c>
      <c r="AE170" s="127">
        <f t="shared" si="313"/>
        <v>19.205324043502134</v>
      </c>
    </row>
    <row r="171" spans="2:31" x14ac:dyDescent="0.2">
      <c r="B171" s="20" t="s">
        <v>259</v>
      </c>
      <c r="C171" s="25" t="e">
        <f t="shared" ref="C171:P171" si="323">C167/C64</f>
        <v>#DIV/0!</v>
      </c>
      <c r="D171" s="25" t="e">
        <f t="shared" si="323"/>
        <v>#DIV/0!</v>
      </c>
      <c r="E171" s="25" t="e">
        <f t="shared" si="323"/>
        <v>#DIV/0!</v>
      </c>
      <c r="F171" s="25" t="e">
        <f t="shared" si="323"/>
        <v>#DIV/0!</v>
      </c>
      <c r="G171" s="25">
        <f t="shared" si="323"/>
        <v>1.3861538461538463</v>
      </c>
      <c r="H171" s="25">
        <f t="shared" si="323"/>
        <v>16.081081081081081</v>
      </c>
      <c r="I171" s="25">
        <f t="shared" si="323"/>
        <v>5.3833333333333329</v>
      </c>
      <c r="J171" s="25">
        <f t="shared" si="323"/>
        <v>4.9763636363636365</v>
      </c>
      <c r="K171" s="25">
        <f t="shared" si="323"/>
        <v>5.622047244094488</v>
      </c>
      <c r="L171" s="25">
        <f t="shared" si="323"/>
        <v>2.8923611111111107</v>
      </c>
      <c r="M171" s="25">
        <f t="shared" si="323"/>
        <v>9.8023026315789483</v>
      </c>
      <c r="N171" s="25">
        <f t="shared" si="323"/>
        <v>58.684999999999995</v>
      </c>
      <c r="O171" s="25">
        <f t="shared" si="323"/>
        <v>68.611764705882351</v>
      </c>
      <c r="P171" s="25">
        <f t="shared" si="323"/>
        <v>38.03478260869565</v>
      </c>
      <c r="Q171" s="118">
        <f t="shared" si="309"/>
        <v>0.44483693036738914</v>
      </c>
      <c r="R171" s="128"/>
      <c r="S171" s="119">
        <f t="shared" ref="S171:AB171" si="324">S167/S64</f>
        <v>37.737419762845853</v>
      </c>
      <c r="T171" s="119">
        <f t="shared" si="324"/>
        <v>37.442381753790876</v>
      </c>
      <c r="U171" s="119">
        <f t="shared" si="324"/>
        <v>37.149650405533968</v>
      </c>
      <c r="V171" s="119">
        <f t="shared" si="324"/>
        <v>36.859207684181605</v>
      </c>
      <c r="W171" s="119">
        <f t="shared" si="324"/>
        <v>36.571035696832546</v>
      </c>
      <c r="X171" s="119">
        <f t="shared" si="324"/>
        <v>36.285116690475498</v>
      </c>
      <c r="Y171" s="119">
        <f t="shared" si="324"/>
        <v>36.001433050895415</v>
      </c>
      <c r="Z171" s="119">
        <f t="shared" si="324"/>
        <v>35.719967301588419</v>
      </c>
      <c r="AA171" s="119">
        <f t="shared" si="324"/>
        <v>35.440702102685087</v>
      </c>
      <c r="AB171" s="119">
        <f t="shared" si="324"/>
        <v>35.163620249882278</v>
      </c>
      <c r="AC171" s="138">
        <f t="shared" si="312"/>
        <v>0.18552191534734952</v>
      </c>
      <c r="AD171" s="31">
        <v>0.08</v>
      </c>
      <c r="AE171" s="127">
        <f t="shared" si="313"/>
        <v>297.76601735133772</v>
      </c>
    </row>
    <row r="172" spans="2:31" x14ac:dyDescent="0.2">
      <c r="B172" s="20" t="s">
        <v>260</v>
      </c>
      <c r="C172" s="25" t="e">
        <f t="shared" ref="C172:P172" si="325">C167/C66</f>
        <v>#DIV/0!</v>
      </c>
      <c r="D172" s="25" t="e">
        <f t="shared" si="325"/>
        <v>#DIV/0!</v>
      </c>
      <c r="E172" s="25" t="e">
        <f t="shared" si="325"/>
        <v>#DIV/0!</v>
      </c>
      <c r="F172" s="25" t="e">
        <f t="shared" si="325"/>
        <v>#DIV/0!</v>
      </c>
      <c r="G172" s="25">
        <f t="shared" si="325"/>
        <v>0.35632768361581924</v>
      </c>
      <c r="H172" s="25">
        <f t="shared" si="325"/>
        <v>2.8427777777777776</v>
      </c>
      <c r="I172" s="25">
        <f t="shared" si="325"/>
        <v>4.7767605633802814</v>
      </c>
      <c r="J172" s="25">
        <f t="shared" si="325"/>
        <v>3.9099999999999997</v>
      </c>
      <c r="K172" s="25">
        <f t="shared" si="325"/>
        <v>2.38</v>
      </c>
      <c r="L172" s="25">
        <f t="shared" si="325"/>
        <v>4.1237623762376243</v>
      </c>
      <c r="M172" s="25">
        <f t="shared" si="325"/>
        <v>55.183333333333337</v>
      </c>
      <c r="N172" s="25">
        <f t="shared" si="325"/>
        <v>26.375280898876404</v>
      </c>
      <c r="O172" s="25">
        <f t="shared" si="325"/>
        <v>22.217142857142861</v>
      </c>
      <c r="P172" s="25">
        <f t="shared" si="325"/>
        <v>24.994285714285716</v>
      </c>
      <c r="Q172" s="118">
        <f t="shared" si="309"/>
        <v>0.603651997240789</v>
      </c>
      <c r="R172" s="128"/>
      <c r="S172" s="119">
        <f t="shared" ref="S172:AB172" si="326">S167/S66</f>
        <v>24.798875844155848</v>
      </c>
      <c r="T172" s="119">
        <f t="shared" si="326"/>
        <v>24.604993723919719</v>
      </c>
      <c r="U172" s="119">
        <f t="shared" si="326"/>
        <v>24.412627409350893</v>
      </c>
      <c r="V172" s="119">
        <f t="shared" si="326"/>
        <v>24.221765049605061</v>
      </c>
      <c r="W172" s="119">
        <f t="shared" si="326"/>
        <v>24.032394886489961</v>
      </c>
      <c r="X172" s="119">
        <f t="shared" si="326"/>
        <v>23.844505253741044</v>
      </c>
      <c r="Y172" s="119">
        <f t="shared" si="326"/>
        <v>23.658084576302702</v>
      </c>
      <c r="Z172" s="119">
        <f t="shared" si="326"/>
        <v>23.473121369615246</v>
      </c>
      <c r="AA172" s="119">
        <f t="shared" si="326"/>
        <v>23.289604238907344</v>
      </c>
      <c r="AB172" s="119">
        <f t="shared" si="326"/>
        <v>23.107521878494069</v>
      </c>
      <c r="AC172" s="138">
        <f t="shared" si="312"/>
        <v>0.24555628739564028</v>
      </c>
      <c r="AD172" s="31">
        <v>0.08</v>
      </c>
      <c r="AE172" s="127">
        <f t="shared" si="313"/>
        <v>205.58370829921859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27">G167/G60</f>
        <v>-1.9112121212121211</v>
      </c>
      <c r="H173" s="182">
        <f t="shared" si="327"/>
        <v>6.2402439024390244</v>
      </c>
      <c r="I173" s="182">
        <f t="shared" si="327"/>
        <v>4.4045454545454543</v>
      </c>
      <c r="J173" s="182">
        <f t="shared" si="327"/>
        <v>1.5205555555555554</v>
      </c>
      <c r="K173" s="182">
        <f t="shared" si="327"/>
        <v>1.0028089887640448</v>
      </c>
      <c r="L173" s="182">
        <f t="shared" si="327"/>
        <v>1.2815384615384613</v>
      </c>
      <c r="M173" s="182">
        <f t="shared" si="327"/>
        <v>4.0052419354838715</v>
      </c>
      <c r="N173" s="182">
        <f t="shared" si="327"/>
        <v>5.81039603960396</v>
      </c>
      <c r="O173" s="182">
        <f t="shared" si="327"/>
        <v>5.3751152073732724</v>
      </c>
      <c r="P173" s="182">
        <f t="shared" si="327"/>
        <v>3.011359724612737</v>
      </c>
      <c r="Q173" s="118">
        <f t="shared" ref="Q173:Q175" si="328">((P173/G173)^(1/($H$2-$H$1) ))-1</f>
        <v>-2.0518148671512417</v>
      </c>
      <c r="R173" s="128"/>
      <c r="S173" s="135">
        <f t="shared" ref="S173:AB173" si="329">S167/S60</f>
        <v>2.9878163667657645</v>
      </c>
      <c r="T173" s="135">
        <f t="shared" si="329"/>
        <v>2.9644570751710506</v>
      </c>
      <c r="U173" s="135">
        <f t="shared" si="329"/>
        <v>2.941280410765168</v>
      </c>
      <c r="V173" s="135">
        <f t="shared" si="329"/>
        <v>2.9182849457355502</v>
      </c>
      <c r="W173" s="135">
        <f t="shared" si="329"/>
        <v>2.8954692634325263</v>
      </c>
      <c r="X173" s="135">
        <f t="shared" si="329"/>
        <v>2.8728319582820543</v>
      </c>
      <c r="Y173" s="135">
        <f t="shared" si="329"/>
        <v>2.8503716356991213</v>
      </c>
      <c r="Z173" s="135">
        <f t="shared" si="329"/>
        <v>2.8280869120018375</v>
      </c>
      <c r="AA173" s="135">
        <f t="shared" si="329"/>
        <v>2.8059764143261878</v>
      </c>
      <c r="AB173" s="135">
        <f t="shared" si="329"/>
        <v>2.7840387805414561</v>
      </c>
      <c r="AC173" s="138">
        <f t="shared" ref="AC173" si="330">((AB173/G173)^(1/($AB$3-$H$1) ))-1</f>
        <v>-2.0199954419163668</v>
      </c>
      <c r="AD173" s="31">
        <v>0.08</v>
      </c>
      <c r="AE173" s="127">
        <f t="shared" si="313"/>
        <v>-20.283620473362038</v>
      </c>
    </row>
    <row r="174" spans="2:31" x14ac:dyDescent="0.2">
      <c r="B174" s="20" t="s">
        <v>371</v>
      </c>
      <c r="C174" s="161" t="e">
        <f t="shared" ref="C174:P174" si="331">C52/C167</f>
        <v>#DIV/0!</v>
      </c>
      <c r="D174" s="161" t="e">
        <f t="shared" si="331"/>
        <v>#DIV/0!</v>
      </c>
      <c r="E174" s="161" t="e">
        <f t="shared" si="331"/>
        <v>#DIV/0!</v>
      </c>
      <c r="F174" s="161" t="e">
        <f t="shared" si="331"/>
        <v>#DIV/0!</v>
      </c>
      <c r="G174" s="161">
        <f t="shared" si="331"/>
        <v>0.40431266846361191</v>
      </c>
      <c r="H174" s="161">
        <f t="shared" si="331"/>
        <v>0.13093609536837991</v>
      </c>
      <c r="I174" s="161">
        <f t="shared" si="331"/>
        <v>0.12537225416482384</v>
      </c>
      <c r="J174" s="161">
        <f t="shared" si="331"/>
        <v>0.21373766898063576</v>
      </c>
      <c r="K174" s="161">
        <f t="shared" si="331"/>
        <v>0.35098039215686277</v>
      </c>
      <c r="L174" s="161">
        <f t="shared" si="331"/>
        <v>0.17286914765906364</v>
      </c>
      <c r="M174" s="161">
        <f t="shared" si="331"/>
        <v>6.7787509647974767E-2</v>
      </c>
      <c r="N174" s="161">
        <f t="shared" si="331"/>
        <v>5.3676407940700346E-2</v>
      </c>
      <c r="O174" s="161">
        <f t="shared" si="331"/>
        <v>4.3295610425240057E-2</v>
      </c>
      <c r="P174" s="161">
        <f t="shared" si="331"/>
        <v>6.8015546410608127E-2</v>
      </c>
      <c r="Q174" s="118">
        <f t="shared" si="328"/>
        <v>-0.17967136555965157</v>
      </c>
      <c r="R174" s="128"/>
      <c r="S174" s="161">
        <f t="shared" ref="S174:AB174" si="332">S52/S167</f>
        <v>6.8551494458190351E-2</v>
      </c>
      <c r="T174" s="161">
        <f t="shared" si="332"/>
        <v>6.9091665662460486E-2</v>
      </c>
      <c r="U174" s="161">
        <f t="shared" si="332"/>
        <v>6.9636093300995544E-2</v>
      </c>
      <c r="V174" s="161">
        <f t="shared" si="332"/>
        <v>7.0184810913592729E-2</v>
      </c>
      <c r="W174" s="161">
        <f t="shared" si="332"/>
        <v>7.0737852304335713E-2</v>
      </c>
      <c r="X174" s="161">
        <f t="shared" si="332"/>
        <v>7.1295251543677191E-2</v>
      </c>
      <c r="Y174" s="161">
        <f t="shared" si="332"/>
        <v>7.1857042970537757E-2</v>
      </c>
      <c r="Z174" s="161">
        <f t="shared" si="332"/>
        <v>7.2423261194421412E-2</v>
      </c>
      <c r="AA174" s="161">
        <f t="shared" si="332"/>
        <v>7.2993941097547685E-2</v>
      </c>
      <c r="AB174" s="161">
        <f t="shared" si="332"/>
        <v>7.3569117837000597E-2</v>
      </c>
      <c r="AC174" s="138">
        <f t="shared" ref="AC174:AC175" si="333">((AB174/G174)^(1/($AB$3-$H$1) ))-1</f>
        <v>-8.5778387036044457E-2</v>
      </c>
      <c r="AD174" s="31">
        <v>0.08</v>
      </c>
      <c r="AE174" s="127">
        <f t="shared" si="313"/>
        <v>0.48041769695198561</v>
      </c>
    </row>
    <row r="175" spans="2:31" x14ac:dyDescent="0.2">
      <c r="B175" s="20" t="s">
        <v>320</v>
      </c>
      <c r="C175" s="152" t="e">
        <f t="shared" ref="C175:P175" si="334">C43/C167</f>
        <v>#DIV/0!</v>
      </c>
      <c r="D175" s="152" t="e">
        <f t="shared" si="334"/>
        <v>#DIV/0!</v>
      </c>
      <c r="E175" s="152" t="e">
        <f t="shared" si="334"/>
        <v>#DIV/0!</v>
      </c>
      <c r="F175" s="152" t="e">
        <f t="shared" si="334"/>
        <v>#DIV/0!</v>
      </c>
      <c r="G175" s="152">
        <f t="shared" si="334"/>
        <v>0</v>
      </c>
      <c r="H175" s="152">
        <f t="shared" si="334"/>
        <v>4.6511627906976744E-3</v>
      </c>
      <c r="I175" s="152">
        <f t="shared" si="334"/>
        <v>1.4035087719298246E-2</v>
      </c>
      <c r="J175" s="152">
        <f t="shared" si="334"/>
        <v>3.4782608695652174E-2</v>
      </c>
      <c r="K175" s="152">
        <f t="shared" si="334"/>
        <v>5.3333333333333337E-2</v>
      </c>
      <c r="L175" s="152">
        <f t="shared" si="334"/>
        <v>4.5714285714285714E-2</v>
      </c>
      <c r="M175" s="152">
        <f t="shared" si="334"/>
        <v>1.5584415584415584E-2</v>
      </c>
      <c r="N175" s="152">
        <f t="shared" si="334"/>
        <v>1.6528925619834711E-2</v>
      </c>
      <c r="O175" s="152">
        <f t="shared" si="334"/>
        <v>1.8333333333333333E-2</v>
      </c>
      <c r="P175" s="152">
        <f t="shared" si="334"/>
        <v>2.5555555555555554E-2</v>
      </c>
      <c r="Q175" s="118" t="e">
        <f t="shared" si="328"/>
        <v>#DIV/0!</v>
      </c>
      <c r="R175" s="128"/>
      <c r="S175" s="152">
        <f t="shared" ref="S175:AB175" si="335">S43/S167</f>
        <v>2.5077881619937691E-2</v>
      </c>
      <c r="T175" s="152">
        <f t="shared" si="335"/>
        <v>2.4609136169097733E-2</v>
      </c>
      <c r="U175" s="152">
        <f t="shared" si="335"/>
        <v>2.4149152315469741E-2</v>
      </c>
      <c r="V175" s="152">
        <f t="shared" si="335"/>
        <v>2.3697766290881522E-2</v>
      </c>
      <c r="W175" s="152">
        <f t="shared" si="335"/>
        <v>2.3254817388248222E-2</v>
      </c>
      <c r="X175" s="152">
        <f t="shared" si="335"/>
        <v>2.2820147904355728E-2</v>
      </c>
      <c r="Y175" s="152">
        <f t="shared" si="335"/>
        <v>2.2393603083713565E-2</v>
      </c>
      <c r="Z175" s="152">
        <f t="shared" si="335"/>
        <v>2.1975031063457235E-2</v>
      </c>
      <c r="AA175" s="152">
        <f t="shared" si="335"/>
        <v>2.1564282819280464E-2</v>
      </c>
      <c r="AB175" s="152">
        <f t="shared" si="335"/>
        <v>2.1161212112378022E-2</v>
      </c>
      <c r="AC175" s="138" t="e">
        <f t="shared" si="333"/>
        <v>#DIV/0!</v>
      </c>
      <c r="AD175" s="31">
        <v>0.08</v>
      </c>
      <c r="AE175" s="127" t="e">
        <f t="shared" si="313"/>
        <v>#DIV/0!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8" t="s">
        <v>351</v>
      </c>
      <c r="L178" s="199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0.75781805162269866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0.15309454628863647</v>
      </c>
      <c r="N180" s="20"/>
      <c r="O180" s="20"/>
      <c r="P180" s="128">
        <f>(P167-R146)/P167</f>
        <v>0.15309454628863647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9.6245471082537407E-2</v>
      </c>
      <c r="N181" s="20"/>
      <c r="O181" s="20"/>
      <c r="P181" s="128">
        <f>(P167-R139)/P167</f>
        <v>9.6245471082537407E-2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0.95380086302793576</v>
      </c>
      <c r="N182" s="20"/>
      <c r="O182" s="20"/>
      <c r="P182" s="128">
        <f>(P167-R152)/P167</f>
        <v>0.95380086302793576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0.84434162357163622</v>
      </c>
      <c r="N183" s="20"/>
      <c r="O183" s="20"/>
      <c r="P183" s="128">
        <f>(P167-R164)/P167</f>
        <v>0.84434162357163622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5.7649326967735384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0.17346256280835165</v>
      </c>
      <c r="Q185" s="20"/>
      <c r="R185" s="20"/>
      <c r="S185" s="185">
        <f>P167-S186</f>
        <v>42.242975239519957</v>
      </c>
      <c r="T185" s="185">
        <f>S185-T186</f>
        <v>-7.9019007589840911</v>
      </c>
      <c r="U185" s="185">
        <f t="shared" ref="U185:W185" si="336">T185-U186</f>
        <v>-60.554020557413345</v>
      </c>
      <c r="V185" s="185">
        <f t="shared" si="336"/>
        <v>-115.83874634576406</v>
      </c>
      <c r="W185" s="185">
        <f t="shared" si="336"/>
        <v>-173.88770842353233</v>
      </c>
      <c r="X185" s="185">
        <f>W185-X186</f>
        <v>-234.83911860518901</v>
      </c>
      <c r="Y185" s="185">
        <f t="shared" ref="Y185:AB185" si="337">X185-Y186</f>
        <v>-298.83809929592854</v>
      </c>
      <c r="Z185" s="185">
        <f t="shared" si="337"/>
        <v>-366.03702902120506</v>
      </c>
      <c r="AA185" s="185">
        <f t="shared" si="337"/>
        <v>-436.59590523274539</v>
      </c>
      <c r="AB185" s="185">
        <f t="shared" si="337"/>
        <v>-510.6827252548627</v>
      </c>
      <c r="AC185" s="185">
        <f t="shared" ref="AC185" si="338">AB185-AC186</f>
        <v>-588.47388627808596</v>
      </c>
      <c r="AD185" s="185">
        <f t="shared" ref="AD185" si="339">AC185-AD186</f>
        <v>-670.1546053524703</v>
      </c>
      <c r="AE185" s="185">
        <f t="shared" ref="AE185" si="340">AD185-AE186</f>
        <v>-755.91936038057383</v>
      </c>
      <c r="AF185" s="185">
        <f t="shared" ref="AF185" si="341">AE185-AF186</f>
        <v>-845.97235316008255</v>
      </c>
      <c r="AG185" s="185">
        <f t="shared" ref="AG185" si="342">AF185-AG186</f>
        <v>-940.52799557856679</v>
      </c>
      <c r="AH185" s="185">
        <f t="shared" ref="AH185" si="343">AG185-AH186</f>
        <v>-1039.8114201179751</v>
      </c>
      <c r="AI185" s="185">
        <f t="shared" ref="AI185" si="344">AH185-AI186</f>
        <v>-1144.059015884354</v>
      </c>
      <c r="AJ185" s="185">
        <f t="shared" ref="AJ185" si="345">AI185-AJ186</f>
        <v>-1253.5189914390519</v>
      </c>
      <c r="AK185" s="185">
        <f t="shared" ref="AK185" si="346">AJ185-AK186</f>
        <v>-1368.4519657714845</v>
      </c>
      <c r="AL185" s="185">
        <f t="shared" ref="AL185" si="347">AK185-AL186</f>
        <v>-1489.1315888205388</v>
      </c>
      <c r="AM185" s="185">
        <f t="shared" ref="AM185" si="348">AL185-AM186</f>
        <v>-1615.8451930220458</v>
      </c>
      <c r="AN185" s="185">
        <f t="shared" ref="AN185" si="349">AM185-AN186</f>
        <v>-1748.8944774336283</v>
      </c>
      <c r="AO185" s="185">
        <f t="shared" ref="AO185" si="350">AN185-AO186</f>
        <v>-1888.5962260657898</v>
      </c>
      <c r="AP185" s="185">
        <f t="shared" ref="AP185" si="351">AO185-AP186</f>
        <v>-2035.2830621295593</v>
      </c>
      <c r="AQ185" s="185">
        <f t="shared" ref="AQ185" si="352">AP185-AQ186</f>
        <v>-2189.3042399965175</v>
      </c>
      <c r="AR185" s="185">
        <f t="shared" ref="AR185" si="353">AQ185-AR186</f>
        <v>-2351.0264767568237</v>
      </c>
      <c r="AS185" s="185">
        <f t="shared" ref="AS185" si="354">AR185-AS186</f>
        <v>-2520.8348253551453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/>
      <c r="N186" s="20"/>
      <c r="O186" s="20"/>
      <c r="P186" s="181">
        <f>P167/Q137</f>
        <v>1.9787664845947599</v>
      </c>
      <c r="Q186" s="20"/>
      <c r="R186" s="20"/>
      <c r="S186" s="186">
        <f>Q137*(1+$K$186)</f>
        <v>47.757024760480043</v>
      </c>
      <c r="T186" s="186">
        <f>S186*(1+$K$186)</f>
        <v>50.144875998504048</v>
      </c>
      <c r="U186" s="186">
        <f t="shared" ref="U186:AB186" si="355">T186*(1+$K$186)</f>
        <v>52.652119798429254</v>
      </c>
      <c r="V186" s="186">
        <f t="shared" si="355"/>
        <v>55.28472578835072</v>
      </c>
      <c r="W186" s="186">
        <f t="shared" si="355"/>
        <v>58.048962077768259</v>
      </c>
      <c r="X186" s="186">
        <f t="shared" si="355"/>
        <v>60.951410181656676</v>
      </c>
      <c r="Y186" s="186">
        <f t="shared" si="355"/>
        <v>63.998980690739515</v>
      </c>
      <c r="Z186" s="186">
        <f t="shared" si="355"/>
        <v>67.1989297252765</v>
      </c>
      <c r="AA186" s="186">
        <f t="shared" si="355"/>
        <v>70.558876211540323</v>
      </c>
      <c r="AB186" s="186">
        <f t="shared" si="355"/>
        <v>74.086820022117337</v>
      </c>
      <c r="AC186" s="186">
        <f t="shared" ref="AC186" si="356">AB186*(1+$K$186)</f>
        <v>77.791161023223211</v>
      </c>
      <c r="AD186" s="186">
        <f t="shared" ref="AD186" si="357">AC186*(1+$K$186)</f>
        <v>81.680719074384371</v>
      </c>
      <c r="AE186" s="186">
        <f t="shared" ref="AE186" si="358">AD186*(1+$K$186)</f>
        <v>85.764755028103593</v>
      </c>
      <c r="AF186" s="186">
        <f t="shared" ref="AF186" si="359">AE186*(1+$K$186)</f>
        <v>90.05299277950877</v>
      </c>
      <c r="AG186" s="186">
        <f t="shared" ref="AG186" si="360">AF186*(1+$K$186)</f>
        <v>94.555642418484211</v>
      </c>
      <c r="AH186" s="186">
        <f t="shared" ref="AH186" si="361">AG186*(1+$K$186)</f>
        <v>99.283424539408429</v>
      </c>
      <c r="AI186" s="186">
        <f t="shared" ref="AI186" si="362">AH186*(1+$K$186)</f>
        <v>104.24759576637885</v>
      </c>
      <c r="AJ186" s="186">
        <f t="shared" ref="AJ186" si="363">AI186*(1+$K$186)</f>
        <v>109.45997555469779</v>
      </c>
      <c r="AK186" s="186">
        <f t="shared" ref="AK186" si="364">AJ186*(1+$K$186)</f>
        <v>114.93297433243269</v>
      </c>
      <c r="AL186" s="186">
        <f t="shared" ref="AL186" si="365">AK186*(1+$K$186)</f>
        <v>120.67962304905433</v>
      </c>
      <c r="AM186" s="186">
        <f t="shared" ref="AM186" si="366">AL186*(1+$K$186)</f>
        <v>126.71360420150705</v>
      </c>
      <c r="AN186" s="186">
        <f t="shared" ref="AN186" si="367">AM186*(1+$K$186)</f>
        <v>133.04928441158242</v>
      </c>
      <c r="AO186" s="186">
        <f t="shared" ref="AO186" si="368">AN186*(1+$K$186)</f>
        <v>139.70174863216155</v>
      </c>
      <c r="AP186" s="186">
        <f t="shared" ref="AP186" si="369">AO186*(1+$K$186)</f>
        <v>146.68683606376965</v>
      </c>
      <c r="AQ186" s="186">
        <f t="shared" ref="AQ186" si="370">AP186*(1+$K$186)</f>
        <v>154.02117786695814</v>
      </c>
      <c r="AR186" s="186">
        <f t="shared" ref="AR186" si="371">AQ186*(1+$K$186)</f>
        <v>161.72223676030606</v>
      </c>
      <c r="AS186" s="186">
        <f t="shared" ref="AS186" si="372">AR186*(1+$K$186)</f>
        <v>169.80834859832137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7"/>
      <c r="N187" s="20"/>
      <c r="O187" s="20"/>
      <c r="P187" s="181">
        <f>P167/P52</f>
        <v>14.702521008403362</v>
      </c>
      <c r="Q187" s="20"/>
      <c r="R187" s="20"/>
      <c r="S187" s="186">
        <f>P52*(1+$K$187)</f>
        <v>6.4274691358024691</v>
      </c>
      <c r="T187" s="186">
        <f>S187*(1+$K$187)</f>
        <v>6.7488425925925926</v>
      </c>
      <c r="U187" s="186">
        <f t="shared" ref="U187:AB187" si="373">T187*(1+$K$187)</f>
        <v>7.0862847222222225</v>
      </c>
      <c r="V187" s="186">
        <f t="shared" si="373"/>
        <v>7.4405989583333341</v>
      </c>
      <c r="W187" s="186">
        <f t="shared" si="373"/>
        <v>7.8126289062500014</v>
      </c>
      <c r="X187" s="186">
        <f t="shared" si="373"/>
        <v>8.203260351562502</v>
      </c>
      <c r="Y187" s="186">
        <f t="shared" si="373"/>
        <v>8.6134233691406283</v>
      </c>
      <c r="Z187" s="186">
        <f t="shared" si="373"/>
        <v>9.04409453759766</v>
      </c>
      <c r="AA187" s="186">
        <f t="shared" si="373"/>
        <v>9.4962992644775426</v>
      </c>
      <c r="AB187" s="186">
        <f t="shared" si="373"/>
        <v>9.9711142277014204</v>
      </c>
      <c r="AC187" s="186">
        <f t="shared" ref="AC187" si="374">AB187*(1+$K$187)</f>
        <v>10.469669939086492</v>
      </c>
      <c r="AD187" s="186">
        <f t="shared" ref="AD187" si="375">AC187*(1+$K$187)</f>
        <v>10.993153436040817</v>
      </c>
      <c r="AE187" s="186">
        <f t="shared" ref="AE187" si="376">AD187*(1+$K$187)</f>
        <v>11.542811107842859</v>
      </c>
      <c r="AF187" s="186">
        <f t="shared" ref="AF187" si="377">AE187*(1+$K$187)</f>
        <v>12.119951663235002</v>
      </c>
      <c r="AG187" s="186">
        <f t="shared" ref="AG187" si="378">AF187*(1+$K$187)</f>
        <v>12.725949246396752</v>
      </c>
      <c r="AH187" s="186">
        <f t="shared" ref="AH187" si="379">AG187*(1+$K$187)</f>
        <v>13.36224670871659</v>
      </c>
      <c r="AI187" s="186">
        <f t="shared" ref="AI187" si="380">AH187*(1+$K$187)</f>
        <v>14.030359044152421</v>
      </c>
      <c r="AJ187" s="186">
        <f t="shared" ref="AJ187" si="381">AI187*(1+$K$187)</f>
        <v>14.731876996360043</v>
      </c>
      <c r="AK187" s="186">
        <f t="shared" ref="AK187" si="382">AJ187*(1+$K$187)</f>
        <v>15.468470846178047</v>
      </c>
      <c r="AL187" s="186">
        <f t="shared" ref="AL187" si="383">AK187*(1+$K$187)</f>
        <v>16.241894388486951</v>
      </c>
      <c r="AM187" s="186">
        <f t="shared" ref="AM187" si="384">AL187*(1+$K$187)</f>
        <v>17.053989107911299</v>
      </c>
      <c r="AN187" s="186">
        <f t="shared" ref="AN187" si="385">AM187*(1+$K$187)</f>
        <v>17.906688563306865</v>
      </c>
      <c r="AO187" s="186">
        <f t="shared" ref="AO187" si="386">AN187*(1+$K$187)</f>
        <v>18.80202299147221</v>
      </c>
      <c r="AP187" s="186">
        <f t="shared" ref="AP187" si="387">AO187*(1+$K$187)</f>
        <v>19.742124141045821</v>
      </c>
      <c r="AQ187" s="186">
        <f t="shared" ref="AQ187" si="388">AP187*(1+$K$187)</f>
        <v>20.729230348098113</v>
      </c>
      <c r="AR187" s="186">
        <f t="shared" ref="AR187" si="389">AQ187*(1+$K$187)</f>
        <v>21.765691865503019</v>
      </c>
      <c r="AS187" s="186">
        <f t="shared" ref="AS187" si="390">AR187*(1+$K$187)</f>
        <v>22.85397645877817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83.572530864197532</v>
      </c>
      <c r="T188" s="185">
        <f>S188-T187</f>
        <v>76.823688271604937</v>
      </c>
      <c r="U188" s="185">
        <f t="shared" ref="U188:Z188" si="391">T188-U187</f>
        <v>69.737403549382719</v>
      </c>
      <c r="V188" s="185">
        <f t="shared" si="391"/>
        <v>62.296804591049387</v>
      </c>
      <c r="W188" s="185">
        <f t="shared" si="391"/>
        <v>54.484175684799382</v>
      </c>
      <c r="X188" s="185">
        <f t="shared" si="391"/>
        <v>46.280915333236877</v>
      </c>
      <c r="Y188" s="185">
        <f t="shared" si="391"/>
        <v>37.66749196409625</v>
      </c>
      <c r="Z188" s="185">
        <f t="shared" si="391"/>
        <v>28.623397426498592</v>
      </c>
      <c r="AA188" s="185">
        <f>Z188-AA187</f>
        <v>19.127098162021049</v>
      </c>
      <c r="AB188" s="185">
        <f t="shared" ref="AB188" si="392">AA188-AB187</f>
        <v>9.1559839343196288</v>
      </c>
      <c r="AC188" s="185">
        <f t="shared" ref="AC188" si="393">AB188-AC187</f>
        <v>-1.313686004766863</v>
      </c>
      <c r="AD188" s="185">
        <f t="shared" ref="AD188" si="394">AC188-AD187</f>
        <v>-12.30683944080768</v>
      </c>
      <c r="AE188" s="185">
        <f t="shared" ref="AE188" si="395">AD188-AE187</f>
        <v>-23.849650548650537</v>
      </c>
      <c r="AF188" s="185">
        <f t="shared" ref="AF188" si="396">AE188-AF187</f>
        <v>-35.969602211885537</v>
      </c>
      <c r="AG188" s="185">
        <f t="shared" ref="AG188" si="397">AF188-AG187</f>
        <v>-48.695551458282289</v>
      </c>
      <c r="AH188" s="185">
        <f t="shared" ref="AH188" si="398">AG188-AH187</f>
        <v>-62.057798166998879</v>
      </c>
      <c r="AI188" s="185">
        <f t="shared" ref="AI188" si="399">AH188-AI187</f>
        <v>-76.088157211151298</v>
      </c>
      <c r="AJ188" s="185">
        <f t="shared" ref="AJ188" si="400">AI188-AJ187</f>
        <v>-90.820034207511341</v>
      </c>
      <c r="AK188" s="185">
        <f t="shared" ref="AK188" si="401">AJ188-AK187</f>
        <v>-106.28850505368939</v>
      </c>
      <c r="AL188" s="185">
        <f t="shared" ref="AL188" si="402">AK188-AL187</f>
        <v>-122.53039944217635</v>
      </c>
      <c r="AM188" s="185">
        <f t="shared" ref="AM188" si="403">AL188-AM187</f>
        <v>-139.58438855008765</v>
      </c>
      <c r="AN188" s="185">
        <f t="shared" ref="AN188" si="404">AM188-AN187</f>
        <v>-157.49107711339451</v>
      </c>
      <c r="AO188" s="185">
        <f t="shared" ref="AO188" si="405">AN188-AO187</f>
        <v>-176.29310010486671</v>
      </c>
      <c r="AP188" s="185">
        <f t="shared" ref="AP188" si="406">AO188-AP187</f>
        <v>-196.03522424591253</v>
      </c>
      <c r="AQ188" s="185">
        <f t="shared" ref="AQ188" si="407">AP188-AQ187</f>
        <v>-216.76445459401066</v>
      </c>
      <c r="AR188" s="185">
        <f t="shared" ref="AR188" si="408">AQ188-AR187</f>
        <v>-238.53014645951367</v>
      </c>
      <c r="AS188" s="185">
        <f t="shared" ref="AS188" si="409">AR188-AS187</f>
        <v>-261.38412291829184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10">C10/C7</f>
        <v>#DIV/0!</v>
      </c>
      <c r="D190" s="25" t="e">
        <f t="shared" si="410"/>
        <v>#DIV/0!</v>
      </c>
      <c r="E190" s="25" t="e">
        <f t="shared" si="410"/>
        <v>#DIV/0!</v>
      </c>
      <c r="F190" s="25" t="e">
        <f t="shared" si="410"/>
        <v>#DIV/0!</v>
      </c>
      <c r="G190" s="25">
        <f t="shared" si="410"/>
        <v>2.024390243902439</v>
      </c>
      <c r="H190" s="25">
        <f t="shared" si="410"/>
        <v>0.95205479452054798</v>
      </c>
      <c r="I190" s="25">
        <f t="shared" si="410"/>
        <v>0.66285714285714281</v>
      </c>
      <c r="J190" s="25">
        <f t="shared" si="410"/>
        <v>0.16981132075471697</v>
      </c>
      <c r="K190" s="25">
        <f t="shared" si="410"/>
        <v>0.15259740259740259</v>
      </c>
      <c r="L190" s="25">
        <f t="shared" si="410"/>
        <v>0.23495702005730659</v>
      </c>
      <c r="M190" s="25">
        <f t="shared" si="410"/>
        <v>1.8867924528301886E-2</v>
      </c>
      <c r="N190" s="25">
        <f t="shared" si="410"/>
        <v>0.22772277227722773</v>
      </c>
      <c r="O190" s="25">
        <f t="shared" si="410"/>
        <v>0.27124773960216997</v>
      </c>
      <c r="P190" s="25">
        <f t="shared" si="410"/>
        <v>8.7096774193548387E-2</v>
      </c>
      <c r="Q190" s="118">
        <f t="shared" ref="Q190:Q192" si="411">((P190/G190)^(1/($H$2-$H$1) ))-1</f>
        <v>-0.29499895715056512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5.8588235294117643</v>
      </c>
      <c r="H191" s="112">
        <f t="shared" ref="H191:P191" si="412">H10/H12</f>
        <v>10.365398956002982</v>
      </c>
      <c r="I191" s="112">
        <f t="shared" si="412"/>
        <v>8.2857142857142865</v>
      </c>
      <c r="J191" s="112">
        <f t="shared" si="412"/>
        <v>1.5</v>
      </c>
      <c r="K191" s="112">
        <f t="shared" si="412"/>
        <v>5.5294117647058822</v>
      </c>
      <c r="L191" s="112">
        <f t="shared" si="412"/>
        <v>10.25</v>
      </c>
      <c r="M191" s="112">
        <f t="shared" si="412"/>
        <v>0.66666666666666663</v>
      </c>
      <c r="N191" s="112">
        <f t="shared" si="412"/>
        <v>7.666666666666667</v>
      </c>
      <c r="O191" s="112">
        <f t="shared" si="412"/>
        <v>13.636363636363637</v>
      </c>
      <c r="P191" s="112">
        <f t="shared" si="412"/>
        <v>2.0769230769230771</v>
      </c>
      <c r="Q191" s="118">
        <f t="shared" si="411"/>
        <v>-0.10883798646262099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5.4725274725274726</v>
      </c>
      <c r="H192" s="25">
        <f t="shared" ref="H192:P192" si="413">H10/(H12+H13)</f>
        <v>8.7366436203645499</v>
      </c>
      <c r="I192" s="25">
        <f t="shared" si="413"/>
        <v>1.8412698412698412</v>
      </c>
      <c r="J192" s="25">
        <f t="shared" si="413"/>
        <v>0.65454545454545454</v>
      </c>
      <c r="K192" s="25">
        <f t="shared" si="413"/>
        <v>0.74015748031496065</v>
      </c>
      <c r="L192" s="25">
        <f t="shared" si="413"/>
        <v>0.56944444444444442</v>
      </c>
      <c r="M192" s="25">
        <f t="shared" si="413"/>
        <v>5.2631578947368418E-2</v>
      </c>
      <c r="N192" s="25">
        <f t="shared" si="413"/>
        <v>2.875</v>
      </c>
      <c r="O192" s="25">
        <f t="shared" si="413"/>
        <v>4.4117647058823533</v>
      </c>
      <c r="P192" s="25">
        <f t="shared" si="413"/>
        <v>1.173913043478261</v>
      </c>
      <c r="Q192" s="118">
        <f t="shared" si="411"/>
        <v>-0.15721568969629085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5" t="s">
        <v>337</v>
      </c>
      <c r="M195" s="196"/>
      <c r="N195" s="197"/>
      <c r="O195" s="23" t="s">
        <v>340</v>
      </c>
      <c r="P195" s="20"/>
      <c r="Q195" s="195" t="s">
        <v>338</v>
      </c>
      <c r="R195" s="196"/>
      <c r="S195" s="197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53</v>
      </c>
      <c r="E197" s="176" t="s">
        <v>384</v>
      </c>
      <c r="F197" s="22">
        <v>1</v>
      </c>
      <c r="G197" s="22">
        <v>2</v>
      </c>
      <c r="H197" s="167">
        <f>F197/G197</f>
        <v>0.5</v>
      </c>
      <c r="I197" s="167">
        <f>H197*D198</f>
        <v>1</v>
      </c>
      <c r="J197" s="177">
        <f>I197+D198</f>
        <v>3</v>
      </c>
      <c r="K197" s="20"/>
      <c r="L197" s="167" t="s">
        <v>341</v>
      </c>
      <c r="M197" s="167"/>
      <c r="N197" s="21">
        <v>4</v>
      </c>
      <c r="O197" s="173">
        <f>N197</f>
        <v>4</v>
      </c>
      <c r="P197" s="20"/>
      <c r="Q197" s="167" t="s">
        <v>341</v>
      </c>
      <c r="R197" s="167"/>
      <c r="S197" s="21">
        <v>53</v>
      </c>
      <c r="T197" s="173">
        <f>S197</f>
        <v>53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2</v>
      </c>
      <c r="E198" s="176" t="s">
        <v>385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3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2</v>
      </c>
      <c r="T198" s="173">
        <f>S198</f>
        <v>2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106</v>
      </c>
      <c r="E199" s="176" t="s">
        <v>398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3</v>
      </c>
      <c r="K199" s="20"/>
      <c r="L199" s="167" t="s">
        <v>343</v>
      </c>
      <c r="M199" s="167"/>
      <c r="N199" s="168">
        <f>N197*N198</f>
        <v>4</v>
      </c>
      <c r="O199" s="173">
        <f>N199</f>
        <v>4</v>
      </c>
      <c r="P199" s="20"/>
      <c r="Q199" s="167" t="s">
        <v>344</v>
      </c>
      <c r="R199" s="167"/>
      <c r="S199" s="168">
        <f>S197*S198</f>
        <v>106</v>
      </c>
      <c r="T199" s="173">
        <f>S199</f>
        <v>106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1</v>
      </c>
      <c r="H200" s="167">
        <f>F200/G200</f>
        <v>10</v>
      </c>
      <c r="I200" s="167">
        <f>H200*J199</f>
        <v>30</v>
      </c>
      <c r="J200" s="167">
        <f>I200</f>
        <v>30</v>
      </c>
      <c r="K200" s="20"/>
      <c r="L200" s="167" t="s">
        <v>345</v>
      </c>
      <c r="M200" s="167"/>
      <c r="N200" s="21">
        <v>167</v>
      </c>
      <c r="O200" s="21">
        <v>185</v>
      </c>
      <c r="P200" s="20"/>
      <c r="Q200" s="167" t="s">
        <v>345</v>
      </c>
      <c r="R200" s="167"/>
      <c r="S200" s="21">
        <v>170</v>
      </c>
      <c r="T200" s="21">
        <v>180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170</v>
      </c>
      <c r="E201" s="176"/>
      <c r="F201" s="167"/>
      <c r="G201" s="167"/>
      <c r="H201" s="169" t="s">
        <v>387</v>
      </c>
      <c r="I201" s="167"/>
      <c r="J201" s="167">
        <f>J200</f>
        <v>30</v>
      </c>
      <c r="K201" s="20"/>
      <c r="L201" s="167" t="s">
        <v>346</v>
      </c>
      <c r="M201" s="167"/>
      <c r="N201" s="168">
        <f>N200*N198</f>
        <v>167</v>
      </c>
      <c r="O201" s="168">
        <f>O200*O198</f>
        <v>185</v>
      </c>
      <c r="P201" s="20"/>
      <c r="Q201" s="167" t="s">
        <v>342</v>
      </c>
      <c r="R201" s="167"/>
      <c r="S201" s="21">
        <v>30</v>
      </c>
      <c r="T201" s="127">
        <f>S201</f>
        <v>30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30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10</v>
      </c>
      <c r="J202" s="177">
        <f>I202</f>
        <v>10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5100</v>
      </c>
      <c r="T202" s="168">
        <f>T201*T200</f>
        <v>5400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5100</v>
      </c>
      <c r="E203" s="167"/>
      <c r="F203" s="167"/>
      <c r="G203" s="167"/>
      <c r="H203" s="169" t="s">
        <v>387</v>
      </c>
      <c r="I203" s="167"/>
      <c r="J203" s="167">
        <f>J202</f>
        <v>10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50</v>
      </c>
      <c r="J204" s="167">
        <f>I204</f>
        <v>50</v>
      </c>
      <c r="K204" s="20"/>
      <c r="L204" s="169" t="s">
        <v>347</v>
      </c>
      <c r="M204" s="169"/>
      <c r="N204" s="170">
        <f>N201/N199</f>
        <v>41.75</v>
      </c>
      <c r="O204" s="170">
        <f>O201/O199</f>
        <v>46.25</v>
      </c>
      <c r="P204" s="20"/>
      <c r="Q204" s="169" t="s">
        <v>347</v>
      </c>
      <c r="R204" s="169"/>
      <c r="S204" s="170">
        <f>S202/S199</f>
        <v>48.113207547169814</v>
      </c>
      <c r="T204" s="170">
        <f>T202/T199</f>
        <v>50.943396226415096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48.113207547169814</v>
      </c>
      <c r="E205" s="176"/>
      <c r="F205" s="167"/>
      <c r="G205" s="167"/>
      <c r="H205" s="169" t="s">
        <v>387</v>
      </c>
      <c r="I205" s="167"/>
      <c r="J205" s="167">
        <f>J204</f>
        <v>50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8" t="s">
        <v>27</v>
      </c>
      <c r="E208" s="189"/>
      <c r="F208" s="189"/>
      <c r="G208" s="190"/>
      <c r="H208" s="20"/>
      <c r="I208" s="188" t="s">
        <v>393</v>
      </c>
      <c r="J208" s="189"/>
      <c r="K208" s="19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106</v>
      </c>
      <c r="H209" s="20"/>
      <c r="I209" s="20" t="s">
        <v>28</v>
      </c>
      <c r="J209" s="127"/>
      <c r="K209" s="21">
        <f>G209</f>
        <v>106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5100</v>
      </c>
      <c r="H210" s="20"/>
      <c r="I210" s="20" t="s">
        <v>29</v>
      </c>
      <c r="J210" s="20"/>
      <c r="K210" s="21">
        <f>G210</f>
        <v>5100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47.113207547169814</v>
      </c>
      <c r="H212" s="20"/>
      <c r="I212" s="23" t="s">
        <v>394</v>
      </c>
      <c r="J212" s="23"/>
      <c r="K212" s="23">
        <f>(K210-K209)/K209</f>
        <v>47.113207547169814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395</v>
      </c>
      <c r="J213" s="23"/>
      <c r="K213" s="23">
        <f>K210/K209</f>
        <v>48.113207547169814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47.113207547169814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2014-04-18T16:56:20Z</dcterms:modified>
</cp:coreProperties>
</file>
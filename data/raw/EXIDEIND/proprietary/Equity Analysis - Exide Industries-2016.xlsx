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-15" yWindow="-15" windowWidth="9720" windowHeight="8745" activeTab="2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25725"/>
</workbook>
</file>

<file path=xl/calcChain.xml><?xml version="1.0" encoding="utf-8"?>
<calcChain xmlns="http://schemas.openxmlformats.org/spreadsheetml/2006/main">
  <c r="AG232" i="18"/>
  <c r="AH231"/>
  <c r="AG231"/>
  <c r="AG230"/>
  <c r="AG229"/>
  <c r="Q58"/>
  <c r="P58"/>
  <c r="O58"/>
  <c r="N58"/>
  <c r="M58"/>
  <c r="L58"/>
  <c r="K58"/>
  <c r="J58"/>
  <c r="I58"/>
  <c r="H58"/>
  <c r="G58"/>
  <c r="Q57"/>
  <c r="Q56"/>
  <c r="P56"/>
  <c r="O56"/>
  <c r="N56"/>
  <c r="M56"/>
  <c r="L56"/>
  <c r="K56"/>
  <c r="J56"/>
  <c r="I56"/>
  <c r="H56"/>
  <c r="G56"/>
  <c r="Q54"/>
  <c r="P54"/>
  <c r="O54"/>
  <c r="N54"/>
  <c r="M54"/>
  <c r="L54"/>
  <c r="K54"/>
  <c r="J54"/>
  <c r="I54"/>
  <c r="H54"/>
  <c r="G54"/>
  <c r="Q52"/>
  <c r="P52"/>
  <c r="O52"/>
  <c r="N52"/>
  <c r="M52"/>
  <c r="L52"/>
  <c r="K52"/>
  <c r="J52"/>
  <c r="I52"/>
  <c r="H52"/>
  <c r="G52"/>
  <c r="Q30"/>
  <c r="P30"/>
  <c r="O30"/>
  <c r="N30"/>
  <c r="M30"/>
  <c r="L30"/>
  <c r="K30"/>
  <c r="J30"/>
  <c r="I30"/>
  <c r="H30"/>
  <c r="G30"/>
  <c r="Q28"/>
  <c r="P28"/>
  <c r="O28"/>
  <c r="N28"/>
  <c r="M28"/>
  <c r="L28"/>
  <c r="K28"/>
  <c r="J28"/>
  <c r="I28"/>
  <c r="H28"/>
  <c r="G28"/>
  <c r="Q26"/>
  <c r="P26"/>
  <c r="O26"/>
  <c r="N26"/>
  <c r="M26"/>
  <c r="L26"/>
  <c r="K26"/>
  <c r="J26"/>
  <c r="I26"/>
  <c r="H26"/>
  <c r="G26"/>
  <c r="Q18"/>
  <c r="Q11"/>
  <c r="P11"/>
  <c r="O11"/>
  <c r="N11"/>
  <c r="M11"/>
  <c r="L11"/>
  <c r="K11"/>
  <c r="J11"/>
  <c r="I11"/>
  <c r="H11"/>
  <c r="G11"/>
  <c r="Q8"/>
  <c r="P8"/>
  <c r="O8"/>
  <c r="N8"/>
  <c r="M8"/>
  <c r="L8"/>
  <c r="K8"/>
  <c r="J8"/>
  <c r="I8"/>
  <c r="H8"/>
  <c r="G8"/>
  <c r="K124" i="20" l="1"/>
  <c r="D124"/>
  <c r="I92"/>
  <c r="I93" s="1"/>
  <c r="B92"/>
  <c r="B93" s="1"/>
  <c r="M91"/>
  <c r="N91" s="1"/>
  <c r="J92" s="1"/>
  <c r="F91"/>
  <c r="G91" s="1"/>
  <c r="C92" s="1"/>
  <c r="K82"/>
  <c r="K81"/>
  <c r="D81"/>
  <c r="D82" s="1"/>
  <c r="G80"/>
  <c r="E69"/>
  <c r="E70" s="1"/>
  <c r="H68"/>
  <c r="L55"/>
  <c r="L56" s="1"/>
  <c r="L57" s="1"/>
  <c r="L58" s="1"/>
  <c r="L59" s="1"/>
  <c r="L60" s="1"/>
  <c r="L61" s="1"/>
  <c r="L62" s="1"/>
  <c r="L63" s="1"/>
  <c r="L64" s="1"/>
  <c r="L65" s="1"/>
  <c r="L66" s="1"/>
  <c r="L67" s="1"/>
  <c r="O50"/>
  <c r="O51" s="1"/>
  <c r="O52" s="1"/>
  <c r="O53" s="1"/>
  <c r="O54" s="1"/>
  <c r="O55" s="1"/>
  <c r="O56" s="1"/>
  <c r="O57" s="1"/>
  <c r="O58" s="1"/>
  <c r="O59" s="1"/>
  <c r="O60" s="1"/>
  <c r="O61" s="1"/>
  <c r="O62" s="1"/>
  <c r="O63" s="1"/>
  <c r="O64" s="1"/>
  <c r="I50"/>
  <c r="I51" s="1"/>
  <c r="I52" s="1"/>
  <c r="I53" s="1"/>
  <c r="I54" s="1"/>
  <c r="I55" s="1"/>
  <c r="I56" s="1"/>
  <c r="I57" s="1"/>
  <c r="I58" s="1"/>
  <c r="I59" s="1"/>
  <c r="I60" s="1"/>
  <c r="I61" s="1"/>
  <c r="I62" s="1"/>
  <c r="I63" s="1"/>
  <c r="I64" s="1"/>
  <c r="I65" s="1"/>
  <c r="I66" s="1"/>
  <c r="I67" s="1"/>
  <c r="I68" s="1"/>
  <c r="I69" s="1"/>
  <c r="I70" s="1"/>
  <c r="I71" s="1"/>
  <c r="I72" s="1"/>
  <c r="I73" s="1"/>
  <c r="I74" s="1"/>
  <c r="I75" s="1"/>
  <c r="I76" s="1"/>
  <c r="I77" s="1"/>
  <c r="I78" s="1"/>
  <c r="I79" s="1"/>
  <c r="E50"/>
  <c r="E51" s="1"/>
  <c r="E52" s="1"/>
  <c r="E53" s="1"/>
  <c r="E54" s="1"/>
  <c r="E55" s="1"/>
  <c r="E56" s="1"/>
  <c r="E57" s="1"/>
  <c r="E58" s="1"/>
  <c r="E59" s="1"/>
  <c r="E60" s="1"/>
  <c r="E61" s="1"/>
  <c r="E62" s="1"/>
  <c r="E63" s="1"/>
  <c r="E64" s="1"/>
  <c r="E65" s="1"/>
  <c r="E66" s="1"/>
  <c r="B50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A50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M49"/>
  <c r="N49" s="1"/>
  <c r="F49"/>
  <c r="G49" s="1"/>
  <c r="C50" s="1"/>
  <c r="H41"/>
  <c r="D41"/>
  <c r="D42" s="1"/>
  <c r="L38"/>
  <c r="L41" s="1"/>
  <c r="L37"/>
  <c r="H32"/>
  <c r="L31"/>
  <c r="L32" s="1"/>
  <c r="L33" s="1"/>
  <c r="H31"/>
  <c r="C31"/>
  <c r="C32" s="1"/>
  <c r="M30"/>
  <c r="L30"/>
  <c r="M29"/>
  <c r="L22"/>
  <c r="P21"/>
  <c r="L20"/>
  <c r="H20"/>
  <c r="P19"/>
  <c r="Q19" s="1"/>
  <c r="R19" s="1"/>
  <c r="R20" s="1"/>
  <c r="Q21" s="1"/>
  <c r="R21" s="1"/>
  <c r="R22" s="1"/>
  <c r="H19"/>
  <c r="C19"/>
  <c r="C20" s="1"/>
  <c r="P17"/>
  <c r="L17"/>
  <c r="P16"/>
  <c r="Q15"/>
  <c r="R15" s="1"/>
  <c r="P15"/>
  <c r="N12"/>
  <c r="N11"/>
  <c r="Q10"/>
  <c r="N10"/>
  <c r="H10"/>
  <c r="N9"/>
  <c r="H9"/>
  <c r="C9"/>
  <c r="C10" s="1"/>
  <c r="N8"/>
  <c r="N7"/>
  <c r="N6"/>
  <c r="Q5"/>
  <c r="N5"/>
  <c r="H69" l="1"/>
  <c r="G50"/>
  <c r="C51" s="1"/>
  <c r="F50"/>
  <c r="J50"/>
  <c r="P49"/>
  <c r="Q16"/>
  <c r="R16" s="1"/>
  <c r="Q17" s="1"/>
  <c r="R17" s="1"/>
  <c r="R18" s="1"/>
  <c r="I94"/>
  <c r="M93"/>
  <c r="M38"/>
  <c r="L40"/>
  <c r="B94"/>
  <c r="F93"/>
  <c r="M39"/>
  <c r="M27" s="1"/>
  <c r="F92"/>
  <c r="G92" s="1"/>
  <c r="C93" s="1"/>
  <c r="M92"/>
  <c r="N92" s="1"/>
  <c r="J93" s="1"/>
  <c r="B95" l="1"/>
  <c r="F94"/>
  <c r="I95"/>
  <c r="M94"/>
  <c r="N94" s="1"/>
  <c r="J95" s="1"/>
  <c r="M50"/>
  <c r="N50" s="1"/>
  <c r="H70"/>
  <c r="G51"/>
  <c r="C52" s="1"/>
  <c r="F51"/>
  <c r="G93"/>
  <c r="C94" s="1"/>
  <c r="N93"/>
  <c r="J94" s="1"/>
  <c r="J51" l="1"/>
  <c r="P50"/>
  <c r="I96"/>
  <c r="M95"/>
  <c r="N95" s="1"/>
  <c r="J96" s="1"/>
  <c r="B96"/>
  <c r="F95"/>
  <c r="H71"/>
  <c r="G52"/>
  <c r="C53" s="1"/>
  <c r="F52"/>
  <c r="G94"/>
  <c r="C95" s="1"/>
  <c r="H72" l="1"/>
  <c r="G53"/>
  <c r="C54" s="1"/>
  <c r="F53"/>
  <c r="B97"/>
  <c r="F96"/>
  <c r="I97"/>
  <c r="M96"/>
  <c r="N96" s="1"/>
  <c r="J97" s="1"/>
  <c r="N51"/>
  <c r="M51"/>
  <c r="G95"/>
  <c r="C96" s="1"/>
  <c r="J52" l="1"/>
  <c r="P51"/>
  <c r="I98"/>
  <c r="M97"/>
  <c r="N97" s="1"/>
  <c r="J98" s="1"/>
  <c r="B98"/>
  <c r="F97"/>
  <c r="H73"/>
  <c r="G54"/>
  <c r="C55" s="1"/>
  <c r="F54"/>
  <c r="G96"/>
  <c r="C97" s="1"/>
  <c r="H74" l="1"/>
  <c r="G55"/>
  <c r="C56" s="1"/>
  <c r="F55"/>
  <c r="B99"/>
  <c r="F98"/>
  <c r="I99"/>
  <c r="M98"/>
  <c r="N98" s="1"/>
  <c r="J99" s="1"/>
  <c r="N52"/>
  <c r="M52"/>
  <c r="G97"/>
  <c r="C98" s="1"/>
  <c r="H273" i="18"/>
  <c r="H275" s="1"/>
  <c r="H276" s="1"/>
  <c r="T201"/>
  <c r="T59"/>
  <c r="T57"/>
  <c r="T55"/>
  <c r="T53"/>
  <c r="T51"/>
  <c r="T34"/>
  <c r="T33"/>
  <c r="T32"/>
  <c r="T31"/>
  <c r="T29"/>
  <c r="T27"/>
  <c r="T25"/>
  <c r="T21"/>
  <c r="T22"/>
  <c r="T23"/>
  <c r="T20"/>
  <c r="T18"/>
  <c r="T13"/>
  <c r="T14"/>
  <c r="T15"/>
  <c r="T16"/>
  <c r="T12"/>
  <c r="T10"/>
  <c r="T9"/>
  <c r="T7"/>
  <c r="T6"/>
  <c r="G248"/>
  <c r="H248"/>
  <c r="G249"/>
  <c r="H249"/>
  <c r="G250"/>
  <c r="H250"/>
  <c r="G211"/>
  <c r="H211"/>
  <c r="G212"/>
  <c r="H212"/>
  <c r="H60"/>
  <c r="G60"/>
  <c r="G66"/>
  <c r="H66"/>
  <c r="H202" s="1"/>
  <c r="G67"/>
  <c r="H67"/>
  <c r="G68"/>
  <c r="H68"/>
  <c r="G70"/>
  <c r="G204" s="1"/>
  <c r="H70"/>
  <c r="H204" s="1"/>
  <c r="G71"/>
  <c r="G205" s="1"/>
  <c r="H71"/>
  <c r="H205" s="1"/>
  <c r="G72"/>
  <c r="H72"/>
  <c r="H203" s="1"/>
  <c r="G73"/>
  <c r="H73"/>
  <c r="G74"/>
  <c r="H74"/>
  <c r="H75"/>
  <c r="H206" s="1"/>
  <c r="G76"/>
  <c r="H76"/>
  <c r="G78"/>
  <c r="H78"/>
  <c r="G79"/>
  <c r="H79"/>
  <c r="G80"/>
  <c r="H80"/>
  <c r="H209" s="1"/>
  <c r="G82"/>
  <c r="H82"/>
  <c r="G83"/>
  <c r="H83"/>
  <c r="G84"/>
  <c r="G207" s="1"/>
  <c r="H84"/>
  <c r="H207" s="1"/>
  <c r="G85"/>
  <c r="H85"/>
  <c r="G86"/>
  <c r="G208" s="1"/>
  <c r="H86"/>
  <c r="H208" s="1"/>
  <c r="G88"/>
  <c r="H88"/>
  <c r="G90"/>
  <c r="H90"/>
  <c r="G92"/>
  <c r="H92"/>
  <c r="G93"/>
  <c r="H93"/>
  <c r="G94"/>
  <c r="H94"/>
  <c r="G95"/>
  <c r="H95"/>
  <c r="G96"/>
  <c r="H96"/>
  <c r="G98"/>
  <c r="H98"/>
  <c r="G99"/>
  <c r="H99"/>
  <c r="H100"/>
  <c r="G102"/>
  <c r="H102"/>
  <c r="G105"/>
  <c r="H105"/>
  <c r="G106"/>
  <c r="H106"/>
  <c r="G107"/>
  <c r="H107"/>
  <c r="G108"/>
  <c r="H108"/>
  <c r="G109"/>
  <c r="H109"/>
  <c r="G110"/>
  <c r="H110"/>
  <c r="G112"/>
  <c r="H112"/>
  <c r="G113"/>
  <c r="H113"/>
  <c r="G114"/>
  <c r="H114"/>
  <c r="G115"/>
  <c r="H115"/>
  <c r="G116"/>
  <c r="H116"/>
  <c r="G118"/>
  <c r="H118"/>
  <c r="G119"/>
  <c r="H119"/>
  <c r="G120"/>
  <c r="H120"/>
  <c r="G121"/>
  <c r="H121"/>
  <c r="G122"/>
  <c r="H122"/>
  <c r="G134"/>
  <c r="H134"/>
  <c r="G135"/>
  <c r="H135"/>
  <c r="G136"/>
  <c r="H136"/>
  <c r="G137"/>
  <c r="H137"/>
  <c r="G139"/>
  <c r="H139"/>
  <c r="G140"/>
  <c r="H140"/>
  <c r="G141"/>
  <c r="H141"/>
  <c r="G142"/>
  <c r="H142"/>
  <c r="G143"/>
  <c r="H143"/>
  <c r="G145"/>
  <c r="H145"/>
  <c r="G146"/>
  <c r="H146"/>
  <c r="G147"/>
  <c r="H147"/>
  <c r="G149"/>
  <c r="H149"/>
  <c r="G150"/>
  <c r="H150"/>
  <c r="G151"/>
  <c r="H151"/>
  <c r="G154"/>
  <c r="H154"/>
  <c r="G155"/>
  <c r="H155"/>
  <c r="G156"/>
  <c r="H156"/>
  <c r="G157"/>
  <c r="H157"/>
  <c r="G159"/>
  <c r="H159"/>
  <c r="G160"/>
  <c r="H160"/>
  <c r="G162"/>
  <c r="H162"/>
  <c r="G163"/>
  <c r="H163"/>
  <c r="G164"/>
  <c r="H164"/>
  <c r="G166"/>
  <c r="H166"/>
  <c r="G167"/>
  <c r="H167"/>
  <c r="I47"/>
  <c r="H47" s="1"/>
  <c r="I45"/>
  <c r="H45" s="1"/>
  <c r="G45" s="1"/>
  <c r="I43"/>
  <c r="H43" s="1"/>
  <c r="I42"/>
  <c r="H42" s="1"/>
  <c r="G42" s="1"/>
  <c r="T42" s="1"/>
  <c r="I41"/>
  <c r="H41" s="1"/>
  <c r="G41" s="1"/>
  <c r="T41" s="1"/>
  <c r="I40"/>
  <c r="H40" s="1"/>
  <c r="G40" s="1"/>
  <c r="T40" s="1"/>
  <c r="I38"/>
  <c r="H38" s="1"/>
  <c r="G38" s="1"/>
  <c r="I36"/>
  <c r="H36" s="1"/>
  <c r="G43" l="1"/>
  <c r="H125"/>
  <c r="H126"/>
  <c r="H127"/>
  <c r="H128"/>
  <c r="H131"/>
  <c r="G47"/>
  <c r="H129"/>
  <c r="H39"/>
  <c r="T38"/>
  <c r="G39"/>
  <c r="G36"/>
  <c r="H124"/>
  <c r="H132"/>
  <c r="H46"/>
  <c r="G46"/>
  <c r="T45"/>
  <c r="H215"/>
  <c r="H216"/>
  <c r="H217" s="1"/>
  <c r="H214"/>
  <c r="G214"/>
  <c r="G203"/>
  <c r="G209"/>
  <c r="G202"/>
  <c r="G98" i="20"/>
  <c r="C99" s="1"/>
  <c r="J53"/>
  <c r="P52"/>
  <c r="I100"/>
  <c r="M99"/>
  <c r="N99" s="1"/>
  <c r="J100" s="1"/>
  <c r="B100"/>
  <c r="F99"/>
  <c r="G99" s="1"/>
  <c r="C100" s="1"/>
  <c r="F56"/>
  <c r="G56" s="1"/>
  <c r="G100" i="18"/>
  <c r="G75"/>
  <c r="S129"/>
  <c r="R129"/>
  <c r="Q129"/>
  <c r="P129"/>
  <c r="O129"/>
  <c r="N129"/>
  <c r="M129"/>
  <c r="L129"/>
  <c r="K129"/>
  <c r="J129"/>
  <c r="I129"/>
  <c r="AG47"/>
  <c r="U47"/>
  <c r="V47" s="1"/>
  <c r="W47" s="1"/>
  <c r="X47" s="1"/>
  <c r="Y47" s="1"/>
  <c r="Z47" s="1"/>
  <c r="AA47" s="1"/>
  <c r="AB47" s="1"/>
  <c r="AC47" s="1"/>
  <c r="AD47" s="1"/>
  <c r="AE47" s="1"/>
  <c r="S48"/>
  <c r="R48"/>
  <c r="Q48"/>
  <c r="P48"/>
  <c r="O48"/>
  <c r="N48"/>
  <c r="M48"/>
  <c r="L48"/>
  <c r="K48"/>
  <c r="J48"/>
  <c r="I48"/>
  <c r="S130"/>
  <c r="R130"/>
  <c r="Q130"/>
  <c r="P130"/>
  <c r="O130"/>
  <c r="N130"/>
  <c r="M130"/>
  <c r="L130"/>
  <c r="K130"/>
  <c r="J130"/>
  <c r="V57"/>
  <c r="H48" l="1"/>
  <c r="T47"/>
  <c r="G129"/>
  <c r="G48"/>
  <c r="H44"/>
  <c r="T43"/>
  <c r="G125"/>
  <c r="G126"/>
  <c r="G127"/>
  <c r="G128"/>
  <c r="G131"/>
  <c r="G44"/>
  <c r="T129"/>
  <c r="H37"/>
  <c r="G124"/>
  <c r="G132"/>
  <c r="T36"/>
  <c r="G37"/>
  <c r="G215"/>
  <c r="G216"/>
  <c r="G206"/>
  <c r="H56" i="20"/>
  <c r="H75" s="1"/>
  <c r="C57"/>
  <c r="B101"/>
  <c r="F100"/>
  <c r="G100" s="1"/>
  <c r="C101" s="1"/>
  <c r="I101"/>
  <c r="M100"/>
  <c r="N100" s="1"/>
  <c r="J101" s="1"/>
  <c r="M53"/>
  <c r="N53" s="1"/>
  <c r="AF47" i="18"/>
  <c r="S126"/>
  <c r="T126" s="1"/>
  <c r="R126"/>
  <c r="Q126"/>
  <c r="P126"/>
  <c r="O126"/>
  <c r="N126"/>
  <c r="M126"/>
  <c r="L126"/>
  <c r="K126"/>
  <c r="J126"/>
  <c r="J46"/>
  <c r="U49"/>
  <c r="I49"/>
  <c r="S46"/>
  <c r="R46"/>
  <c r="Q46"/>
  <c r="P46"/>
  <c r="O46"/>
  <c r="N46"/>
  <c r="M46"/>
  <c r="L46"/>
  <c r="K46"/>
  <c r="I46"/>
  <c r="S44"/>
  <c r="R44"/>
  <c r="Q44"/>
  <c r="P44"/>
  <c r="O44"/>
  <c r="N44"/>
  <c r="M44"/>
  <c r="L44"/>
  <c r="K44"/>
  <c r="I44"/>
  <c r="S39"/>
  <c r="R39"/>
  <c r="Q39"/>
  <c r="P39"/>
  <c r="O39"/>
  <c r="N39"/>
  <c r="M39"/>
  <c r="L39"/>
  <c r="K39"/>
  <c r="J39"/>
  <c r="S37"/>
  <c r="R37"/>
  <c r="Q37"/>
  <c r="P37"/>
  <c r="O37"/>
  <c r="N37"/>
  <c r="M37"/>
  <c r="L37"/>
  <c r="K37"/>
  <c r="J44"/>
  <c r="I39"/>
  <c r="I126"/>
  <c r="H49" l="1"/>
  <c r="I130"/>
  <c r="G217"/>
  <c r="J54" i="20"/>
  <c r="P53"/>
  <c r="H76"/>
  <c r="G57"/>
  <c r="C58" s="1"/>
  <c r="F57"/>
  <c r="I102"/>
  <c r="M101"/>
  <c r="N101" s="1"/>
  <c r="J102" s="1"/>
  <c r="B102"/>
  <c r="F101"/>
  <c r="G101" s="1"/>
  <c r="C102" s="1"/>
  <c r="I37" i="18"/>
  <c r="J37"/>
  <c r="S132"/>
  <c r="T132" s="1"/>
  <c r="S131"/>
  <c r="T131" s="1"/>
  <c r="S128"/>
  <c r="T128" s="1"/>
  <c r="S127"/>
  <c r="T127" s="1"/>
  <c r="R132"/>
  <c r="R131"/>
  <c r="R128"/>
  <c r="R127"/>
  <c r="Q132"/>
  <c r="Q131"/>
  <c r="Q128"/>
  <c r="Q127"/>
  <c r="P132"/>
  <c r="P131"/>
  <c r="P128"/>
  <c r="P127"/>
  <c r="O132"/>
  <c r="O131"/>
  <c r="O128"/>
  <c r="O127"/>
  <c r="N132"/>
  <c r="N131"/>
  <c r="N128"/>
  <c r="N127"/>
  <c r="M132"/>
  <c r="M131"/>
  <c r="M128"/>
  <c r="M127"/>
  <c r="L132"/>
  <c r="L131"/>
  <c r="L128"/>
  <c r="L127"/>
  <c r="K132"/>
  <c r="K131"/>
  <c r="K128"/>
  <c r="K127"/>
  <c r="J132"/>
  <c r="J131"/>
  <c r="J128"/>
  <c r="J127"/>
  <c r="I132"/>
  <c r="I128"/>
  <c r="I131"/>
  <c r="I127"/>
  <c r="S125"/>
  <c r="T125" s="1"/>
  <c r="R125"/>
  <c r="Q125"/>
  <c r="P125"/>
  <c r="O125"/>
  <c r="N125"/>
  <c r="M125"/>
  <c r="L125"/>
  <c r="K125"/>
  <c r="J125"/>
  <c r="I125"/>
  <c r="S124"/>
  <c r="T124" s="1"/>
  <c r="R124"/>
  <c r="Q124"/>
  <c r="P124"/>
  <c r="O124"/>
  <c r="N124"/>
  <c r="M124"/>
  <c r="L124"/>
  <c r="K124"/>
  <c r="J124"/>
  <c r="I124"/>
  <c r="AG49"/>
  <c r="AG45"/>
  <c r="AG43"/>
  <c r="AG42"/>
  <c r="AG41"/>
  <c r="AG40"/>
  <c r="AG38"/>
  <c r="AG36"/>
  <c r="U40"/>
  <c r="V40" s="1"/>
  <c r="W40" s="1"/>
  <c r="X40" s="1"/>
  <c r="Y40" s="1"/>
  <c r="Z40" s="1"/>
  <c r="AA40" s="1"/>
  <c r="AB40" s="1"/>
  <c r="AC40" s="1"/>
  <c r="AD40" s="1"/>
  <c r="AE40" s="1"/>
  <c r="V49"/>
  <c r="W49" s="1"/>
  <c r="X49" s="1"/>
  <c r="Y49" s="1"/>
  <c r="Z49" s="1"/>
  <c r="AA49" s="1"/>
  <c r="AB49" s="1"/>
  <c r="AC49" s="1"/>
  <c r="AD49" s="1"/>
  <c r="AE49" s="1"/>
  <c r="U45"/>
  <c r="V45" s="1"/>
  <c r="W45" s="1"/>
  <c r="X45" s="1"/>
  <c r="Y45" s="1"/>
  <c r="Z45" s="1"/>
  <c r="AA45" s="1"/>
  <c r="AB45" s="1"/>
  <c r="AC45" s="1"/>
  <c r="AD45" s="1"/>
  <c r="AE45" s="1"/>
  <c r="G49" l="1"/>
  <c r="H130"/>
  <c r="B103" i="20"/>
  <c r="F102"/>
  <c r="G102" s="1"/>
  <c r="C103" s="1"/>
  <c r="I103"/>
  <c r="M102"/>
  <c r="N102" s="1"/>
  <c r="J103" s="1"/>
  <c r="H77"/>
  <c r="F58"/>
  <c r="G58" s="1"/>
  <c r="C59" s="1"/>
  <c r="N54"/>
  <c r="M54"/>
  <c r="AF49" i="18"/>
  <c r="AF45"/>
  <c r="AF40"/>
  <c r="U43"/>
  <c r="V43" s="1"/>
  <c r="W43" s="1"/>
  <c r="X43" s="1"/>
  <c r="Y43" s="1"/>
  <c r="Z43" s="1"/>
  <c r="AA43" s="1"/>
  <c r="AB43" s="1"/>
  <c r="AC43" s="1"/>
  <c r="AD43" s="1"/>
  <c r="AE43" s="1"/>
  <c r="AF43" s="1"/>
  <c r="U42"/>
  <c r="V42" s="1"/>
  <c r="W42" s="1"/>
  <c r="X42" s="1"/>
  <c r="Y42" s="1"/>
  <c r="Z42" s="1"/>
  <c r="AA42" s="1"/>
  <c r="AB42" s="1"/>
  <c r="AC42" s="1"/>
  <c r="AD42" s="1"/>
  <c r="AE42" s="1"/>
  <c r="AF42" s="1"/>
  <c r="U41"/>
  <c r="V41" s="1"/>
  <c r="W41" s="1"/>
  <c r="X41" s="1"/>
  <c r="Y41" s="1"/>
  <c r="Z41" s="1"/>
  <c r="AA41" s="1"/>
  <c r="AB41" s="1"/>
  <c r="AC41" s="1"/>
  <c r="AD41" s="1"/>
  <c r="AE41" s="1"/>
  <c r="U38"/>
  <c r="V38" s="1"/>
  <c r="U36"/>
  <c r="V36" s="1"/>
  <c r="G130" l="1"/>
  <c r="T130" s="1"/>
  <c r="T49"/>
  <c r="H78" i="20"/>
  <c r="G59"/>
  <c r="C60" s="1"/>
  <c r="F59"/>
  <c r="J55"/>
  <c r="P54"/>
  <c r="I104"/>
  <c r="M103"/>
  <c r="N103" s="1"/>
  <c r="J104" s="1"/>
  <c r="B104"/>
  <c r="F103"/>
  <c r="G103" s="1"/>
  <c r="C104" s="1"/>
  <c r="W38" i="18"/>
  <c r="V127"/>
  <c r="W36"/>
  <c r="V126"/>
  <c r="V128"/>
  <c r="AF41"/>
  <c r="B215"/>
  <c r="AG227"/>
  <c r="AG224"/>
  <c r="AG226"/>
  <c r="AG225"/>
  <c r="AG222"/>
  <c r="AG221"/>
  <c r="AG220"/>
  <c r="AG219"/>
  <c r="AG214"/>
  <c r="AG217"/>
  <c r="AG216"/>
  <c r="AG215"/>
  <c r="AG212"/>
  <c r="AG211"/>
  <c r="AG208"/>
  <c r="AG207"/>
  <c r="AG210"/>
  <c r="AG209"/>
  <c r="AG206"/>
  <c r="AG205"/>
  <c r="AG204"/>
  <c r="AG203"/>
  <c r="AG202"/>
  <c r="AG201"/>
  <c r="AH224"/>
  <c r="B105" i="20" l="1"/>
  <c r="F104"/>
  <c r="G104" s="1"/>
  <c r="C105" s="1"/>
  <c r="I105"/>
  <c r="M104"/>
  <c r="N104" s="1"/>
  <c r="J105" s="1"/>
  <c r="M55"/>
  <c r="N55"/>
  <c r="H79"/>
  <c r="F60"/>
  <c r="G60" s="1"/>
  <c r="C61" s="1"/>
  <c r="X38" i="18"/>
  <c r="W127"/>
  <c r="X36"/>
  <c r="W126"/>
  <c r="W128"/>
  <c r="AH225"/>
  <c r="S212"/>
  <c r="T212" s="1"/>
  <c r="R212"/>
  <c r="Q212"/>
  <c r="P212"/>
  <c r="O212"/>
  <c r="N212"/>
  <c r="M212"/>
  <c r="L212"/>
  <c r="K212"/>
  <c r="J212"/>
  <c r="I212"/>
  <c r="H80" i="20" l="1"/>
  <c r="G61"/>
  <c r="C62" s="1"/>
  <c r="F61"/>
  <c r="J56"/>
  <c r="P55"/>
  <c r="I106"/>
  <c r="M105"/>
  <c r="N105" s="1"/>
  <c r="J106" s="1"/>
  <c r="B106"/>
  <c r="F105"/>
  <c r="G105" s="1"/>
  <c r="C106" s="1"/>
  <c r="Y38" i="18"/>
  <c r="X127"/>
  <c r="Y36"/>
  <c r="X128"/>
  <c r="X126"/>
  <c r="S60"/>
  <c r="R60"/>
  <c r="Q60"/>
  <c r="P60"/>
  <c r="O60"/>
  <c r="N60"/>
  <c r="M60"/>
  <c r="L60"/>
  <c r="K60"/>
  <c r="J60"/>
  <c r="I60"/>
  <c r="S58"/>
  <c r="R58"/>
  <c r="S56"/>
  <c r="R56"/>
  <c r="S54"/>
  <c r="R54"/>
  <c r="S52"/>
  <c r="R52"/>
  <c r="S30"/>
  <c r="R30"/>
  <c r="S28"/>
  <c r="R28"/>
  <c r="S26"/>
  <c r="R26"/>
  <c r="S11"/>
  <c r="R11"/>
  <c r="S8"/>
  <c r="R8"/>
  <c r="B107" i="20" l="1"/>
  <c r="F106"/>
  <c r="G106" s="1"/>
  <c r="C107" s="1"/>
  <c r="I107"/>
  <c r="M106"/>
  <c r="N106" s="1"/>
  <c r="J107" s="1"/>
  <c r="M56"/>
  <c r="N56"/>
  <c r="H81"/>
  <c r="F62"/>
  <c r="G62" s="1"/>
  <c r="C63" s="1"/>
  <c r="Z38" i="18"/>
  <c r="Y127"/>
  <c r="Z36"/>
  <c r="Y128"/>
  <c r="Y126"/>
  <c r="S102"/>
  <c r="T102" s="1"/>
  <c r="R102"/>
  <c r="Q102"/>
  <c r="P102"/>
  <c r="O102"/>
  <c r="N102"/>
  <c r="M102"/>
  <c r="L102"/>
  <c r="K102"/>
  <c r="J102"/>
  <c r="I102"/>
  <c r="H82" i="20" l="1"/>
  <c r="G63"/>
  <c r="C64" s="1"/>
  <c r="F63"/>
  <c r="J57"/>
  <c r="P56"/>
  <c r="I108"/>
  <c r="M107"/>
  <c r="N107" s="1"/>
  <c r="J108" s="1"/>
  <c r="B108"/>
  <c r="F107"/>
  <c r="G107" s="1"/>
  <c r="C108" s="1"/>
  <c r="AA38" i="18"/>
  <c r="Z127"/>
  <c r="AA36"/>
  <c r="Z126"/>
  <c r="Z128"/>
  <c r="U170"/>
  <c r="S170"/>
  <c r="S225" s="1"/>
  <c r="C1"/>
  <c r="AH47" s="1"/>
  <c r="V225" l="1"/>
  <c r="G225"/>
  <c r="H225"/>
  <c r="V220"/>
  <c r="V221" s="1"/>
  <c r="V222" s="1"/>
  <c r="G220"/>
  <c r="H220"/>
  <c r="B109" i="20"/>
  <c r="F108"/>
  <c r="G108" s="1"/>
  <c r="C109" s="1"/>
  <c r="I109"/>
  <c r="M108"/>
  <c r="N108" s="1"/>
  <c r="J109" s="1"/>
  <c r="M57"/>
  <c r="N57"/>
  <c r="H83"/>
  <c r="F64"/>
  <c r="G64" s="1"/>
  <c r="C65" s="1"/>
  <c r="AB38" i="18"/>
  <c r="AA127"/>
  <c r="AB36"/>
  <c r="AA126"/>
  <c r="AA128"/>
  <c r="AH45"/>
  <c r="AH40"/>
  <c r="AH49"/>
  <c r="AH41"/>
  <c r="AH42"/>
  <c r="AH43"/>
  <c r="M225"/>
  <c r="M226" s="1"/>
  <c r="M227" s="1"/>
  <c r="R225"/>
  <c r="R224" s="1"/>
  <c r="V226"/>
  <c r="V227" s="1"/>
  <c r="V224"/>
  <c r="Q225"/>
  <c r="L225"/>
  <c r="K225"/>
  <c r="P225"/>
  <c r="J225"/>
  <c r="O225"/>
  <c r="I225"/>
  <c r="N225"/>
  <c r="R244"/>
  <c r="O220"/>
  <c r="R220"/>
  <c r="R219" s="1"/>
  <c r="N220"/>
  <c r="J220"/>
  <c r="Q220"/>
  <c r="M220"/>
  <c r="I220"/>
  <c r="P220"/>
  <c r="L220"/>
  <c r="S220"/>
  <c r="K220"/>
  <c r="AG71"/>
  <c r="AG70"/>
  <c r="AG68"/>
  <c r="I71"/>
  <c r="I205" s="1"/>
  <c r="J71"/>
  <c r="J205" s="1"/>
  <c r="K71"/>
  <c r="K205" s="1"/>
  <c r="L71"/>
  <c r="L205" s="1"/>
  <c r="M71"/>
  <c r="M205" s="1"/>
  <c r="N71"/>
  <c r="N205" s="1"/>
  <c r="O71"/>
  <c r="O205" s="1"/>
  <c r="P71"/>
  <c r="P205" s="1"/>
  <c r="Q71"/>
  <c r="Q205" s="1"/>
  <c r="R71"/>
  <c r="S71"/>
  <c r="I70"/>
  <c r="I204" s="1"/>
  <c r="J70"/>
  <c r="J204" s="1"/>
  <c r="K70"/>
  <c r="K204" s="1"/>
  <c r="L70"/>
  <c r="L204" s="1"/>
  <c r="M70"/>
  <c r="M204" s="1"/>
  <c r="N70"/>
  <c r="N204" s="1"/>
  <c r="O70"/>
  <c r="O204" s="1"/>
  <c r="P70"/>
  <c r="P204" s="1"/>
  <c r="Q70"/>
  <c r="Q204" s="1"/>
  <c r="R70"/>
  <c r="R204" s="1"/>
  <c r="S70"/>
  <c r="T220" l="1"/>
  <c r="S219"/>
  <c r="V219"/>
  <c r="S205"/>
  <c r="T205" s="1"/>
  <c r="T71"/>
  <c r="S204"/>
  <c r="T204" s="1"/>
  <c r="T70"/>
  <c r="G219"/>
  <c r="G221"/>
  <c r="H224"/>
  <c r="H226"/>
  <c r="H227" s="1"/>
  <c r="T225"/>
  <c r="H219"/>
  <c r="H221"/>
  <c r="H222" s="1"/>
  <c r="G224"/>
  <c r="G226"/>
  <c r="H84" i="20"/>
  <c r="G65"/>
  <c r="C66" s="1"/>
  <c r="F65"/>
  <c r="I110"/>
  <c r="M109"/>
  <c r="N109" s="1"/>
  <c r="J110" s="1"/>
  <c r="B110"/>
  <c r="F109"/>
  <c r="G109" s="1"/>
  <c r="C110" s="1"/>
  <c r="J58"/>
  <c r="P57"/>
  <c r="AC38" i="18"/>
  <c r="AB127"/>
  <c r="AC36"/>
  <c r="AB128"/>
  <c r="AB126"/>
  <c r="M224"/>
  <c r="R226"/>
  <c r="R227" s="1"/>
  <c r="L221"/>
  <c r="L222" s="1"/>
  <c r="L219"/>
  <c r="Q221"/>
  <c r="Q222" s="1"/>
  <c r="Q219"/>
  <c r="O221"/>
  <c r="O222" s="1"/>
  <c r="O219"/>
  <c r="N226"/>
  <c r="N227" s="1"/>
  <c r="N224"/>
  <c r="P226"/>
  <c r="P227" s="1"/>
  <c r="P224"/>
  <c r="P221"/>
  <c r="P222" s="1"/>
  <c r="P219"/>
  <c r="J221"/>
  <c r="J222" s="1"/>
  <c r="J219"/>
  <c r="I226"/>
  <c r="I227" s="1"/>
  <c r="I224"/>
  <c r="K226"/>
  <c r="K227" s="1"/>
  <c r="K224"/>
  <c r="K221"/>
  <c r="K222" s="1"/>
  <c r="K219"/>
  <c r="I221"/>
  <c r="I222" s="1"/>
  <c r="I219"/>
  <c r="N221"/>
  <c r="N222" s="1"/>
  <c r="N219"/>
  <c r="O226"/>
  <c r="O227" s="1"/>
  <c r="O224"/>
  <c r="L226"/>
  <c r="L227" s="1"/>
  <c r="L224"/>
  <c r="S221"/>
  <c r="S222" s="1"/>
  <c r="M221"/>
  <c r="M222" s="1"/>
  <c r="M219"/>
  <c r="J226"/>
  <c r="J227" s="1"/>
  <c r="J224"/>
  <c r="Q226"/>
  <c r="Q227" s="1"/>
  <c r="Q224"/>
  <c r="S226"/>
  <c r="S227" s="1"/>
  <c r="S224"/>
  <c r="R221"/>
  <c r="R205"/>
  <c r="T224" l="1"/>
  <c r="T221"/>
  <c r="G222"/>
  <c r="T222" s="1"/>
  <c r="T226"/>
  <c r="G227"/>
  <c r="T227" s="1"/>
  <c r="T219"/>
  <c r="M58" i="20"/>
  <c r="N58" s="1"/>
  <c r="B111"/>
  <c r="F110"/>
  <c r="G110" s="1"/>
  <c r="C111" s="1"/>
  <c r="I111"/>
  <c r="M110"/>
  <c r="N110" s="1"/>
  <c r="J111" s="1"/>
  <c r="F66"/>
  <c r="G66"/>
  <c r="AD38" i="18"/>
  <c r="AC127"/>
  <c r="AD36"/>
  <c r="AC128"/>
  <c r="AC126"/>
  <c r="R222"/>
  <c r="I147"/>
  <c r="J147"/>
  <c r="K147"/>
  <c r="L147"/>
  <c r="M147"/>
  <c r="N147"/>
  <c r="O147"/>
  <c r="P147"/>
  <c r="Q147"/>
  <c r="R147"/>
  <c r="S147"/>
  <c r="T147" s="1"/>
  <c r="S146"/>
  <c r="T146" s="1"/>
  <c r="J59" i="20" l="1"/>
  <c r="P58"/>
  <c r="C67"/>
  <c r="H66"/>
  <c r="H85" s="1"/>
  <c r="I112"/>
  <c r="M111"/>
  <c r="N111" s="1"/>
  <c r="J112" s="1"/>
  <c r="B112"/>
  <c r="F111"/>
  <c r="G111" s="1"/>
  <c r="C112" s="1"/>
  <c r="AE38" i="18"/>
  <c r="AD127"/>
  <c r="AE36"/>
  <c r="AD126"/>
  <c r="AD128"/>
  <c r="J261"/>
  <c r="J258"/>
  <c r="J259"/>
  <c r="J260"/>
  <c r="B113" i="20" l="1"/>
  <c r="F112"/>
  <c r="G112" s="1"/>
  <c r="C113" s="1"/>
  <c r="I113"/>
  <c r="M112"/>
  <c r="N112" s="1"/>
  <c r="J113" s="1"/>
  <c r="H86"/>
  <c r="G67"/>
  <c r="C68" s="1"/>
  <c r="F67"/>
  <c r="M59"/>
  <c r="N59" s="1"/>
  <c r="AF38" i="18"/>
  <c r="AE127"/>
  <c r="AF127" s="1"/>
  <c r="AH38"/>
  <c r="AE126"/>
  <c r="AF126" s="1"/>
  <c r="AE128"/>
  <c r="AF128" s="1"/>
  <c r="AF36"/>
  <c r="AH36"/>
  <c r="S250"/>
  <c r="S249"/>
  <c r="S248"/>
  <c r="S211"/>
  <c r="T211" s="1"/>
  <c r="S66"/>
  <c r="S67"/>
  <c r="T67" s="1"/>
  <c r="S68"/>
  <c r="S72"/>
  <c r="S73"/>
  <c r="T73" s="1"/>
  <c r="S74"/>
  <c r="T74" s="1"/>
  <c r="S75"/>
  <c r="S76"/>
  <c r="T76" s="1"/>
  <c r="S78"/>
  <c r="T78" s="1"/>
  <c r="S79"/>
  <c r="T79" s="1"/>
  <c r="S80"/>
  <c r="S82"/>
  <c r="T82" s="1"/>
  <c r="S83"/>
  <c r="T83" s="1"/>
  <c r="S85"/>
  <c r="T85" s="1"/>
  <c r="S86"/>
  <c r="S88"/>
  <c r="S90"/>
  <c r="S93"/>
  <c r="T93" s="1"/>
  <c r="S94"/>
  <c r="T94" s="1"/>
  <c r="S95"/>
  <c r="T95" s="1"/>
  <c r="S96"/>
  <c r="T96" s="1"/>
  <c r="S98"/>
  <c r="S99"/>
  <c r="T99" s="1"/>
  <c r="S100"/>
  <c r="T100" s="1"/>
  <c r="S105"/>
  <c r="T105" s="1"/>
  <c r="S106"/>
  <c r="T106" s="1"/>
  <c r="S107"/>
  <c r="T107" s="1"/>
  <c r="S108"/>
  <c r="T108" s="1"/>
  <c r="S109"/>
  <c r="T109" s="1"/>
  <c r="S112"/>
  <c r="S113"/>
  <c r="S114"/>
  <c r="S115"/>
  <c r="S116"/>
  <c r="S134"/>
  <c r="T134" s="1"/>
  <c r="S135"/>
  <c r="T135" s="1"/>
  <c r="S136"/>
  <c r="T136" s="1"/>
  <c r="S137"/>
  <c r="T137" s="1"/>
  <c r="S145"/>
  <c r="T145" s="1"/>
  <c r="S149"/>
  <c r="T149" s="1"/>
  <c r="S150"/>
  <c r="T150" s="1"/>
  <c r="S151"/>
  <c r="T151" s="1"/>
  <c r="S154"/>
  <c r="T154" s="1"/>
  <c r="S155"/>
  <c r="T155" s="1"/>
  <c r="S156"/>
  <c r="T156" s="1"/>
  <c r="S157"/>
  <c r="T157" s="1"/>
  <c r="S159"/>
  <c r="T159" s="1"/>
  <c r="S160"/>
  <c r="T160" s="1"/>
  <c r="S162"/>
  <c r="S166"/>
  <c r="T166" s="1"/>
  <c r="S167"/>
  <c r="T167" s="1"/>
  <c r="V17"/>
  <c r="V19"/>
  <c r="V24"/>
  <c r="S92" l="1"/>
  <c r="T92" s="1"/>
  <c r="T90"/>
  <c r="S139"/>
  <c r="T88"/>
  <c r="S140"/>
  <c r="T140" s="1"/>
  <c r="T139"/>
  <c r="S214"/>
  <c r="T214" s="1"/>
  <c r="T72"/>
  <c r="S110"/>
  <c r="T110" s="1"/>
  <c r="T68"/>
  <c r="S164"/>
  <c r="T164" s="1"/>
  <c r="T98"/>
  <c r="S122"/>
  <c r="T122" s="1"/>
  <c r="T116"/>
  <c r="S120"/>
  <c r="T120" s="1"/>
  <c r="T114"/>
  <c r="S119"/>
  <c r="T119" s="1"/>
  <c r="T113"/>
  <c r="S202"/>
  <c r="T202" s="1"/>
  <c r="T66"/>
  <c r="S118"/>
  <c r="T118" s="1"/>
  <c r="T112"/>
  <c r="S163"/>
  <c r="T163" s="1"/>
  <c r="T162"/>
  <c r="S208"/>
  <c r="T208" s="1"/>
  <c r="T86"/>
  <c r="S121"/>
  <c r="T121" s="1"/>
  <c r="T115"/>
  <c r="S209"/>
  <c r="T209" s="1"/>
  <c r="T80"/>
  <c r="S206"/>
  <c r="T206" s="1"/>
  <c r="T75"/>
  <c r="J60" i="20"/>
  <c r="P59"/>
  <c r="H87"/>
  <c r="F68"/>
  <c r="G68" s="1"/>
  <c r="C69" s="1"/>
  <c r="I114"/>
  <c r="M113"/>
  <c r="N113" s="1"/>
  <c r="J114" s="1"/>
  <c r="B114"/>
  <c r="F113"/>
  <c r="G113" s="1"/>
  <c r="C114" s="1"/>
  <c r="R245" i="18"/>
  <c r="S203"/>
  <c r="T203" s="1"/>
  <c r="S84"/>
  <c r="S141"/>
  <c r="S143"/>
  <c r="T143" s="1"/>
  <c r="J68"/>
  <c r="J110" s="1"/>
  <c r="K68"/>
  <c r="K110" s="1"/>
  <c r="L68"/>
  <c r="L110" s="1"/>
  <c r="M68"/>
  <c r="M110" s="1"/>
  <c r="N68"/>
  <c r="N110" s="1"/>
  <c r="O68"/>
  <c r="O110" s="1"/>
  <c r="P68"/>
  <c r="P110" s="1"/>
  <c r="Q68"/>
  <c r="Q110" s="1"/>
  <c r="R68"/>
  <c r="R110" s="1"/>
  <c r="I68"/>
  <c r="I110" s="1"/>
  <c r="S142" l="1"/>
  <c r="T142" s="1"/>
  <c r="T141"/>
  <c r="S207"/>
  <c r="T207" s="1"/>
  <c r="T84"/>
  <c r="F69" i="20"/>
  <c r="G69" s="1"/>
  <c r="C70" s="1"/>
  <c r="H88"/>
  <c r="B115"/>
  <c r="F114"/>
  <c r="G114" s="1"/>
  <c r="C115" s="1"/>
  <c r="I115"/>
  <c r="M114"/>
  <c r="N114" s="1"/>
  <c r="J115" s="1"/>
  <c r="N60"/>
  <c r="M60"/>
  <c r="S216" i="18"/>
  <c r="S215"/>
  <c r="T215" s="1"/>
  <c r="J245"/>
  <c r="U59"/>
  <c r="V59" s="1"/>
  <c r="S217" l="1"/>
  <c r="T217" s="1"/>
  <c r="T216"/>
  <c r="F70" i="20"/>
  <c r="G70" s="1"/>
  <c r="C71" s="1"/>
  <c r="J61"/>
  <c r="P60"/>
  <c r="I116"/>
  <c r="M115"/>
  <c r="N115" s="1"/>
  <c r="J116" s="1"/>
  <c r="B116"/>
  <c r="F115"/>
  <c r="G115" s="1"/>
  <c r="C116" s="1"/>
  <c r="M241" i="18"/>
  <c r="M240"/>
  <c r="M239"/>
  <c r="M238"/>
  <c r="F71" i="20" l="1"/>
  <c r="G71"/>
  <c r="C72" s="1"/>
  <c r="B117"/>
  <c r="F116"/>
  <c r="G116" s="1"/>
  <c r="C117" s="1"/>
  <c r="I117"/>
  <c r="M116"/>
  <c r="N116" s="1"/>
  <c r="J117" s="1"/>
  <c r="M61"/>
  <c r="N61"/>
  <c r="AG53" i="18"/>
  <c r="U53"/>
  <c r="J62" i="20" l="1"/>
  <c r="P61"/>
  <c r="F72"/>
  <c r="G72" s="1"/>
  <c r="C73" s="1"/>
  <c r="I118"/>
  <c r="M117"/>
  <c r="N117" s="1"/>
  <c r="J118" s="1"/>
  <c r="B118"/>
  <c r="F117"/>
  <c r="G117" s="1"/>
  <c r="C118" s="1"/>
  <c r="V53" i="18"/>
  <c r="F73" i="20" l="1"/>
  <c r="G73"/>
  <c r="C74" s="1"/>
  <c r="B119"/>
  <c r="F118"/>
  <c r="G118" s="1"/>
  <c r="C119" s="1"/>
  <c r="I119"/>
  <c r="M118"/>
  <c r="N118" s="1"/>
  <c r="J119" s="1"/>
  <c r="M62"/>
  <c r="N62" s="1"/>
  <c r="W53" i="18"/>
  <c r="V245"/>
  <c r="V246" s="1"/>
  <c r="J63" i="20" l="1"/>
  <c r="P62"/>
  <c r="F74"/>
  <c r="G74" s="1"/>
  <c r="C75" s="1"/>
  <c r="I120"/>
  <c r="M119"/>
  <c r="N119" s="1"/>
  <c r="J120" s="1"/>
  <c r="B120"/>
  <c r="F119"/>
  <c r="G119" s="1"/>
  <c r="C120" s="1"/>
  <c r="X53" i="18"/>
  <c r="W259"/>
  <c r="W260" s="1"/>
  <c r="D257"/>
  <c r="J257"/>
  <c r="N134"/>
  <c r="L134"/>
  <c r="J134"/>
  <c r="I134"/>
  <c r="K134"/>
  <c r="M134"/>
  <c r="O134"/>
  <c r="P134"/>
  <c r="Q134"/>
  <c r="R134"/>
  <c r="J167"/>
  <c r="K167"/>
  <c r="L167"/>
  <c r="M167"/>
  <c r="N167"/>
  <c r="O167"/>
  <c r="P167"/>
  <c r="Q167"/>
  <c r="R167"/>
  <c r="J166"/>
  <c r="K166"/>
  <c r="L166"/>
  <c r="M166"/>
  <c r="N166"/>
  <c r="O166"/>
  <c r="P166"/>
  <c r="Q166"/>
  <c r="R166"/>
  <c r="I275"/>
  <c r="I276" s="1"/>
  <c r="AG73"/>
  <c r="J73"/>
  <c r="K73"/>
  <c r="L73"/>
  <c r="M73"/>
  <c r="N73"/>
  <c r="O73"/>
  <c r="P73"/>
  <c r="Q73"/>
  <c r="R73"/>
  <c r="I73"/>
  <c r="J266"/>
  <c r="D265"/>
  <c r="J264"/>
  <c r="K264" s="1"/>
  <c r="L264" s="1"/>
  <c r="L265" s="1"/>
  <c r="J262"/>
  <c r="J256"/>
  <c r="J255"/>
  <c r="K255" s="1"/>
  <c r="L255" s="1"/>
  <c r="I272" l="1"/>
  <c r="M272" s="1"/>
  <c r="H272"/>
  <c r="I271"/>
  <c r="M271" s="1"/>
  <c r="H271"/>
  <c r="F75" i="20"/>
  <c r="G75"/>
  <c r="C76" s="1"/>
  <c r="B121"/>
  <c r="F121" s="1"/>
  <c r="F120"/>
  <c r="G120" s="1"/>
  <c r="C121" s="1"/>
  <c r="I121"/>
  <c r="M121" s="1"/>
  <c r="M120"/>
  <c r="N120" s="1"/>
  <c r="J121" s="1"/>
  <c r="M63"/>
  <c r="N63"/>
  <c r="Y53" i="18"/>
  <c r="I277"/>
  <c r="I274"/>
  <c r="D267"/>
  <c r="M275"/>
  <c r="M274"/>
  <c r="K256"/>
  <c r="L256" s="1"/>
  <c r="K266"/>
  <c r="L266" s="1"/>
  <c r="L267" s="1"/>
  <c r="J109"/>
  <c r="K109"/>
  <c r="L109"/>
  <c r="M109"/>
  <c r="N109"/>
  <c r="O109"/>
  <c r="P109"/>
  <c r="Q109"/>
  <c r="R109"/>
  <c r="I109"/>
  <c r="I167"/>
  <c r="I166"/>
  <c r="AG14"/>
  <c r="U14"/>
  <c r="W256"/>
  <c r="W255"/>
  <c r="Q256"/>
  <c r="Q259" s="1"/>
  <c r="Q255"/>
  <c r="J116"/>
  <c r="J122" s="1"/>
  <c r="K116"/>
  <c r="K122" s="1"/>
  <c r="L116"/>
  <c r="L122" s="1"/>
  <c r="M116"/>
  <c r="M122" s="1"/>
  <c r="N116"/>
  <c r="N122" s="1"/>
  <c r="O116"/>
  <c r="O122" s="1"/>
  <c r="P116"/>
  <c r="P122" s="1"/>
  <c r="Q116"/>
  <c r="Q122" s="1"/>
  <c r="R116"/>
  <c r="R122" s="1"/>
  <c r="I116"/>
  <c r="I122" s="1"/>
  <c r="J113"/>
  <c r="J119" s="1"/>
  <c r="K113"/>
  <c r="K119" s="1"/>
  <c r="L113"/>
  <c r="L119" s="1"/>
  <c r="M113"/>
  <c r="M119" s="1"/>
  <c r="N113"/>
  <c r="N119" s="1"/>
  <c r="O113"/>
  <c r="O119" s="1"/>
  <c r="P113"/>
  <c r="P119" s="1"/>
  <c r="Q113"/>
  <c r="Q119" s="1"/>
  <c r="R113"/>
  <c r="R119" s="1"/>
  <c r="I113"/>
  <c r="I119" s="1"/>
  <c r="J114"/>
  <c r="J120" s="1"/>
  <c r="K114"/>
  <c r="K120" s="1"/>
  <c r="L114"/>
  <c r="L120" s="1"/>
  <c r="M114"/>
  <c r="M120" s="1"/>
  <c r="N114"/>
  <c r="N120" s="1"/>
  <c r="O114"/>
  <c r="O120" s="1"/>
  <c r="P114"/>
  <c r="P120" s="1"/>
  <c r="Q114"/>
  <c r="Q120" s="1"/>
  <c r="R114"/>
  <c r="R120" s="1"/>
  <c r="I114"/>
  <c r="I120" s="1"/>
  <c r="J162"/>
  <c r="J163" s="1"/>
  <c r="K162"/>
  <c r="K163" s="1"/>
  <c r="L162"/>
  <c r="L163" s="1"/>
  <c r="M162"/>
  <c r="M163" s="1"/>
  <c r="N162"/>
  <c r="N163" s="1"/>
  <c r="O162"/>
  <c r="O163" s="1"/>
  <c r="P162"/>
  <c r="P163" s="1"/>
  <c r="Q162"/>
  <c r="Q163" s="1"/>
  <c r="R162"/>
  <c r="R163" s="1"/>
  <c r="I162"/>
  <c r="I163" s="1"/>
  <c r="H277" l="1"/>
  <c r="H274"/>
  <c r="J64" i="20"/>
  <c r="P63"/>
  <c r="F76"/>
  <c r="G76" s="1"/>
  <c r="C77" s="1"/>
  <c r="N121"/>
  <c r="N124" s="1"/>
  <c r="N89" s="1"/>
  <c r="G121"/>
  <c r="G124" s="1"/>
  <c r="G89" s="1"/>
  <c r="Z53" i="18"/>
  <c r="V14"/>
  <c r="W14" s="1"/>
  <c r="X14" s="1"/>
  <c r="Y14" s="1"/>
  <c r="Z14" s="1"/>
  <c r="AA14" s="1"/>
  <c r="AB14" s="1"/>
  <c r="AC14" s="1"/>
  <c r="AD14" s="1"/>
  <c r="AE14" s="1"/>
  <c r="K257"/>
  <c r="L257" s="1"/>
  <c r="R108"/>
  <c r="R107"/>
  <c r="J108"/>
  <c r="K108"/>
  <c r="L108"/>
  <c r="M108"/>
  <c r="N108"/>
  <c r="O108"/>
  <c r="P108"/>
  <c r="Q108"/>
  <c r="I108"/>
  <c r="I107"/>
  <c r="J160"/>
  <c r="K160"/>
  <c r="L160"/>
  <c r="M160"/>
  <c r="N160"/>
  <c r="O160"/>
  <c r="P160"/>
  <c r="Q160"/>
  <c r="R160"/>
  <c r="I160"/>
  <c r="J159"/>
  <c r="K159"/>
  <c r="L159"/>
  <c r="M159"/>
  <c r="N159"/>
  <c r="O159"/>
  <c r="P159"/>
  <c r="Q159"/>
  <c r="R159"/>
  <c r="I159"/>
  <c r="J156"/>
  <c r="K156"/>
  <c r="L156"/>
  <c r="M156"/>
  <c r="N156"/>
  <c r="O156"/>
  <c r="P156"/>
  <c r="Q156"/>
  <c r="R156"/>
  <c r="I156"/>
  <c r="J157"/>
  <c r="K157"/>
  <c r="L157"/>
  <c r="M157"/>
  <c r="N157"/>
  <c r="O157"/>
  <c r="P157"/>
  <c r="Q157"/>
  <c r="R157"/>
  <c r="I157"/>
  <c r="J155"/>
  <c r="K155"/>
  <c r="L155"/>
  <c r="M155"/>
  <c r="N155"/>
  <c r="O155"/>
  <c r="P155"/>
  <c r="Q155"/>
  <c r="R155"/>
  <c r="I155"/>
  <c r="J154"/>
  <c r="K154"/>
  <c r="L154"/>
  <c r="M154"/>
  <c r="N154"/>
  <c r="O154"/>
  <c r="P154"/>
  <c r="Q154"/>
  <c r="R154"/>
  <c r="I154"/>
  <c r="J151"/>
  <c r="K151"/>
  <c r="L151"/>
  <c r="M151"/>
  <c r="N151"/>
  <c r="O151"/>
  <c r="P151"/>
  <c r="Q151"/>
  <c r="R151"/>
  <c r="I151"/>
  <c r="J150"/>
  <c r="K150"/>
  <c r="L150"/>
  <c r="M150"/>
  <c r="N150"/>
  <c r="O150"/>
  <c r="P150"/>
  <c r="Q150"/>
  <c r="R150"/>
  <c r="I150"/>
  <c r="J149"/>
  <c r="K149"/>
  <c r="L149"/>
  <c r="M149"/>
  <c r="N149"/>
  <c r="O149"/>
  <c r="P149"/>
  <c r="Q149"/>
  <c r="R149"/>
  <c r="I149"/>
  <c r="B151"/>
  <c r="B150"/>
  <c r="AG32"/>
  <c r="U32"/>
  <c r="I137"/>
  <c r="J137"/>
  <c r="K137"/>
  <c r="L137"/>
  <c r="M137"/>
  <c r="N137"/>
  <c r="O137"/>
  <c r="P137"/>
  <c r="Q137"/>
  <c r="R137"/>
  <c r="V260"/>
  <c r="P259"/>
  <c r="V257"/>
  <c r="W257" s="1"/>
  <c r="W262" s="1"/>
  <c r="P257"/>
  <c r="Q257" s="1"/>
  <c r="Q262" s="1"/>
  <c r="J146"/>
  <c r="K146"/>
  <c r="L146"/>
  <c r="M146"/>
  <c r="N146"/>
  <c r="O146"/>
  <c r="P146"/>
  <c r="Q146"/>
  <c r="R146"/>
  <c r="I146"/>
  <c r="J145"/>
  <c r="K145"/>
  <c r="L145"/>
  <c r="M145"/>
  <c r="N145"/>
  <c r="O145"/>
  <c r="P145"/>
  <c r="Q145"/>
  <c r="R145"/>
  <c r="I145"/>
  <c r="F77" i="20" l="1"/>
  <c r="G77"/>
  <c r="C78" s="1"/>
  <c r="M64"/>
  <c r="N64" s="1"/>
  <c r="K258" i="18"/>
  <c r="L258" s="1"/>
  <c r="K259" s="1"/>
  <c r="L259" s="1"/>
  <c r="K260" s="1"/>
  <c r="L260" s="1"/>
  <c r="K261" s="1"/>
  <c r="L261" s="1"/>
  <c r="K262" s="1"/>
  <c r="L262" s="1"/>
  <c r="L263" s="1"/>
  <c r="AA53"/>
  <c r="AF14"/>
  <c r="AH14"/>
  <c r="V32"/>
  <c r="W32" s="1"/>
  <c r="X32" s="1"/>
  <c r="Y32" s="1"/>
  <c r="Z32" s="1"/>
  <c r="AA32" s="1"/>
  <c r="AB32" s="1"/>
  <c r="AC32" s="1"/>
  <c r="AD32" s="1"/>
  <c r="AE32" s="1"/>
  <c r="AF32" s="1"/>
  <c r="P262"/>
  <c r="V262"/>
  <c r="U9"/>
  <c r="V9" s="1"/>
  <c r="U10"/>
  <c r="V10" s="1"/>
  <c r="U12"/>
  <c r="V12" s="1"/>
  <c r="U13"/>
  <c r="V13" s="1"/>
  <c r="U15"/>
  <c r="V15" s="1"/>
  <c r="U16"/>
  <c r="V16" s="1"/>
  <c r="U18"/>
  <c r="V18" s="1"/>
  <c r="U20"/>
  <c r="V20" s="1"/>
  <c r="U21"/>
  <c r="V21" s="1"/>
  <c r="U22"/>
  <c r="V22" s="1"/>
  <c r="U23"/>
  <c r="V23" s="1"/>
  <c r="U25"/>
  <c r="V25" s="1"/>
  <c r="V129" s="1"/>
  <c r="U27"/>
  <c r="V27" s="1"/>
  <c r="U29"/>
  <c r="V29" s="1"/>
  <c r="U31"/>
  <c r="U33"/>
  <c r="V33" s="1"/>
  <c r="U34"/>
  <c r="V34" s="1"/>
  <c r="U51"/>
  <c r="V51" s="1"/>
  <c r="U55"/>
  <c r="V55" s="1"/>
  <c r="V130" s="1"/>
  <c r="U7"/>
  <c r="V7" s="1"/>
  <c r="U6"/>
  <c r="V6" s="1"/>
  <c r="AG9"/>
  <c r="AG10"/>
  <c r="AG11"/>
  <c r="AG12"/>
  <c r="AG13"/>
  <c r="AG15"/>
  <c r="AG16"/>
  <c r="AG18"/>
  <c r="AG20"/>
  <c r="AG21"/>
  <c r="AG22"/>
  <c r="AG23"/>
  <c r="AG25"/>
  <c r="AG27"/>
  <c r="AG29"/>
  <c r="AG31"/>
  <c r="AG33"/>
  <c r="AG34"/>
  <c r="AG51"/>
  <c r="AG55"/>
  <c r="AG57"/>
  <c r="AG59"/>
  <c r="AG66"/>
  <c r="AG67"/>
  <c r="AG72"/>
  <c r="AG74"/>
  <c r="AG75"/>
  <c r="AG76"/>
  <c r="AG78"/>
  <c r="AG79"/>
  <c r="AG80"/>
  <c r="AG82"/>
  <c r="AG83"/>
  <c r="AG84"/>
  <c r="AG85"/>
  <c r="AG87"/>
  <c r="AG88"/>
  <c r="AG90"/>
  <c r="AG92"/>
  <c r="AG93"/>
  <c r="AG94"/>
  <c r="AG95"/>
  <c r="AG96"/>
  <c r="AG98"/>
  <c r="AG99"/>
  <c r="AG100"/>
  <c r="AG7"/>
  <c r="AG6"/>
  <c r="J65" i="20" l="1"/>
  <c r="P64"/>
  <c r="F78"/>
  <c r="G78" s="1"/>
  <c r="V132" i="18"/>
  <c r="V131"/>
  <c r="V124"/>
  <c r="V125"/>
  <c r="V68"/>
  <c r="V110" s="1"/>
  <c r="AB53"/>
  <c r="AH32"/>
  <c r="V31"/>
  <c r="J112"/>
  <c r="J118" s="1"/>
  <c r="K112"/>
  <c r="K118" s="1"/>
  <c r="L112"/>
  <c r="L118" s="1"/>
  <c r="M112"/>
  <c r="M118" s="1"/>
  <c r="N112"/>
  <c r="N118" s="1"/>
  <c r="O112"/>
  <c r="O118" s="1"/>
  <c r="P112"/>
  <c r="P118" s="1"/>
  <c r="Q112"/>
  <c r="Q118" s="1"/>
  <c r="R112"/>
  <c r="R118" s="1"/>
  <c r="J115"/>
  <c r="J121" s="1"/>
  <c r="K115"/>
  <c r="K121" s="1"/>
  <c r="L115"/>
  <c r="L121" s="1"/>
  <c r="M115"/>
  <c r="M121" s="1"/>
  <c r="N115"/>
  <c r="N121" s="1"/>
  <c r="O115"/>
  <c r="O121" s="1"/>
  <c r="P115"/>
  <c r="P121" s="1"/>
  <c r="Q115"/>
  <c r="Q121" s="1"/>
  <c r="R115"/>
  <c r="R121" s="1"/>
  <c r="I115"/>
  <c r="I121" s="1"/>
  <c r="I112"/>
  <c r="I118" s="1"/>
  <c r="G81" i="20" l="1"/>
  <c r="G82" s="1"/>
  <c r="C79"/>
  <c r="M65"/>
  <c r="N65"/>
  <c r="J66" s="1"/>
  <c r="AC53" i="18"/>
  <c r="W31"/>
  <c r="V147"/>
  <c r="W29"/>
  <c r="J136"/>
  <c r="K136"/>
  <c r="L136"/>
  <c r="M136"/>
  <c r="N136"/>
  <c r="O136"/>
  <c r="P136"/>
  <c r="Q136"/>
  <c r="R136"/>
  <c r="I136"/>
  <c r="J135"/>
  <c r="K135"/>
  <c r="L135"/>
  <c r="M135"/>
  <c r="N135"/>
  <c r="O135"/>
  <c r="P135"/>
  <c r="Q135"/>
  <c r="R135"/>
  <c r="I135"/>
  <c r="M66" i="20" l="1"/>
  <c r="N66"/>
  <c r="J67" s="1"/>
  <c r="F79"/>
  <c r="G79"/>
  <c r="AD53" i="18"/>
  <c r="X31"/>
  <c r="X29"/>
  <c r="AH87"/>
  <c r="M67" i="20" l="1"/>
  <c r="N67"/>
  <c r="J68" s="1"/>
  <c r="AE53" i="18"/>
  <c r="Y31"/>
  <c r="Y29"/>
  <c r="I211"/>
  <c r="J211"/>
  <c r="K211"/>
  <c r="L211"/>
  <c r="M211"/>
  <c r="N211"/>
  <c r="O211"/>
  <c r="P211"/>
  <c r="Q211"/>
  <c r="R211"/>
  <c r="I88"/>
  <c r="I139" s="1"/>
  <c r="I140" s="1"/>
  <c r="I143" s="1"/>
  <c r="J88"/>
  <c r="J139" s="1"/>
  <c r="J140" s="1"/>
  <c r="J143" s="1"/>
  <c r="K88"/>
  <c r="K139" s="1"/>
  <c r="K140" s="1"/>
  <c r="K143" s="1"/>
  <c r="L88"/>
  <c r="L139" s="1"/>
  <c r="L140" s="1"/>
  <c r="L143" s="1"/>
  <c r="M88"/>
  <c r="M139" s="1"/>
  <c r="M140" s="1"/>
  <c r="M143" s="1"/>
  <c r="N88"/>
  <c r="N139" s="1"/>
  <c r="N140" s="1"/>
  <c r="N143" s="1"/>
  <c r="O88"/>
  <c r="O139" s="1"/>
  <c r="O140" s="1"/>
  <c r="O143" s="1"/>
  <c r="P88"/>
  <c r="P139" s="1"/>
  <c r="P140" s="1"/>
  <c r="P143" s="1"/>
  <c r="Q88"/>
  <c r="Q139" s="1"/>
  <c r="Q140" s="1"/>
  <c r="Q143" s="1"/>
  <c r="R88"/>
  <c r="R139" s="1"/>
  <c r="M68" i="20" l="1"/>
  <c r="N68" s="1"/>
  <c r="J69" s="1"/>
  <c r="AF53" i="18"/>
  <c r="AH53"/>
  <c r="Z31"/>
  <c r="V88"/>
  <c r="Z29"/>
  <c r="P141"/>
  <c r="P142" s="1"/>
  <c r="L141"/>
  <c r="L142" s="1"/>
  <c r="N141"/>
  <c r="N142" s="1"/>
  <c r="J141"/>
  <c r="J142" s="1"/>
  <c r="O141"/>
  <c r="O142" s="1"/>
  <c r="K141"/>
  <c r="K142" s="1"/>
  <c r="Q141"/>
  <c r="Q142" s="1"/>
  <c r="M141"/>
  <c r="M142" s="1"/>
  <c r="I141"/>
  <c r="I142" s="1"/>
  <c r="R140"/>
  <c r="R143" s="1"/>
  <c r="W59"/>
  <c r="M69" i="20" l="1"/>
  <c r="N69"/>
  <c r="J70" s="1"/>
  <c r="AA31" i="18"/>
  <c r="X59"/>
  <c r="AA29"/>
  <c r="R141"/>
  <c r="W88"/>
  <c r="I98"/>
  <c r="I164" s="1"/>
  <c r="J98"/>
  <c r="J164" s="1"/>
  <c r="K98"/>
  <c r="K164" s="1"/>
  <c r="L98"/>
  <c r="L164" s="1"/>
  <c r="M98"/>
  <c r="M164" s="1"/>
  <c r="N98"/>
  <c r="N164" s="1"/>
  <c r="O98"/>
  <c r="O164" s="1"/>
  <c r="P98"/>
  <c r="P164" s="1"/>
  <c r="Q98"/>
  <c r="Q164" s="1"/>
  <c r="I99"/>
  <c r="J99"/>
  <c r="K99"/>
  <c r="L99"/>
  <c r="M99"/>
  <c r="N99"/>
  <c r="O99"/>
  <c r="P99"/>
  <c r="Q99"/>
  <c r="I100"/>
  <c r="J100"/>
  <c r="K100"/>
  <c r="L100"/>
  <c r="M100"/>
  <c r="N100"/>
  <c r="O100"/>
  <c r="P100"/>
  <c r="Q100"/>
  <c r="R100"/>
  <c r="R99"/>
  <c r="R98"/>
  <c r="R164" s="1"/>
  <c r="J107"/>
  <c r="K107"/>
  <c r="L107"/>
  <c r="M107"/>
  <c r="N107"/>
  <c r="O107"/>
  <c r="P107"/>
  <c r="Q107"/>
  <c r="I106"/>
  <c r="J106"/>
  <c r="K106"/>
  <c r="L106"/>
  <c r="M106"/>
  <c r="N106"/>
  <c r="O106"/>
  <c r="P106"/>
  <c r="Q106"/>
  <c r="I105"/>
  <c r="J105"/>
  <c r="K105"/>
  <c r="L105"/>
  <c r="M105"/>
  <c r="N105"/>
  <c r="O105"/>
  <c r="P105"/>
  <c r="Q105"/>
  <c r="R106"/>
  <c r="M70" i="20" l="1"/>
  <c r="N70"/>
  <c r="J71" s="1"/>
  <c r="AB31" i="18"/>
  <c r="Y59"/>
  <c r="X88"/>
  <c r="AB29"/>
  <c r="R105"/>
  <c r="J250"/>
  <c r="K250"/>
  <c r="L250"/>
  <c r="M250"/>
  <c r="N250"/>
  <c r="O250"/>
  <c r="P250"/>
  <c r="Q250"/>
  <c r="R250"/>
  <c r="I250"/>
  <c r="J249"/>
  <c r="K249"/>
  <c r="L249"/>
  <c r="M249"/>
  <c r="N249"/>
  <c r="O249"/>
  <c r="P249"/>
  <c r="Q249"/>
  <c r="R249"/>
  <c r="I249"/>
  <c r="J248"/>
  <c r="K248"/>
  <c r="L248"/>
  <c r="M248"/>
  <c r="N248"/>
  <c r="O248"/>
  <c r="P248"/>
  <c r="Q248"/>
  <c r="R248"/>
  <c r="I248"/>
  <c r="J67"/>
  <c r="K67"/>
  <c r="L67"/>
  <c r="M67"/>
  <c r="N67"/>
  <c r="O67"/>
  <c r="P67"/>
  <c r="Q67"/>
  <c r="R67"/>
  <c r="I67"/>
  <c r="I72"/>
  <c r="I214" s="1"/>
  <c r="J66"/>
  <c r="J202" s="1"/>
  <c r="K66"/>
  <c r="K202" s="1"/>
  <c r="L66"/>
  <c r="L202" s="1"/>
  <c r="M66"/>
  <c r="M202" s="1"/>
  <c r="N66"/>
  <c r="N202" s="1"/>
  <c r="O66"/>
  <c r="O202" s="1"/>
  <c r="P66"/>
  <c r="P202" s="1"/>
  <c r="Q66"/>
  <c r="Q202" s="1"/>
  <c r="R66"/>
  <c r="R202" s="1"/>
  <c r="I66"/>
  <c r="I202" s="1"/>
  <c r="V113"/>
  <c r="V119" s="1"/>
  <c r="M71" i="20" l="1"/>
  <c r="N71" s="1"/>
  <c r="J72" s="1"/>
  <c r="AC31" i="18"/>
  <c r="Z59"/>
  <c r="Y88"/>
  <c r="AC29"/>
  <c r="W51"/>
  <c r="T250"/>
  <c r="T249"/>
  <c r="T248"/>
  <c r="M72" i="20" l="1"/>
  <c r="N72" s="1"/>
  <c r="J73" s="1"/>
  <c r="W113" i="18"/>
  <c r="W119" s="1"/>
  <c r="AD31"/>
  <c r="AA59"/>
  <c r="Z88"/>
  <c r="AD29"/>
  <c r="X51"/>
  <c r="K95"/>
  <c r="L95"/>
  <c r="M95"/>
  <c r="N95"/>
  <c r="O95"/>
  <c r="P95"/>
  <c r="Q95"/>
  <c r="R95"/>
  <c r="K96"/>
  <c r="L96"/>
  <c r="M96"/>
  <c r="N96"/>
  <c r="O96"/>
  <c r="P96"/>
  <c r="Q96"/>
  <c r="R96"/>
  <c r="K90"/>
  <c r="K92" s="1"/>
  <c r="L90"/>
  <c r="L92" s="1"/>
  <c r="M90"/>
  <c r="M92" s="1"/>
  <c r="N90"/>
  <c r="N92" s="1"/>
  <c r="O90"/>
  <c r="O92" s="1"/>
  <c r="P90"/>
  <c r="P92" s="1"/>
  <c r="Q90"/>
  <c r="Q92" s="1"/>
  <c r="R90"/>
  <c r="R92" s="1"/>
  <c r="K93"/>
  <c r="L93"/>
  <c r="M93"/>
  <c r="N93"/>
  <c r="O93"/>
  <c r="P93"/>
  <c r="Q93"/>
  <c r="R93"/>
  <c r="K94"/>
  <c r="L94"/>
  <c r="M94"/>
  <c r="N94"/>
  <c r="O94"/>
  <c r="P94"/>
  <c r="Q94"/>
  <c r="R94"/>
  <c r="I93"/>
  <c r="I94"/>
  <c r="I95"/>
  <c r="I96"/>
  <c r="J96"/>
  <c r="J95"/>
  <c r="W22"/>
  <c r="X22" s="1"/>
  <c r="Y22" s="1"/>
  <c r="Z22" s="1"/>
  <c r="AA22" s="1"/>
  <c r="AB22" s="1"/>
  <c r="AC22" s="1"/>
  <c r="AD22" s="1"/>
  <c r="AE22" s="1"/>
  <c r="I90"/>
  <c r="I92" s="1"/>
  <c r="J90"/>
  <c r="J92" s="1"/>
  <c r="J94"/>
  <c r="J93"/>
  <c r="N73" i="20" l="1"/>
  <c r="J74" s="1"/>
  <c r="M73"/>
  <c r="X113" i="18"/>
  <c r="X119" s="1"/>
  <c r="AE31"/>
  <c r="AF31" s="1"/>
  <c r="AB59"/>
  <c r="AA88"/>
  <c r="W23"/>
  <c r="V116"/>
  <c r="V122" s="1"/>
  <c r="AE29"/>
  <c r="AF22"/>
  <c r="AH22"/>
  <c r="Y51"/>
  <c r="W21"/>
  <c r="M74" i="20" l="1"/>
  <c r="N74" s="1"/>
  <c r="J75" s="1"/>
  <c r="AH31" i="18"/>
  <c r="Y113"/>
  <c r="Y119" s="1"/>
  <c r="AB88"/>
  <c r="AC59"/>
  <c r="X23"/>
  <c r="W116"/>
  <c r="W122" s="1"/>
  <c r="AH29"/>
  <c r="AF29"/>
  <c r="W20"/>
  <c r="V90"/>
  <c r="X21"/>
  <c r="W9"/>
  <c r="X9" s="1"/>
  <c r="Y9" s="1"/>
  <c r="Z9" s="1"/>
  <c r="AA9" s="1"/>
  <c r="AB9" s="1"/>
  <c r="AC9" s="1"/>
  <c r="AD9" s="1"/>
  <c r="AE9" s="1"/>
  <c r="AH9" s="1"/>
  <c r="V109"/>
  <c r="W33"/>
  <c r="X33" s="1"/>
  <c r="Y33" s="1"/>
  <c r="Z33" s="1"/>
  <c r="AA33" s="1"/>
  <c r="AB33" s="1"/>
  <c r="AC33" s="1"/>
  <c r="AD33" s="1"/>
  <c r="AE33" s="1"/>
  <c r="AH33" s="1"/>
  <c r="W34"/>
  <c r="X34" s="1"/>
  <c r="Y34" s="1"/>
  <c r="Z34" s="1"/>
  <c r="AA34" s="1"/>
  <c r="AB34" s="1"/>
  <c r="AC34" s="1"/>
  <c r="AD34" s="1"/>
  <c r="AE34" s="1"/>
  <c r="AH34" s="1"/>
  <c r="Z51"/>
  <c r="Q86"/>
  <c r="Q208" s="1"/>
  <c r="Q85"/>
  <c r="Q83"/>
  <c r="Q82"/>
  <c r="Q80"/>
  <c r="Q209" s="1"/>
  <c r="Q79"/>
  <c r="Q78"/>
  <c r="Q76"/>
  <c r="Q75"/>
  <c r="Q206" s="1"/>
  <c r="Q74"/>
  <c r="Q72"/>
  <c r="Q214" s="1"/>
  <c r="N75" i="20" l="1"/>
  <c r="J76" s="1"/>
  <c r="M75"/>
  <c r="Z113" i="18"/>
  <c r="Z119" s="1"/>
  <c r="AC88"/>
  <c r="AD59"/>
  <c r="W90"/>
  <c r="V156"/>
  <c r="V166"/>
  <c r="V157"/>
  <c r="V167"/>
  <c r="Y23"/>
  <c r="X116"/>
  <c r="X122" s="1"/>
  <c r="V150"/>
  <c r="V151"/>
  <c r="V149"/>
  <c r="V137"/>
  <c r="R142"/>
  <c r="V112"/>
  <c r="V118" s="1"/>
  <c r="V146"/>
  <c r="V145"/>
  <c r="W18"/>
  <c r="Q203"/>
  <c r="X20"/>
  <c r="W27"/>
  <c r="AA51"/>
  <c r="W25"/>
  <c r="W129" s="1"/>
  <c r="V105"/>
  <c r="Y21"/>
  <c r="AF33"/>
  <c r="AF34"/>
  <c r="AF9"/>
  <c r="Q84"/>
  <c r="Q207" s="1"/>
  <c r="I80"/>
  <c r="I209" s="1"/>
  <c r="J80"/>
  <c r="J209" s="1"/>
  <c r="K80"/>
  <c r="K209" s="1"/>
  <c r="L80"/>
  <c r="L209" s="1"/>
  <c r="M80"/>
  <c r="M209" s="1"/>
  <c r="N80"/>
  <c r="N209" s="1"/>
  <c r="O80"/>
  <c r="O209" s="1"/>
  <c r="P80"/>
  <c r="P209" s="1"/>
  <c r="R80"/>
  <c r="M76" i="20" l="1"/>
  <c r="N76" s="1"/>
  <c r="J77" s="1"/>
  <c r="W124" i="18"/>
  <c r="W125"/>
  <c r="Q216"/>
  <c r="Q217" s="1"/>
  <c r="Q215"/>
  <c r="AA113"/>
  <c r="AA119" s="1"/>
  <c r="W109"/>
  <c r="W147"/>
  <c r="AE59"/>
  <c r="AD88"/>
  <c r="W157"/>
  <c r="W167"/>
  <c r="W156"/>
  <c r="W166"/>
  <c r="Z23"/>
  <c r="Y116"/>
  <c r="Y122" s="1"/>
  <c r="W149"/>
  <c r="W151"/>
  <c r="W150"/>
  <c r="W137"/>
  <c r="W112"/>
  <c r="W118" s="1"/>
  <c r="W146"/>
  <c r="W145"/>
  <c r="X18"/>
  <c r="Y20"/>
  <c r="X90"/>
  <c r="X27"/>
  <c r="X25"/>
  <c r="W105"/>
  <c r="AB51"/>
  <c r="Z21"/>
  <c r="R209"/>
  <c r="I79"/>
  <c r="J79"/>
  <c r="K79"/>
  <c r="L79"/>
  <c r="M79"/>
  <c r="N79"/>
  <c r="O79"/>
  <c r="P79"/>
  <c r="R79"/>
  <c r="I78"/>
  <c r="J78"/>
  <c r="K78"/>
  <c r="L78"/>
  <c r="M78"/>
  <c r="N78"/>
  <c r="O78"/>
  <c r="P78"/>
  <c r="R78"/>
  <c r="N77" i="20" l="1"/>
  <c r="J78" s="1"/>
  <c r="M77"/>
  <c r="X125" i="18"/>
  <c r="X129"/>
  <c r="X147"/>
  <c r="X124"/>
  <c r="AB113"/>
  <c r="AB119" s="1"/>
  <c r="AH59"/>
  <c r="AE88"/>
  <c r="AF59"/>
  <c r="X156"/>
  <c r="X166"/>
  <c r="X157"/>
  <c r="X167"/>
  <c r="X109"/>
  <c r="AA23"/>
  <c r="Z116"/>
  <c r="Z122" s="1"/>
  <c r="X151"/>
  <c r="X150"/>
  <c r="X149"/>
  <c r="X137"/>
  <c r="X112"/>
  <c r="X118" s="1"/>
  <c r="X146"/>
  <c r="X145"/>
  <c r="Y18"/>
  <c r="Z20"/>
  <c r="Y90"/>
  <c r="Y27"/>
  <c r="Y25"/>
  <c r="Y129" s="1"/>
  <c r="X105"/>
  <c r="AC51"/>
  <c r="AA21"/>
  <c r="M78" i="20" l="1"/>
  <c r="N78" s="1"/>
  <c r="Y124" i="18"/>
  <c r="Y125"/>
  <c r="AC113"/>
  <c r="AC119" s="1"/>
  <c r="Y109"/>
  <c r="Y147"/>
  <c r="V188"/>
  <c r="S237" s="1"/>
  <c r="AH88"/>
  <c r="W188" s="1"/>
  <c r="AF88"/>
  <c r="Y157"/>
  <c r="Y167"/>
  <c r="Y156"/>
  <c r="Y166"/>
  <c r="AB23"/>
  <c r="AA116"/>
  <c r="AA122" s="1"/>
  <c r="Y137"/>
  <c r="Y151"/>
  <c r="Y150"/>
  <c r="Y149"/>
  <c r="Y112"/>
  <c r="Y118" s="1"/>
  <c r="Y146"/>
  <c r="Y145"/>
  <c r="Z18"/>
  <c r="AA20"/>
  <c r="Z90"/>
  <c r="Z27"/>
  <c r="Z25"/>
  <c r="Y105"/>
  <c r="AD51"/>
  <c r="AB21"/>
  <c r="J72"/>
  <c r="J214" s="1"/>
  <c r="K72"/>
  <c r="K214" s="1"/>
  <c r="L72"/>
  <c r="L214" s="1"/>
  <c r="M72"/>
  <c r="M214" s="1"/>
  <c r="N72"/>
  <c r="N214" s="1"/>
  <c r="O72"/>
  <c r="O214" s="1"/>
  <c r="P72"/>
  <c r="P214" s="1"/>
  <c r="R72"/>
  <c r="R214" s="1"/>
  <c r="I86"/>
  <c r="J86"/>
  <c r="J208" s="1"/>
  <c r="K86"/>
  <c r="K208" s="1"/>
  <c r="L86"/>
  <c r="L208" s="1"/>
  <c r="M86"/>
  <c r="M208" s="1"/>
  <c r="N86"/>
  <c r="N208" s="1"/>
  <c r="O86"/>
  <c r="O208" s="1"/>
  <c r="P86"/>
  <c r="R86"/>
  <c r="I85"/>
  <c r="J85"/>
  <c r="K85"/>
  <c r="L85"/>
  <c r="M85"/>
  <c r="N85"/>
  <c r="O85"/>
  <c r="P85"/>
  <c r="R85"/>
  <c r="I83"/>
  <c r="J83"/>
  <c r="K83"/>
  <c r="L83"/>
  <c r="M83"/>
  <c r="N83"/>
  <c r="O83"/>
  <c r="P83"/>
  <c r="R83"/>
  <c r="I82"/>
  <c r="J82"/>
  <c r="K82"/>
  <c r="L82"/>
  <c r="M82"/>
  <c r="N82"/>
  <c r="O82"/>
  <c r="P82"/>
  <c r="R82"/>
  <c r="I76"/>
  <c r="J76"/>
  <c r="K76"/>
  <c r="L76"/>
  <c r="M76"/>
  <c r="N76"/>
  <c r="O76"/>
  <c r="P76"/>
  <c r="R76"/>
  <c r="I75"/>
  <c r="J75"/>
  <c r="J206" s="1"/>
  <c r="K75"/>
  <c r="K206" s="1"/>
  <c r="L75"/>
  <c r="L206" s="1"/>
  <c r="M75"/>
  <c r="M206" s="1"/>
  <c r="N75"/>
  <c r="N206" s="1"/>
  <c r="O75"/>
  <c r="O206" s="1"/>
  <c r="P75"/>
  <c r="R75"/>
  <c r="I74"/>
  <c r="J74"/>
  <c r="K74"/>
  <c r="L74"/>
  <c r="M74"/>
  <c r="N74"/>
  <c r="O74"/>
  <c r="P74"/>
  <c r="R74"/>
  <c r="V154"/>
  <c r="V162"/>
  <c r="V163" s="1"/>
  <c r="V114"/>
  <c r="V120" s="1"/>
  <c r="N81" i="20" l="1"/>
  <c r="N82" s="1"/>
  <c r="J79"/>
  <c r="Z125" i="18"/>
  <c r="Z129"/>
  <c r="Z147"/>
  <c r="Z124"/>
  <c r="T170"/>
  <c r="V244" s="1"/>
  <c r="V243" s="1"/>
  <c r="V211"/>
  <c r="AD113"/>
  <c r="AD119" s="1"/>
  <c r="V134"/>
  <c r="U188"/>
  <c r="R237" s="1"/>
  <c r="Z156"/>
  <c r="Z166"/>
  <c r="Z109"/>
  <c r="Z157"/>
  <c r="Z167"/>
  <c r="AC23"/>
  <c r="AB116"/>
  <c r="AB122" s="1"/>
  <c r="V107"/>
  <c r="V108"/>
  <c r="V160"/>
  <c r="V159"/>
  <c r="V115"/>
  <c r="V121" s="1"/>
  <c r="V155"/>
  <c r="J203"/>
  <c r="Z137"/>
  <c r="Z150"/>
  <c r="Z149"/>
  <c r="Z151"/>
  <c r="V136"/>
  <c r="Z112"/>
  <c r="Z118" s="1"/>
  <c r="Z146"/>
  <c r="Z145"/>
  <c r="V135"/>
  <c r="AA18"/>
  <c r="R203"/>
  <c r="M203"/>
  <c r="L203"/>
  <c r="O203"/>
  <c r="K203"/>
  <c r="AB20"/>
  <c r="AA90"/>
  <c r="J84"/>
  <c r="J207" s="1"/>
  <c r="AA27"/>
  <c r="W12"/>
  <c r="W15"/>
  <c r="W154" s="1"/>
  <c r="W13"/>
  <c r="W10"/>
  <c r="W16"/>
  <c r="W162" s="1"/>
  <c r="W163" s="1"/>
  <c r="W6"/>
  <c r="W7"/>
  <c r="AA25"/>
  <c r="AA129" s="1"/>
  <c r="Z105"/>
  <c r="W55"/>
  <c r="W130" s="1"/>
  <c r="V106"/>
  <c r="AE51"/>
  <c r="N84"/>
  <c r="N207" s="1"/>
  <c r="M84"/>
  <c r="M207" s="1"/>
  <c r="L84"/>
  <c r="L207" s="1"/>
  <c r="AC21"/>
  <c r="W201"/>
  <c r="K84"/>
  <c r="K207" s="1"/>
  <c r="I206"/>
  <c r="I203"/>
  <c r="I208"/>
  <c r="I84"/>
  <c r="P206"/>
  <c r="P203"/>
  <c r="P208"/>
  <c r="R206"/>
  <c r="N203"/>
  <c r="P84"/>
  <c r="O84"/>
  <c r="O207" s="1"/>
  <c r="R208"/>
  <c r="R84"/>
  <c r="C6" i="12"/>
  <c r="N79" i="20" l="1"/>
  <c r="J80" s="1"/>
  <c r="M79"/>
  <c r="W132" i="18"/>
  <c r="W131"/>
  <c r="AA124"/>
  <c r="AA125"/>
  <c r="W211"/>
  <c r="W220"/>
  <c r="W225"/>
  <c r="I216"/>
  <c r="I217" s="1"/>
  <c r="I215"/>
  <c r="O216"/>
  <c r="O217" s="1"/>
  <c r="O215"/>
  <c r="M216"/>
  <c r="M217" s="1"/>
  <c r="M215"/>
  <c r="P216"/>
  <c r="P217" s="1"/>
  <c r="P215"/>
  <c r="J216"/>
  <c r="J217" s="1"/>
  <c r="J215"/>
  <c r="K216"/>
  <c r="K217" s="1"/>
  <c r="K215"/>
  <c r="L216"/>
  <c r="L217" s="1"/>
  <c r="L215"/>
  <c r="R216"/>
  <c r="R217" s="1"/>
  <c r="R215"/>
  <c r="N216"/>
  <c r="N217" s="1"/>
  <c r="N215"/>
  <c r="AA109"/>
  <c r="AA147"/>
  <c r="W114"/>
  <c r="W120" s="1"/>
  <c r="W68"/>
  <c r="W110" s="1"/>
  <c r="W245"/>
  <c r="X245" s="1"/>
  <c r="Y245" s="1"/>
  <c r="Z245" s="1"/>
  <c r="AA245" s="1"/>
  <c r="AB245" s="1"/>
  <c r="AC245" s="1"/>
  <c r="AD245" s="1"/>
  <c r="AE245" s="1"/>
  <c r="AF245" s="1"/>
  <c r="AG245" s="1"/>
  <c r="AH245" s="1"/>
  <c r="AI245" s="1"/>
  <c r="AJ245" s="1"/>
  <c r="AK245" s="1"/>
  <c r="AL245" s="1"/>
  <c r="AM245" s="1"/>
  <c r="AN245" s="1"/>
  <c r="AO245" s="1"/>
  <c r="AP245" s="1"/>
  <c r="AQ245" s="1"/>
  <c r="AR245" s="1"/>
  <c r="AS245" s="1"/>
  <c r="AT245" s="1"/>
  <c r="AU245" s="1"/>
  <c r="AV245" s="1"/>
  <c r="W134"/>
  <c r="AA156"/>
  <c r="AA166"/>
  <c r="AA157"/>
  <c r="AA167"/>
  <c r="AH51"/>
  <c r="AE113"/>
  <c r="AD23"/>
  <c r="AC116"/>
  <c r="AC122" s="1"/>
  <c r="W160"/>
  <c r="W159"/>
  <c r="W115"/>
  <c r="W121" s="1"/>
  <c r="W155"/>
  <c r="W108"/>
  <c r="AA149"/>
  <c r="AA150"/>
  <c r="AA151"/>
  <c r="AA137"/>
  <c r="AA112"/>
  <c r="AA118" s="1"/>
  <c r="AA146"/>
  <c r="AA145"/>
  <c r="W135"/>
  <c r="W136"/>
  <c r="AB18"/>
  <c r="AC20"/>
  <c r="AB90"/>
  <c r="AB27"/>
  <c r="X15"/>
  <c r="X154" s="1"/>
  <c r="X13"/>
  <c r="X12"/>
  <c r="X16"/>
  <c r="X162" s="1"/>
  <c r="X163" s="1"/>
  <c r="X10"/>
  <c r="X7"/>
  <c r="X6"/>
  <c r="AF51"/>
  <c r="AB25"/>
  <c r="AB129" s="1"/>
  <c r="AA105"/>
  <c r="X55"/>
  <c r="X130" s="1"/>
  <c r="W107"/>
  <c r="W106"/>
  <c r="AD21"/>
  <c r="X201"/>
  <c r="I207"/>
  <c r="P207"/>
  <c r="R207"/>
  <c r="M80" i="20" l="1"/>
  <c r="N80" s="1"/>
  <c r="X131" i="18"/>
  <c r="X132"/>
  <c r="AB124"/>
  <c r="AB125"/>
  <c r="W226"/>
  <c r="W227" s="1"/>
  <c r="W224"/>
  <c r="W221"/>
  <c r="W222" s="1"/>
  <c r="W219"/>
  <c r="X211"/>
  <c r="X225"/>
  <c r="X220"/>
  <c r="AB109"/>
  <c r="AB147"/>
  <c r="X114"/>
  <c r="X120" s="1"/>
  <c r="X68"/>
  <c r="X110" s="1"/>
  <c r="W246"/>
  <c r="X246" s="1"/>
  <c r="Y246" s="1"/>
  <c r="Z246" s="1"/>
  <c r="AA246" s="1"/>
  <c r="AB246" s="1"/>
  <c r="AC246" s="1"/>
  <c r="AD246" s="1"/>
  <c r="AE246" s="1"/>
  <c r="AF246" s="1"/>
  <c r="AG246" s="1"/>
  <c r="AH246" s="1"/>
  <c r="AI246" s="1"/>
  <c r="AJ246" s="1"/>
  <c r="AK246" s="1"/>
  <c r="AL246" s="1"/>
  <c r="AM246" s="1"/>
  <c r="AN246" s="1"/>
  <c r="AO246" s="1"/>
  <c r="AP246" s="1"/>
  <c r="AQ246" s="1"/>
  <c r="AR246" s="1"/>
  <c r="AS246" s="1"/>
  <c r="AT246" s="1"/>
  <c r="AU246" s="1"/>
  <c r="AV246" s="1"/>
  <c r="AF113"/>
  <c r="AE119"/>
  <c r="AF119" s="1"/>
  <c r="W244"/>
  <c r="X244" s="1"/>
  <c r="Y244" s="1"/>
  <c r="Z244" s="1"/>
  <c r="AA244" s="1"/>
  <c r="AB244" s="1"/>
  <c r="AC244" s="1"/>
  <c r="AD244" s="1"/>
  <c r="AE244" s="1"/>
  <c r="AF244" s="1"/>
  <c r="X134"/>
  <c r="AB156"/>
  <c r="AB166"/>
  <c r="AB157"/>
  <c r="AB167"/>
  <c r="AE23"/>
  <c r="AD116"/>
  <c r="AD122" s="1"/>
  <c r="X115"/>
  <c r="X121" s="1"/>
  <c r="X155"/>
  <c r="X160"/>
  <c r="X159"/>
  <c r="X108"/>
  <c r="AB151"/>
  <c r="AB150"/>
  <c r="AB149"/>
  <c r="AB137"/>
  <c r="AB112"/>
  <c r="AB118" s="1"/>
  <c r="AB146"/>
  <c r="AB145"/>
  <c r="X135"/>
  <c r="X136"/>
  <c r="AC18"/>
  <c r="AD20"/>
  <c r="AC90"/>
  <c r="AC27"/>
  <c r="Y13"/>
  <c r="Y12"/>
  <c r="Y15"/>
  <c r="Y154" s="1"/>
  <c r="Y10"/>
  <c r="Y16"/>
  <c r="Y162" s="1"/>
  <c r="Y163" s="1"/>
  <c r="Y6"/>
  <c r="Y7"/>
  <c r="Y55"/>
  <c r="Y130" s="1"/>
  <c r="X107"/>
  <c r="X106"/>
  <c r="AC25"/>
  <c r="AC129" s="1"/>
  <c r="AB105"/>
  <c r="AE21"/>
  <c r="AH21" s="1"/>
  <c r="Y201"/>
  <c r="Y132" l="1"/>
  <c r="Y131"/>
  <c r="AC124"/>
  <c r="AC125"/>
  <c r="X221"/>
  <c r="X222" s="1"/>
  <c r="X219"/>
  <c r="X226"/>
  <c r="X227" s="1"/>
  <c r="X224"/>
  <c r="Y211"/>
  <c r="Y220"/>
  <c r="Y225"/>
  <c r="AC109"/>
  <c r="AC147"/>
  <c r="Y114"/>
  <c r="Y120" s="1"/>
  <c r="Y68"/>
  <c r="Y110" s="1"/>
  <c r="W243"/>
  <c r="X243" s="1"/>
  <c r="Y243" s="1"/>
  <c r="Z243" s="1"/>
  <c r="AA243" s="1"/>
  <c r="AB243" s="1"/>
  <c r="AC243" s="1"/>
  <c r="AD243" s="1"/>
  <c r="AE243" s="1"/>
  <c r="AF243" s="1"/>
  <c r="AG244"/>
  <c r="AH244" s="1"/>
  <c r="AI244" s="1"/>
  <c r="AJ244" s="1"/>
  <c r="AK244" s="1"/>
  <c r="AL244" s="1"/>
  <c r="AM244" s="1"/>
  <c r="AN244" s="1"/>
  <c r="AO244" s="1"/>
  <c r="AP244" s="1"/>
  <c r="AQ244" s="1"/>
  <c r="AR244" s="1"/>
  <c r="AS244" s="1"/>
  <c r="AT244" s="1"/>
  <c r="AU244" s="1"/>
  <c r="AV244" s="1"/>
  <c r="Y134"/>
  <c r="AC156"/>
  <c r="AC166"/>
  <c r="AC157"/>
  <c r="AC167"/>
  <c r="AH23"/>
  <c r="AE116"/>
  <c r="AF23"/>
  <c r="Y108"/>
  <c r="Y159"/>
  <c r="Y160"/>
  <c r="Y115"/>
  <c r="Y121" s="1"/>
  <c r="Y155"/>
  <c r="AC151"/>
  <c r="AC150"/>
  <c r="AC149"/>
  <c r="AC137"/>
  <c r="AC112"/>
  <c r="AC118" s="1"/>
  <c r="AC146"/>
  <c r="AC145"/>
  <c r="Y136"/>
  <c r="Y135"/>
  <c r="AD18"/>
  <c r="AE20"/>
  <c r="AD90"/>
  <c r="AD27"/>
  <c r="Z12"/>
  <c r="Z15"/>
  <c r="Z154" s="1"/>
  <c r="Z13"/>
  <c r="Z16"/>
  <c r="Z162" s="1"/>
  <c r="Z163" s="1"/>
  <c r="Z10"/>
  <c r="Z7"/>
  <c r="Z6"/>
  <c r="AD25"/>
  <c r="AC105"/>
  <c r="Z55"/>
  <c r="Z130" s="1"/>
  <c r="Y106"/>
  <c r="Y107"/>
  <c r="AF21"/>
  <c r="Z201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D125" i="18" l="1"/>
  <c r="AD129"/>
  <c r="Z132"/>
  <c r="Z131"/>
  <c r="AD147"/>
  <c r="AD124"/>
  <c r="Y226"/>
  <c r="Y227" s="1"/>
  <c r="Y224"/>
  <c r="Y221"/>
  <c r="Y222" s="1"/>
  <c r="Y219"/>
  <c r="Z211"/>
  <c r="Z225"/>
  <c r="Z220"/>
  <c r="Z114"/>
  <c r="Z120" s="1"/>
  <c r="Z68"/>
  <c r="Z110" s="1"/>
  <c r="AG243"/>
  <c r="AH243" s="1"/>
  <c r="AI243" s="1"/>
  <c r="AJ243" s="1"/>
  <c r="AK243" s="1"/>
  <c r="AL243" s="1"/>
  <c r="AM243" s="1"/>
  <c r="AN243" s="1"/>
  <c r="AO243" s="1"/>
  <c r="AP243" s="1"/>
  <c r="AQ243" s="1"/>
  <c r="AR243" s="1"/>
  <c r="AS243" s="1"/>
  <c r="AT243" s="1"/>
  <c r="AU243" s="1"/>
  <c r="AV243" s="1"/>
  <c r="AF116"/>
  <c r="AE122"/>
  <c r="AF122" s="1"/>
  <c r="Z134"/>
  <c r="AD156"/>
  <c r="AD166"/>
  <c r="AD157"/>
  <c r="AD167"/>
  <c r="AH20"/>
  <c r="AD109"/>
  <c r="Z160"/>
  <c r="Z159"/>
  <c r="Z115"/>
  <c r="Z121" s="1"/>
  <c r="Z155"/>
  <c r="Z108"/>
  <c r="AD150"/>
  <c r="AD149"/>
  <c r="AD151"/>
  <c r="AD137"/>
  <c r="AD112"/>
  <c r="AD118" s="1"/>
  <c r="AD146"/>
  <c r="AD145"/>
  <c r="Z136"/>
  <c r="Z135"/>
  <c r="AE18"/>
  <c r="AF20"/>
  <c r="AE90"/>
  <c r="AE27"/>
  <c r="AE167" s="1"/>
  <c r="AF167" s="1"/>
  <c r="AA15"/>
  <c r="AA154" s="1"/>
  <c r="AA13"/>
  <c r="AA12"/>
  <c r="AA10"/>
  <c r="AA16"/>
  <c r="AA162" s="1"/>
  <c r="AA163" s="1"/>
  <c r="AA6"/>
  <c r="AA7"/>
  <c r="AA55"/>
  <c r="AA130" s="1"/>
  <c r="Z107"/>
  <c r="Z106"/>
  <c r="AE25"/>
  <c r="AE129" s="1"/>
  <c r="AF129" s="1"/>
  <c r="AD105"/>
  <c r="AA201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AA132" i="18" l="1"/>
  <c r="AA131"/>
  <c r="AE124"/>
  <c r="AF124" s="1"/>
  <c r="AE125"/>
  <c r="AF125" s="1"/>
  <c r="Z221"/>
  <c r="Z222" s="1"/>
  <c r="Z219"/>
  <c r="Z226"/>
  <c r="Z227" s="1"/>
  <c r="Z224"/>
  <c r="AA211"/>
  <c r="AA225"/>
  <c r="AA220"/>
  <c r="AE109"/>
  <c r="AF109" s="1"/>
  <c r="AE147"/>
  <c r="AF147" s="1"/>
  <c r="AA114"/>
  <c r="AA120" s="1"/>
  <c r="AA68"/>
  <c r="AA110" s="1"/>
  <c r="AA134"/>
  <c r="AE156"/>
  <c r="AF156" s="1"/>
  <c r="AE166"/>
  <c r="AF166" s="1"/>
  <c r="AA115"/>
  <c r="AA121" s="1"/>
  <c r="AA155"/>
  <c r="AA160"/>
  <c r="AA159"/>
  <c r="AH27"/>
  <c r="AE157"/>
  <c r="AF157" s="1"/>
  <c r="AA108"/>
  <c r="AE149"/>
  <c r="AF149" s="1"/>
  <c r="AE151"/>
  <c r="AF151" s="1"/>
  <c r="AE150"/>
  <c r="AF150" s="1"/>
  <c r="N32" i="9"/>
  <c r="N33" s="1"/>
  <c r="N34" s="1"/>
  <c r="N35" s="1"/>
  <c r="N36" s="1"/>
  <c r="N37" s="1"/>
  <c r="N38" s="1"/>
  <c r="N39" s="1"/>
  <c r="N40" s="1"/>
  <c r="N41" s="1"/>
  <c r="N42" s="1"/>
  <c r="M45"/>
  <c r="AE137" i="18"/>
  <c r="AF137" s="1"/>
  <c r="AE112"/>
  <c r="AE146"/>
  <c r="AF146" s="1"/>
  <c r="AE145"/>
  <c r="AF145" s="1"/>
  <c r="AA136"/>
  <c r="AA135"/>
  <c r="AH25"/>
  <c r="AH18"/>
  <c r="AF18"/>
  <c r="V190"/>
  <c r="AH90"/>
  <c r="AF90"/>
  <c r="M32" i="9"/>
  <c r="M33" s="1"/>
  <c r="M34" s="1"/>
  <c r="M35" s="1"/>
  <c r="M36" s="1"/>
  <c r="M37" s="1"/>
  <c r="M38" s="1"/>
  <c r="M39" s="1"/>
  <c r="M40" s="1"/>
  <c r="M41" s="1"/>
  <c r="P32"/>
  <c r="AF27" i="18"/>
  <c r="AB12"/>
  <c r="AB15"/>
  <c r="AB154" s="1"/>
  <c r="AB13"/>
  <c r="AB10"/>
  <c r="AB16"/>
  <c r="AB162" s="1"/>
  <c r="AB163" s="1"/>
  <c r="AB7"/>
  <c r="AB6"/>
  <c r="AF25"/>
  <c r="AE105"/>
  <c r="AF105" s="1"/>
  <c r="AB55"/>
  <c r="AB130" s="1"/>
  <c r="AA107"/>
  <c r="AA106"/>
  <c r="O31" i="9"/>
  <c r="O32" s="1"/>
  <c r="AB201" i="18"/>
  <c r="P31" i="11"/>
  <c r="N32"/>
  <c r="T19" i="9"/>
  <c r="D22"/>
  <c r="AB131" i="18" l="1"/>
  <c r="AB132"/>
  <c r="AA221"/>
  <c r="AA222" s="1"/>
  <c r="AA219"/>
  <c r="AA226"/>
  <c r="AA227" s="1"/>
  <c r="AA224"/>
  <c r="AB211"/>
  <c r="AB220"/>
  <c r="AB225"/>
  <c r="AB114"/>
  <c r="AB120" s="1"/>
  <c r="AB68"/>
  <c r="AB110" s="1"/>
  <c r="AF112"/>
  <c r="AE118"/>
  <c r="AF118" s="1"/>
  <c r="AB134"/>
  <c r="AB160"/>
  <c r="AB159"/>
  <c r="AB115"/>
  <c r="AB121" s="1"/>
  <c r="AB155"/>
  <c r="AB108"/>
  <c r="AB135"/>
  <c r="AB136"/>
  <c r="W190"/>
  <c r="U190" s="1"/>
  <c r="AC13"/>
  <c r="AC12"/>
  <c r="AC15"/>
  <c r="AC154" s="1"/>
  <c r="AC10"/>
  <c r="AC16"/>
  <c r="AC162" s="1"/>
  <c r="AC163" s="1"/>
  <c r="AC6"/>
  <c r="AC7"/>
  <c r="AC55"/>
  <c r="AC130" s="1"/>
  <c r="AB107"/>
  <c r="AB106"/>
  <c r="AC201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AC132" i="18" l="1"/>
  <c r="AC131"/>
  <c r="AB226"/>
  <c r="AB227" s="1"/>
  <c r="AB224"/>
  <c r="AB221"/>
  <c r="AB222" s="1"/>
  <c r="AB219"/>
  <c r="AC211"/>
  <c r="AC225"/>
  <c r="AC220"/>
  <c r="AC114"/>
  <c r="AC120" s="1"/>
  <c r="AC68"/>
  <c r="AC110" s="1"/>
  <c r="AC134"/>
  <c r="AC115"/>
  <c r="AC121" s="1"/>
  <c r="AC155"/>
  <c r="AC159"/>
  <c r="AC160"/>
  <c r="AC108"/>
  <c r="AC135"/>
  <c r="AC136"/>
  <c r="AD12"/>
  <c r="AD15"/>
  <c r="AD154" s="1"/>
  <c r="AD13"/>
  <c r="AD10"/>
  <c r="AD16"/>
  <c r="AD162" s="1"/>
  <c r="AD163" s="1"/>
  <c r="AD7"/>
  <c r="AD6"/>
  <c r="AD55"/>
  <c r="AD130" s="1"/>
  <c r="AC106"/>
  <c r="AC107"/>
  <c r="AD201"/>
  <c r="N34" i="11"/>
  <c r="O33"/>
  <c r="AD132" i="18" l="1"/>
  <c r="AD131"/>
  <c r="AC221"/>
  <c r="AC222" s="1"/>
  <c r="AC219"/>
  <c r="AC226"/>
  <c r="AC227" s="1"/>
  <c r="AC224"/>
  <c r="AD211"/>
  <c r="AD225"/>
  <c r="AD220"/>
  <c r="AD114"/>
  <c r="AD120" s="1"/>
  <c r="AD68"/>
  <c r="AD110" s="1"/>
  <c r="AD134"/>
  <c r="AD108"/>
  <c r="AD159"/>
  <c r="AD160"/>
  <c r="AD115"/>
  <c r="AD121" s="1"/>
  <c r="AD155"/>
  <c r="AD135"/>
  <c r="AD136"/>
  <c r="AE15"/>
  <c r="AE13"/>
  <c r="AH13" s="1"/>
  <c r="AE12"/>
  <c r="AE155" s="1"/>
  <c r="AF155" s="1"/>
  <c r="AE10"/>
  <c r="AE16"/>
  <c r="AE6"/>
  <c r="AH6" s="1"/>
  <c r="AE7"/>
  <c r="AH7" s="1"/>
  <c r="AE55"/>
  <c r="AE130" s="1"/>
  <c r="AF130" s="1"/>
  <c r="AD107"/>
  <c r="AD106"/>
  <c r="AE201"/>
  <c r="N35" i="11"/>
  <c r="O34"/>
  <c r="AE132" i="18" l="1"/>
  <c r="AF132" s="1"/>
  <c r="AE131"/>
  <c r="AF131" s="1"/>
  <c r="AD221"/>
  <c r="AD222" s="1"/>
  <c r="AD219"/>
  <c r="AD226"/>
  <c r="AD227" s="1"/>
  <c r="AD224"/>
  <c r="AE211"/>
  <c r="AF211" s="1"/>
  <c r="AH211" s="1"/>
  <c r="AH227" s="1"/>
  <c r="AE225"/>
  <c r="AE224" s="1"/>
  <c r="AF224" s="1"/>
  <c r="AE220"/>
  <c r="AE219" s="1"/>
  <c r="AF219" s="1"/>
  <c r="AE114"/>
  <c r="AE120" s="1"/>
  <c r="AF120" s="1"/>
  <c r="AE68"/>
  <c r="AE134"/>
  <c r="AF134" s="1"/>
  <c r="AH16"/>
  <c r="AE162"/>
  <c r="AE160"/>
  <c r="AF160" s="1"/>
  <c r="AE159"/>
  <c r="AF159" s="1"/>
  <c r="AH15"/>
  <c r="AE154"/>
  <c r="AF154" s="1"/>
  <c r="AE108"/>
  <c r="AF108" s="1"/>
  <c r="AH10"/>
  <c r="AH12"/>
  <c r="AE115"/>
  <c r="AH55"/>
  <c r="AE135"/>
  <c r="AF135" s="1"/>
  <c r="AE136"/>
  <c r="AF136" s="1"/>
  <c r="AF15"/>
  <c r="AF13"/>
  <c r="V184"/>
  <c r="AF12"/>
  <c r="AF10"/>
  <c r="AF16"/>
  <c r="AF7"/>
  <c r="AF6"/>
  <c r="AE107"/>
  <c r="AF107" s="1"/>
  <c r="AE106"/>
  <c r="AF106" s="1"/>
  <c r="AF55"/>
  <c r="AF201"/>
  <c r="AH201" s="1"/>
  <c r="N36" i="11"/>
  <c r="O35"/>
  <c r="AE221" i="18" l="1"/>
  <c r="AF220"/>
  <c r="AF225"/>
  <c r="AE226"/>
  <c r="AF68"/>
  <c r="AH68"/>
  <c r="AF114"/>
  <c r="AE110"/>
  <c r="AF110" s="1"/>
  <c r="AF115"/>
  <c r="AE121"/>
  <c r="AF121" s="1"/>
  <c r="AF162"/>
  <c r="AE163"/>
  <c r="AF163" s="1"/>
  <c r="W184"/>
  <c r="W185" s="1"/>
  <c r="V185"/>
  <c r="S240" s="1"/>
  <c r="N37" i="11"/>
  <c r="O36"/>
  <c r="AF221" i="18" l="1"/>
  <c r="AE222"/>
  <c r="AF222" s="1"/>
  <c r="AE227"/>
  <c r="AF227" s="1"/>
  <c r="AF226"/>
  <c r="U184"/>
  <c r="U185"/>
  <c r="N38" i="11"/>
  <c r="O37"/>
  <c r="O240" i="18" l="1"/>
  <c r="R240"/>
  <c r="N39" i="11"/>
  <c r="O38"/>
  <c r="N40" l="1"/>
  <c r="O39"/>
  <c r="N41" l="1"/>
  <c r="O40"/>
  <c r="N42" l="1"/>
  <c r="O41"/>
  <c r="V212" i="18"/>
  <c r="V93"/>
  <c r="V74"/>
  <c r="V79"/>
  <c r="V100"/>
  <c r="V102"/>
  <c r="V95"/>
  <c r="V92"/>
  <c r="V78"/>
  <c r="V73"/>
  <c r="V67"/>
  <c r="V85"/>
  <c r="V99"/>
  <c r="V83"/>
  <c r="V76"/>
  <c r="V94"/>
  <c r="V96"/>
  <c r="V80"/>
  <c r="V209" s="1"/>
  <c r="V66"/>
  <c r="V202" s="1"/>
  <c r="V71"/>
  <c r="V205" s="1"/>
  <c r="V86"/>
  <c r="V208" s="1"/>
  <c r="V98"/>
  <c r="V164" s="1"/>
  <c r="V70"/>
  <c r="V204" s="1"/>
  <c r="V82"/>
  <c r="V139"/>
  <c r="V140" s="1"/>
  <c r="V72"/>
  <c r="V214" s="1"/>
  <c r="V75"/>
  <c r="V206" s="1"/>
  <c r="V230" s="1"/>
  <c r="W57"/>
  <c r="V231" l="1"/>
  <c r="V232" s="1"/>
  <c r="V229"/>
  <c r="V84"/>
  <c r="V207" s="1"/>
  <c r="W76"/>
  <c r="W99"/>
  <c r="W83"/>
  <c r="W95"/>
  <c r="W79"/>
  <c r="W78"/>
  <c r="W212"/>
  <c r="W94"/>
  <c r="W74"/>
  <c r="W98"/>
  <c r="W164" s="1"/>
  <c r="W86"/>
  <c r="W208" s="1"/>
  <c r="W70"/>
  <c r="W204" s="1"/>
  <c r="W139"/>
  <c r="W140" s="1"/>
  <c r="W92"/>
  <c r="W73"/>
  <c r="W102"/>
  <c r="W85"/>
  <c r="W100"/>
  <c r="W93"/>
  <c r="W96"/>
  <c r="W67"/>
  <c r="W75"/>
  <c r="W206" s="1"/>
  <c r="W230" s="1"/>
  <c r="W66"/>
  <c r="W202" s="1"/>
  <c r="W80"/>
  <c r="W209" s="1"/>
  <c r="W71"/>
  <c r="W205" s="1"/>
  <c r="W72"/>
  <c r="W214" s="1"/>
  <c r="X57"/>
  <c r="W82"/>
  <c r="V141"/>
  <c r="V142" s="1"/>
  <c r="V143"/>
  <c r="V203"/>
  <c r="W231" l="1"/>
  <c r="W232" s="1"/>
  <c r="W229"/>
  <c r="W84"/>
  <c r="W207" s="1"/>
  <c r="V216"/>
  <c r="V217" s="1"/>
  <c r="V215"/>
  <c r="X93"/>
  <c r="X70"/>
  <c r="X204" s="1"/>
  <c r="X94"/>
  <c r="X95"/>
  <c r="X99"/>
  <c r="X79"/>
  <c r="X76"/>
  <c r="X102"/>
  <c r="X85"/>
  <c r="X83"/>
  <c r="X66"/>
  <c r="X202" s="1"/>
  <c r="X75"/>
  <c r="X206" s="1"/>
  <c r="X230" s="1"/>
  <c r="X71"/>
  <c r="X205" s="1"/>
  <c r="X74"/>
  <c r="X73"/>
  <c r="X92"/>
  <c r="X96"/>
  <c r="X67"/>
  <c r="X80"/>
  <c r="X209" s="1"/>
  <c r="X100"/>
  <c r="X78"/>
  <c r="X212"/>
  <c r="X98"/>
  <c r="X164" s="1"/>
  <c r="X86"/>
  <c r="X208" s="1"/>
  <c r="X82"/>
  <c r="X139"/>
  <c r="X140" s="1"/>
  <c r="X72"/>
  <c r="X214" s="1"/>
  <c r="Y57"/>
  <c r="W203"/>
  <c r="W143"/>
  <c r="W141"/>
  <c r="W142" s="1"/>
  <c r="X231" l="1"/>
  <c r="X232" s="1"/>
  <c r="X229"/>
  <c r="W216"/>
  <c r="W217" s="1"/>
  <c r="W215"/>
  <c r="Y93"/>
  <c r="Y212"/>
  <c r="Y67"/>
  <c r="Y94"/>
  <c r="Y79"/>
  <c r="Y74"/>
  <c r="Y78"/>
  <c r="Y92"/>
  <c r="Y98"/>
  <c r="Y164" s="1"/>
  <c r="Y70"/>
  <c r="Y204" s="1"/>
  <c r="Y71"/>
  <c r="Y205" s="1"/>
  <c r="Y86"/>
  <c r="Y208" s="1"/>
  <c r="Y102"/>
  <c r="Y73"/>
  <c r="Y96"/>
  <c r="Y100"/>
  <c r="Y99"/>
  <c r="Y76"/>
  <c r="Y95"/>
  <c r="Y85"/>
  <c r="Y83"/>
  <c r="Y80"/>
  <c r="Y209" s="1"/>
  <c r="Y66"/>
  <c r="Y202" s="1"/>
  <c r="Y139"/>
  <c r="Y140" s="1"/>
  <c r="Y72"/>
  <c r="Y214" s="1"/>
  <c r="Y75"/>
  <c r="Y206" s="1"/>
  <c r="Y230" s="1"/>
  <c r="Z57"/>
  <c r="Y82"/>
  <c r="X203"/>
  <c r="X141"/>
  <c r="X142" s="1"/>
  <c r="X143"/>
  <c r="X84"/>
  <c r="X207" s="1"/>
  <c r="Y231" l="1"/>
  <c r="Y232" s="1"/>
  <c r="Y229"/>
  <c r="X216"/>
  <c r="X217" s="1"/>
  <c r="X215"/>
  <c r="Y203"/>
  <c r="Y84"/>
  <c r="Y207" s="1"/>
  <c r="Y143"/>
  <c r="Y141"/>
  <c r="Y142" s="1"/>
  <c r="Z73"/>
  <c r="Z94"/>
  <c r="Z83"/>
  <c r="Z93"/>
  <c r="Z92"/>
  <c r="Z78"/>
  <c r="Z67"/>
  <c r="Z76"/>
  <c r="Z75"/>
  <c r="Z206" s="1"/>
  <c r="Z230" s="1"/>
  <c r="Z66"/>
  <c r="Z202" s="1"/>
  <c r="Z98"/>
  <c r="Z164" s="1"/>
  <c r="Z212"/>
  <c r="Z96"/>
  <c r="Z74"/>
  <c r="Z102"/>
  <c r="Z95"/>
  <c r="Z79"/>
  <c r="Z85"/>
  <c r="Z99"/>
  <c r="Z100"/>
  <c r="Z70"/>
  <c r="Z204" s="1"/>
  <c r="Z71"/>
  <c r="Z205" s="1"/>
  <c r="Z86"/>
  <c r="Z208" s="1"/>
  <c r="Z80"/>
  <c r="Z209" s="1"/>
  <c r="Z82"/>
  <c r="Z72"/>
  <c r="Z214" s="1"/>
  <c r="Z139"/>
  <c r="Z140" s="1"/>
  <c r="AA57"/>
  <c r="Z231" l="1"/>
  <c r="Z232" s="1"/>
  <c r="Z229"/>
  <c r="Z84"/>
  <c r="Z207" s="1"/>
  <c r="Y216"/>
  <c r="Y217" s="1"/>
  <c r="Y215"/>
  <c r="AA73"/>
  <c r="AA76"/>
  <c r="AA78"/>
  <c r="AA67"/>
  <c r="AA80"/>
  <c r="AA209" s="1"/>
  <c r="AA92"/>
  <c r="AA85"/>
  <c r="AA93"/>
  <c r="AA83"/>
  <c r="AA71"/>
  <c r="AA205" s="1"/>
  <c r="AA66"/>
  <c r="AA202" s="1"/>
  <c r="AA75"/>
  <c r="AA206" s="1"/>
  <c r="AA230" s="1"/>
  <c r="AA95"/>
  <c r="AA94"/>
  <c r="AA74"/>
  <c r="AA100"/>
  <c r="AA86"/>
  <c r="AA208" s="1"/>
  <c r="AA102"/>
  <c r="AA212"/>
  <c r="AA99"/>
  <c r="AA96"/>
  <c r="AA79"/>
  <c r="AA98"/>
  <c r="AA164" s="1"/>
  <c r="AA70"/>
  <c r="AA204" s="1"/>
  <c r="AB57"/>
  <c r="AA139"/>
  <c r="AA140" s="1"/>
  <c r="AA82"/>
  <c r="AA72"/>
  <c r="AA214" s="1"/>
  <c r="Z141"/>
  <c r="Z142" s="1"/>
  <c r="Z143"/>
  <c r="Z203"/>
  <c r="AA231" l="1"/>
  <c r="AA232" s="1"/>
  <c r="AA229"/>
  <c r="Z216"/>
  <c r="Z217" s="1"/>
  <c r="Z215"/>
  <c r="AA84"/>
  <c r="AA207" s="1"/>
  <c r="AB92"/>
  <c r="AB79"/>
  <c r="AB212"/>
  <c r="AB78"/>
  <c r="AB80"/>
  <c r="AB209" s="1"/>
  <c r="AB95"/>
  <c r="AB67"/>
  <c r="AB83"/>
  <c r="AB100"/>
  <c r="AB98"/>
  <c r="AB164" s="1"/>
  <c r="AB66"/>
  <c r="AB202" s="1"/>
  <c r="AB99"/>
  <c r="AB74"/>
  <c r="AB76"/>
  <c r="AB96"/>
  <c r="AB86"/>
  <c r="AB208" s="1"/>
  <c r="AB73"/>
  <c r="AB102"/>
  <c r="AB94"/>
  <c r="AB93"/>
  <c r="AB85"/>
  <c r="AB70"/>
  <c r="AB204" s="1"/>
  <c r="AB71"/>
  <c r="AB205" s="1"/>
  <c r="AB75"/>
  <c r="AB206" s="1"/>
  <c r="AB230" s="1"/>
  <c r="AB139"/>
  <c r="AB140" s="1"/>
  <c r="AB72"/>
  <c r="AB214" s="1"/>
  <c r="AB82"/>
  <c r="AC57"/>
  <c r="AA203"/>
  <c r="AA141"/>
  <c r="AA142" s="1"/>
  <c r="AA143"/>
  <c r="AB231" l="1"/>
  <c r="AB232" s="1"/>
  <c r="AB229"/>
  <c r="AA216"/>
  <c r="AA217" s="1"/>
  <c r="AA215"/>
  <c r="AB84"/>
  <c r="AB207" s="1"/>
  <c r="AB143"/>
  <c r="AB141"/>
  <c r="AB142" s="1"/>
  <c r="AC92"/>
  <c r="AC94"/>
  <c r="AC76"/>
  <c r="AC96"/>
  <c r="AC66"/>
  <c r="AC202" s="1"/>
  <c r="AC74"/>
  <c r="AC83"/>
  <c r="AC100"/>
  <c r="AC95"/>
  <c r="AC70"/>
  <c r="AC204" s="1"/>
  <c r="AC80"/>
  <c r="AC209" s="1"/>
  <c r="AC85"/>
  <c r="AC79"/>
  <c r="AC212"/>
  <c r="AC99"/>
  <c r="AC102"/>
  <c r="AC93"/>
  <c r="AC67"/>
  <c r="AC73"/>
  <c r="AC78"/>
  <c r="AC71"/>
  <c r="AC205" s="1"/>
  <c r="AC86"/>
  <c r="AC208" s="1"/>
  <c r="AC98"/>
  <c r="AC164" s="1"/>
  <c r="AC75"/>
  <c r="AC206" s="1"/>
  <c r="AC230" s="1"/>
  <c r="AC139"/>
  <c r="AC140" s="1"/>
  <c r="AC82"/>
  <c r="AC72"/>
  <c r="AC214" s="1"/>
  <c r="AD57"/>
  <c r="AB203"/>
  <c r="AC231" l="1"/>
  <c r="AC232" s="1"/>
  <c r="AC229"/>
  <c r="AB216"/>
  <c r="AB217" s="1"/>
  <c r="AB215"/>
  <c r="AC203"/>
  <c r="AC84"/>
  <c r="AC207" s="1"/>
  <c r="AC141"/>
  <c r="AC142" s="1"/>
  <c r="AC143"/>
  <c r="AD79"/>
  <c r="AD92"/>
  <c r="AD83"/>
  <c r="AD73"/>
  <c r="AD98"/>
  <c r="AD164" s="1"/>
  <c r="AD100"/>
  <c r="AD93"/>
  <c r="AD99"/>
  <c r="AD76"/>
  <c r="AD66"/>
  <c r="AD202" s="1"/>
  <c r="AD86"/>
  <c r="AD208" s="1"/>
  <c r="AD96"/>
  <c r="AD71"/>
  <c r="AD205" s="1"/>
  <c r="AD102"/>
  <c r="AD94"/>
  <c r="AD95"/>
  <c r="AD85"/>
  <c r="AD78"/>
  <c r="AD67"/>
  <c r="AD212"/>
  <c r="AD74"/>
  <c r="AD70"/>
  <c r="AD204" s="1"/>
  <c r="AD80"/>
  <c r="AD209" s="1"/>
  <c r="AD75"/>
  <c r="AD206" s="1"/>
  <c r="AD230" s="1"/>
  <c r="AD139"/>
  <c r="AD140" s="1"/>
  <c r="AD72"/>
  <c r="AD214" s="1"/>
  <c r="AE57"/>
  <c r="AD82"/>
  <c r="AD231" l="1"/>
  <c r="AD232" s="1"/>
  <c r="AD229"/>
  <c r="AC216"/>
  <c r="AC217" s="1"/>
  <c r="AC215"/>
  <c r="AD84"/>
  <c r="AD207" s="1"/>
  <c r="AD203"/>
  <c r="AE212"/>
  <c r="AE99"/>
  <c r="AE100"/>
  <c r="AE67"/>
  <c r="AF57"/>
  <c r="AE73"/>
  <c r="AH57"/>
  <c r="AE102"/>
  <c r="AE98"/>
  <c r="AE70"/>
  <c r="AE66"/>
  <c r="AE71"/>
  <c r="AE75"/>
  <c r="AE85"/>
  <c r="AE72"/>
  <c r="AE214" s="1"/>
  <c r="AE86"/>
  <c r="AE93"/>
  <c r="AE95"/>
  <c r="AE80"/>
  <c r="AE82"/>
  <c r="AE78"/>
  <c r="AE83"/>
  <c r="AE94"/>
  <c r="AE92"/>
  <c r="AE76"/>
  <c r="AE96"/>
  <c r="AE139"/>
  <c r="AE74"/>
  <c r="AE79"/>
  <c r="AD143"/>
  <c r="AD141"/>
  <c r="AD142" s="1"/>
  <c r="AD216" l="1"/>
  <c r="AD217" s="1"/>
  <c r="AD215"/>
  <c r="AE140"/>
  <c r="AF139"/>
  <c r="AF94"/>
  <c r="V194"/>
  <c r="AH94"/>
  <c r="W194" s="1"/>
  <c r="AH80"/>
  <c r="W179" s="1"/>
  <c r="AE209"/>
  <c r="AF80"/>
  <c r="V179"/>
  <c r="AF72"/>
  <c r="AH72"/>
  <c r="W171" s="1"/>
  <c r="V171"/>
  <c r="AE203"/>
  <c r="AE215" s="1"/>
  <c r="AF215" s="1"/>
  <c r="AH66"/>
  <c r="AF66"/>
  <c r="AE202"/>
  <c r="AF100"/>
  <c r="AH100"/>
  <c r="V198"/>
  <c r="AH96"/>
  <c r="W198" s="1"/>
  <c r="AF96"/>
  <c r="AH83"/>
  <c r="AF83"/>
  <c r="AH95"/>
  <c r="W195" s="1"/>
  <c r="AF95"/>
  <c r="V195"/>
  <c r="AF85"/>
  <c r="V181"/>
  <c r="AH85"/>
  <c r="W181" s="1"/>
  <c r="AF70"/>
  <c r="AH70"/>
  <c r="AE204"/>
  <c r="AF73"/>
  <c r="AH73"/>
  <c r="AH99"/>
  <c r="AF99"/>
  <c r="AF79"/>
  <c r="AH79"/>
  <c r="W178" s="1"/>
  <c r="V178"/>
  <c r="AF76"/>
  <c r="V174"/>
  <c r="AH76"/>
  <c r="W174" s="1"/>
  <c r="V177"/>
  <c r="AF78"/>
  <c r="AH78"/>
  <c r="W177" s="1"/>
  <c r="AF93"/>
  <c r="V193"/>
  <c r="AH93"/>
  <c r="W193" s="1"/>
  <c r="AF75"/>
  <c r="AH75"/>
  <c r="W173" s="1"/>
  <c r="AE206"/>
  <c r="AE230" s="1"/>
  <c r="V173"/>
  <c r="AH98"/>
  <c r="AF98"/>
  <c r="AE164"/>
  <c r="AF164" s="1"/>
  <c r="AF212"/>
  <c r="AH212" s="1"/>
  <c r="V172"/>
  <c r="AH74"/>
  <c r="W172" s="1"/>
  <c r="AF74"/>
  <c r="AF92"/>
  <c r="V192"/>
  <c r="AH92"/>
  <c r="W192" s="1"/>
  <c r="AF82"/>
  <c r="AH82"/>
  <c r="W175" s="1"/>
  <c r="V175"/>
  <c r="AE84"/>
  <c r="AF86"/>
  <c r="AE208"/>
  <c r="V182"/>
  <c r="AH86"/>
  <c r="W182" s="1"/>
  <c r="AF71"/>
  <c r="AH71"/>
  <c r="AE205"/>
  <c r="AF67"/>
  <c r="AH67"/>
  <c r="AE231" l="1"/>
  <c r="AE232" s="1"/>
  <c r="AE229"/>
  <c r="H230"/>
  <c r="J230"/>
  <c r="L230"/>
  <c r="N230"/>
  <c r="P230"/>
  <c r="R230"/>
  <c r="G230"/>
  <c r="I230"/>
  <c r="K230"/>
  <c r="M230"/>
  <c r="O230"/>
  <c r="Q230"/>
  <c r="S230"/>
  <c r="U175"/>
  <c r="W196"/>
  <c r="AF214"/>
  <c r="AH214" s="1"/>
  <c r="U192"/>
  <c r="U177"/>
  <c r="U173"/>
  <c r="U181"/>
  <c r="AH84"/>
  <c r="AE207"/>
  <c r="AF84"/>
  <c r="AF206"/>
  <c r="AH206" s="1"/>
  <c r="V196"/>
  <c r="U193"/>
  <c r="U178"/>
  <c r="S241"/>
  <c r="U198"/>
  <c r="AH226"/>
  <c r="U194"/>
  <c r="AF205"/>
  <c r="AH205" s="1"/>
  <c r="U182"/>
  <c r="S239"/>
  <c r="U172"/>
  <c r="U195"/>
  <c r="AF209"/>
  <c r="AH209" s="1"/>
  <c r="AF208"/>
  <c r="AH208" s="1"/>
  <c r="AH222" s="1"/>
  <c r="U174"/>
  <c r="AE216"/>
  <c r="AF203"/>
  <c r="AH203" s="1"/>
  <c r="AH216" s="1"/>
  <c r="AH232" s="1"/>
  <c r="AF204"/>
  <c r="AH204" s="1"/>
  <c r="AH217" s="1"/>
  <c r="AF202"/>
  <c r="AH202" s="1"/>
  <c r="AH215" s="1"/>
  <c r="U171"/>
  <c r="R242" s="1"/>
  <c r="R243" s="1"/>
  <c r="S242"/>
  <c r="S243" s="1"/>
  <c r="U179"/>
  <c r="S238"/>
  <c r="AE143"/>
  <c r="AF140"/>
  <c r="AE141"/>
  <c r="AH230" l="1"/>
  <c r="AH229"/>
  <c r="S231"/>
  <c r="S229"/>
  <c r="T230"/>
  <c r="O231"/>
  <c r="O232" s="1"/>
  <c r="O229"/>
  <c r="K231"/>
  <c r="K232" s="1"/>
  <c r="K229"/>
  <c r="G231"/>
  <c r="G232" s="1"/>
  <c r="G229"/>
  <c r="P231"/>
  <c r="P232" s="1"/>
  <c r="P229"/>
  <c r="L231"/>
  <c r="L232" s="1"/>
  <c r="L229"/>
  <c r="H231"/>
  <c r="H232" s="1"/>
  <c r="H229"/>
  <c r="Q229"/>
  <c r="Q231"/>
  <c r="Q232" s="1"/>
  <c r="M229"/>
  <c r="M231"/>
  <c r="M232" s="1"/>
  <c r="I229"/>
  <c r="AF229" s="1"/>
  <c r="I231"/>
  <c r="AF230"/>
  <c r="R231"/>
  <c r="R232" s="1"/>
  <c r="R229"/>
  <c r="N231"/>
  <c r="N232" s="1"/>
  <c r="N229"/>
  <c r="J231"/>
  <c r="J232" s="1"/>
  <c r="J229"/>
  <c r="AH220"/>
  <c r="AH219"/>
  <c r="AF216"/>
  <c r="AE217"/>
  <c r="AF217" s="1"/>
  <c r="U196"/>
  <c r="AF141"/>
  <c r="AE142"/>
  <c r="AF142" s="1"/>
  <c r="R238"/>
  <c r="O238"/>
  <c r="O239"/>
  <c r="R239"/>
  <c r="O241"/>
  <c r="R241"/>
  <c r="AF207"/>
  <c r="AH207" s="1"/>
  <c r="AH221" s="1"/>
  <c r="T229" l="1"/>
  <c r="I232"/>
  <c r="AF232" s="1"/>
  <c r="AF231"/>
  <c r="T231"/>
  <c r="S232"/>
  <c r="T232" s="1"/>
</calcChain>
</file>

<file path=xl/comments1.xml><?xml version="1.0" encoding="utf-8"?>
<comments xmlns="http://schemas.openxmlformats.org/spreadsheetml/2006/main">
  <authors>
    <author>Author</author>
  </authors>
  <commentList>
    <comment ref="B16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S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U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B20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1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<sst xmlns="http://schemas.openxmlformats.org/spreadsheetml/2006/main" count="782" uniqueCount="517">
  <si>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</si>
  <si>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</si>
  <si>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</si>
  <si>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</si>
  <si>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</si>
  <si>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</si>
  <si>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</si>
  <si>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</si>
  <si>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</si>
  <si>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</si>
  <si>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</si>
  <si>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</si>
  <si>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</si>
  <si>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</si>
  <si>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</si>
  <si>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</si>
  <si>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</si>
  <si>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</si>
  <si>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</si>
  <si>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</si>
  <si>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</si>
  <si>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</si>
  <si>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</si>
  <si>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</si>
  <si>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</si>
  <si>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</si>
  <si>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</si>
  <si>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</si>
  <si>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</si>
  <si>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</si>
  <si>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</si>
  <si>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</si>
  <si>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</si>
  <si>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</si>
  <si>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</si>
  <si>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</si>
  <si>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</si>
  <si>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</si>
  <si>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</si>
  <si>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</si>
  <si>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</si>
  <si>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</si>
  <si>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</si>
  <si>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</si>
  <si>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</si>
  <si>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</si>
  <si>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</si>
  <si>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</si>
  <si>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</si>
  <si>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</si>
  <si>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</si>
  <si>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</si>
  <si>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</si>
  <si>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</si>
  <si>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</si>
  <si>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</si>
  <si>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</si>
  <si>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</si>
  <si>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</si>
  <si>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</si>
  <si>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</si>
  <si>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</si>
  <si>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</si>
  <si>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</si>
  <si>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</si>
  <si>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</si>
  <si>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</si>
  <si>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</si>
  <si>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</si>
  <si>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</si>
  <si>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</si>
  <si>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</si>
  <si>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</si>
  <si>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</si>
  <si>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</si>
  <si>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</si>
  <si>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</si>
  <si>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</si>
  <si>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</si>
  <si>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</si>
  <si>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</si>
  <si>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</si>
  <si>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</si>
  <si>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</si>
  <si>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</si>
  <si>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</si>
  <si>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</si>
  <si>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</si>
  <si>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</si>
  <si>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</si>
  <si>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</si>
  <si>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</si>
  <si>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</si>
  <si>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</si>
  <si>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</si>
  <si>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</si>
  <si>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</si>
  <si>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</si>
  <si>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</si>
  <si>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</si>
  <si>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</si>
  <si>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</si>
  <si>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</si>
  <si>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</si>
  <si>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</si>
  <si>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</si>
  <si>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</si>
  <si>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</si>
  <si>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</si>
  <si>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</si>
  <si>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</si>
  <si>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</si>
  <si>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</si>
  <si>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</si>
  <si>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</si>
  <si>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</si>
  <si>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</si>
  <si>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</si>
  <si>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</si>
  <si>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</si>
  <si>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</si>
  <si>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</si>
  <si>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</si>
  <si>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</si>
  <si>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</si>
  <si>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</si>
  <si>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</si>
  <si>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</si>
  <si>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</si>
  <si>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</si>
  <si>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</si>
  <si>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</si>
  <si>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</si>
  <si>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</si>
  <si>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</si>
  <si>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</si>
  <si>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</si>
  <si>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</si>
  <si>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</si>
  <si>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</si>
  <si>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</si>
  <si>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</si>
  <si>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</si>
  <si>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</si>
  <si>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</si>
  <si>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</si>
  <si>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</si>
  <si>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</si>
  <si>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</si>
  <si>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</si>
  <si>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</si>
  <si>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</si>
  <si>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</si>
  <si>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</si>
  <si>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</si>
  <si>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</si>
  <si>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</si>
  <si>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</si>
  <si>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</si>
  <si>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</si>
  <si>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</si>
  <si>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</si>
  <si>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</si>
  <si>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</si>
  <si>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</si>
  <si>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</si>
  <si>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</si>
  <si>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</si>
  <si>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</si>
  <si>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</si>
  <si>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</si>
  <si>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</si>
  <si>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</si>
  <si>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</si>
  <si>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</si>
  <si>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</si>
  <si>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</si>
  <si>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</si>
  <si>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</si>
  <si>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</si>
  <si>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</si>
  <si>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</si>
  <si>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</si>
  <si>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</si>
  <si>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</si>
  <si>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</si>
  <si>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</si>
  <si>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</si>
  <si>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</si>
  <si>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</si>
  <si>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</si>
  <si>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</si>
  <si>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</si>
  <si>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</si>
  <si>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</si>
  <si>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</si>
  <si>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</si>
  <si>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</si>
  <si>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</si>
  <si>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</si>
  <si>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</si>
  <si>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</si>
  <si>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</si>
  <si>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</si>
  <si>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</si>
  <si>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</si>
  <si>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</si>
  <si>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</si>
  <si>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</si>
  <si>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</si>
  <si>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</si>
  <si>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</si>
  <si>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</si>
  <si>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</si>
  <si>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</si>
  <si>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</si>
  <si>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</si>
  <si>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</si>
  <si>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</si>
  <si>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</si>
  <si>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</si>
  <si>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</si>
  <si>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</si>
  <si>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</si>
  <si>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</si>
  <si>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</si>
  <si>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</si>
  <si>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</si>
  <si>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</si>
  <si>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</si>
  <si>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</si>
  <si>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</si>
  <si>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</si>
  <si>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</si>
  <si>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</si>
  <si>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</si>
  <si>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</si>
  <si>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</si>
  <si>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</si>
  <si>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</si>
  <si>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</si>
  <si>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</si>
  <si>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</si>
  <si>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</si>
  <si>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</si>
  <si>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</si>
  <si>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</si>
  <si>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</si>
  <si>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</si>
  <si>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</si>
  <si>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</si>
  <si>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</si>
  <si>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</si>
  <si>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</si>
  <si>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</si>
  <si>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</si>
  <si>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</si>
  <si>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</si>
  <si>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</si>
  <si>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</si>
  <si>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</si>
  <si>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</si>
  <si>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</si>
  <si>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</si>
  <si>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</si>
  <si>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</si>
  <si>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</si>
  <si>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</si>
  <si>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</si>
  <si>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</si>
  <si>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</si>
  <si>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</si>
  <si>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</si>
  <si>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</si>
  <si>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</si>
  <si>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</si>
  <si>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</si>
  <si>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</si>
  <si>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</si>
  <si>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</si>
  <si>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</si>
  <si>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</si>
  <si>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</si>
  <si>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</si>
  <si>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</si>
  <si>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</si>
  <si>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</si>
  <si>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</si>
  <si>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</si>
  <si>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</si>
  <si>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</si>
  <si>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</si>
  <si>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</si>
  <si>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</si>
  <si>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</si>
  <si>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</si>
  <si>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</si>
  <si>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</si>
  <si>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</si>
  <si>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</si>
  <si>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</si>
  <si>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</si>
  <si>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</si>
  <si>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</si>
  <si>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</si>
  <si>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</si>
  <si>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</si>
  <si>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</si>
  <si>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</si>
  <si>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</si>
  <si>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</si>
  <si>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</si>
  <si>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</si>
  <si>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</si>
  <si>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</si>
  <si>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</si>
  <si>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</si>
  <si>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</si>
  <si>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</si>
  <si>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</si>
  <si>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</si>
  <si>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</si>
  <si>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</si>
  <si>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</si>
  <si>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</si>
  <si>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</si>
  <si>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</si>
  <si>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</si>
  <si>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</si>
  <si>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</si>
  <si>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</si>
  <si>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</si>
  <si>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</si>
  <si>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</si>
  <si>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</si>
  <si>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</si>
  <si>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</si>
  <si>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</si>
  <si>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</si>
  <si>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</si>
  <si>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</si>
  <si>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</si>
  <si>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</si>
  <si>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</si>
  <si>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</si>
  <si>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</si>
  <si>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</si>
  <si>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</si>
  <si>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</si>
  <si>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</si>
  <si>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</si>
  <si>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</si>
  <si>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</si>
  <si>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</si>
  <si>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</si>
  <si>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</si>
  <si>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</si>
  <si>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</si>
  <si>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</si>
  <si>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</si>
  <si>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</si>
  <si>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</si>
  <si>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</si>
  <si>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</si>
  <si>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</si>
  <si>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</si>
  <si>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</si>
  <si>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</si>
  <si>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</si>
  <si>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</si>
  <si>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</si>
  <si>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</si>
  <si>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</si>
  <si>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</si>
  <si>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</si>
  <si>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</si>
  <si>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</si>
  <si>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</si>
  <si>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</si>
  <si>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</si>
  <si>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</si>
  <si>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</si>
  <si>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</si>
  <si>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</si>
  <si>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</si>
  <si>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</si>
  <si>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</si>
  <si>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</si>
  <si>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</si>
  <si>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</si>
  <si>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</si>
  <si>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</si>
  <si>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</si>
  <si>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</si>
  <si>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</si>
  <si>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</si>
  <si>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</si>
  <si>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</si>
  <si>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</si>
  <si>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</si>
  <si>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</si>
  <si>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</si>
  <si>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</si>
  <si>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</si>
  <si>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</si>
  <si>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</si>
  <si>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</si>
  <si>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</si>
  <si>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</si>
  <si>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</si>
  <si>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</si>
  <si>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</si>
  <si>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</si>
  <si>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Temp</t>
  </si>
  <si>
    <t>Avg 5 yrs</t>
  </si>
  <si>
    <t>Avg 10 yrs</t>
  </si>
  <si>
    <t>Earnings Yield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</si>
  <si>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10 years</t>
    </r>
    <r>
      <rPr>
        <sz val="10"/>
        <color theme="1"/>
        <rFont val="Cambria"/>
        <family val="1"/>
        <scheme val="major"/>
      </rPr>
      <t>)</t>
    </r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</si>
  <si>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</si>
  <si>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</si>
  <si>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</si>
  <si>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</si>
  <si>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</si>
  <si>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</si>
  <si>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</si>
  <si>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</si>
  <si>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</si>
  <si>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</si>
  <si>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</si>
  <si>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</si>
  <si>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</si>
  <si>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</si>
  <si>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</si>
  <si>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</si>
  <si>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</si>
  <si>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</si>
  <si>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</si>
  <si>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</si>
  <si>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</si>
  <si>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</si>
  <si>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</si>
  <si>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</si>
  <si>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</si>
  <si>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</si>
  <si>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</si>
  <si>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</si>
  <si>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</si>
  <si>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</si>
  <si>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</si>
  <si>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</si>
  <si>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</si>
  <si>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</si>
  <si>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</si>
  <si>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</si>
  <si>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</si>
  <si>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</si>
  <si>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</si>
  <si>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</si>
  <si>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</si>
  <si>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</si>
  <si>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</si>
  <si>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</si>
  <si>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</si>
  <si>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</si>
  <si>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</si>
  <si>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</si>
  <si>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</si>
  <si>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</si>
  <si>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</si>
  <si>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</si>
  <si>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</si>
  <si>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</si>
  <si>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</si>
  <si>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</si>
  <si>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</si>
  <si>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Total Investment needed</t>
  </si>
  <si>
    <t>Per scrip Investment in scrips in Lakhs</t>
  </si>
  <si>
    <t>returns per scrips in Lakhs</t>
  </si>
  <si>
    <t>Growth rate</t>
  </si>
  <si>
    <t>Double in years</t>
  </si>
  <si>
    <t>PVAn (due)</t>
  </si>
  <si>
    <t>FVAn (due)</t>
  </si>
  <si>
    <t>Target Amt</t>
  </si>
  <si>
    <t>no. of times change</t>
  </si>
  <si>
    <t>In INR Cr</t>
  </si>
  <si>
    <t>No. scrips needed to reach target amount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</si>
  <si>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</si>
  <si>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</si>
  <si>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</si>
  <si>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</si>
  <si>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</si>
  <si>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</si>
  <si>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</si>
  <si>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</si>
  <si>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</si>
  <si>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</si>
  <si>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</si>
  <si>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</si>
  <si>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</si>
  <si>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</si>
  <si>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</si>
  <si>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</si>
  <si>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</si>
  <si>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</si>
  <si>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</si>
  <si>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</si>
  <si>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</si>
  <si>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</si>
  <si>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</si>
  <si>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</si>
  <si>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</si>
  <si>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t>10x1</t>
  </si>
  <si>
    <t>1x1</t>
  </si>
  <si>
    <t>1x15</t>
  </si>
  <si>
    <t>Top Expenses ( Raw material )</t>
  </si>
  <si>
    <t>2nd highest Expenses Comp. ( Power and Fuel )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</si>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</sst>
</file>

<file path=xl/styles.xml><?xml version="1.0" encoding="utf-8"?>
<styleSheet xmlns="http://schemas.openxmlformats.org/spreadsheetml/2006/main">
  <numFmts count="19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_ * #,##0.00_ ;_ * \-#,##0.00_ ;_ * &quot;-&quot;??_ ;_ @_ "/>
    <numFmt numFmtId="181" formatCode="[$₹-861]#,##0.00;[Red][$₹-861]#,##0.0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0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NumberFormat="1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174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4" fillId="5" borderId="0" xfId="0" applyFont="1" applyFill="1"/>
    <xf numFmtId="0" fontId="14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7" fillId="5" borderId="1" xfId="0" applyFont="1" applyFill="1" applyBorder="1" applyAlignment="1">
      <alignment horizontal="right"/>
    </xf>
    <xf numFmtId="0" fontId="20" fillId="5" borderId="1" xfId="0" applyFont="1" applyFill="1" applyBorder="1"/>
    <xf numFmtId="0" fontId="4" fillId="13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Fill="1" applyBorder="1"/>
    <xf numFmtId="172" fontId="0" fillId="0" borderId="25" xfId="0" applyNumberFormat="1" applyFill="1" applyBorder="1"/>
    <xf numFmtId="172" fontId="0" fillId="0" borderId="26" xfId="0" applyNumberFormat="1" applyFill="1" applyBorder="1"/>
    <xf numFmtId="0" fontId="0" fillId="0" borderId="27" xfId="0" applyFill="1" applyBorder="1"/>
    <xf numFmtId="0" fontId="0" fillId="0" borderId="25" xfId="0" applyFill="1" applyBorder="1"/>
    <xf numFmtId="0" fontId="0" fillId="0" borderId="26" xfId="0" applyFill="1" applyBorder="1"/>
    <xf numFmtId="0" fontId="0" fillId="0" borderId="0" xfId="0" applyBorder="1"/>
    <xf numFmtId="0" fontId="0" fillId="0" borderId="23" xfId="0" applyBorder="1"/>
    <xf numFmtId="0" fontId="0" fillId="0" borderId="0" xfId="0" applyFill="1" applyBorder="1"/>
    <xf numFmtId="0" fontId="0" fillId="0" borderId="22" xfId="0" applyBorder="1"/>
    <xf numFmtId="172" fontId="0" fillId="0" borderId="0" xfId="0" applyNumberFormat="1" applyBorder="1"/>
    <xf numFmtId="0" fontId="6" fillId="0" borderId="1" xfId="0" applyFont="1" applyBorder="1"/>
    <xf numFmtId="1" fontId="0" fillId="0" borderId="0" xfId="0" applyNumberFormat="1" applyBorder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NumberFormat="1" applyFont="1" applyBorder="1"/>
    <xf numFmtId="164" fontId="0" fillId="0" borderId="0" xfId="0" applyNumberFormat="1"/>
    <xf numFmtId="164" fontId="0" fillId="0" borderId="0" xfId="2" applyNumberFormat="1" applyFont="1"/>
    <xf numFmtId="180" fontId="0" fillId="0" borderId="0" xfId="0" applyNumberForma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1" fontId="0" fillId="0" borderId="0" xfId="0" applyNumberFormat="1"/>
    <xf numFmtId="9" fontId="0" fillId="0" borderId="12" xfId="0" applyNumberFormat="1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21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1" fontId="0" fillId="0" borderId="0" xfId="0" applyNumberFormat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0" fontId="6" fillId="0" borderId="2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40" fontId="6" fillId="0" borderId="23" xfId="0" applyNumberFormat="1" applyFont="1" applyFill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9" fontId="8" fillId="5" borderId="1" xfId="1" applyFont="1" applyFill="1" applyBorder="1"/>
    <xf numFmtId="2" fontId="5" fillId="5" borderId="1" xfId="0" applyNumberFormat="1" applyFont="1" applyFill="1" applyBorder="1"/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0" fillId="9" borderId="29" xfId="0" applyFill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0" fontId="4" fillId="13" borderId="18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70543616"/>
        <c:axId val="70549504"/>
      </c:lineChart>
      <c:catAx>
        <c:axId val="70543616"/>
        <c:scaling>
          <c:orientation val="minMax"/>
        </c:scaling>
        <c:axPos val="b"/>
        <c:tickLblPos val="nextTo"/>
        <c:crossAx val="70549504"/>
        <c:crosses val="autoZero"/>
        <c:auto val="1"/>
        <c:lblAlgn val="ctr"/>
        <c:lblOffset val="100"/>
      </c:catAx>
      <c:valAx>
        <c:axId val="70549504"/>
        <c:scaling>
          <c:orientation val="minMax"/>
        </c:scaling>
        <c:axPos val="l"/>
        <c:majorGridlines/>
        <c:numFmt formatCode="General" sourceLinked="1"/>
        <c:tickLblPos val="nextTo"/>
        <c:crossAx val="70543616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566" l="0.70000000000000062" r="0.70000000000000062" t="0.750000000000005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C38" sqref="C38"/>
    </sheetView>
  </sheetViews>
  <sheetFormatPr defaultRowHeight="12.75"/>
  <cols>
    <col min="1" max="1" width="9.140625" style="89"/>
    <col min="2" max="2" width="9.140625" style="90"/>
    <col min="3" max="3" width="24.28515625" style="89" bestFit="1" customWidth="1"/>
    <col min="4" max="4" width="39.28515625" style="89" bestFit="1" customWidth="1"/>
    <col min="5" max="5" width="39.42578125" style="89" customWidth="1"/>
    <col min="6" max="6" width="56" style="89" bestFit="1" customWidth="1"/>
    <col min="7" max="16384" width="9.140625" style="89"/>
  </cols>
  <sheetData>
    <row r="3" spans="2:6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>
      <c r="B4" s="88"/>
      <c r="C4" s="10"/>
      <c r="D4" s="10"/>
      <c r="E4" s="10"/>
      <c r="F4" s="10"/>
    </row>
    <row r="5" spans="2:6">
      <c r="B5" s="88"/>
      <c r="C5" s="93" t="s">
        <v>105</v>
      </c>
      <c r="D5" s="10"/>
      <c r="E5" s="10"/>
      <c r="F5" s="10"/>
    </row>
    <row r="6" spans="2:6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>
      <c r="B7" s="88"/>
      <c r="C7" s="10"/>
      <c r="D7" s="10" t="s">
        <v>108</v>
      </c>
      <c r="E7" s="10"/>
      <c r="F7" s="10"/>
    </row>
    <row r="8" spans="2:6">
      <c r="B8" s="88"/>
      <c r="C8" s="10"/>
      <c r="D8" s="10" t="s">
        <v>114</v>
      </c>
      <c r="E8" s="10"/>
      <c r="F8" s="10"/>
    </row>
    <row r="9" spans="2:6">
      <c r="B9" s="88"/>
      <c r="C9" s="10"/>
      <c r="D9" s="10"/>
      <c r="E9" s="10"/>
      <c r="F9" s="10"/>
    </row>
    <row r="10" spans="2:6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>
      <c r="B11" s="88"/>
      <c r="C11" s="10"/>
      <c r="D11" s="10" t="s">
        <v>110</v>
      </c>
      <c r="E11" s="10"/>
      <c r="F11" s="10"/>
    </row>
    <row r="12" spans="2:6">
      <c r="B12" s="88"/>
      <c r="C12" s="10"/>
      <c r="D12" s="10"/>
      <c r="E12" s="10"/>
      <c r="F12" s="10"/>
    </row>
    <row r="13" spans="2:6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>
      <c r="B14" s="88"/>
      <c r="C14" s="10"/>
      <c r="D14" s="10" t="s">
        <v>115</v>
      </c>
      <c r="E14" s="10" t="s">
        <v>118</v>
      </c>
      <c r="F14" s="10"/>
    </row>
    <row r="15" spans="2:6">
      <c r="B15" s="88"/>
      <c r="C15" s="10"/>
      <c r="D15" s="10"/>
      <c r="E15" s="10" t="s">
        <v>119</v>
      </c>
      <c r="F15" s="10"/>
    </row>
    <row r="16" spans="2:6">
      <c r="B16" s="88"/>
      <c r="C16" s="10"/>
      <c r="D16" s="10"/>
      <c r="E16" s="10"/>
      <c r="F16" s="10"/>
    </row>
    <row r="17" spans="2:6">
      <c r="B17" s="88">
        <v>4</v>
      </c>
      <c r="C17" s="10" t="s">
        <v>120</v>
      </c>
      <c r="D17" s="10" t="s">
        <v>121</v>
      </c>
      <c r="E17" s="10"/>
      <c r="F17" s="10"/>
    </row>
    <row r="18" spans="2:6">
      <c r="B18" s="88"/>
      <c r="C18" s="10"/>
      <c r="D18" s="10" t="s">
        <v>122</v>
      </c>
      <c r="E18" s="10"/>
      <c r="F18" s="10"/>
    </row>
    <row r="19" spans="2:6">
      <c r="B19" s="88"/>
      <c r="C19" s="10"/>
      <c r="D19" s="10" t="s">
        <v>123</v>
      </c>
      <c r="E19" s="10"/>
      <c r="F19" s="10"/>
    </row>
    <row r="20" spans="2:6">
      <c r="B20" s="88"/>
      <c r="C20" s="10"/>
      <c r="D20" s="10" t="s">
        <v>124</v>
      </c>
      <c r="E20" s="10"/>
      <c r="F20" s="10"/>
    </row>
    <row r="21" spans="2:6">
      <c r="B21" s="88"/>
      <c r="C21" s="10"/>
      <c r="D21" s="10"/>
      <c r="E21" s="10"/>
      <c r="F21" s="10"/>
    </row>
    <row r="22" spans="2:6">
      <c r="B22" s="88">
        <v>5</v>
      </c>
      <c r="C22" s="10" t="s">
        <v>125</v>
      </c>
      <c r="D22" s="10" t="s">
        <v>126</v>
      </c>
      <c r="E22" s="10"/>
      <c r="F22" s="10"/>
    </row>
    <row r="23" spans="2:6">
      <c r="B23" s="88"/>
      <c r="C23" s="10"/>
      <c r="D23" s="10" t="s">
        <v>127</v>
      </c>
      <c r="E23" s="10"/>
      <c r="F23" s="10"/>
    </row>
    <row r="24" spans="2:6" ht="25.5">
      <c r="B24" s="88"/>
      <c r="C24" s="10"/>
      <c r="D24" s="10" t="s">
        <v>128</v>
      </c>
      <c r="E24" s="91" t="s">
        <v>129</v>
      </c>
      <c r="F24" s="10"/>
    </row>
    <row r="25" spans="2:6">
      <c r="B25" s="88"/>
      <c r="C25" s="10"/>
      <c r="D25" s="10"/>
      <c r="E25" s="10"/>
      <c r="F25" s="10"/>
    </row>
    <row r="26" spans="2:6">
      <c r="B26" s="88"/>
      <c r="C26" s="10"/>
      <c r="D26" s="10"/>
      <c r="E26" s="10"/>
      <c r="F26" s="10"/>
    </row>
    <row r="27" spans="2:6">
      <c r="B27" s="88"/>
      <c r="C27" s="93" t="s">
        <v>67</v>
      </c>
      <c r="D27" s="10"/>
      <c r="E27" s="10"/>
      <c r="F27" s="10"/>
    </row>
    <row r="28" spans="2:6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>
      <c r="B29" s="88"/>
      <c r="C29" s="10"/>
      <c r="D29" s="10" t="s">
        <v>71</v>
      </c>
      <c r="E29" s="10" t="s">
        <v>73</v>
      </c>
      <c r="F29" s="10"/>
    </row>
    <row r="30" spans="2:6">
      <c r="B30" s="88"/>
      <c r="C30" s="10"/>
      <c r="D30" s="10"/>
      <c r="E30" s="10"/>
      <c r="F30" s="10"/>
    </row>
    <row r="31" spans="2:6">
      <c r="B31" s="88">
        <v>2</v>
      </c>
      <c r="C31" s="10" t="s">
        <v>77</v>
      </c>
      <c r="D31" s="10" t="s">
        <v>78</v>
      </c>
      <c r="E31" s="10"/>
      <c r="F31" s="10"/>
    </row>
    <row r="32" spans="2:6">
      <c r="B32" s="88"/>
      <c r="C32" s="10"/>
      <c r="D32" s="10" t="s">
        <v>13</v>
      </c>
      <c r="E32" s="10"/>
      <c r="F32" s="10"/>
    </row>
    <row r="33" spans="2:6">
      <c r="B33" s="88"/>
      <c r="C33" s="10"/>
      <c r="D33" s="10" t="s">
        <v>79</v>
      </c>
      <c r="E33" s="10"/>
      <c r="F33" s="10"/>
    </row>
    <row r="34" spans="2:6">
      <c r="B34" s="88"/>
      <c r="C34" s="10"/>
      <c r="D34" s="10"/>
      <c r="E34" s="10"/>
      <c r="F34" s="10"/>
    </row>
    <row r="35" spans="2:6">
      <c r="B35" s="88">
        <v>3</v>
      </c>
      <c r="C35" s="10" t="s">
        <v>80</v>
      </c>
      <c r="D35" s="10" t="s">
        <v>13</v>
      </c>
      <c r="E35" s="10"/>
      <c r="F35" s="10"/>
    </row>
    <row r="36" spans="2:6">
      <c r="B36" s="88"/>
      <c r="C36" s="10"/>
      <c r="D36" s="10" t="s">
        <v>81</v>
      </c>
      <c r="E36" s="10"/>
      <c r="F36" s="10"/>
    </row>
    <row r="37" spans="2:6">
      <c r="B37" s="88"/>
      <c r="C37" s="10"/>
      <c r="D37" s="10" t="s">
        <v>82</v>
      </c>
      <c r="E37" s="10"/>
      <c r="F37" s="10"/>
    </row>
    <row r="38" spans="2:6">
      <c r="B38" s="88"/>
      <c r="C38" s="10"/>
      <c r="D38" s="10" t="s">
        <v>83</v>
      </c>
      <c r="E38" s="10"/>
      <c r="F38" s="10"/>
    </row>
    <row r="39" spans="2:6">
      <c r="B39" s="88"/>
      <c r="C39" s="10"/>
      <c r="D39" s="10"/>
      <c r="E39" s="10"/>
      <c r="F39" s="10"/>
    </row>
    <row r="40" spans="2:6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>
      <c r="B41" s="88"/>
      <c r="C41" s="10"/>
      <c r="D41" s="10" t="s">
        <v>85</v>
      </c>
      <c r="E41" s="10"/>
      <c r="F41" s="10"/>
    </row>
    <row r="42" spans="2:6">
      <c r="B42" s="88"/>
      <c r="C42" s="10"/>
      <c r="D42" s="10" t="s">
        <v>89</v>
      </c>
      <c r="E42" s="10" t="s">
        <v>90</v>
      </c>
      <c r="F42" s="10" t="s">
        <v>87</v>
      </c>
    </row>
    <row r="43" spans="2:6">
      <c r="B43" s="88"/>
      <c r="C43" s="10"/>
      <c r="D43" s="10"/>
      <c r="E43" s="91" t="s">
        <v>104</v>
      </c>
      <c r="F43" s="10"/>
    </row>
    <row r="44" spans="2:6">
      <c r="B44" s="88"/>
      <c r="C44" s="10"/>
      <c r="D44" s="10"/>
      <c r="E44" s="10"/>
      <c r="F44" s="10"/>
    </row>
    <row r="45" spans="2:6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>
      <c r="B46" s="88"/>
      <c r="C46" s="10" t="s">
        <v>92</v>
      </c>
      <c r="D46" s="10" t="s">
        <v>94</v>
      </c>
      <c r="E46" s="10"/>
      <c r="F46" s="10"/>
    </row>
    <row r="47" spans="2:6">
      <c r="B47" s="88"/>
      <c r="C47" s="10"/>
      <c r="D47" s="10" t="s">
        <v>95</v>
      </c>
      <c r="E47" s="10"/>
      <c r="F47" s="10"/>
    </row>
    <row r="48" spans="2:6">
      <c r="B48" s="88"/>
      <c r="C48" s="10"/>
      <c r="D48" s="10"/>
      <c r="E48" s="10"/>
      <c r="F48" s="10"/>
    </row>
    <row r="49" spans="2:6">
      <c r="B49" s="88">
        <v>6</v>
      </c>
      <c r="C49" s="10" t="s">
        <v>98</v>
      </c>
      <c r="D49" s="10" t="s">
        <v>99</v>
      </c>
      <c r="E49" s="10"/>
      <c r="F49" s="10"/>
    </row>
    <row r="50" spans="2:6">
      <c r="B50" s="88"/>
      <c r="C50" s="10"/>
      <c r="D50" s="10" t="s">
        <v>100</v>
      </c>
      <c r="E50" s="10"/>
      <c r="F50" s="10"/>
    </row>
    <row r="51" spans="2:6">
      <c r="B51" s="88"/>
      <c r="C51" s="10"/>
      <c r="D51" s="10"/>
      <c r="E51" s="10"/>
      <c r="F51" s="10"/>
    </row>
    <row r="52" spans="2:6">
      <c r="B52" s="88">
        <v>7</v>
      </c>
      <c r="C52" s="10" t="s">
        <v>101</v>
      </c>
      <c r="D52" s="10" t="s">
        <v>103</v>
      </c>
      <c r="E52" s="10"/>
      <c r="F52" s="10"/>
    </row>
    <row r="53" spans="2:6" ht="25.5">
      <c r="B53" s="88"/>
      <c r="C53" s="10"/>
      <c r="D53" s="91" t="s">
        <v>102</v>
      </c>
      <c r="E53" s="10"/>
      <c r="F53" s="10"/>
    </row>
    <row r="54" spans="2:6">
      <c r="B54" s="88"/>
      <c r="C54" s="10"/>
      <c r="D54" s="10"/>
      <c r="E54" s="10"/>
      <c r="F54" s="10"/>
    </row>
    <row r="55" spans="2:6">
      <c r="B55" s="88"/>
      <c r="C55" s="10"/>
      <c r="D55" s="10"/>
      <c r="E55" s="10"/>
      <c r="F55" s="10"/>
    </row>
    <row r="56" spans="2:6">
      <c r="B56" s="88"/>
      <c r="C56" s="93" t="s">
        <v>130</v>
      </c>
      <c r="D56" s="10"/>
      <c r="E56" s="10"/>
      <c r="F56" s="10"/>
    </row>
    <row r="57" spans="2:6">
      <c r="B57" s="88">
        <v>1</v>
      </c>
      <c r="C57" s="10" t="s">
        <v>131</v>
      </c>
      <c r="D57" s="10" t="s">
        <v>132</v>
      </c>
      <c r="E57" s="10"/>
      <c r="F57" s="10"/>
    </row>
    <row r="58" spans="2:6">
      <c r="B58" s="88"/>
      <c r="C58" s="10"/>
      <c r="D58" s="10" t="s">
        <v>133</v>
      </c>
      <c r="E58" s="10"/>
      <c r="F58" s="10"/>
    </row>
    <row r="59" spans="2:6">
      <c r="B59" s="88"/>
      <c r="C59" s="10"/>
      <c r="D59" s="10" t="s">
        <v>134</v>
      </c>
      <c r="E59" s="10"/>
      <c r="F59" s="10"/>
    </row>
    <row r="60" spans="2:6">
      <c r="B60" s="88"/>
      <c r="C60" s="10"/>
      <c r="D60" s="10"/>
      <c r="E60" s="10"/>
      <c r="F60" s="10"/>
    </row>
    <row r="61" spans="2:6">
      <c r="B61" s="88">
        <v>2</v>
      </c>
      <c r="C61" s="10" t="s">
        <v>135</v>
      </c>
      <c r="D61" s="10" t="s">
        <v>136</v>
      </c>
      <c r="E61" s="10"/>
      <c r="F61" s="10"/>
    </row>
    <row r="62" spans="2:6">
      <c r="B62" s="88"/>
      <c r="C62" s="10"/>
      <c r="D62" s="10"/>
      <c r="E62" s="10"/>
      <c r="F62" s="10"/>
    </row>
    <row r="63" spans="2:6">
      <c r="B63" s="88">
        <v>3</v>
      </c>
      <c r="C63" s="10" t="s">
        <v>137</v>
      </c>
      <c r="D63" s="10" t="s">
        <v>138</v>
      </c>
      <c r="E63" s="10"/>
      <c r="F63" s="10"/>
    </row>
    <row r="64" spans="2:6">
      <c r="B64" s="88"/>
      <c r="C64" s="10"/>
      <c r="D64" s="10"/>
      <c r="E64" s="10"/>
      <c r="F64" s="10"/>
    </row>
    <row r="65" spans="2:6" ht="25.5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>
      <c r="B66" s="88"/>
      <c r="C66" s="10"/>
      <c r="D66" s="10" t="s">
        <v>141</v>
      </c>
      <c r="E66" s="10" t="s">
        <v>147</v>
      </c>
      <c r="F66" s="10"/>
    </row>
    <row r="67" spans="2:6">
      <c r="B67" s="88"/>
      <c r="C67" s="10"/>
      <c r="D67" s="10" t="s">
        <v>142</v>
      </c>
      <c r="E67" s="10"/>
      <c r="F67" s="10"/>
    </row>
    <row r="68" spans="2:6">
      <c r="B68" s="88"/>
      <c r="C68" s="10"/>
      <c r="D68" s="10" t="s">
        <v>143</v>
      </c>
      <c r="E68" s="10"/>
      <c r="F68" s="10"/>
    </row>
    <row r="69" spans="2:6">
      <c r="B69" s="88"/>
      <c r="C69" s="10"/>
      <c r="D69" s="10" t="s">
        <v>144</v>
      </c>
      <c r="E69" s="10"/>
      <c r="F69" s="10"/>
    </row>
    <row r="70" spans="2:6">
      <c r="B70" s="88"/>
      <c r="C70" s="10"/>
      <c r="D70" s="10"/>
      <c r="E70" s="10"/>
      <c r="F70" s="10"/>
    </row>
    <row r="71" spans="2:6">
      <c r="B71" s="88">
        <v>5</v>
      </c>
      <c r="C71" s="10" t="s">
        <v>148</v>
      </c>
      <c r="D71" s="10" t="s">
        <v>149</v>
      </c>
      <c r="E71" s="10"/>
      <c r="F71" s="10"/>
    </row>
    <row r="72" spans="2:6">
      <c r="B72" s="88"/>
      <c r="C72" s="10"/>
      <c r="D72" s="10" t="s">
        <v>150</v>
      </c>
      <c r="E72" s="10"/>
      <c r="F72" s="10"/>
    </row>
    <row r="73" spans="2:6">
      <c r="B73" s="88"/>
      <c r="C73" s="10"/>
      <c r="D73" s="10" t="s">
        <v>151</v>
      </c>
      <c r="E73" s="10" t="s">
        <v>152</v>
      </c>
      <c r="F73" s="10" t="s">
        <v>153</v>
      </c>
    </row>
    <row r="74" spans="2:6">
      <c r="B74" s="88"/>
      <c r="C74" s="10"/>
      <c r="D74" s="10" t="s">
        <v>154</v>
      </c>
      <c r="E74" s="10"/>
      <c r="F74" s="10"/>
    </row>
    <row r="75" spans="2:6">
      <c r="B75" s="88"/>
      <c r="C75" s="10"/>
      <c r="D75" s="10"/>
      <c r="E75" s="10"/>
      <c r="F75" s="10"/>
    </row>
    <row r="76" spans="2:6">
      <c r="B76" s="88">
        <v>6</v>
      </c>
      <c r="C76" s="10" t="s">
        <v>155</v>
      </c>
      <c r="D76" s="10" t="s">
        <v>156</v>
      </c>
      <c r="E76" s="10"/>
      <c r="F76" s="10"/>
    </row>
    <row r="77" spans="2:6">
      <c r="B77" s="88"/>
      <c r="C77" s="10"/>
      <c r="D77" s="10" t="s">
        <v>157</v>
      </c>
      <c r="E77" s="10"/>
      <c r="F77" s="10"/>
    </row>
    <row r="78" spans="2:6">
      <c r="B78" s="88"/>
      <c r="C78" s="10"/>
      <c r="D78" s="10"/>
      <c r="E78" s="10"/>
      <c r="F78" s="10"/>
    </row>
    <row r="79" spans="2:6">
      <c r="B79" s="88">
        <v>7</v>
      </c>
      <c r="C79" s="10" t="s">
        <v>158</v>
      </c>
      <c r="D79" s="10" t="s">
        <v>159</v>
      </c>
      <c r="E79" s="10"/>
      <c r="F79" s="10"/>
    </row>
    <row r="80" spans="2:6">
      <c r="B80" s="88"/>
      <c r="C80" s="10"/>
      <c r="D80" s="10" t="s">
        <v>160</v>
      </c>
      <c r="E80" s="10"/>
      <c r="F80" s="10"/>
    </row>
    <row r="81" spans="2:6">
      <c r="B81" s="88"/>
      <c r="C81" s="10"/>
      <c r="D81" s="10"/>
      <c r="E81" s="10"/>
      <c r="F81" s="10"/>
    </row>
    <row r="82" spans="2:6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>
      <c r="B83" s="88"/>
      <c r="C83" s="10"/>
      <c r="D83" s="10" t="s">
        <v>163</v>
      </c>
      <c r="E83" s="10" t="s">
        <v>165</v>
      </c>
      <c r="F83" s="10"/>
    </row>
    <row r="84" spans="2:6">
      <c r="B84" s="88"/>
      <c r="C84" s="10"/>
      <c r="D84" s="10"/>
      <c r="E84" s="10"/>
      <c r="F84" s="10"/>
    </row>
    <row r="85" spans="2:6">
      <c r="B85" s="88">
        <v>9</v>
      </c>
      <c r="C85" s="10" t="s">
        <v>166</v>
      </c>
      <c r="D85" s="10" t="s">
        <v>167</v>
      </c>
      <c r="E85" s="13"/>
      <c r="F85" s="10"/>
    </row>
    <row r="86" spans="2:6">
      <c r="B86" s="88"/>
      <c r="C86" s="10"/>
      <c r="D86" s="10" t="s">
        <v>168</v>
      </c>
      <c r="E86" s="10"/>
      <c r="F86" s="10"/>
    </row>
    <row r="87" spans="2:6">
      <c r="B87" s="88"/>
      <c r="C87" s="10"/>
      <c r="D87" s="10" t="s">
        <v>169</v>
      </c>
      <c r="E87" s="10"/>
      <c r="F87" s="10"/>
    </row>
    <row r="88" spans="2:6" ht="25.5">
      <c r="B88" s="88"/>
      <c r="C88" s="10"/>
      <c r="D88" s="94" t="s">
        <v>189</v>
      </c>
      <c r="E88" s="13" t="s">
        <v>190</v>
      </c>
      <c r="F88" s="10"/>
    </row>
    <row r="89" spans="2:6">
      <c r="B89" s="88"/>
      <c r="C89" s="10"/>
      <c r="D89" s="10" t="s">
        <v>170</v>
      </c>
      <c r="E89" s="10"/>
      <c r="F89" s="10"/>
    </row>
    <row r="90" spans="2:6">
      <c r="B90" s="88"/>
      <c r="C90" s="10"/>
      <c r="D90" s="10"/>
      <c r="E90" s="10"/>
      <c r="F90" s="10"/>
    </row>
    <row r="91" spans="2:6">
      <c r="B91" s="88">
        <v>10</v>
      </c>
      <c r="C91" s="10" t="s">
        <v>89</v>
      </c>
      <c r="D91" s="10" t="s">
        <v>171</v>
      </c>
      <c r="E91" s="10"/>
      <c r="F91" s="10"/>
    </row>
    <row r="92" spans="2:6">
      <c r="B92" s="88"/>
      <c r="C92" s="10"/>
      <c r="D92" s="10"/>
      <c r="E92" s="10"/>
      <c r="F92" s="10"/>
    </row>
    <row r="93" spans="2:6">
      <c r="B93" s="88">
        <v>11</v>
      </c>
      <c r="C93" s="10" t="s">
        <v>172</v>
      </c>
      <c r="D93" s="10" t="s">
        <v>173</v>
      </c>
      <c r="E93" s="10"/>
      <c r="F93" s="10"/>
    </row>
    <row r="94" spans="2:6">
      <c r="B94" s="88"/>
      <c r="C94" s="10"/>
      <c r="D94" s="10"/>
      <c r="E94" s="10"/>
      <c r="F94" s="10"/>
    </row>
    <row r="95" spans="2:6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>
      <c r="B96" s="88"/>
      <c r="C96" s="10"/>
      <c r="D96" s="10" t="s">
        <v>183</v>
      </c>
      <c r="E96" s="10" t="s">
        <v>186</v>
      </c>
      <c r="F96" s="10"/>
    </row>
    <row r="97" spans="2:6">
      <c r="B97" s="88"/>
      <c r="C97" s="10"/>
      <c r="D97" s="10"/>
      <c r="E97" s="10" t="s">
        <v>184</v>
      </c>
      <c r="F97" s="10"/>
    </row>
    <row r="98" spans="2:6">
      <c r="B98" s="88"/>
      <c r="C98" s="10"/>
      <c r="D98" s="10"/>
      <c r="E98" s="10"/>
      <c r="F98" s="10"/>
    </row>
    <row r="99" spans="2:6">
      <c r="B99" s="88">
        <v>13</v>
      </c>
      <c r="C99" s="10" t="s">
        <v>175</v>
      </c>
      <c r="D99" s="10" t="s">
        <v>176</v>
      </c>
      <c r="E99" s="10"/>
      <c r="F99" s="10"/>
    </row>
    <row r="100" spans="2:6">
      <c r="B100" s="88"/>
      <c r="C100" s="10"/>
      <c r="D100" s="10" t="s">
        <v>177</v>
      </c>
      <c r="E100" s="10"/>
      <c r="F100" s="10"/>
    </row>
    <row r="101" spans="2:6">
      <c r="B101" s="88"/>
      <c r="C101" s="10"/>
      <c r="D101" s="10" t="s">
        <v>178</v>
      </c>
      <c r="E101" s="10"/>
      <c r="F101" s="10"/>
    </row>
    <row r="102" spans="2:6">
      <c r="B102" s="88"/>
      <c r="C102" s="10"/>
      <c r="D102" s="10"/>
      <c r="E102" s="10"/>
      <c r="F102" s="10"/>
    </row>
    <row r="103" spans="2:6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>
      <c r="B104" s="88"/>
      <c r="C104" s="10"/>
      <c r="D104" s="10" t="s">
        <v>181</v>
      </c>
      <c r="E104" s="10"/>
      <c r="F104" s="10"/>
    </row>
    <row r="105" spans="2:6">
      <c r="B105" s="88"/>
      <c r="C105" s="10"/>
      <c r="D105" s="10"/>
      <c r="E105" s="10"/>
      <c r="F105" s="10"/>
    </row>
    <row r="106" spans="2:6">
      <c r="B106" s="88"/>
      <c r="C106" s="10"/>
      <c r="D106" s="10"/>
      <c r="E106" s="10"/>
      <c r="F106" s="10"/>
    </row>
    <row r="107" spans="2:6">
      <c r="B107" s="88"/>
      <c r="C107" s="10"/>
      <c r="D107" s="10"/>
      <c r="E107" s="10"/>
      <c r="F107" s="10"/>
    </row>
    <row r="108" spans="2:6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W125"/>
  <sheetViews>
    <sheetView zoomScale="80" zoomScaleNormal="80" workbookViewId="0">
      <selection activeCell="J23" sqref="J23"/>
    </sheetView>
  </sheetViews>
  <sheetFormatPr defaultRowHeight="15"/>
  <cols>
    <col min="2" max="2" width="13.5703125" bestFit="1" customWidth="1"/>
    <col min="3" max="3" width="19.85546875" bestFit="1" customWidth="1"/>
    <col min="4" max="4" width="17.42578125" bestFit="1" customWidth="1"/>
    <col min="5" max="5" width="11.85546875" customWidth="1"/>
    <col min="6" max="6" width="19.85546875" bestFit="1" customWidth="1"/>
    <col min="7" max="7" width="22.42578125" customWidth="1"/>
    <col min="8" max="8" width="18.42578125" bestFit="1" customWidth="1"/>
    <col min="9" max="9" width="9.42578125" customWidth="1"/>
    <col min="10" max="10" width="18.85546875" customWidth="1"/>
    <col min="11" max="11" width="19.28515625" bestFit="1" customWidth="1"/>
    <col min="12" max="12" width="18" customWidth="1"/>
    <col min="13" max="13" width="19.28515625" bestFit="1" customWidth="1"/>
    <col min="14" max="14" width="20" customWidth="1"/>
    <col min="16" max="16" width="11.28515625" bestFit="1" customWidth="1"/>
    <col min="17" max="17" width="15.140625" bestFit="1" customWidth="1"/>
    <col min="18" max="18" width="10.85546875" customWidth="1"/>
  </cols>
  <sheetData>
    <row r="2" spans="2:23" ht="15.75" thickBot="1"/>
    <row r="3" spans="2:23">
      <c r="B3" s="287" t="s">
        <v>442</v>
      </c>
      <c r="C3" s="287"/>
      <c r="D3" s="287"/>
      <c r="G3" s="287" t="s">
        <v>443</v>
      </c>
      <c r="H3" s="287"/>
      <c r="I3" s="287"/>
      <c r="P3" s="296" t="s">
        <v>444</v>
      </c>
      <c r="Q3" s="297"/>
      <c r="R3" s="297"/>
      <c r="S3" s="298"/>
      <c r="T3" s="296" t="s">
        <v>445</v>
      </c>
      <c r="U3" s="297"/>
      <c r="V3" s="297"/>
      <c r="W3" s="298"/>
    </row>
    <row r="4" spans="2:23">
      <c r="B4" s="185" t="s">
        <v>446</v>
      </c>
      <c r="C4" s="299">
        <v>9500000</v>
      </c>
      <c r="D4" s="299"/>
      <c r="G4" s="185" t="s">
        <v>447</v>
      </c>
      <c r="H4" s="289">
        <v>200000</v>
      </c>
      <c r="I4" s="289"/>
      <c r="K4" s="186" t="s">
        <v>448</v>
      </c>
      <c r="L4" s="186" t="s">
        <v>78</v>
      </c>
      <c r="M4" s="186" t="s">
        <v>393</v>
      </c>
      <c r="N4" s="186" t="s">
        <v>449</v>
      </c>
      <c r="O4" s="186" t="s">
        <v>450</v>
      </c>
      <c r="P4" s="187" t="s">
        <v>451</v>
      </c>
      <c r="Q4" s="188" t="s">
        <v>287</v>
      </c>
      <c r="R4" s="188" t="s">
        <v>450</v>
      </c>
      <c r="S4" s="189" t="s">
        <v>452</v>
      </c>
      <c r="T4" s="187" t="s">
        <v>451</v>
      </c>
      <c r="U4" s="188" t="s">
        <v>287</v>
      </c>
      <c r="V4" s="188" t="s">
        <v>450</v>
      </c>
      <c r="W4" s="189" t="s">
        <v>452</v>
      </c>
    </row>
    <row r="5" spans="2:23">
      <c r="B5" s="185" t="s">
        <v>453</v>
      </c>
      <c r="C5" s="290">
        <v>0.08</v>
      </c>
      <c r="D5" s="291"/>
      <c r="G5" s="185" t="s">
        <v>453</v>
      </c>
      <c r="H5" s="295">
        <v>0.12</v>
      </c>
      <c r="I5" s="295"/>
      <c r="K5" s="185" t="s">
        <v>454</v>
      </c>
      <c r="L5" s="185">
        <v>200</v>
      </c>
      <c r="M5" s="185">
        <v>560</v>
      </c>
      <c r="N5" s="190">
        <f t="shared" ref="N5:N12" si="0">(M5-L5)/L5</f>
        <v>1.8</v>
      </c>
      <c r="O5" s="191">
        <v>1</v>
      </c>
      <c r="P5" s="192">
        <v>17500</v>
      </c>
      <c r="Q5" s="193">
        <f>P5/L5</f>
        <v>87.5</v>
      </c>
      <c r="R5" s="194">
        <v>1</v>
      </c>
      <c r="S5" s="195"/>
      <c r="T5" s="192">
        <v>14000</v>
      </c>
      <c r="U5" s="196">
        <v>50</v>
      </c>
      <c r="V5" s="197">
        <v>1</v>
      </c>
      <c r="W5" s="195"/>
    </row>
    <row r="6" spans="2:23">
      <c r="B6" s="185" t="s">
        <v>455</v>
      </c>
      <c r="C6" s="289">
        <v>30</v>
      </c>
      <c r="D6" s="289"/>
      <c r="G6" s="185" t="s">
        <v>455</v>
      </c>
      <c r="H6" s="289">
        <v>10</v>
      </c>
      <c r="I6" s="289"/>
      <c r="K6" s="185" t="s">
        <v>456</v>
      </c>
      <c r="L6" s="185">
        <v>450</v>
      </c>
      <c r="M6" s="185">
        <v>900</v>
      </c>
      <c r="N6" s="190">
        <f t="shared" si="0"/>
        <v>1</v>
      </c>
      <c r="O6" s="191">
        <v>5</v>
      </c>
      <c r="P6" s="192"/>
      <c r="Q6" s="198"/>
      <c r="R6" s="198"/>
      <c r="S6" s="199"/>
      <c r="T6" s="192">
        <v>18000</v>
      </c>
      <c r="U6" s="200">
        <v>400</v>
      </c>
      <c r="V6" s="200">
        <v>2</v>
      </c>
      <c r="W6" s="199" t="s">
        <v>457</v>
      </c>
    </row>
    <row r="7" spans="2:23">
      <c r="B7" s="185"/>
      <c r="C7" s="288"/>
      <c r="D7" s="288"/>
      <c r="G7" s="185"/>
      <c r="H7" s="288"/>
      <c r="I7" s="288"/>
      <c r="K7" s="185" t="s">
        <v>458</v>
      </c>
      <c r="L7" s="185">
        <v>32</v>
      </c>
      <c r="M7" s="185">
        <v>70</v>
      </c>
      <c r="N7" s="190">
        <f t="shared" si="0"/>
        <v>1.1875</v>
      </c>
      <c r="O7" s="191">
        <v>3</v>
      </c>
      <c r="P7" s="201"/>
      <c r="Q7" s="202"/>
      <c r="R7" s="202"/>
      <c r="S7" s="199"/>
      <c r="T7" s="201"/>
      <c r="U7" s="198"/>
      <c r="V7" s="198"/>
      <c r="W7" s="199"/>
    </row>
    <row r="8" spans="2:23">
      <c r="B8" s="185"/>
      <c r="C8" s="288"/>
      <c r="D8" s="288"/>
      <c r="G8" s="185"/>
      <c r="H8" s="288"/>
      <c r="I8" s="288"/>
      <c r="K8" s="185" t="s">
        <v>459</v>
      </c>
      <c r="L8" s="185">
        <v>260</v>
      </c>
      <c r="M8" s="185">
        <v>400</v>
      </c>
      <c r="N8" s="190">
        <f t="shared" si="0"/>
        <v>0.53846153846153844</v>
      </c>
      <c r="O8" s="191">
        <v>6</v>
      </c>
      <c r="P8" s="201"/>
      <c r="Q8" s="198"/>
      <c r="R8" s="198"/>
      <c r="S8" s="199"/>
      <c r="T8" s="201"/>
      <c r="U8" s="198"/>
      <c r="V8" s="198"/>
      <c r="W8" s="199"/>
    </row>
    <row r="9" spans="2:23">
      <c r="B9" s="203" t="s">
        <v>447</v>
      </c>
      <c r="C9" s="286">
        <f>C4*(1/(1+C5)^C6)</f>
        <v>944084.6592231117</v>
      </c>
      <c r="D9" s="286"/>
      <c r="G9" s="203" t="s">
        <v>460</v>
      </c>
      <c r="H9" s="286">
        <f>H4*((1+H5)^H6)</f>
        <v>621169.64166884217</v>
      </c>
      <c r="I9" s="286"/>
      <c r="K9" s="185" t="s">
        <v>461</v>
      </c>
      <c r="L9" s="185">
        <v>300</v>
      </c>
      <c r="M9" s="185">
        <v>500</v>
      </c>
      <c r="N9" s="190">
        <f t="shared" si="0"/>
        <v>0.66666666666666663</v>
      </c>
      <c r="O9" s="191">
        <v>7</v>
      </c>
      <c r="P9" s="201"/>
      <c r="Q9" s="198"/>
      <c r="R9" s="198"/>
      <c r="S9" s="199"/>
      <c r="T9" s="201"/>
      <c r="U9" s="198"/>
      <c r="V9" s="198"/>
      <c r="W9" s="199"/>
    </row>
    <row r="10" spans="2:23">
      <c r="B10" s="203" t="s">
        <v>462</v>
      </c>
      <c r="C10" s="286">
        <f>C4-C9</f>
        <v>8555915.3407768887</v>
      </c>
      <c r="D10" s="286"/>
      <c r="G10" s="203" t="s">
        <v>462</v>
      </c>
      <c r="H10" s="294">
        <f>H9-H4</f>
        <v>421169.64166884217</v>
      </c>
      <c r="I10" s="294"/>
      <c r="K10" s="185" t="s">
        <v>463</v>
      </c>
      <c r="L10" s="185">
        <v>112</v>
      </c>
      <c r="M10" s="185">
        <v>272</v>
      </c>
      <c r="N10" s="190">
        <f t="shared" si="0"/>
        <v>1.4285714285714286</v>
      </c>
      <c r="O10" s="191">
        <v>2</v>
      </c>
      <c r="P10" s="201">
        <v>7000</v>
      </c>
      <c r="Q10" s="204">
        <f>P10/L10</f>
        <v>62.5</v>
      </c>
      <c r="R10" s="204">
        <v>1</v>
      </c>
      <c r="S10" s="199"/>
      <c r="T10" s="201"/>
      <c r="U10" s="198"/>
      <c r="V10" s="198"/>
      <c r="W10" s="199"/>
    </row>
    <row r="11" spans="2:23">
      <c r="K11" s="185" t="s">
        <v>464</v>
      </c>
      <c r="L11" s="185">
        <v>700</v>
      </c>
      <c r="M11" s="185">
        <v>1500</v>
      </c>
      <c r="N11" s="190">
        <f t="shared" si="0"/>
        <v>1.1428571428571428</v>
      </c>
      <c r="O11" s="191">
        <v>4</v>
      </c>
      <c r="P11" s="205">
        <v>7000</v>
      </c>
      <c r="Q11" s="196">
        <v>200</v>
      </c>
      <c r="R11" s="197">
        <v>2</v>
      </c>
      <c r="S11" s="195"/>
      <c r="T11" s="205"/>
      <c r="U11" s="196"/>
      <c r="V11" s="197"/>
      <c r="W11" s="195"/>
    </row>
    <row r="12" spans="2:23" ht="15.75" thickBot="1">
      <c r="K12" s="185" t="s">
        <v>465</v>
      </c>
      <c r="L12" s="185">
        <v>488</v>
      </c>
      <c r="M12" s="185">
        <v>900</v>
      </c>
      <c r="N12" s="190">
        <f t="shared" si="0"/>
        <v>0.84426229508196726</v>
      </c>
      <c r="O12" s="191"/>
      <c r="P12" s="206"/>
      <c r="Q12" s="207"/>
      <c r="R12" s="207"/>
      <c r="S12" s="208"/>
      <c r="T12" s="206"/>
      <c r="U12" s="207"/>
      <c r="V12" s="207"/>
      <c r="W12" s="208"/>
    </row>
    <row r="13" spans="2:23">
      <c r="K13" s="209" t="s">
        <v>322</v>
      </c>
    </row>
    <row r="14" spans="2:23">
      <c r="B14" s="287" t="s">
        <v>466</v>
      </c>
      <c r="C14" s="287"/>
      <c r="D14" s="287"/>
      <c r="G14" s="287" t="s">
        <v>467</v>
      </c>
      <c r="H14" s="287"/>
      <c r="I14" s="287"/>
      <c r="K14" s="184" t="s">
        <v>284</v>
      </c>
      <c r="L14" s="184" t="s">
        <v>0</v>
      </c>
      <c r="M14" s="184" t="s">
        <v>323</v>
      </c>
      <c r="N14" s="184" t="s">
        <v>324</v>
      </c>
      <c r="O14" s="184" t="s">
        <v>325</v>
      </c>
      <c r="P14" s="184" t="s">
        <v>326</v>
      </c>
      <c r="Q14" s="184" t="s">
        <v>327</v>
      </c>
      <c r="R14" s="184" t="s">
        <v>328</v>
      </c>
    </row>
    <row r="15" spans="2:23">
      <c r="B15" s="185" t="s">
        <v>468</v>
      </c>
      <c r="C15" s="289">
        <v>24000</v>
      </c>
      <c r="D15" s="289"/>
      <c r="G15" s="185" t="s">
        <v>468</v>
      </c>
      <c r="H15" s="289">
        <v>200000</v>
      </c>
      <c r="I15" s="289"/>
      <c r="K15" s="185" t="s">
        <v>286</v>
      </c>
      <c r="L15" s="210">
        <v>50</v>
      </c>
      <c r="M15" s="211" t="s">
        <v>329</v>
      </c>
      <c r="N15" s="212">
        <v>4</v>
      </c>
      <c r="O15" s="212">
        <v>1</v>
      </c>
      <c r="P15" s="185">
        <f>N15/O15</f>
        <v>4</v>
      </c>
      <c r="Q15" s="185">
        <f>P15*L16</f>
        <v>4</v>
      </c>
      <c r="R15" s="213">
        <f>Q15+L16</f>
        <v>5</v>
      </c>
    </row>
    <row r="16" spans="2:23">
      <c r="B16" s="185" t="s">
        <v>453</v>
      </c>
      <c r="C16" s="290">
        <v>0.1</v>
      </c>
      <c r="D16" s="291"/>
      <c r="G16" s="185" t="s">
        <v>453</v>
      </c>
      <c r="H16" s="290">
        <v>0.12</v>
      </c>
      <c r="I16" s="291"/>
      <c r="K16" s="185" t="s">
        <v>287</v>
      </c>
      <c r="L16" s="210">
        <v>1</v>
      </c>
      <c r="M16" s="211" t="s">
        <v>330</v>
      </c>
      <c r="N16" s="212">
        <v>1</v>
      </c>
      <c r="O16" s="212">
        <v>1</v>
      </c>
      <c r="P16" s="185">
        <f>N16/O16</f>
        <v>1</v>
      </c>
      <c r="Q16" s="185">
        <f>P16*R15</f>
        <v>5</v>
      </c>
      <c r="R16" s="185">
        <f>Q16+R15</f>
        <v>10</v>
      </c>
    </row>
    <row r="17" spans="2:18">
      <c r="B17" s="185" t="s">
        <v>455</v>
      </c>
      <c r="C17" s="289">
        <v>20</v>
      </c>
      <c r="D17" s="289"/>
      <c r="G17" s="185" t="s">
        <v>455</v>
      </c>
      <c r="H17" s="289">
        <v>10</v>
      </c>
      <c r="I17" s="289"/>
      <c r="K17" s="185" t="s">
        <v>289</v>
      </c>
      <c r="L17" s="214">
        <f>L15*L16</f>
        <v>50</v>
      </c>
      <c r="M17" s="211" t="s">
        <v>331</v>
      </c>
      <c r="N17" s="212">
        <v>0</v>
      </c>
      <c r="O17" s="212">
        <v>2</v>
      </c>
      <c r="P17" s="185">
        <f>N17/O17</f>
        <v>0</v>
      </c>
      <c r="Q17" s="185">
        <f>P17*R16</f>
        <v>0</v>
      </c>
      <c r="R17" s="185">
        <f>Q17</f>
        <v>0</v>
      </c>
    </row>
    <row r="18" spans="2:18">
      <c r="B18" s="185"/>
      <c r="C18" s="288"/>
      <c r="D18" s="288"/>
      <c r="G18" s="185"/>
      <c r="H18" s="288"/>
      <c r="I18" s="288"/>
      <c r="K18" s="185" t="s">
        <v>290</v>
      </c>
      <c r="L18" s="210">
        <v>95</v>
      </c>
      <c r="M18" s="211"/>
      <c r="N18" s="185"/>
      <c r="O18" s="185"/>
      <c r="P18" s="203" t="s">
        <v>332</v>
      </c>
      <c r="Q18" s="185"/>
      <c r="R18" s="185">
        <f>R17</f>
        <v>0</v>
      </c>
    </row>
    <row r="19" spans="2:18">
      <c r="B19" s="203" t="s">
        <v>469</v>
      </c>
      <c r="C19" s="282">
        <f>( ( 1-  (1/ ( (1+C16)^C17) ) ) / C16)</f>
        <v>8.5135637197585652</v>
      </c>
      <c r="D19" s="283"/>
      <c r="G19" s="203" t="s">
        <v>470</v>
      </c>
      <c r="H19" s="282">
        <f>( ((1+H16)^H17) -1 ) / H16</f>
        <v>17.548735069535095</v>
      </c>
      <c r="I19" s="283"/>
      <c r="K19" s="185" t="s">
        <v>287</v>
      </c>
      <c r="L19" s="210">
        <v>10</v>
      </c>
      <c r="M19" s="211" t="s">
        <v>331</v>
      </c>
      <c r="N19" s="212">
        <v>10</v>
      </c>
      <c r="O19" s="212">
        <v>2</v>
      </c>
      <c r="P19" s="185">
        <f>N19/O19</f>
        <v>5</v>
      </c>
      <c r="Q19" s="213">
        <f>P19*L16</f>
        <v>5</v>
      </c>
      <c r="R19" s="213">
        <f>Q19</f>
        <v>5</v>
      </c>
    </row>
    <row r="20" spans="2:18">
      <c r="B20" s="203" t="s">
        <v>471</v>
      </c>
      <c r="C20" s="292">
        <f>C19 * C15</f>
        <v>204325.52927420556</v>
      </c>
      <c r="D20" s="293"/>
      <c r="G20" s="203" t="s">
        <v>472</v>
      </c>
      <c r="H20" s="282">
        <f>H19 * H15</f>
        <v>3509747.013907019</v>
      </c>
      <c r="I20" s="283"/>
      <c r="K20" s="185" t="s">
        <v>289</v>
      </c>
      <c r="L20" s="214">
        <f>L19*L18</f>
        <v>950</v>
      </c>
      <c r="M20" s="185"/>
      <c r="N20" s="185"/>
      <c r="O20" s="185"/>
      <c r="P20" s="203" t="s">
        <v>332</v>
      </c>
      <c r="Q20" s="185"/>
      <c r="R20" s="185">
        <f>R19</f>
        <v>5</v>
      </c>
    </row>
    <row r="21" spans="2:18">
      <c r="B21" s="203"/>
      <c r="C21" s="284"/>
      <c r="D21" s="285"/>
      <c r="G21" s="203"/>
      <c r="H21" s="284"/>
      <c r="I21" s="285"/>
      <c r="K21" s="185"/>
      <c r="L21" s="214"/>
      <c r="M21" s="211" t="s">
        <v>331</v>
      </c>
      <c r="N21" s="212">
        <v>10</v>
      </c>
      <c r="O21" s="212">
        <v>2</v>
      </c>
      <c r="P21" s="185">
        <f>N21/O21</f>
        <v>5</v>
      </c>
      <c r="Q21" s="185">
        <f>P21*R20</f>
        <v>25</v>
      </c>
      <c r="R21" s="185">
        <f>Q21</f>
        <v>25</v>
      </c>
    </row>
    <row r="22" spans="2:18">
      <c r="B22" s="203"/>
      <c r="C22" s="286"/>
      <c r="D22" s="286"/>
      <c r="G22" s="203"/>
      <c r="H22" s="286"/>
      <c r="I22" s="286"/>
      <c r="K22" s="203" t="s">
        <v>292</v>
      </c>
      <c r="L22" s="215">
        <f>L20/L17</f>
        <v>19</v>
      </c>
      <c r="M22" s="211"/>
      <c r="N22" s="185"/>
      <c r="O22" s="185"/>
      <c r="P22" s="203" t="s">
        <v>332</v>
      </c>
      <c r="Q22" s="185"/>
      <c r="R22" s="185">
        <f>R21</f>
        <v>25</v>
      </c>
    </row>
    <row r="26" spans="2:18">
      <c r="B26" s="287" t="s">
        <v>473</v>
      </c>
      <c r="C26" s="287"/>
      <c r="D26" s="287"/>
      <c r="G26" s="287" t="s">
        <v>474</v>
      </c>
      <c r="H26" s="287"/>
      <c r="I26" s="287"/>
      <c r="K26" s="287" t="s">
        <v>15</v>
      </c>
      <c r="L26" s="287"/>
    </row>
    <row r="27" spans="2:18">
      <c r="B27" s="185" t="s">
        <v>468</v>
      </c>
      <c r="C27" s="289">
        <v>100</v>
      </c>
      <c r="D27" s="289"/>
      <c r="G27" s="185" t="s">
        <v>468</v>
      </c>
      <c r="H27" s="289">
        <v>200000</v>
      </c>
      <c r="I27" s="289"/>
      <c r="K27" s="10" t="s">
        <v>16</v>
      </c>
      <c r="L27" s="11">
        <v>45</v>
      </c>
      <c r="M27" s="216">
        <f>L27*M39</f>
        <v>9375000</v>
      </c>
      <c r="N27" t="s">
        <v>475</v>
      </c>
    </row>
    <row r="28" spans="2:18">
      <c r="B28" s="185" t="s">
        <v>453</v>
      </c>
      <c r="C28" s="290">
        <v>0.05</v>
      </c>
      <c r="D28" s="291"/>
      <c r="G28" s="185" t="s">
        <v>453</v>
      </c>
      <c r="H28" s="290">
        <v>0.12</v>
      </c>
      <c r="I28" s="291"/>
      <c r="K28" s="10" t="s">
        <v>17</v>
      </c>
      <c r="L28" s="11">
        <v>240</v>
      </c>
      <c r="M28" s="217"/>
      <c r="R28">
        <v>416</v>
      </c>
    </row>
    <row r="29" spans="2:18">
      <c r="B29" s="185" t="s">
        <v>455</v>
      </c>
      <c r="C29" s="289">
        <v>3</v>
      </c>
      <c r="D29" s="289"/>
      <c r="G29" s="185" t="s">
        <v>455</v>
      </c>
      <c r="H29" s="289">
        <v>11</v>
      </c>
      <c r="I29" s="289"/>
      <c r="K29" s="10" t="s">
        <v>18</v>
      </c>
      <c r="L29" s="12">
        <v>10</v>
      </c>
      <c r="M29" s="218">
        <f>L27/100000</f>
        <v>4.4999999999999999E-4</v>
      </c>
      <c r="N29" t="s">
        <v>476</v>
      </c>
    </row>
    <row r="30" spans="2:18" ht="15.75" thickBot="1">
      <c r="B30" s="185"/>
      <c r="C30" s="288"/>
      <c r="D30" s="288"/>
      <c r="G30" s="185"/>
      <c r="H30" s="288"/>
      <c r="I30" s="288"/>
      <c r="K30" s="13" t="s">
        <v>19</v>
      </c>
      <c r="L30" s="3">
        <f>((L28/L27)^(1/L29))-1</f>
        <v>0.18222427548378417</v>
      </c>
      <c r="M30" s="218">
        <f>L28/100000</f>
        <v>2.3999999999999998E-3</v>
      </c>
      <c r="N30" t="s">
        <v>477</v>
      </c>
    </row>
    <row r="31" spans="2:18">
      <c r="B31" s="203" t="s">
        <v>469</v>
      </c>
      <c r="C31" s="282">
        <f>( ( ( 1-  (1/ ( (1+C28)^C29) ) ) / C28) ) * (1+C28)</f>
        <v>2.859410430839004</v>
      </c>
      <c r="D31" s="283"/>
      <c r="G31" s="203" t="s">
        <v>470</v>
      </c>
      <c r="H31" s="282">
        <f>(( ((1+H28)^H29) -1 ) / H28 ) * ( 1+H28)</f>
        <v>23.133133271224832</v>
      </c>
      <c r="I31" s="283"/>
      <c r="K31" s="13" t="s">
        <v>20</v>
      </c>
      <c r="L31" s="14">
        <f>L29*12</f>
        <v>120</v>
      </c>
      <c r="P31" s="219" t="s">
        <v>478</v>
      </c>
      <c r="Q31" s="220" t="s">
        <v>479</v>
      </c>
    </row>
    <row r="32" spans="2:18">
      <c r="B32" s="203" t="s">
        <v>480</v>
      </c>
      <c r="C32" s="282">
        <f>C31 * C27</f>
        <v>285.94104308390041</v>
      </c>
      <c r="D32" s="283"/>
      <c r="G32" s="203" t="s">
        <v>481</v>
      </c>
      <c r="H32" s="282">
        <f>H31 * H27</f>
        <v>4626626.6542449668</v>
      </c>
      <c r="I32" s="283"/>
      <c r="K32" s="10" t="s">
        <v>18</v>
      </c>
      <c r="L32" s="15">
        <f>L31/12</f>
        <v>10</v>
      </c>
      <c r="M32">
        <v>62.56</v>
      </c>
      <c r="P32" s="221">
        <v>0.05</v>
      </c>
      <c r="Q32" s="222">
        <v>14</v>
      </c>
    </row>
    <row r="33" spans="2:17">
      <c r="B33" s="203"/>
      <c r="C33" s="284"/>
      <c r="D33" s="285"/>
      <c r="G33" s="203"/>
      <c r="H33" s="284"/>
      <c r="I33" s="285"/>
      <c r="K33" s="13" t="s">
        <v>21</v>
      </c>
      <c r="L33" s="3">
        <f>((L28/L27)^(1/L32))-1</f>
        <v>0.18222427548378417</v>
      </c>
      <c r="P33" s="221">
        <v>0.08</v>
      </c>
      <c r="Q33" s="222">
        <v>9</v>
      </c>
    </row>
    <row r="34" spans="2:17">
      <c r="B34" s="203"/>
      <c r="C34" s="286"/>
      <c r="D34" s="286"/>
      <c r="G34" s="203"/>
      <c r="H34" s="286"/>
      <c r="I34" s="286"/>
      <c r="P34" s="221">
        <v>0.1</v>
      </c>
      <c r="Q34" s="222">
        <v>10</v>
      </c>
    </row>
    <row r="35" spans="2:17">
      <c r="P35" s="221">
        <v>0.15</v>
      </c>
      <c r="Q35" s="222">
        <v>5</v>
      </c>
    </row>
    <row r="36" spans="2:17">
      <c r="B36" s="287" t="s">
        <v>24</v>
      </c>
      <c r="C36" s="287"/>
      <c r="D36" s="287"/>
      <c r="E36" s="223"/>
      <c r="G36" s="287" t="s">
        <v>53</v>
      </c>
      <c r="H36" s="287"/>
      <c r="K36" s="287" t="s">
        <v>337</v>
      </c>
      <c r="L36" s="287"/>
      <c r="P36" s="221">
        <v>0.2</v>
      </c>
      <c r="Q36" s="222">
        <v>4</v>
      </c>
    </row>
    <row r="37" spans="2:17">
      <c r="B37" s="19" t="s">
        <v>25</v>
      </c>
      <c r="C37" s="19"/>
      <c r="D37" s="224">
        <v>1000000</v>
      </c>
      <c r="E37" s="223"/>
      <c r="G37" s="19" t="s">
        <v>29</v>
      </c>
      <c r="H37" s="44">
        <v>342</v>
      </c>
      <c r="K37" s="10" t="s">
        <v>16</v>
      </c>
      <c r="L37" s="11">
        <f>L27</f>
        <v>45</v>
      </c>
      <c r="M37" s="217">
        <v>50000000</v>
      </c>
      <c r="N37" t="s">
        <v>482</v>
      </c>
      <c r="P37" s="221">
        <v>0.25</v>
      </c>
      <c r="Q37" s="222">
        <v>3</v>
      </c>
    </row>
    <row r="38" spans="2:17">
      <c r="B38" s="19" t="s">
        <v>26</v>
      </c>
      <c r="C38" s="19"/>
      <c r="D38" s="21">
        <v>0.66</v>
      </c>
      <c r="E38" s="223"/>
      <c r="G38" s="19" t="s">
        <v>26</v>
      </c>
      <c r="H38" s="21">
        <v>0.12</v>
      </c>
      <c r="K38" s="10" t="s">
        <v>17</v>
      </c>
      <c r="L38" s="11">
        <f>L28</f>
        <v>240</v>
      </c>
      <c r="M38" s="217">
        <f>L38/L37</f>
        <v>5.333333333333333</v>
      </c>
      <c r="N38" t="s">
        <v>483</v>
      </c>
      <c r="P38" s="221">
        <v>0.3</v>
      </c>
      <c r="Q38" s="222">
        <v>2.5</v>
      </c>
    </row>
    <row r="39" spans="2:17">
      <c r="B39" s="19" t="s">
        <v>27</v>
      </c>
      <c r="C39" s="19"/>
      <c r="D39" s="225">
        <v>6</v>
      </c>
      <c r="E39" s="223"/>
      <c r="G39" s="19" t="s">
        <v>27</v>
      </c>
      <c r="H39" s="22">
        <v>10</v>
      </c>
      <c r="K39" s="10" t="s">
        <v>484</v>
      </c>
      <c r="L39" s="10"/>
      <c r="M39" s="217">
        <f>M37/L38</f>
        <v>208333.33333333334</v>
      </c>
      <c r="N39" t="s">
        <v>485</v>
      </c>
      <c r="P39" s="226">
        <v>0.4</v>
      </c>
      <c r="Q39" s="227">
        <v>2</v>
      </c>
    </row>
    <row r="40" spans="2:17">
      <c r="B40" s="19" t="s">
        <v>28</v>
      </c>
      <c r="C40" s="19"/>
      <c r="D40" s="23">
        <v>500000</v>
      </c>
      <c r="E40" s="223"/>
      <c r="G40" s="19" t="s">
        <v>28</v>
      </c>
      <c r="H40" s="20">
        <v>0</v>
      </c>
      <c r="K40" s="10" t="s">
        <v>338</v>
      </c>
      <c r="L40" s="190">
        <f>(L38-L37)/L37</f>
        <v>4.333333333333333</v>
      </c>
      <c r="P40" s="226">
        <v>0.5</v>
      </c>
      <c r="Q40" s="227">
        <v>1</v>
      </c>
    </row>
    <row r="41" spans="2:17">
      <c r="B41" s="24" t="s">
        <v>29</v>
      </c>
      <c r="C41" s="24"/>
      <c r="D41" s="45">
        <f>FV(D38,D39,-D40,-D37)</f>
        <v>36018262.604416013</v>
      </c>
      <c r="E41" s="223"/>
      <c r="G41" s="24" t="s">
        <v>54</v>
      </c>
      <c r="H41" s="45">
        <f>PV(H38,H39,H40,-H37)</f>
        <v>110.11484691401803</v>
      </c>
      <c r="K41" s="10" t="s">
        <v>339</v>
      </c>
      <c r="L41" s="228">
        <f>L38/L37</f>
        <v>5.333333333333333</v>
      </c>
      <c r="P41" s="226">
        <v>0.75</v>
      </c>
      <c r="Q41" s="227">
        <v>1.3</v>
      </c>
    </row>
    <row r="42" spans="2:17" ht="15.75" thickBot="1">
      <c r="B42" s="229" t="s">
        <v>486</v>
      </c>
      <c r="D42" s="230">
        <f>D41/10000000</f>
        <v>3.6018262604416011</v>
      </c>
      <c r="P42" s="231">
        <v>1</v>
      </c>
      <c r="Q42" s="232">
        <v>1</v>
      </c>
    </row>
    <row r="43" spans="2:17" ht="15.75" thickBot="1">
      <c r="C43" s="281" t="s">
        <v>460</v>
      </c>
      <c r="D43" s="281"/>
      <c r="E43" s="281"/>
      <c r="F43" s="281"/>
      <c r="J43" s="281" t="s">
        <v>460</v>
      </c>
      <c r="K43" s="281"/>
      <c r="L43" s="281"/>
      <c r="M43" s="281"/>
    </row>
    <row r="44" spans="2:17" ht="15.75" thickBot="1">
      <c r="B44" s="233"/>
      <c r="C44" s="274" t="s">
        <v>487</v>
      </c>
      <c r="D44" s="275"/>
      <c r="E44" s="234" t="s">
        <v>488</v>
      </c>
      <c r="F44" s="234"/>
      <c r="G44" s="235"/>
      <c r="I44" s="233"/>
      <c r="J44" s="274" t="s">
        <v>489</v>
      </c>
      <c r="K44" s="275"/>
      <c r="L44" s="234" t="s">
        <v>490</v>
      </c>
      <c r="M44" s="234"/>
      <c r="N44" s="235"/>
    </row>
    <row r="45" spans="2:17" ht="15.75" thickBot="1">
      <c r="B45" s="201"/>
      <c r="C45" s="198"/>
      <c r="D45" s="198"/>
      <c r="E45" s="198"/>
      <c r="F45" s="198"/>
      <c r="G45" s="199"/>
      <c r="I45" s="201"/>
      <c r="J45" s="198"/>
      <c r="K45" s="198"/>
      <c r="L45" s="198"/>
      <c r="M45" s="198"/>
      <c r="N45" s="199"/>
    </row>
    <row r="46" spans="2:17" ht="15.75" thickBot="1">
      <c r="B46" s="276" t="s">
        <v>491</v>
      </c>
      <c r="C46" s="277"/>
      <c r="D46" s="277"/>
      <c r="E46" s="277"/>
      <c r="F46" s="277"/>
      <c r="G46" s="278"/>
      <c r="I46" s="276" t="s">
        <v>491</v>
      </c>
      <c r="J46" s="277"/>
      <c r="K46" s="277"/>
      <c r="L46" s="277"/>
      <c r="M46" s="277"/>
      <c r="N46" s="278"/>
    </row>
    <row r="47" spans="2:17">
      <c r="B47" s="201"/>
      <c r="C47" s="198"/>
      <c r="D47" s="236">
        <v>1100000</v>
      </c>
      <c r="E47" s="198"/>
      <c r="F47" s="198"/>
      <c r="G47" s="199"/>
      <c r="I47" s="201"/>
      <c r="J47" s="198"/>
      <c r="K47" s="198"/>
      <c r="L47" s="198"/>
      <c r="M47" s="198"/>
      <c r="N47" s="199"/>
    </row>
    <row r="48" spans="2:17" ht="30">
      <c r="B48" s="237" t="s">
        <v>14</v>
      </c>
      <c r="C48" s="238" t="s">
        <v>492</v>
      </c>
      <c r="D48" s="238" t="s">
        <v>493</v>
      </c>
      <c r="E48" s="238" t="s">
        <v>494</v>
      </c>
      <c r="F48" s="238" t="s">
        <v>495</v>
      </c>
      <c r="G48" s="239" t="s">
        <v>496</v>
      </c>
      <c r="I48" s="237" t="s">
        <v>14</v>
      </c>
      <c r="J48" s="238" t="s">
        <v>492</v>
      </c>
      <c r="K48" s="238" t="s">
        <v>497</v>
      </c>
      <c r="L48" s="238" t="s">
        <v>494</v>
      </c>
      <c r="M48" s="238" t="s">
        <v>495</v>
      </c>
      <c r="N48" s="239" t="s">
        <v>496</v>
      </c>
      <c r="O48" s="240" t="s">
        <v>498</v>
      </c>
      <c r="P48" s="241" t="s">
        <v>4</v>
      </c>
    </row>
    <row r="49" spans="1:16">
      <c r="A49">
        <v>2013</v>
      </c>
      <c r="B49" s="242">
        <v>0</v>
      </c>
      <c r="C49" s="243">
        <v>0</v>
      </c>
      <c r="D49" s="244">
        <v>1000000</v>
      </c>
      <c r="E49" s="245">
        <v>0.5</v>
      </c>
      <c r="F49" s="246">
        <f xml:space="preserve"> (C49) * E49</f>
        <v>0</v>
      </c>
      <c r="G49" s="247">
        <f>C49+D49+F49</f>
        <v>1000000</v>
      </c>
      <c r="H49" s="217"/>
      <c r="I49" s="242">
        <v>0</v>
      </c>
      <c r="J49" s="243">
        <v>1</v>
      </c>
      <c r="K49" s="244">
        <v>0</v>
      </c>
      <c r="L49" s="245">
        <v>3</v>
      </c>
      <c r="M49" s="243">
        <f xml:space="preserve"> (J49+K49) * L49</f>
        <v>3</v>
      </c>
      <c r="N49" s="248">
        <f>J49+K49+M49</f>
        <v>4</v>
      </c>
      <c r="O49">
        <v>2015</v>
      </c>
      <c r="P49" s="249">
        <f t="shared" ref="P49:P64" si="1">N49/10000000</f>
        <v>3.9999999999999998E-7</v>
      </c>
    </row>
    <row r="50" spans="1:16">
      <c r="A50">
        <f>A49+1</f>
        <v>2014</v>
      </c>
      <c r="B50" s="242">
        <f>B49+1</f>
        <v>1</v>
      </c>
      <c r="C50" s="243">
        <f t="shared" ref="C50:C79" si="2">G49</f>
        <v>1000000</v>
      </c>
      <c r="D50" s="244">
        <v>1500000</v>
      </c>
      <c r="E50" s="245">
        <f>E49</f>
        <v>0.5</v>
      </c>
      <c r="F50" s="246">
        <f t="shared" ref="F50:F79" si="3" xml:space="preserve"> (C50) * E50</f>
        <v>500000</v>
      </c>
      <c r="G50" s="247">
        <f t="shared" ref="G50:G80" si="4">C50+D50+F50</f>
        <v>3000000</v>
      </c>
      <c r="H50" s="217"/>
      <c r="I50" s="242">
        <f>I49+1</f>
        <v>1</v>
      </c>
      <c r="J50" s="243">
        <f>N49</f>
        <v>4</v>
      </c>
      <c r="K50" s="244">
        <v>0</v>
      </c>
      <c r="L50" s="245">
        <v>2</v>
      </c>
      <c r="M50" s="243">
        <f t="shared" ref="M50:M80" si="5" xml:space="preserve"> (J50+K50) * L50</f>
        <v>8</v>
      </c>
      <c r="N50" s="248">
        <f t="shared" ref="N50:N80" si="6">J50+K50+M50</f>
        <v>12</v>
      </c>
      <c r="O50">
        <f t="shared" ref="O50:O64" si="7">O49+1</f>
        <v>2016</v>
      </c>
      <c r="P50" s="249">
        <f t="shared" si="1"/>
        <v>1.1999999999999999E-6</v>
      </c>
    </row>
    <row r="51" spans="1:16">
      <c r="A51">
        <f t="shared" ref="A51:B66" si="8">A50+1</f>
        <v>2015</v>
      </c>
      <c r="B51" s="242">
        <f t="shared" si="8"/>
        <v>2</v>
      </c>
      <c r="C51" s="243">
        <f t="shared" si="2"/>
        <v>3000000</v>
      </c>
      <c r="D51" s="244">
        <v>2000000</v>
      </c>
      <c r="E51" s="245">
        <f>E50</f>
        <v>0.5</v>
      </c>
      <c r="F51" s="246">
        <f t="shared" si="3"/>
        <v>1500000</v>
      </c>
      <c r="G51" s="247">
        <f t="shared" si="4"/>
        <v>6500000</v>
      </c>
      <c r="H51" s="217"/>
      <c r="I51" s="242">
        <f t="shared" ref="I51:I79" si="9">I50+1</f>
        <v>2</v>
      </c>
      <c r="J51" s="243">
        <f t="shared" ref="J51:J80" si="10">N50</f>
        <v>12</v>
      </c>
      <c r="K51" s="244">
        <v>0</v>
      </c>
      <c r="L51" s="245">
        <v>0.8</v>
      </c>
      <c r="M51" s="243">
        <f t="shared" si="5"/>
        <v>9.6000000000000014</v>
      </c>
      <c r="N51" s="248">
        <f t="shared" si="6"/>
        <v>21.6</v>
      </c>
      <c r="O51">
        <f t="shared" si="7"/>
        <v>2017</v>
      </c>
      <c r="P51" s="249">
        <f t="shared" si="1"/>
        <v>2.1600000000000001E-6</v>
      </c>
    </row>
    <row r="52" spans="1:16">
      <c r="A52">
        <f t="shared" si="8"/>
        <v>2016</v>
      </c>
      <c r="B52" s="242">
        <f t="shared" si="8"/>
        <v>3</v>
      </c>
      <c r="C52" s="243">
        <f t="shared" si="2"/>
        <v>6500000</v>
      </c>
      <c r="D52" s="244">
        <v>2500000</v>
      </c>
      <c r="E52" s="245">
        <f t="shared" ref="E52:E70" si="11">E51</f>
        <v>0.5</v>
      </c>
      <c r="F52" s="246">
        <f t="shared" si="3"/>
        <v>3250000</v>
      </c>
      <c r="G52" s="247">
        <f t="shared" si="4"/>
        <v>12250000</v>
      </c>
      <c r="H52" s="217"/>
      <c r="I52" s="242">
        <f t="shared" si="9"/>
        <v>3</v>
      </c>
      <c r="J52" s="243">
        <f t="shared" si="10"/>
        <v>21.6</v>
      </c>
      <c r="K52" s="244">
        <v>0</v>
      </c>
      <c r="L52" s="250">
        <v>0.4</v>
      </c>
      <c r="M52" s="243">
        <f t="shared" si="5"/>
        <v>8.64</v>
      </c>
      <c r="N52" s="248">
        <f t="shared" si="6"/>
        <v>30.240000000000002</v>
      </c>
      <c r="O52">
        <f t="shared" si="7"/>
        <v>2018</v>
      </c>
      <c r="P52" s="249">
        <f t="shared" si="1"/>
        <v>3.0240000000000002E-6</v>
      </c>
    </row>
    <row r="53" spans="1:16">
      <c r="A53">
        <f t="shared" si="8"/>
        <v>2017</v>
      </c>
      <c r="B53" s="242">
        <f t="shared" si="8"/>
        <v>4</v>
      </c>
      <c r="C53" s="243">
        <f t="shared" si="2"/>
        <v>12250000</v>
      </c>
      <c r="D53" s="244">
        <v>3000000</v>
      </c>
      <c r="E53" s="245">
        <f t="shared" si="11"/>
        <v>0.5</v>
      </c>
      <c r="F53" s="246">
        <f t="shared" si="3"/>
        <v>6125000</v>
      </c>
      <c r="G53" s="247">
        <f t="shared" si="4"/>
        <v>21375000</v>
      </c>
      <c r="H53" s="217"/>
      <c r="I53" s="242">
        <f t="shared" si="9"/>
        <v>4</v>
      </c>
      <c r="J53" s="243">
        <f t="shared" si="10"/>
        <v>30.240000000000002</v>
      </c>
      <c r="K53" s="244">
        <v>0</v>
      </c>
      <c r="L53" s="250">
        <v>0.3</v>
      </c>
      <c r="M53" s="243">
        <f t="shared" si="5"/>
        <v>9.072000000000001</v>
      </c>
      <c r="N53" s="248">
        <f t="shared" si="6"/>
        <v>39.312000000000005</v>
      </c>
      <c r="O53">
        <f t="shared" si="7"/>
        <v>2019</v>
      </c>
      <c r="P53" s="249">
        <f t="shared" si="1"/>
        <v>3.9312000000000006E-6</v>
      </c>
    </row>
    <row r="54" spans="1:16">
      <c r="A54">
        <f t="shared" si="8"/>
        <v>2018</v>
      </c>
      <c r="B54" s="242">
        <f t="shared" si="8"/>
        <v>5</v>
      </c>
      <c r="C54" s="243">
        <f t="shared" si="2"/>
        <v>21375000</v>
      </c>
      <c r="D54" s="244">
        <v>3500000</v>
      </c>
      <c r="E54" s="245">
        <f t="shared" si="11"/>
        <v>0.5</v>
      </c>
      <c r="F54" s="246">
        <f t="shared" si="3"/>
        <v>10687500</v>
      </c>
      <c r="G54" s="247">
        <f t="shared" si="4"/>
        <v>35562500</v>
      </c>
      <c r="H54" s="217"/>
      <c r="I54" s="242">
        <f t="shared" si="9"/>
        <v>5</v>
      </c>
      <c r="J54" s="243">
        <f t="shared" si="10"/>
        <v>39.312000000000005</v>
      </c>
      <c r="K54" s="244">
        <v>0</v>
      </c>
      <c r="L54" s="245">
        <v>0.2</v>
      </c>
      <c r="M54" s="243">
        <f t="shared" si="5"/>
        <v>7.8624000000000009</v>
      </c>
      <c r="N54" s="248">
        <f t="shared" si="6"/>
        <v>47.174400000000006</v>
      </c>
      <c r="O54">
        <f t="shared" si="7"/>
        <v>2020</v>
      </c>
      <c r="P54" s="249">
        <f t="shared" si="1"/>
        <v>4.7174400000000002E-6</v>
      </c>
    </row>
    <row r="55" spans="1:16">
      <c r="A55">
        <f t="shared" si="8"/>
        <v>2019</v>
      </c>
      <c r="B55" s="242">
        <f t="shared" si="8"/>
        <v>6</v>
      </c>
      <c r="C55" s="243">
        <f t="shared" si="2"/>
        <v>35562500</v>
      </c>
      <c r="D55" s="244">
        <v>4000000</v>
      </c>
      <c r="E55" s="245">
        <f t="shared" si="11"/>
        <v>0.5</v>
      </c>
      <c r="F55" s="246">
        <f t="shared" si="3"/>
        <v>17781250</v>
      </c>
      <c r="G55" s="247">
        <f t="shared" si="4"/>
        <v>57343750</v>
      </c>
      <c r="H55" s="217"/>
      <c r="I55" s="242">
        <f t="shared" si="9"/>
        <v>6</v>
      </c>
      <c r="J55" s="243">
        <f t="shared" si="10"/>
        <v>47.174400000000006</v>
      </c>
      <c r="K55" s="244">
        <v>0</v>
      </c>
      <c r="L55" s="245">
        <f t="shared" ref="L55:L67" si="12">L54</f>
        <v>0.2</v>
      </c>
      <c r="M55" s="243">
        <f t="shared" si="5"/>
        <v>9.4348800000000015</v>
      </c>
      <c r="N55" s="248">
        <f t="shared" si="6"/>
        <v>56.609280000000005</v>
      </c>
      <c r="O55">
        <f t="shared" si="7"/>
        <v>2021</v>
      </c>
      <c r="P55" s="249">
        <f t="shared" si="1"/>
        <v>5.6609280000000002E-6</v>
      </c>
    </row>
    <row r="56" spans="1:16">
      <c r="A56">
        <f t="shared" si="8"/>
        <v>2020</v>
      </c>
      <c r="B56" s="242">
        <f t="shared" si="8"/>
        <v>7</v>
      </c>
      <c r="C56" s="243">
        <f t="shared" si="2"/>
        <v>57343750</v>
      </c>
      <c r="D56" s="244">
        <v>5000000</v>
      </c>
      <c r="E56" s="245">
        <f t="shared" si="11"/>
        <v>0.5</v>
      </c>
      <c r="F56" s="246">
        <f t="shared" si="3"/>
        <v>28671875</v>
      </c>
      <c r="G56" s="247">
        <f t="shared" si="4"/>
        <v>91015625</v>
      </c>
      <c r="H56" s="217">
        <f>G56/10000000</f>
        <v>9.1015625</v>
      </c>
      <c r="I56" s="242">
        <f t="shared" si="9"/>
        <v>7</v>
      </c>
      <c r="J56" s="243">
        <f t="shared" si="10"/>
        <v>56.609280000000005</v>
      </c>
      <c r="K56" s="244">
        <v>0</v>
      </c>
      <c r="L56" s="245">
        <f t="shared" si="12"/>
        <v>0.2</v>
      </c>
      <c r="M56" s="243">
        <f t="shared" si="5"/>
        <v>11.321856000000002</v>
      </c>
      <c r="N56" s="248">
        <f t="shared" si="6"/>
        <v>67.931136000000009</v>
      </c>
      <c r="O56">
        <f t="shared" si="7"/>
        <v>2022</v>
      </c>
      <c r="P56" s="249">
        <f t="shared" si="1"/>
        <v>6.7931136000000013E-6</v>
      </c>
    </row>
    <row r="57" spans="1:16">
      <c r="A57">
        <f t="shared" si="8"/>
        <v>2021</v>
      </c>
      <c r="B57" s="242">
        <f t="shared" si="8"/>
        <v>8</v>
      </c>
      <c r="C57" s="243">
        <f t="shared" si="2"/>
        <v>91015625</v>
      </c>
      <c r="D57" s="244">
        <v>0</v>
      </c>
      <c r="E57" s="245">
        <f t="shared" si="11"/>
        <v>0.5</v>
      </c>
      <c r="F57" s="246">
        <f t="shared" si="3"/>
        <v>45507812.5</v>
      </c>
      <c r="G57" s="247">
        <f t="shared" si="4"/>
        <v>136523437.5</v>
      </c>
      <c r="H57" s="217"/>
      <c r="I57" s="242">
        <f t="shared" si="9"/>
        <v>8</v>
      </c>
      <c r="J57" s="243">
        <f t="shared" si="10"/>
        <v>67.931136000000009</v>
      </c>
      <c r="K57" s="244">
        <v>0</v>
      </c>
      <c r="L57" s="245">
        <f t="shared" si="12"/>
        <v>0.2</v>
      </c>
      <c r="M57" s="243">
        <f t="shared" si="5"/>
        <v>13.586227200000003</v>
      </c>
      <c r="N57" s="248">
        <f t="shared" si="6"/>
        <v>81.517363200000005</v>
      </c>
      <c r="O57">
        <f t="shared" si="7"/>
        <v>2023</v>
      </c>
      <c r="P57" s="249">
        <f t="shared" si="1"/>
        <v>8.1517363199999998E-6</v>
      </c>
    </row>
    <row r="58" spans="1:16">
      <c r="A58">
        <f t="shared" si="8"/>
        <v>2022</v>
      </c>
      <c r="B58" s="242">
        <f t="shared" si="8"/>
        <v>9</v>
      </c>
      <c r="C58" s="243">
        <f t="shared" si="2"/>
        <v>136523437.5</v>
      </c>
      <c r="D58" s="244">
        <v>0</v>
      </c>
      <c r="E58" s="245">
        <f t="shared" si="11"/>
        <v>0.5</v>
      </c>
      <c r="F58" s="246">
        <f t="shared" si="3"/>
        <v>68261718.75</v>
      </c>
      <c r="G58" s="247">
        <f t="shared" si="4"/>
        <v>204785156.25</v>
      </c>
      <c r="H58" s="217"/>
      <c r="I58" s="242">
        <f t="shared" si="9"/>
        <v>9</v>
      </c>
      <c r="J58" s="243">
        <f t="shared" si="10"/>
        <v>81.517363200000005</v>
      </c>
      <c r="K58" s="244">
        <v>0</v>
      </c>
      <c r="L58" s="245">
        <f t="shared" si="12"/>
        <v>0.2</v>
      </c>
      <c r="M58" s="243">
        <f t="shared" si="5"/>
        <v>16.303472640000003</v>
      </c>
      <c r="N58" s="248">
        <f t="shared" si="6"/>
        <v>97.820835840000001</v>
      </c>
      <c r="O58">
        <f t="shared" si="7"/>
        <v>2024</v>
      </c>
      <c r="P58" s="249">
        <f t="shared" si="1"/>
        <v>9.7820835840000005E-6</v>
      </c>
    </row>
    <row r="59" spans="1:16">
      <c r="A59">
        <f t="shared" si="8"/>
        <v>2023</v>
      </c>
      <c r="B59" s="242">
        <f t="shared" si="8"/>
        <v>10</v>
      </c>
      <c r="C59" s="243">
        <f t="shared" si="2"/>
        <v>204785156.25</v>
      </c>
      <c r="D59" s="244">
        <v>0</v>
      </c>
      <c r="E59" s="245">
        <f t="shared" si="11"/>
        <v>0.5</v>
      </c>
      <c r="F59" s="246">
        <f t="shared" si="3"/>
        <v>102392578.125</v>
      </c>
      <c r="G59" s="247">
        <f t="shared" si="4"/>
        <v>307177734.375</v>
      </c>
      <c r="H59" s="217"/>
      <c r="I59" s="242">
        <f t="shared" si="9"/>
        <v>10</v>
      </c>
      <c r="J59" s="243">
        <f t="shared" si="10"/>
        <v>97.820835840000001</v>
      </c>
      <c r="K59" s="244">
        <v>0</v>
      </c>
      <c r="L59" s="245">
        <f t="shared" si="12"/>
        <v>0.2</v>
      </c>
      <c r="M59" s="243">
        <f t="shared" si="5"/>
        <v>19.564167168000001</v>
      </c>
      <c r="N59" s="248">
        <f t="shared" si="6"/>
        <v>117.385003008</v>
      </c>
      <c r="O59">
        <f t="shared" si="7"/>
        <v>2025</v>
      </c>
      <c r="P59" s="249">
        <f t="shared" si="1"/>
        <v>1.17385003008E-5</v>
      </c>
    </row>
    <row r="60" spans="1:16">
      <c r="A60">
        <f t="shared" si="8"/>
        <v>2024</v>
      </c>
      <c r="B60" s="242">
        <f t="shared" si="8"/>
        <v>11</v>
      </c>
      <c r="C60" s="243">
        <f t="shared" si="2"/>
        <v>307177734.375</v>
      </c>
      <c r="D60" s="244">
        <v>0</v>
      </c>
      <c r="E60" s="245">
        <f t="shared" si="11"/>
        <v>0.5</v>
      </c>
      <c r="F60" s="246">
        <f t="shared" si="3"/>
        <v>153588867.1875</v>
      </c>
      <c r="G60" s="247">
        <f t="shared" si="4"/>
        <v>460766601.5625</v>
      </c>
      <c r="H60" s="217"/>
      <c r="I60" s="242">
        <f t="shared" si="9"/>
        <v>11</v>
      </c>
      <c r="J60" s="243">
        <f t="shared" si="10"/>
        <v>117.385003008</v>
      </c>
      <c r="K60" s="244">
        <v>0</v>
      </c>
      <c r="L60" s="245">
        <f t="shared" si="12"/>
        <v>0.2</v>
      </c>
      <c r="M60" s="243">
        <f t="shared" si="5"/>
        <v>23.4770006016</v>
      </c>
      <c r="N60" s="248">
        <f t="shared" si="6"/>
        <v>140.86200360960001</v>
      </c>
      <c r="O60">
        <f t="shared" si="7"/>
        <v>2026</v>
      </c>
      <c r="P60" s="249">
        <f t="shared" si="1"/>
        <v>1.4086200360960001E-5</v>
      </c>
    </row>
    <row r="61" spans="1:16">
      <c r="A61">
        <f t="shared" si="8"/>
        <v>2025</v>
      </c>
      <c r="B61" s="242">
        <f t="shared" si="8"/>
        <v>12</v>
      </c>
      <c r="C61" s="243">
        <f t="shared" si="2"/>
        <v>460766601.5625</v>
      </c>
      <c r="D61" s="244">
        <v>0</v>
      </c>
      <c r="E61" s="245">
        <f t="shared" si="11"/>
        <v>0.5</v>
      </c>
      <c r="F61" s="246">
        <f t="shared" si="3"/>
        <v>230383300.78125</v>
      </c>
      <c r="G61" s="247">
        <f t="shared" si="4"/>
        <v>691149902.34375</v>
      </c>
      <c r="H61" s="217"/>
      <c r="I61" s="242">
        <f t="shared" si="9"/>
        <v>12</v>
      </c>
      <c r="J61" s="243">
        <f t="shared" si="10"/>
        <v>140.86200360960001</v>
      </c>
      <c r="K61" s="244">
        <v>0</v>
      </c>
      <c r="L61" s="245">
        <f t="shared" si="12"/>
        <v>0.2</v>
      </c>
      <c r="M61" s="243">
        <f t="shared" si="5"/>
        <v>28.172400721920003</v>
      </c>
      <c r="N61" s="248">
        <f t="shared" si="6"/>
        <v>169.03440433152002</v>
      </c>
      <c r="O61">
        <f t="shared" si="7"/>
        <v>2027</v>
      </c>
      <c r="P61" s="249">
        <f t="shared" si="1"/>
        <v>1.6903440433152003E-5</v>
      </c>
    </row>
    <row r="62" spans="1:16">
      <c r="A62">
        <f t="shared" si="8"/>
        <v>2026</v>
      </c>
      <c r="B62" s="242">
        <f t="shared" si="8"/>
        <v>13</v>
      </c>
      <c r="C62" s="243">
        <f t="shared" si="2"/>
        <v>691149902.34375</v>
      </c>
      <c r="D62" s="244">
        <v>0</v>
      </c>
      <c r="E62" s="245">
        <f t="shared" si="11"/>
        <v>0.5</v>
      </c>
      <c r="F62" s="246">
        <f t="shared" si="3"/>
        <v>345574951.171875</v>
      </c>
      <c r="G62" s="247">
        <f t="shared" si="4"/>
        <v>1036724853.515625</v>
      </c>
      <c r="H62" s="217"/>
      <c r="I62" s="242">
        <f t="shared" si="9"/>
        <v>13</v>
      </c>
      <c r="J62" s="243">
        <f t="shared" si="10"/>
        <v>169.03440433152002</v>
      </c>
      <c r="K62" s="244">
        <v>0</v>
      </c>
      <c r="L62" s="245">
        <f t="shared" si="12"/>
        <v>0.2</v>
      </c>
      <c r="M62" s="243">
        <f t="shared" si="5"/>
        <v>33.806880866304006</v>
      </c>
      <c r="N62" s="248">
        <f t="shared" si="6"/>
        <v>202.84128519782402</v>
      </c>
      <c r="O62">
        <f t="shared" si="7"/>
        <v>2028</v>
      </c>
      <c r="P62" s="249">
        <f t="shared" si="1"/>
        <v>2.0284128519782403E-5</v>
      </c>
    </row>
    <row r="63" spans="1:16">
      <c r="A63">
        <f t="shared" si="8"/>
        <v>2027</v>
      </c>
      <c r="B63" s="242">
        <f t="shared" si="8"/>
        <v>14</v>
      </c>
      <c r="C63" s="243">
        <f t="shared" si="2"/>
        <v>1036724853.515625</v>
      </c>
      <c r="D63" s="244">
        <v>0</v>
      </c>
      <c r="E63" s="245">
        <f t="shared" si="11"/>
        <v>0.5</v>
      </c>
      <c r="F63" s="246">
        <f t="shared" si="3"/>
        <v>518362426.7578125</v>
      </c>
      <c r="G63" s="247">
        <f t="shared" si="4"/>
        <v>1555087280.2734375</v>
      </c>
      <c r="H63" s="217"/>
      <c r="I63" s="242">
        <f t="shared" si="9"/>
        <v>14</v>
      </c>
      <c r="J63" s="243">
        <f t="shared" si="10"/>
        <v>202.84128519782402</v>
      </c>
      <c r="K63" s="244">
        <v>0</v>
      </c>
      <c r="L63" s="245">
        <f t="shared" si="12"/>
        <v>0.2</v>
      </c>
      <c r="M63" s="243">
        <f t="shared" si="5"/>
        <v>40.568257039564806</v>
      </c>
      <c r="N63" s="248">
        <f t="shared" si="6"/>
        <v>243.40954223738882</v>
      </c>
      <c r="O63">
        <f t="shared" si="7"/>
        <v>2029</v>
      </c>
      <c r="P63" s="249">
        <f t="shared" si="1"/>
        <v>2.4340954223738881E-5</v>
      </c>
    </row>
    <row r="64" spans="1:16">
      <c r="A64">
        <f t="shared" si="8"/>
        <v>2028</v>
      </c>
      <c r="B64" s="242">
        <f t="shared" si="8"/>
        <v>15</v>
      </c>
      <c r="C64" s="243">
        <f t="shared" si="2"/>
        <v>1555087280.2734375</v>
      </c>
      <c r="D64" s="244">
        <v>0</v>
      </c>
      <c r="E64" s="245">
        <f t="shared" si="11"/>
        <v>0.5</v>
      </c>
      <c r="F64" s="246">
        <f t="shared" si="3"/>
        <v>777543640.13671875</v>
      </c>
      <c r="G64" s="247">
        <f t="shared" si="4"/>
        <v>2332630920.4101562</v>
      </c>
      <c r="H64" s="217"/>
      <c r="I64" s="242">
        <f t="shared" si="9"/>
        <v>15</v>
      </c>
      <c r="J64" s="243">
        <f t="shared" si="10"/>
        <v>243.40954223738882</v>
      </c>
      <c r="K64" s="244">
        <v>0</v>
      </c>
      <c r="L64" s="245">
        <f t="shared" si="12"/>
        <v>0.2</v>
      </c>
      <c r="M64" s="243">
        <f t="shared" si="5"/>
        <v>48.681908447477767</v>
      </c>
      <c r="N64" s="248">
        <f t="shared" si="6"/>
        <v>292.09145068486657</v>
      </c>
      <c r="O64">
        <f t="shared" si="7"/>
        <v>2030</v>
      </c>
      <c r="P64" s="249">
        <f t="shared" si="1"/>
        <v>2.9209145068486657E-5</v>
      </c>
    </row>
    <row r="65" spans="1:14">
      <c r="A65">
        <f t="shared" si="8"/>
        <v>2029</v>
      </c>
      <c r="B65" s="242">
        <f t="shared" si="8"/>
        <v>16</v>
      </c>
      <c r="C65" s="243">
        <f t="shared" si="2"/>
        <v>2332630920.4101562</v>
      </c>
      <c r="D65" s="244">
        <v>0</v>
      </c>
      <c r="E65" s="245">
        <f t="shared" si="11"/>
        <v>0.5</v>
      </c>
      <c r="F65" s="246">
        <f t="shared" si="3"/>
        <v>1166315460.2050781</v>
      </c>
      <c r="G65" s="247">
        <f t="shared" si="4"/>
        <v>3498946380.6152344</v>
      </c>
      <c r="H65" s="217"/>
      <c r="I65" s="242">
        <f t="shared" si="9"/>
        <v>16</v>
      </c>
      <c r="J65" s="243">
        <f t="shared" si="10"/>
        <v>292.09145068486657</v>
      </c>
      <c r="K65" s="244">
        <v>0</v>
      </c>
      <c r="L65" s="245">
        <f t="shared" si="12"/>
        <v>0.2</v>
      </c>
      <c r="M65" s="243">
        <f t="shared" si="5"/>
        <v>58.418290136973319</v>
      </c>
      <c r="N65" s="248">
        <f t="shared" si="6"/>
        <v>350.5097408218399</v>
      </c>
    </row>
    <row r="66" spans="1:14">
      <c r="A66" s="251">
        <f t="shared" si="8"/>
        <v>2030</v>
      </c>
      <c r="B66" s="242">
        <f t="shared" si="8"/>
        <v>17</v>
      </c>
      <c r="C66" s="243">
        <f t="shared" si="2"/>
        <v>3498946380.6152344</v>
      </c>
      <c r="D66" s="244">
        <v>0</v>
      </c>
      <c r="E66" s="245">
        <f t="shared" si="11"/>
        <v>0.5</v>
      </c>
      <c r="F66" s="246">
        <f t="shared" si="3"/>
        <v>1749473190.3076172</v>
      </c>
      <c r="G66" s="252">
        <f t="shared" si="4"/>
        <v>5248419570.9228516</v>
      </c>
      <c r="H66" s="217">
        <f>G66/10000000</f>
        <v>524.84195709228516</v>
      </c>
      <c r="I66" s="242">
        <f t="shared" si="9"/>
        <v>17</v>
      </c>
      <c r="J66" s="243">
        <f t="shared" si="10"/>
        <v>350.5097408218399</v>
      </c>
      <c r="K66" s="244">
        <v>0</v>
      </c>
      <c r="L66" s="245">
        <f t="shared" si="12"/>
        <v>0.2</v>
      </c>
      <c r="M66" s="243">
        <f t="shared" si="5"/>
        <v>70.101948164367982</v>
      </c>
      <c r="N66" s="248">
        <f t="shared" si="6"/>
        <v>420.61168898620787</v>
      </c>
    </row>
    <row r="67" spans="1:14">
      <c r="A67">
        <f t="shared" ref="A67:B79" si="13">A66+1</f>
        <v>2031</v>
      </c>
      <c r="B67" s="242">
        <f t="shared" si="13"/>
        <v>18</v>
      </c>
      <c r="C67" s="243">
        <f t="shared" si="2"/>
        <v>5248419570.9228516</v>
      </c>
      <c r="D67" s="244">
        <v>0</v>
      </c>
      <c r="E67" s="245">
        <v>0</v>
      </c>
      <c r="F67" s="246">
        <f t="shared" si="3"/>
        <v>0</v>
      </c>
      <c r="G67" s="247">
        <f t="shared" si="4"/>
        <v>5248419570.9228516</v>
      </c>
      <c r="H67" s="253"/>
      <c r="I67" s="242">
        <f t="shared" si="9"/>
        <v>18</v>
      </c>
      <c r="J67" s="243">
        <f t="shared" si="10"/>
        <v>420.61168898620787</v>
      </c>
      <c r="K67" s="244">
        <v>0</v>
      </c>
      <c r="L67" s="245">
        <f t="shared" si="12"/>
        <v>0.2</v>
      </c>
      <c r="M67" s="243">
        <f t="shared" si="5"/>
        <v>84.122337797241585</v>
      </c>
      <c r="N67" s="248">
        <f t="shared" si="6"/>
        <v>504.73402678344945</v>
      </c>
    </row>
    <row r="68" spans="1:14">
      <c r="B68" s="242">
        <f t="shared" si="13"/>
        <v>19</v>
      </c>
      <c r="C68" s="243">
        <f t="shared" si="2"/>
        <v>5248419570.9228516</v>
      </c>
      <c r="D68" s="244">
        <v>0</v>
      </c>
      <c r="E68" s="245">
        <v>0</v>
      </c>
      <c r="F68" s="246">
        <f t="shared" si="3"/>
        <v>0</v>
      </c>
      <c r="G68" s="247">
        <f t="shared" si="4"/>
        <v>5248419570.9228516</v>
      </c>
      <c r="H68" s="254" t="e">
        <f>H49/C49</f>
        <v>#DIV/0!</v>
      </c>
      <c r="I68" s="242">
        <f t="shared" si="9"/>
        <v>19</v>
      </c>
      <c r="J68" s="243">
        <f t="shared" si="10"/>
        <v>504.73402678344945</v>
      </c>
      <c r="K68" s="244"/>
      <c r="L68" s="245"/>
      <c r="M68" s="243">
        <f t="shared" si="5"/>
        <v>0</v>
      </c>
      <c r="N68" s="248">
        <f t="shared" si="6"/>
        <v>504.73402678344945</v>
      </c>
    </row>
    <row r="69" spans="1:14">
      <c r="B69" s="242">
        <f t="shared" si="13"/>
        <v>20</v>
      </c>
      <c r="C69" s="243">
        <f t="shared" si="2"/>
        <v>5248419570.9228516</v>
      </c>
      <c r="D69" s="244">
        <v>0</v>
      </c>
      <c r="E69" s="245">
        <f t="shared" si="11"/>
        <v>0</v>
      </c>
      <c r="F69" s="246">
        <f t="shared" si="3"/>
        <v>0</v>
      </c>
      <c r="G69" s="247">
        <f t="shared" si="4"/>
        <v>5248419570.9228516</v>
      </c>
      <c r="H69" s="254">
        <f t="shared" ref="H69:H88" si="14">H50/C50</f>
        <v>0</v>
      </c>
      <c r="I69" s="242">
        <f t="shared" si="9"/>
        <v>20</v>
      </c>
      <c r="J69" s="243">
        <f t="shared" si="10"/>
        <v>504.73402678344945</v>
      </c>
      <c r="K69" s="244"/>
      <c r="L69" s="245"/>
      <c r="M69" s="243">
        <f t="shared" si="5"/>
        <v>0</v>
      </c>
      <c r="N69" s="248">
        <f t="shared" si="6"/>
        <v>504.73402678344945</v>
      </c>
    </row>
    <row r="70" spans="1:14">
      <c r="B70" s="242">
        <f t="shared" si="13"/>
        <v>21</v>
      </c>
      <c r="C70" s="243">
        <f t="shared" si="2"/>
        <v>5248419570.9228516</v>
      </c>
      <c r="D70" s="244"/>
      <c r="E70" s="245">
        <f t="shared" si="11"/>
        <v>0</v>
      </c>
      <c r="F70" s="246">
        <f t="shared" si="3"/>
        <v>0</v>
      </c>
      <c r="G70" s="247">
        <f t="shared" si="4"/>
        <v>5248419570.9228516</v>
      </c>
      <c r="H70" s="254">
        <f t="shared" si="14"/>
        <v>0</v>
      </c>
      <c r="I70" s="242">
        <f t="shared" si="9"/>
        <v>21</v>
      </c>
      <c r="J70" s="243">
        <f t="shared" si="10"/>
        <v>504.73402678344945</v>
      </c>
      <c r="K70" s="244"/>
      <c r="L70" s="245"/>
      <c r="M70" s="243">
        <f t="shared" si="5"/>
        <v>0</v>
      </c>
      <c r="N70" s="248">
        <f t="shared" si="6"/>
        <v>504.73402678344945</v>
      </c>
    </row>
    <row r="71" spans="1:14">
      <c r="B71" s="242">
        <f t="shared" si="13"/>
        <v>22</v>
      </c>
      <c r="C71" s="243">
        <f t="shared" si="2"/>
        <v>5248419570.9228516</v>
      </c>
      <c r="D71" s="244"/>
      <c r="E71" s="245"/>
      <c r="F71" s="246">
        <f t="shared" si="3"/>
        <v>0</v>
      </c>
      <c r="G71" s="247">
        <f t="shared" si="4"/>
        <v>5248419570.9228516</v>
      </c>
      <c r="H71" s="254">
        <f t="shared" si="14"/>
        <v>0</v>
      </c>
      <c r="I71" s="242">
        <f t="shared" si="9"/>
        <v>22</v>
      </c>
      <c r="J71" s="243">
        <f t="shared" si="10"/>
        <v>504.73402678344945</v>
      </c>
      <c r="K71" s="244"/>
      <c r="L71" s="245"/>
      <c r="M71" s="243">
        <f t="shared" si="5"/>
        <v>0</v>
      </c>
      <c r="N71" s="248">
        <f t="shared" si="6"/>
        <v>504.73402678344945</v>
      </c>
    </row>
    <row r="72" spans="1:14">
      <c r="B72" s="242">
        <f t="shared" si="13"/>
        <v>23</v>
      </c>
      <c r="C72" s="243">
        <f t="shared" si="2"/>
        <v>5248419570.9228516</v>
      </c>
      <c r="D72" s="244"/>
      <c r="E72" s="245"/>
      <c r="F72" s="246">
        <f t="shared" si="3"/>
        <v>0</v>
      </c>
      <c r="G72" s="247">
        <f t="shared" si="4"/>
        <v>5248419570.9228516</v>
      </c>
      <c r="H72" s="254">
        <f t="shared" si="14"/>
        <v>0</v>
      </c>
      <c r="I72" s="242">
        <f t="shared" si="9"/>
        <v>23</v>
      </c>
      <c r="J72" s="243">
        <f t="shared" si="10"/>
        <v>504.73402678344945</v>
      </c>
      <c r="K72" s="244"/>
      <c r="L72" s="245"/>
      <c r="M72" s="243">
        <f t="shared" si="5"/>
        <v>0</v>
      </c>
      <c r="N72" s="248">
        <f t="shared" si="6"/>
        <v>504.73402678344945</v>
      </c>
    </row>
    <row r="73" spans="1:14">
      <c r="B73" s="242">
        <f t="shared" si="13"/>
        <v>24</v>
      </c>
      <c r="C73" s="243">
        <f t="shared" si="2"/>
        <v>5248419570.9228516</v>
      </c>
      <c r="D73" s="244"/>
      <c r="E73" s="245"/>
      <c r="F73" s="246">
        <f t="shared" si="3"/>
        <v>0</v>
      </c>
      <c r="G73" s="247">
        <f t="shared" si="4"/>
        <v>5248419570.9228516</v>
      </c>
      <c r="H73" s="254">
        <f t="shared" si="14"/>
        <v>0</v>
      </c>
      <c r="I73" s="242">
        <f t="shared" si="9"/>
        <v>24</v>
      </c>
      <c r="J73" s="243">
        <f t="shared" si="10"/>
        <v>504.73402678344945</v>
      </c>
      <c r="K73" s="244"/>
      <c r="L73" s="245"/>
      <c r="M73" s="243">
        <f t="shared" si="5"/>
        <v>0</v>
      </c>
      <c r="N73" s="248">
        <f t="shared" si="6"/>
        <v>504.73402678344945</v>
      </c>
    </row>
    <row r="74" spans="1:14">
      <c r="B74" s="242">
        <f t="shared" si="13"/>
        <v>25</v>
      </c>
      <c r="C74" s="243">
        <f t="shared" si="2"/>
        <v>5248419570.9228516</v>
      </c>
      <c r="D74" s="244"/>
      <c r="E74" s="245"/>
      <c r="F74" s="246">
        <f t="shared" si="3"/>
        <v>0</v>
      </c>
      <c r="G74" s="247">
        <f t="shared" si="4"/>
        <v>5248419570.9228516</v>
      </c>
      <c r="H74" s="254">
        <f t="shared" si="14"/>
        <v>0</v>
      </c>
      <c r="I74" s="242">
        <f t="shared" si="9"/>
        <v>25</v>
      </c>
      <c r="J74" s="243">
        <f t="shared" si="10"/>
        <v>504.73402678344945</v>
      </c>
      <c r="K74" s="244"/>
      <c r="L74" s="245"/>
      <c r="M74" s="243">
        <f t="shared" si="5"/>
        <v>0</v>
      </c>
      <c r="N74" s="248">
        <f t="shared" si="6"/>
        <v>504.73402678344945</v>
      </c>
    </row>
    <row r="75" spans="1:14">
      <c r="B75" s="242">
        <f t="shared" si="13"/>
        <v>26</v>
      </c>
      <c r="C75" s="243">
        <f t="shared" si="2"/>
        <v>5248419570.9228516</v>
      </c>
      <c r="D75" s="244"/>
      <c r="E75" s="245"/>
      <c r="F75" s="246">
        <f t="shared" si="3"/>
        <v>0</v>
      </c>
      <c r="G75" s="247">
        <f t="shared" si="4"/>
        <v>5248419570.9228516</v>
      </c>
      <c r="H75" s="254">
        <f t="shared" si="14"/>
        <v>1.5871934604904632E-7</v>
      </c>
      <c r="I75" s="242">
        <f t="shared" si="9"/>
        <v>26</v>
      </c>
      <c r="J75" s="243">
        <f t="shared" si="10"/>
        <v>504.73402678344945</v>
      </c>
      <c r="K75" s="244"/>
      <c r="L75" s="245"/>
      <c r="M75" s="243">
        <f t="shared" si="5"/>
        <v>0</v>
      </c>
      <c r="N75" s="248">
        <f t="shared" si="6"/>
        <v>504.73402678344945</v>
      </c>
    </row>
    <row r="76" spans="1:14">
      <c r="B76" s="242">
        <f t="shared" si="13"/>
        <v>27</v>
      </c>
      <c r="C76" s="243">
        <f t="shared" si="2"/>
        <v>5248419570.9228516</v>
      </c>
      <c r="D76" s="244"/>
      <c r="E76" s="245"/>
      <c r="F76" s="246">
        <f t="shared" si="3"/>
        <v>0</v>
      </c>
      <c r="G76" s="247">
        <f t="shared" si="4"/>
        <v>5248419570.9228516</v>
      </c>
      <c r="H76" s="254">
        <f t="shared" si="14"/>
        <v>0</v>
      </c>
      <c r="I76" s="242">
        <f t="shared" si="9"/>
        <v>27</v>
      </c>
      <c r="J76" s="243">
        <f t="shared" si="10"/>
        <v>504.73402678344945</v>
      </c>
      <c r="K76" s="244"/>
      <c r="L76" s="245"/>
      <c r="M76" s="243">
        <f t="shared" si="5"/>
        <v>0</v>
      </c>
      <c r="N76" s="248">
        <f t="shared" si="6"/>
        <v>504.73402678344945</v>
      </c>
    </row>
    <row r="77" spans="1:14">
      <c r="B77" s="242">
        <f t="shared" si="13"/>
        <v>28</v>
      </c>
      <c r="C77" s="243">
        <f t="shared" si="2"/>
        <v>5248419570.9228516</v>
      </c>
      <c r="D77" s="244"/>
      <c r="E77" s="245"/>
      <c r="F77" s="246">
        <f t="shared" si="3"/>
        <v>0</v>
      </c>
      <c r="G77" s="247">
        <f t="shared" si="4"/>
        <v>5248419570.9228516</v>
      </c>
      <c r="H77" s="254">
        <f t="shared" si="14"/>
        <v>0</v>
      </c>
      <c r="I77" s="242">
        <f t="shared" si="9"/>
        <v>28</v>
      </c>
      <c r="J77" s="243">
        <f t="shared" si="10"/>
        <v>504.73402678344945</v>
      </c>
      <c r="K77" s="244"/>
      <c r="L77" s="245"/>
      <c r="M77" s="243">
        <f t="shared" si="5"/>
        <v>0</v>
      </c>
      <c r="N77" s="248">
        <f t="shared" si="6"/>
        <v>504.73402678344945</v>
      </c>
    </row>
    <row r="78" spans="1:14">
      <c r="B78" s="242">
        <f t="shared" si="13"/>
        <v>29</v>
      </c>
      <c r="C78" s="243">
        <f t="shared" si="2"/>
        <v>5248419570.9228516</v>
      </c>
      <c r="D78" s="244"/>
      <c r="E78" s="245"/>
      <c r="F78" s="246">
        <f t="shared" si="3"/>
        <v>0</v>
      </c>
      <c r="G78" s="247">
        <f t="shared" si="4"/>
        <v>5248419570.9228516</v>
      </c>
      <c r="H78" s="254">
        <f t="shared" si="14"/>
        <v>0</v>
      </c>
      <c r="I78" s="242">
        <f t="shared" si="9"/>
        <v>29</v>
      </c>
      <c r="J78" s="243">
        <f t="shared" si="10"/>
        <v>504.73402678344945</v>
      </c>
      <c r="K78" s="244"/>
      <c r="L78" s="245"/>
      <c r="M78" s="243">
        <f t="shared" si="5"/>
        <v>0</v>
      </c>
      <c r="N78" s="248">
        <f t="shared" si="6"/>
        <v>504.73402678344945</v>
      </c>
    </row>
    <row r="79" spans="1:14">
      <c r="B79" s="242">
        <f t="shared" si="13"/>
        <v>30</v>
      </c>
      <c r="C79" s="243">
        <f t="shared" si="2"/>
        <v>5248419570.9228516</v>
      </c>
      <c r="D79" s="244"/>
      <c r="E79" s="245"/>
      <c r="F79" s="246">
        <f t="shared" si="3"/>
        <v>0</v>
      </c>
      <c r="G79" s="247">
        <f t="shared" si="4"/>
        <v>5248419570.9228516</v>
      </c>
      <c r="H79" s="254">
        <f t="shared" si="14"/>
        <v>0</v>
      </c>
      <c r="I79" s="242">
        <f t="shared" si="9"/>
        <v>30</v>
      </c>
      <c r="J79" s="243">
        <f t="shared" si="10"/>
        <v>504.73402678344945</v>
      </c>
      <c r="K79" s="244"/>
      <c r="L79" s="245"/>
      <c r="M79" s="243">
        <f t="shared" si="5"/>
        <v>0</v>
      </c>
      <c r="N79" s="248">
        <f t="shared" si="6"/>
        <v>504.73402678344945</v>
      </c>
    </row>
    <row r="80" spans="1:14" ht="15.75" thickBot="1">
      <c r="B80" s="242"/>
      <c r="C80" s="255"/>
      <c r="D80" s="244"/>
      <c r="E80" s="245"/>
      <c r="F80" s="255"/>
      <c r="G80" s="247">
        <f t="shared" si="4"/>
        <v>0</v>
      </c>
      <c r="H80" s="254">
        <f t="shared" si="14"/>
        <v>0</v>
      </c>
      <c r="I80" s="242"/>
      <c r="J80" s="243">
        <f t="shared" si="10"/>
        <v>504.73402678344945</v>
      </c>
      <c r="K80" s="244"/>
      <c r="L80" s="245"/>
      <c r="M80" s="243">
        <f t="shared" si="5"/>
        <v>0</v>
      </c>
      <c r="N80" s="248">
        <f t="shared" si="6"/>
        <v>504.73402678344945</v>
      </c>
    </row>
    <row r="81" spans="2:14" ht="15.75" thickBot="1">
      <c r="B81" s="279" t="s">
        <v>499</v>
      </c>
      <c r="C81" s="280"/>
      <c r="D81" s="256">
        <f>SUM(D48:D80)</f>
        <v>22500000</v>
      </c>
      <c r="E81" s="257"/>
      <c r="F81" s="257"/>
      <c r="G81" s="258">
        <f>G78</f>
        <v>5248419570.9228516</v>
      </c>
      <c r="H81" s="254">
        <f t="shared" si="14"/>
        <v>0</v>
      </c>
      <c r="I81" s="279" t="s">
        <v>499</v>
      </c>
      <c r="J81" s="280"/>
      <c r="K81" s="259">
        <f>SUM(K48:K80)</f>
        <v>0</v>
      </c>
      <c r="L81" s="257"/>
      <c r="M81" s="256"/>
      <c r="N81" s="260">
        <f>N78</f>
        <v>504.73402678344945</v>
      </c>
    </row>
    <row r="82" spans="2:14" ht="15.75" thickBot="1">
      <c r="B82" s="261"/>
      <c r="C82" s="262" t="s">
        <v>500</v>
      </c>
      <c r="D82" s="263">
        <f>D81/10000000</f>
        <v>2.25</v>
      </c>
      <c r="E82" s="262"/>
      <c r="F82" s="262"/>
      <c r="G82" s="264">
        <f>G81/10000000</f>
        <v>524.84195709228516</v>
      </c>
      <c r="H82" s="254">
        <f t="shared" si="14"/>
        <v>0</v>
      </c>
      <c r="I82" s="261"/>
      <c r="J82" s="262" t="s">
        <v>500</v>
      </c>
      <c r="K82" s="263">
        <f>K81/10000000</f>
        <v>0</v>
      </c>
      <c r="L82" s="262"/>
      <c r="M82" s="262"/>
      <c r="N82" s="264">
        <f>N81/10000000</f>
        <v>5.0473402678344942E-5</v>
      </c>
    </row>
    <row r="83" spans="2:14">
      <c r="G83" s="265"/>
      <c r="H83" s="254">
        <f t="shared" si="14"/>
        <v>0</v>
      </c>
    </row>
    <row r="84" spans="2:14" ht="15.75" thickBot="1">
      <c r="C84" s="281" t="s">
        <v>501</v>
      </c>
      <c r="D84" s="281"/>
      <c r="E84" s="281"/>
      <c r="F84" s="281"/>
      <c r="H84" s="254">
        <f t="shared" si="14"/>
        <v>0</v>
      </c>
      <c r="J84" s="281" t="s">
        <v>501</v>
      </c>
      <c r="K84" s="281"/>
      <c r="L84" s="281"/>
      <c r="M84" s="281"/>
    </row>
    <row r="85" spans="2:14" ht="15.75" thickBot="1">
      <c r="H85" s="254">
        <f t="shared" si="14"/>
        <v>1.4999999999999999E-7</v>
      </c>
    </row>
    <row r="86" spans="2:14" ht="15.75" thickBot="1">
      <c r="B86" s="233"/>
      <c r="C86" s="274" t="s">
        <v>487</v>
      </c>
      <c r="D86" s="275"/>
      <c r="E86" s="234" t="s">
        <v>488</v>
      </c>
      <c r="F86" s="234"/>
      <c r="G86" s="235"/>
      <c r="H86" s="254">
        <f t="shared" si="14"/>
        <v>0</v>
      </c>
      <c r="I86" s="233"/>
      <c r="J86" s="274" t="s">
        <v>502</v>
      </c>
      <c r="K86" s="275"/>
      <c r="L86" s="234" t="s">
        <v>503</v>
      </c>
      <c r="M86" s="234"/>
      <c r="N86" s="235"/>
    </row>
    <row r="87" spans="2:14" ht="15.75" thickBot="1">
      <c r="B87" s="201"/>
      <c r="C87" s="198"/>
      <c r="D87" s="198"/>
      <c r="E87" s="198"/>
      <c r="F87" s="198"/>
      <c r="G87" s="199"/>
      <c r="H87" s="254" t="e">
        <f t="shared" si="14"/>
        <v>#DIV/0!</v>
      </c>
      <c r="I87" s="201"/>
      <c r="J87" s="198"/>
      <c r="K87" s="198"/>
      <c r="L87" s="198"/>
      <c r="M87" s="198"/>
      <c r="N87" s="199"/>
    </row>
    <row r="88" spans="2:14" ht="15.75" thickBot="1">
      <c r="B88" s="276" t="s">
        <v>504</v>
      </c>
      <c r="C88" s="277"/>
      <c r="D88" s="277"/>
      <c r="E88" s="277"/>
      <c r="F88" s="277"/>
      <c r="G88" s="278"/>
      <c r="H88" s="254">
        <f t="shared" si="14"/>
        <v>0</v>
      </c>
      <c r="I88" s="276" t="s">
        <v>504</v>
      </c>
      <c r="J88" s="277"/>
      <c r="K88" s="277"/>
      <c r="L88" s="277"/>
      <c r="M88" s="277"/>
      <c r="N88" s="278"/>
    </row>
    <row r="89" spans="2:14">
      <c r="B89" s="266"/>
      <c r="C89" s="267"/>
      <c r="D89" s="267"/>
      <c r="E89" s="267"/>
      <c r="F89" s="267"/>
      <c r="G89" s="268">
        <f>G124</f>
        <v>1413.1902480939689</v>
      </c>
      <c r="I89" s="266"/>
      <c r="J89" s="267"/>
      <c r="K89" s="267"/>
      <c r="L89" s="267"/>
      <c r="M89" s="267"/>
      <c r="N89" s="268">
        <f>N124</f>
        <v>285.94104308390024</v>
      </c>
    </row>
    <row r="90" spans="2:14" ht="30">
      <c r="B90" s="237" t="s">
        <v>14</v>
      </c>
      <c r="C90" s="238" t="s">
        <v>492</v>
      </c>
      <c r="D90" s="238" t="s">
        <v>505</v>
      </c>
      <c r="E90" s="238" t="s">
        <v>494</v>
      </c>
      <c r="F90" s="238" t="s">
        <v>506</v>
      </c>
      <c r="G90" s="239" t="s">
        <v>507</v>
      </c>
      <c r="I90" s="237" t="s">
        <v>14</v>
      </c>
      <c r="J90" s="238" t="s">
        <v>508</v>
      </c>
      <c r="K90" s="238" t="s">
        <v>509</v>
      </c>
      <c r="L90" s="238" t="s">
        <v>494</v>
      </c>
      <c r="M90" s="238" t="s">
        <v>506</v>
      </c>
      <c r="N90" s="239" t="s">
        <v>507</v>
      </c>
    </row>
    <row r="91" spans="2:14">
      <c r="B91" s="242">
        <v>0</v>
      </c>
      <c r="C91" s="255">
        <v>0</v>
      </c>
      <c r="D91" s="255">
        <v>100</v>
      </c>
      <c r="E91" s="269">
        <v>0.06</v>
      </c>
      <c r="F91" s="255">
        <f>((1/(1+E91) ) ^ (B91 + 1) ) * D91</f>
        <v>94.339622641509422</v>
      </c>
      <c r="G91" s="270">
        <f>F91+C91</f>
        <v>94.339622641509422</v>
      </c>
      <c r="I91" s="242">
        <v>0</v>
      </c>
      <c r="J91" s="255">
        <v>0</v>
      </c>
      <c r="K91" s="255">
        <v>100</v>
      </c>
      <c r="L91" s="269">
        <v>0</v>
      </c>
      <c r="M91" s="255">
        <f t="shared" ref="M91:M92" si="15">((1/(1+L91) ) ^ (I91) ) * K91</f>
        <v>100</v>
      </c>
      <c r="N91" s="270">
        <f>M91+J91</f>
        <v>100</v>
      </c>
    </row>
    <row r="92" spans="2:14">
      <c r="B92" s="242">
        <f>B91+1</f>
        <v>1</v>
      </c>
      <c r="C92" s="255">
        <f>G91</f>
        <v>94.339622641509422</v>
      </c>
      <c r="D92" s="255">
        <v>200</v>
      </c>
      <c r="E92" s="269">
        <v>0.06</v>
      </c>
      <c r="F92" s="255">
        <f>((1/(1+E92) ) ^ (B92 + 1) ) * D92</f>
        <v>177.99928800284795</v>
      </c>
      <c r="G92" s="270">
        <f>F92+C92</f>
        <v>272.33891064435738</v>
      </c>
      <c r="I92" s="242">
        <f>I91+1</f>
        <v>1</v>
      </c>
      <c r="J92" s="255">
        <f>N91</f>
        <v>100</v>
      </c>
      <c r="K92" s="255">
        <v>100</v>
      </c>
      <c r="L92" s="269">
        <v>0.05</v>
      </c>
      <c r="M92" s="255">
        <f t="shared" si="15"/>
        <v>95.238095238095227</v>
      </c>
      <c r="N92" s="270">
        <f>M92+J92</f>
        <v>195.23809523809524</v>
      </c>
    </row>
    <row r="93" spans="2:14">
      <c r="B93" s="242">
        <f t="shared" ref="B93:B121" si="16">B92+1</f>
        <v>2</v>
      </c>
      <c r="C93" s="255">
        <f t="shared" ref="C93:C121" si="17">G92</f>
        <v>272.33891064435738</v>
      </c>
      <c r="D93" s="255">
        <v>200</v>
      </c>
      <c r="E93" s="269">
        <v>0.06</v>
      </c>
      <c r="F93" s="255">
        <f t="shared" ref="F93:F121" si="18">((1/(1+E93) ) ^ (B93 + 1) ) * D93</f>
        <v>167.9238566064603</v>
      </c>
      <c r="G93" s="270">
        <f t="shared" ref="G93:G121" si="19">F93+C93</f>
        <v>440.26276725081766</v>
      </c>
      <c r="I93" s="242">
        <f t="shared" ref="I93:I121" si="20">I92+1</f>
        <v>2</v>
      </c>
      <c r="J93" s="255">
        <f t="shared" ref="J93:J121" si="21">N92</f>
        <v>195.23809523809524</v>
      </c>
      <c r="K93" s="255">
        <v>100</v>
      </c>
      <c r="L93" s="269">
        <v>0.05</v>
      </c>
      <c r="M93" s="255">
        <f>((1/(1+L93) ) ^ (I93) ) * K93</f>
        <v>90.702947845804985</v>
      </c>
      <c r="N93" s="270">
        <f t="shared" ref="N93:N121" si="22">M93+J93</f>
        <v>285.94104308390024</v>
      </c>
    </row>
    <row r="94" spans="2:14">
      <c r="B94" s="242">
        <f t="shared" si="16"/>
        <v>3</v>
      </c>
      <c r="C94" s="255">
        <f t="shared" si="17"/>
        <v>440.26276725081766</v>
      </c>
      <c r="D94" s="255">
        <v>200</v>
      </c>
      <c r="E94" s="269">
        <v>0.06</v>
      </c>
      <c r="F94" s="255">
        <f t="shared" si="18"/>
        <v>158.41873264760403</v>
      </c>
      <c r="G94" s="270">
        <f t="shared" si="19"/>
        <v>598.68149989842163</v>
      </c>
      <c r="I94" s="242">
        <f t="shared" si="20"/>
        <v>3</v>
      </c>
      <c r="J94" s="255">
        <f t="shared" si="21"/>
        <v>285.94104308390024</v>
      </c>
      <c r="K94" s="255"/>
      <c r="L94" s="269">
        <v>0.05</v>
      </c>
      <c r="M94" s="255">
        <f t="shared" ref="M94:M121" si="23">((1/(1+L94) ) ^ (I94) ) * K94</f>
        <v>0</v>
      </c>
      <c r="N94" s="270">
        <f t="shared" si="22"/>
        <v>285.94104308390024</v>
      </c>
    </row>
    <row r="95" spans="2:14">
      <c r="B95" s="242">
        <f t="shared" si="16"/>
        <v>4</v>
      </c>
      <c r="C95" s="255">
        <f t="shared" si="17"/>
        <v>598.68149989842163</v>
      </c>
      <c r="D95" s="255">
        <v>200</v>
      </c>
      <c r="E95" s="269">
        <v>0.06</v>
      </c>
      <c r="F95" s="255">
        <f t="shared" si="18"/>
        <v>149.45163457321135</v>
      </c>
      <c r="G95" s="270">
        <f t="shared" si="19"/>
        <v>748.13313447163296</v>
      </c>
      <c r="I95" s="242">
        <f t="shared" si="20"/>
        <v>4</v>
      </c>
      <c r="J95" s="255">
        <f t="shared" si="21"/>
        <v>285.94104308390024</v>
      </c>
      <c r="K95" s="255"/>
      <c r="L95" s="269">
        <v>0.05</v>
      </c>
      <c r="M95" s="255">
        <f t="shared" si="23"/>
        <v>0</v>
      </c>
      <c r="N95" s="270">
        <f t="shared" si="22"/>
        <v>285.94104308390024</v>
      </c>
    </row>
    <row r="96" spans="2:14">
      <c r="B96" s="242">
        <f t="shared" si="16"/>
        <v>5</v>
      </c>
      <c r="C96" s="255">
        <f t="shared" si="17"/>
        <v>748.13313447163296</v>
      </c>
      <c r="D96" s="255">
        <v>0</v>
      </c>
      <c r="E96" s="269">
        <v>0.06</v>
      </c>
      <c r="F96" s="255">
        <f t="shared" si="18"/>
        <v>0</v>
      </c>
      <c r="G96" s="270">
        <f t="shared" si="19"/>
        <v>748.13313447163296</v>
      </c>
      <c r="I96" s="242">
        <f t="shared" si="20"/>
        <v>5</v>
      </c>
      <c r="J96" s="255">
        <f t="shared" si="21"/>
        <v>285.94104308390024</v>
      </c>
      <c r="K96" s="255"/>
      <c r="L96" s="269">
        <v>0.05</v>
      </c>
      <c r="M96" s="255">
        <f t="shared" si="23"/>
        <v>0</v>
      </c>
      <c r="N96" s="270">
        <f t="shared" si="22"/>
        <v>285.94104308390024</v>
      </c>
    </row>
    <row r="97" spans="2:14">
      <c r="B97" s="242">
        <f t="shared" si="16"/>
        <v>6</v>
      </c>
      <c r="C97" s="255">
        <f t="shared" si="17"/>
        <v>748.13313447163296</v>
      </c>
      <c r="D97" s="255">
        <v>1000</v>
      </c>
      <c r="E97" s="269">
        <v>0.06</v>
      </c>
      <c r="F97" s="255">
        <f t="shared" si="18"/>
        <v>665.05711362233581</v>
      </c>
      <c r="G97" s="270">
        <f t="shared" si="19"/>
        <v>1413.1902480939689</v>
      </c>
      <c r="I97" s="242">
        <f t="shared" si="20"/>
        <v>6</v>
      </c>
      <c r="J97" s="255">
        <f t="shared" si="21"/>
        <v>285.94104308390024</v>
      </c>
      <c r="K97" s="255"/>
      <c r="L97" s="269">
        <v>0.05</v>
      </c>
      <c r="M97" s="255">
        <f t="shared" si="23"/>
        <v>0</v>
      </c>
      <c r="N97" s="270">
        <f t="shared" si="22"/>
        <v>285.94104308390024</v>
      </c>
    </row>
    <row r="98" spans="2:14">
      <c r="B98" s="242">
        <f t="shared" si="16"/>
        <v>7</v>
      </c>
      <c r="C98" s="255">
        <f t="shared" si="17"/>
        <v>1413.1902480939689</v>
      </c>
      <c r="D98" s="255"/>
      <c r="E98" s="269">
        <v>0.05</v>
      </c>
      <c r="F98" s="255">
        <f t="shared" si="18"/>
        <v>0</v>
      </c>
      <c r="G98" s="270">
        <f t="shared" si="19"/>
        <v>1413.1902480939689</v>
      </c>
      <c r="I98" s="242">
        <f t="shared" si="20"/>
        <v>7</v>
      </c>
      <c r="J98" s="255">
        <f t="shared" si="21"/>
        <v>285.94104308390024</v>
      </c>
      <c r="K98" s="255"/>
      <c r="L98" s="269">
        <v>0.05</v>
      </c>
      <c r="M98" s="255">
        <f t="shared" si="23"/>
        <v>0</v>
      </c>
      <c r="N98" s="270">
        <f t="shared" si="22"/>
        <v>285.94104308390024</v>
      </c>
    </row>
    <row r="99" spans="2:14">
      <c r="B99" s="242">
        <f t="shared" si="16"/>
        <v>8</v>
      </c>
      <c r="C99" s="255">
        <f t="shared" si="17"/>
        <v>1413.1902480939689</v>
      </c>
      <c r="D99" s="255"/>
      <c r="E99" s="269">
        <v>0.05</v>
      </c>
      <c r="F99" s="255">
        <f t="shared" si="18"/>
        <v>0</v>
      </c>
      <c r="G99" s="270">
        <f t="shared" si="19"/>
        <v>1413.1902480939689</v>
      </c>
      <c r="I99" s="242">
        <f t="shared" si="20"/>
        <v>8</v>
      </c>
      <c r="J99" s="255">
        <f t="shared" si="21"/>
        <v>285.94104308390024</v>
      </c>
      <c r="K99" s="255"/>
      <c r="L99" s="269">
        <v>0.05</v>
      </c>
      <c r="M99" s="255">
        <f t="shared" si="23"/>
        <v>0</v>
      </c>
      <c r="N99" s="270">
        <f t="shared" si="22"/>
        <v>285.94104308390024</v>
      </c>
    </row>
    <row r="100" spans="2:14">
      <c r="B100" s="242">
        <f t="shared" si="16"/>
        <v>9</v>
      </c>
      <c r="C100" s="255">
        <f t="shared" si="17"/>
        <v>1413.1902480939689</v>
      </c>
      <c r="D100" s="255"/>
      <c r="E100" s="269">
        <v>0.05</v>
      </c>
      <c r="F100" s="255">
        <f t="shared" si="18"/>
        <v>0</v>
      </c>
      <c r="G100" s="270">
        <f t="shared" si="19"/>
        <v>1413.1902480939689</v>
      </c>
      <c r="I100" s="242">
        <f t="shared" si="20"/>
        <v>9</v>
      </c>
      <c r="J100" s="255">
        <f t="shared" si="21"/>
        <v>285.94104308390024</v>
      </c>
      <c r="K100" s="255"/>
      <c r="L100" s="269">
        <v>0.05</v>
      </c>
      <c r="M100" s="255">
        <f t="shared" si="23"/>
        <v>0</v>
      </c>
      <c r="N100" s="270">
        <f t="shared" si="22"/>
        <v>285.94104308390024</v>
      </c>
    </row>
    <row r="101" spans="2:14">
      <c r="B101" s="242">
        <f t="shared" si="16"/>
        <v>10</v>
      </c>
      <c r="C101" s="255">
        <f t="shared" si="17"/>
        <v>1413.1902480939689</v>
      </c>
      <c r="D101" s="255"/>
      <c r="E101" s="269">
        <v>0.05</v>
      </c>
      <c r="F101" s="255">
        <f t="shared" si="18"/>
        <v>0</v>
      </c>
      <c r="G101" s="270">
        <f t="shared" si="19"/>
        <v>1413.1902480939689</v>
      </c>
      <c r="I101" s="242">
        <f t="shared" si="20"/>
        <v>10</v>
      </c>
      <c r="J101" s="255">
        <f t="shared" si="21"/>
        <v>285.94104308390024</v>
      </c>
      <c r="K101" s="255"/>
      <c r="L101" s="269">
        <v>0.05</v>
      </c>
      <c r="M101" s="255">
        <f t="shared" si="23"/>
        <v>0</v>
      </c>
      <c r="N101" s="270">
        <f t="shared" si="22"/>
        <v>285.94104308390024</v>
      </c>
    </row>
    <row r="102" spans="2:14">
      <c r="B102" s="242">
        <f t="shared" si="16"/>
        <v>11</v>
      </c>
      <c r="C102" s="255">
        <f t="shared" si="17"/>
        <v>1413.1902480939689</v>
      </c>
      <c r="D102" s="255"/>
      <c r="E102" s="269">
        <v>0.05</v>
      </c>
      <c r="F102" s="255">
        <f t="shared" si="18"/>
        <v>0</v>
      </c>
      <c r="G102" s="270">
        <f t="shared" si="19"/>
        <v>1413.1902480939689</v>
      </c>
      <c r="I102" s="242">
        <f t="shared" si="20"/>
        <v>11</v>
      </c>
      <c r="J102" s="255">
        <f t="shared" si="21"/>
        <v>285.94104308390024</v>
      </c>
      <c r="K102" s="255"/>
      <c r="L102" s="269">
        <v>0.05</v>
      </c>
      <c r="M102" s="255">
        <f t="shared" si="23"/>
        <v>0</v>
      </c>
      <c r="N102" s="270">
        <f t="shared" si="22"/>
        <v>285.94104308390024</v>
      </c>
    </row>
    <row r="103" spans="2:14">
      <c r="B103" s="242">
        <f t="shared" si="16"/>
        <v>12</v>
      </c>
      <c r="C103" s="255">
        <f t="shared" si="17"/>
        <v>1413.1902480939689</v>
      </c>
      <c r="D103" s="255"/>
      <c r="E103" s="269">
        <v>0.05</v>
      </c>
      <c r="F103" s="255">
        <f t="shared" si="18"/>
        <v>0</v>
      </c>
      <c r="G103" s="270">
        <f t="shared" si="19"/>
        <v>1413.1902480939689</v>
      </c>
      <c r="I103" s="242">
        <f t="shared" si="20"/>
        <v>12</v>
      </c>
      <c r="J103" s="255">
        <f t="shared" si="21"/>
        <v>285.94104308390024</v>
      </c>
      <c r="K103" s="255"/>
      <c r="L103" s="269">
        <v>0.05</v>
      </c>
      <c r="M103" s="255">
        <f t="shared" si="23"/>
        <v>0</v>
      </c>
      <c r="N103" s="270">
        <f t="shared" si="22"/>
        <v>285.94104308390024</v>
      </c>
    </row>
    <row r="104" spans="2:14">
      <c r="B104" s="242">
        <f t="shared" si="16"/>
        <v>13</v>
      </c>
      <c r="C104" s="255">
        <f t="shared" si="17"/>
        <v>1413.1902480939689</v>
      </c>
      <c r="D104" s="255"/>
      <c r="E104" s="269">
        <v>0.05</v>
      </c>
      <c r="F104" s="255">
        <f t="shared" si="18"/>
        <v>0</v>
      </c>
      <c r="G104" s="270">
        <f t="shared" si="19"/>
        <v>1413.1902480939689</v>
      </c>
      <c r="I104" s="242">
        <f t="shared" si="20"/>
        <v>13</v>
      </c>
      <c r="J104" s="255">
        <f t="shared" si="21"/>
        <v>285.94104308390024</v>
      </c>
      <c r="K104" s="255"/>
      <c r="L104" s="269">
        <v>0.05</v>
      </c>
      <c r="M104" s="255">
        <f t="shared" si="23"/>
        <v>0</v>
      </c>
      <c r="N104" s="270">
        <f t="shared" si="22"/>
        <v>285.94104308390024</v>
      </c>
    </row>
    <row r="105" spans="2:14">
      <c r="B105" s="242">
        <f t="shared" si="16"/>
        <v>14</v>
      </c>
      <c r="C105" s="255">
        <f t="shared" si="17"/>
        <v>1413.1902480939689</v>
      </c>
      <c r="D105" s="255"/>
      <c r="E105" s="269">
        <v>0.05</v>
      </c>
      <c r="F105" s="255">
        <f t="shared" si="18"/>
        <v>0</v>
      </c>
      <c r="G105" s="270">
        <f t="shared" si="19"/>
        <v>1413.1902480939689</v>
      </c>
      <c r="I105" s="242">
        <f t="shared" si="20"/>
        <v>14</v>
      </c>
      <c r="J105" s="255">
        <f t="shared" si="21"/>
        <v>285.94104308390024</v>
      </c>
      <c r="K105" s="255"/>
      <c r="L105" s="269">
        <v>0.05</v>
      </c>
      <c r="M105" s="255">
        <f t="shared" si="23"/>
        <v>0</v>
      </c>
      <c r="N105" s="270">
        <f t="shared" si="22"/>
        <v>285.94104308390024</v>
      </c>
    </row>
    <row r="106" spans="2:14">
      <c r="B106" s="242">
        <f t="shared" si="16"/>
        <v>15</v>
      </c>
      <c r="C106" s="255">
        <f t="shared" si="17"/>
        <v>1413.1902480939689</v>
      </c>
      <c r="D106" s="255"/>
      <c r="E106" s="269">
        <v>0.05</v>
      </c>
      <c r="F106" s="255">
        <f t="shared" si="18"/>
        <v>0</v>
      </c>
      <c r="G106" s="270">
        <f t="shared" si="19"/>
        <v>1413.1902480939689</v>
      </c>
      <c r="I106" s="242">
        <f t="shared" si="20"/>
        <v>15</v>
      </c>
      <c r="J106" s="255">
        <f t="shared" si="21"/>
        <v>285.94104308390024</v>
      </c>
      <c r="K106" s="255"/>
      <c r="L106" s="269">
        <v>0.05</v>
      </c>
      <c r="M106" s="255">
        <f t="shared" si="23"/>
        <v>0</v>
      </c>
      <c r="N106" s="270">
        <f t="shared" si="22"/>
        <v>285.94104308390024</v>
      </c>
    </row>
    <row r="107" spans="2:14">
      <c r="B107" s="242">
        <f t="shared" si="16"/>
        <v>16</v>
      </c>
      <c r="C107" s="255">
        <f t="shared" si="17"/>
        <v>1413.1902480939689</v>
      </c>
      <c r="D107" s="255"/>
      <c r="E107" s="269">
        <v>0.05</v>
      </c>
      <c r="F107" s="255">
        <f t="shared" si="18"/>
        <v>0</v>
      </c>
      <c r="G107" s="270">
        <f t="shared" si="19"/>
        <v>1413.1902480939689</v>
      </c>
      <c r="I107" s="242">
        <f t="shared" si="20"/>
        <v>16</v>
      </c>
      <c r="J107" s="255">
        <f t="shared" si="21"/>
        <v>285.94104308390024</v>
      </c>
      <c r="K107" s="255"/>
      <c r="L107" s="269">
        <v>0.05</v>
      </c>
      <c r="M107" s="255">
        <f t="shared" si="23"/>
        <v>0</v>
      </c>
      <c r="N107" s="270">
        <f t="shared" si="22"/>
        <v>285.94104308390024</v>
      </c>
    </row>
    <row r="108" spans="2:14">
      <c r="B108" s="242">
        <f t="shared" si="16"/>
        <v>17</v>
      </c>
      <c r="C108" s="255">
        <f t="shared" si="17"/>
        <v>1413.1902480939689</v>
      </c>
      <c r="D108" s="255"/>
      <c r="E108" s="269">
        <v>0.05</v>
      </c>
      <c r="F108" s="255">
        <f t="shared" si="18"/>
        <v>0</v>
      </c>
      <c r="G108" s="270">
        <f t="shared" si="19"/>
        <v>1413.1902480939689</v>
      </c>
      <c r="I108" s="242">
        <f t="shared" si="20"/>
        <v>17</v>
      </c>
      <c r="J108" s="255">
        <f t="shared" si="21"/>
        <v>285.94104308390024</v>
      </c>
      <c r="K108" s="255"/>
      <c r="L108" s="269">
        <v>0.05</v>
      </c>
      <c r="M108" s="255">
        <f t="shared" si="23"/>
        <v>0</v>
      </c>
      <c r="N108" s="270">
        <f t="shared" si="22"/>
        <v>285.94104308390024</v>
      </c>
    </row>
    <row r="109" spans="2:14">
      <c r="B109" s="242">
        <f t="shared" si="16"/>
        <v>18</v>
      </c>
      <c r="C109" s="255">
        <f t="shared" si="17"/>
        <v>1413.1902480939689</v>
      </c>
      <c r="D109" s="255"/>
      <c r="E109" s="269">
        <v>0.05</v>
      </c>
      <c r="F109" s="255">
        <f t="shared" si="18"/>
        <v>0</v>
      </c>
      <c r="G109" s="270">
        <f t="shared" si="19"/>
        <v>1413.1902480939689</v>
      </c>
      <c r="I109" s="242">
        <f t="shared" si="20"/>
        <v>18</v>
      </c>
      <c r="J109" s="255">
        <f t="shared" si="21"/>
        <v>285.94104308390024</v>
      </c>
      <c r="K109" s="255"/>
      <c r="L109" s="269">
        <v>0.05</v>
      </c>
      <c r="M109" s="255">
        <f t="shared" si="23"/>
        <v>0</v>
      </c>
      <c r="N109" s="270">
        <f t="shared" si="22"/>
        <v>285.94104308390024</v>
      </c>
    </row>
    <row r="110" spans="2:14">
      <c r="B110" s="242">
        <f t="shared" si="16"/>
        <v>19</v>
      </c>
      <c r="C110" s="255">
        <f t="shared" si="17"/>
        <v>1413.1902480939689</v>
      </c>
      <c r="D110" s="255"/>
      <c r="E110" s="269">
        <v>0.05</v>
      </c>
      <c r="F110" s="255">
        <f t="shared" si="18"/>
        <v>0</v>
      </c>
      <c r="G110" s="270">
        <f t="shared" si="19"/>
        <v>1413.1902480939689</v>
      </c>
      <c r="I110" s="242">
        <f t="shared" si="20"/>
        <v>19</v>
      </c>
      <c r="J110" s="255">
        <f t="shared" si="21"/>
        <v>285.94104308390024</v>
      </c>
      <c r="K110" s="255"/>
      <c r="L110" s="269">
        <v>0.05</v>
      </c>
      <c r="M110" s="255">
        <f t="shared" si="23"/>
        <v>0</v>
      </c>
      <c r="N110" s="270">
        <f t="shared" si="22"/>
        <v>285.94104308390024</v>
      </c>
    </row>
    <row r="111" spans="2:14">
      <c r="B111" s="242">
        <f t="shared" si="16"/>
        <v>20</v>
      </c>
      <c r="C111" s="255">
        <f t="shared" si="17"/>
        <v>1413.1902480939689</v>
      </c>
      <c r="D111" s="255"/>
      <c r="E111" s="269">
        <v>0.05</v>
      </c>
      <c r="F111" s="255">
        <f t="shared" si="18"/>
        <v>0</v>
      </c>
      <c r="G111" s="270">
        <f t="shared" si="19"/>
        <v>1413.1902480939689</v>
      </c>
      <c r="I111" s="242">
        <f t="shared" si="20"/>
        <v>20</v>
      </c>
      <c r="J111" s="255">
        <f t="shared" si="21"/>
        <v>285.94104308390024</v>
      </c>
      <c r="K111" s="255"/>
      <c r="L111" s="269">
        <v>0.05</v>
      </c>
      <c r="M111" s="255">
        <f t="shared" si="23"/>
        <v>0</v>
      </c>
      <c r="N111" s="270">
        <f t="shared" si="22"/>
        <v>285.94104308390024</v>
      </c>
    </row>
    <row r="112" spans="2:14">
      <c r="B112" s="242">
        <f t="shared" si="16"/>
        <v>21</v>
      </c>
      <c r="C112" s="255">
        <f t="shared" si="17"/>
        <v>1413.1902480939689</v>
      </c>
      <c r="D112" s="255"/>
      <c r="E112" s="269">
        <v>0.05</v>
      </c>
      <c r="F112" s="255">
        <f t="shared" si="18"/>
        <v>0</v>
      </c>
      <c r="G112" s="270">
        <f t="shared" si="19"/>
        <v>1413.1902480939689</v>
      </c>
      <c r="I112" s="242">
        <f t="shared" si="20"/>
        <v>21</v>
      </c>
      <c r="J112" s="255">
        <f t="shared" si="21"/>
        <v>285.94104308390024</v>
      </c>
      <c r="K112" s="255"/>
      <c r="L112" s="269">
        <v>0.05</v>
      </c>
      <c r="M112" s="255">
        <f t="shared" si="23"/>
        <v>0</v>
      </c>
      <c r="N112" s="270">
        <f t="shared" si="22"/>
        <v>285.94104308390024</v>
      </c>
    </row>
    <row r="113" spans="2:14">
      <c r="B113" s="242">
        <f t="shared" si="16"/>
        <v>22</v>
      </c>
      <c r="C113" s="255">
        <f t="shared" si="17"/>
        <v>1413.1902480939689</v>
      </c>
      <c r="D113" s="255"/>
      <c r="E113" s="269">
        <v>0.05</v>
      </c>
      <c r="F113" s="255">
        <f t="shared" si="18"/>
        <v>0</v>
      </c>
      <c r="G113" s="270">
        <f t="shared" si="19"/>
        <v>1413.1902480939689</v>
      </c>
      <c r="I113" s="242">
        <f t="shared" si="20"/>
        <v>22</v>
      </c>
      <c r="J113" s="255">
        <f t="shared" si="21"/>
        <v>285.94104308390024</v>
      </c>
      <c r="K113" s="255"/>
      <c r="L113" s="269">
        <v>0.05</v>
      </c>
      <c r="M113" s="255">
        <f t="shared" si="23"/>
        <v>0</v>
      </c>
      <c r="N113" s="270">
        <f t="shared" si="22"/>
        <v>285.94104308390024</v>
      </c>
    </row>
    <row r="114" spans="2:14">
      <c r="B114" s="242">
        <f t="shared" si="16"/>
        <v>23</v>
      </c>
      <c r="C114" s="255">
        <f t="shared" si="17"/>
        <v>1413.1902480939689</v>
      </c>
      <c r="D114" s="255"/>
      <c r="E114" s="269">
        <v>0.05</v>
      </c>
      <c r="F114" s="255">
        <f t="shared" si="18"/>
        <v>0</v>
      </c>
      <c r="G114" s="270">
        <f t="shared" si="19"/>
        <v>1413.1902480939689</v>
      </c>
      <c r="I114" s="242">
        <f t="shared" si="20"/>
        <v>23</v>
      </c>
      <c r="J114" s="255">
        <f t="shared" si="21"/>
        <v>285.94104308390024</v>
      </c>
      <c r="K114" s="255"/>
      <c r="L114" s="269">
        <v>0.05</v>
      </c>
      <c r="M114" s="255">
        <f t="shared" si="23"/>
        <v>0</v>
      </c>
      <c r="N114" s="270">
        <f t="shared" si="22"/>
        <v>285.94104308390024</v>
      </c>
    </row>
    <row r="115" spans="2:14">
      <c r="B115" s="242">
        <f t="shared" si="16"/>
        <v>24</v>
      </c>
      <c r="C115" s="255">
        <f t="shared" si="17"/>
        <v>1413.1902480939689</v>
      </c>
      <c r="D115" s="255"/>
      <c r="E115" s="269">
        <v>0.05</v>
      </c>
      <c r="F115" s="255">
        <f t="shared" si="18"/>
        <v>0</v>
      </c>
      <c r="G115" s="270">
        <f t="shared" si="19"/>
        <v>1413.1902480939689</v>
      </c>
      <c r="I115" s="242">
        <f t="shared" si="20"/>
        <v>24</v>
      </c>
      <c r="J115" s="255">
        <f t="shared" si="21"/>
        <v>285.94104308390024</v>
      </c>
      <c r="K115" s="255"/>
      <c r="L115" s="269">
        <v>0.05</v>
      </c>
      <c r="M115" s="255">
        <f t="shared" si="23"/>
        <v>0</v>
      </c>
      <c r="N115" s="270">
        <f t="shared" si="22"/>
        <v>285.94104308390024</v>
      </c>
    </row>
    <row r="116" spans="2:14">
      <c r="B116" s="242">
        <f t="shared" si="16"/>
        <v>25</v>
      </c>
      <c r="C116" s="255">
        <f t="shared" si="17"/>
        <v>1413.1902480939689</v>
      </c>
      <c r="D116" s="255"/>
      <c r="E116" s="269">
        <v>0.05</v>
      </c>
      <c r="F116" s="255">
        <f t="shared" si="18"/>
        <v>0</v>
      </c>
      <c r="G116" s="270">
        <f t="shared" si="19"/>
        <v>1413.1902480939689</v>
      </c>
      <c r="I116" s="242">
        <f t="shared" si="20"/>
        <v>25</v>
      </c>
      <c r="J116" s="255">
        <f t="shared" si="21"/>
        <v>285.94104308390024</v>
      </c>
      <c r="K116" s="255"/>
      <c r="L116" s="269">
        <v>0.05</v>
      </c>
      <c r="M116" s="255">
        <f t="shared" si="23"/>
        <v>0</v>
      </c>
      <c r="N116" s="270">
        <f t="shared" si="22"/>
        <v>285.94104308390024</v>
      </c>
    </row>
    <row r="117" spans="2:14">
      <c r="B117" s="242">
        <f t="shared" si="16"/>
        <v>26</v>
      </c>
      <c r="C117" s="255">
        <f t="shared" si="17"/>
        <v>1413.1902480939689</v>
      </c>
      <c r="D117" s="255"/>
      <c r="E117" s="269">
        <v>0.05</v>
      </c>
      <c r="F117" s="255">
        <f t="shared" si="18"/>
        <v>0</v>
      </c>
      <c r="G117" s="270">
        <f t="shared" si="19"/>
        <v>1413.1902480939689</v>
      </c>
      <c r="I117" s="242">
        <f t="shared" si="20"/>
        <v>26</v>
      </c>
      <c r="J117" s="255">
        <f t="shared" si="21"/>
        <v>285.94104308390024</v>
      </c>
      <c r="K117" s="255"/>
      <c r="L117" s="269">
        <v>0.05</v>
      </c>
      <c r="M117" s="255">
        <f t="shared" si="23"/>
        <v>0</v>
      </c>
      <c r="N117" s="270">
        <f t="shared" si="22"/>
        <v>285.94104308390024</v>
      </c>
    </row>
    <row r="118" spans="2:14">
      <c r="B118" s="242">
        <f t="shared" si="16"/>
        <v>27</v>
      </c>
      <c r="C118" s="255">
        <f t="shared" si="17"/>
        <v>1413.1902480939689</v>
      </c>
      <c r="D118" s="255"/>
      <c r="E118" s="269">
        <v>0.05</v>
      </c>
      <c r="F118" s="255">
        <f t="shared" si="18"/>
        <v>0</v>
      </c>
      <c r="G118" s="270">
        <f t="shared" si="19"/>
        <v>1413.1902480939689</v>
      </c>
      <c r="I118" s="242">
        <f t="shared" si="20"/>
        <v>27</v>
      </c>
      <c r="J118" s="255">
        <f t="shared" si="21"/>
        <v>285.94104308390024</v>
      </c>
      <c r="K118" s="255"/>
      <c r="L118" s="269">
        <v>0.05</v>
      </c>
      <c r="M118" s="255">
        <f t="shared" si="23"/>
        <v>0</v>
      </c>
      <c r="N118" s="270">
        <f t="shared" si="22"/>
        <v>285.94104308390024</v>
      </c>
    </row>
    <row r="119" spans="2:14">
      <c r="B119" s="242">
        <f t="shared" si="16"/>
        <v>28</v>
      </c>
      <c r="C119" s="255">
        <f t="shared" si="17"/>
        <v>1413.1902480939689</v>
      </c>
      <c r="D119" s="255"/>
      <c r="E119" s="269">
        <v>0.05</v>
      </c>
      <c r="F119" s="255">
        <f t="shared" si="18"/>
        <v>0</v>
      </c>
      <c r="G119" s="270">
        <f t="shared" si="19"/>
        <v>1413.1902480939689</v>
      </c>
      <c r="I119" s="242">
        <f t="shared" si="20"/>
        <v>28</v>
      </c>
      <c r="J119" s="255">
        <f t="shared" si="21"/>
        <v>285.94104308390024</v>
      </c>
      <c r="K119" s="255"/>
      <c r="L119" s="269">
        <v>0.05</v>
      </c>
      <c r="M119" s="255">
        <f t="shared" si="23"/>
        <v>0</v>
      </c>
      <c r="N119" s="270">
        <f t="shared" si="22"/>
        <v>285.94104308390024</v>
      </c>
    </row>
    <row r="120" spans="2:14">
      <c r="B120" s="242">
        <f t="shared" si="16"/>
        <v>29</v>
      </c>
      <c r="C120" s="255">
        <f t="shared" si="17"/>
        <v>1413.1902480939689</v>
      </c>
      <c r="D120" s="255"/>
      <c r="E120" s="269">
        <v>0.05</v>
      </c>
      <c r="F120" s="255">
        <f t="shared" si="18"/>
        <v>0</v>
      </c>
      <c r="G120" s="270">
        <f t="shared" si="19"/>
        <v>1413.1902480939689</v>
      </c>
      <c r="I120" s="242">
        <f t="shared" si="20"/>
        <v>29</v>
      </c>
      <c r="J120" s="255">
        <f t="shared" si="21"/>
        <v>285.94104308390024</v>
      </c>
      <c r="K120" s="255"/>
      <c r="L120" s="269">
        <v>0.05</v>
      </c>
      <c r="M120" s="255">
        <f t="shared" si="23"/>
        <v>0</v>
      </c>
      <c r="N120" s="270">
        <f t="shared" si="22"/>
        <v>285.94104308390024</v>
      </c>
    </row>
    <row r="121" spans="2:14">
      <c r="B121" s="242">
        <f t="shared" si="16"/>
        <v>30</v>
      </c>
      <c r="C121" s="255">
        <f t="shared" si="17"/>
        <v>1413.1902480939689</v>
      </c>
      <c r="D121" s="255"/>
      <c r="E121" s="269">
        <v>0.05</v>
      </c>
      <c r="F121" s="255">
        <f t="shared" si="18"/>
        <v>0</v>
      </c>
      <c r="G121" s="270">
        <f t="shared" si="19"/>
        <v>1413.1902480939689</v>
      </c>
      <c r="I121" s="242">
        <f t="shared" si="20"/>
        <v>30</v>
      </c>
      <c r="J121" s="255">
        <f t="shared" si="21"/>
        <v>285.94104308390024</v>
      </c>
      <c r="K121" s="255"/>
      <c r="L121" s="269">
        <v>0.05</v>
      </c>
      <c r="M121" s="255">
        <f t="shared" si="23"/>
        <v>0</v>
      </c>
      <c r="N121" s="270">
        <f t="shared" si="22"/>
        <v>285.94104308390024</v>
      </c>
    </row>
    <row r="122" spans="2:14">
      <c r="B122" s="201"/>
      <c r="C122" s="198"/>
      <c r="D122" s="198"/>
      <c r="E122" s="198"/>
      <c r="F122" s="198"/>
      <c r="G122" s="199"/>
      <c r="I122" s="201"/>
      <c r="J122" s="198"/>
      <c r="K122" s="198"/>
      <c r="L122" s="198"/>
      <c r="M122" s="198"/>
      <c r="N122" s="199"/>
    </row>
    <row r="123" spans="2:14" ht="15.75" thickBot="1">
      <c r="B123" s="201"/>
      <c r="C123" s="198"/>
      <c r="D123" s="198"/>
      <c r="E123" s="198"/>
      <c r="F123" s="198"/>
      <c r="G123" s="199"/>
      <c r="I123" s="201"/>
      <c r="J123" s="198"/>
      <c r="K123" s="198"/>
      <c r="L123" s="198"/>
      <c r="M123" s="198"/>
      <c r="N123" s="199"/>
    </row>
    <row r="124" spans="2:14" ht="15.75" thickBot="1">
      <c r="B124" s="279" t="s">
        <v>510</v>
      </c>
      <c r="C124" s="280"/>
      <c r="D124" s="259">
        <f>SUM(D91:D123)</f>
        <v>1900</v>
      </c>
      <c r="E124" s="257"/>
      <c r="F124" s="257"/>
      <c r="G124" s="271">
        <f>G121</f>
        <v>1413.1902480939689</v>
      </c>
      <c r="I124" s="279" t="s">
        <v>510</v>
      </c>
      <c r="J124" s="280"/>
      <c r="K124" s="259">
        <f>SUM(K91:K123)</f>
        <v>300</v>
      </c>
      <c r="L124" s="257"/>
      <c r="M124" s="257"/>
      <c r="N124" s="271">
        <f>N121</f>
        <v>285.94104308390024</v>
      </c>
    </row>
    <row r="125" spans="2:14" ht="15.75" thickBot="1">
      <c r="B125" s="206"/>
      <c r="C125" s="207"/>
      <c r="D125" s="207"/>
      <c r="E125" s="207"/>
      <c r="F125" s="207"/>
      <c r="G125" s="208"/>
      <c r="I125" s="206"/>
      <c r="J125" s="207"/>
      <c r="K125" s="207"/>
      <c r="L125" s="207"/>
      <c r="M125" s="207"/>
      <c r="N125" s="208"/>
    </row>
  </sheetData>
  <mergeCells count="74">
    <mergeCell ref="B3:D3"/>
    <mergeCell ref="G3:I3"/>
    <mergeCell ref="P3:S3"/>
    <mergeCell ref="T3:W3"/>
    <mergeCell ref="C4:D4"/>
    <mergeCell ref="H4:I4"/>
    <mergeCell ref="C5:D5"/>
    <mergeCell ref="H5:I5"/>
    <mergeCell ref="C6:D6"/>
    <mergeCell ref="H6:I6"/>
    <mergeCell ref="C7:D7"/>
    <mergeCell ref="H7:I7"/>
    <mergeCell ref="C8:D8"/>
    <mergeCell ref="H8:I8"/>
    <mergeCell ref="C9:D9"/>
    <mergeCell ref="H9:I9"/>
    <mergeCell ref="C10:D10"/>
    <mergeCell ref="H10:I10"/>
    <mergeCell ref="B14:D14"/>
    <mergeCell ref="G14:I14"/>
    <mergeCell ref="C15:D15"/>
    <mergeCell ref="H15:I15"/>
    <mergeCell ref="C16:D16"/>
    <mergeCell ref="H16:I16"/>
    <mergeCell ref="C17:D17"/>
    <mergeCell ref="H17:I17"/>
    <mergeCell ref="C18:D18"/>
    <mergeCell ref="H18:I18"/>
    <mergeCell ref="C19:D19"/>
    <mergeCell ref="H19:I19"/>
    <mergeCell ref="C20:D20"/>
    <mergeCell ref="H20:I20"/>
    <mergeCell ref="C21:D21"/>
    <mergeCell ref="H21:I21"/>
    <mergeCell ref="C22:D22"/>
    <mergeCell ref="H22:I22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30:D30"/>
    <mergeCell ref="H30:I30"/>
    <mergeCell ref="C31:D31"/>
    <mergeCell ref="H31:I31"/>
    <mergeCell ref="C44:D4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B46:G46"/>
    <mergeCell ref="I46:N46"/>
    <mergeCell ref="B81:C81"/>
    <mergeCell ref="I81:J81"/>
    <mergeCell ref="C84:F84"/>
    <mergeCell ref="J84:M84"/>
    <mergeCell ref="C86:D86"/>
    <mergeCell ref="J86:K86"/>
    <mergeCell ref="B88:G88"/>
    <mergeCell ref="I88:N88"/>
    <mergeCell ref="B124:C124"/>
    <mergeCell ref="I124:J1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279"/>
  <sheetViews>
    <sheetView tabSelected="1" zoomScale="80" zoomScaleNormal="80" workbookViewId="0">
      <pane xSplit="2" ySplit="3" topLeftCell="C219" activePane="bottomRight" state="frozen"/>
      <selection pane="topRight" activeCell="C1" sqref="C1"/>
      <selection pane="bottomLeft" activeCell="A5" sqref="A5"/>
      <selection pane="bottomRight" activeCell="C233" sqref="C233"/>
    </sheetView>
  </sheetViews>
  <sheetFormatPr defaultRowHeight="12.75"/>
  <cols>
    <col min="1" max="1" width="4.7109375" style="89" customWidth="1"/>
    <col min="2" max="2" width="37.140625" style="89" customWidth="1"/>
    <col min="3" max="3" width="7.85546875" style="89" customWidth="1"/>
    <col min="4" max="4" width="11.28515625" style="89" customWidth="1"/>
    <col min="5" max="5" width="8.42578125" style="89" bestFit="1" customWidth="1"/>
    <col min="6" max="6" width="8.42578125" style="89" customWidth="1"/>
    <col min="7" max="7" width="9.7109375" style="89" customWidth="1"/>
    <col min="8" max="8" width="10.85546875" style="89" customWidth="1"/>
    <col min="9" max="9" width="13.5703125" style="89" bestFit="1" customWidth="1"/>
    <col min="10" max="10" width="11.28515625" style="89" bestFit="1" customWidth="1"/>
    <col min="11" max="18" width="12.28515625" style="89" bestFit="1" customWidth="1"/>
    <col min="19" max="19" width="10.7109375" style="89" customWidth="1"/>
    <col min="20" max="20" width="9.42578125" style="89" bestFit="1" customWidth="1"/>
    <col min="21" max="21" width="10.85546875" style="89" bestFit="1" customWidth="1"/>
    <col min="22" max="23" width="9.7109375" style="89" bestFit="1" customWidth="1"/>
    <col min="24" max="30" width="8" style="89" bestFit="1" customWidth="1"/>
    <col min="31" max="31" width="11.28515625" style="89" bestFit="1" customWidth="1"/>
    <col min="32" max="32" width="9.28515625" style="89" bestFit="1" customWidth="1"/>
    <col min="33" max="33" width="9" style="89" customWidth="1"/>
    <col min="34" max="34" width="10.7109375" style="89" customWidth="1"/>
    <col min="35" max="16384" width="9.140625" style="89"/>
  </cols>
  <sheetData>
    <row r="1" spans="2:34">
      <c r="B1" s="106" t="s">
        <v>199</v>
      </c>
      <c r="C1" s="107">
        <f>R2</f>
        <v>0.15</v>
      </c>
      <c r="H1" s="89" t="s">
        <v>210</v>
      </c>
      <c r="J1" s="108">
        <v>2004</v>
      </c>
      <c r="L1" s="89" t="s">
        <v>272</v>
      </c>
      <c r="N1" s="141">
        <v>0.05</v>
      </c>
      <c r="P1" s="89" t="s">
        <v>343</v>
      </c>
      <c r="R1" s="141">
        <v>0.05</v>
      </c>
    </row>
    <row r="2" spans="2:34">
      <c r="B2" s="130" t="s">
        <v>262</v>
      </c>
      <c r="C2" s="103"/>
      <c r="H2" s="89" t="s">
        <v>211</v>
      </c>
      <c r="J2" s="108">
        <v>2016</v>
      </c>
      <c r="L2" s="89" t="s">
        <v>273</v>
      </c>
      <c r="N2" s="141">
        <v>0.15</v>
      </c>
      <c r="P2" s="89" t="s">
        <v>409</v>
      </c>
      <c r="R2" s="141">
        <v>0.15</v>
      </c>
      <c r="V2" s="98" t="s">
        <v>5</v>
      </c>
      <c r="W2" s="98" t="s">
        <v>6</v>
      </c>
      <c r="X2" s="98" t="s">
        <v>7</v>
      </c>
      <c r="Y2" s="98" t="s">
        <v>8</v>
      </c>
      <c r="Z2" s="98" t="s">
        <v>9</v>
      </c>
      <c r="AA2" s="98" t="s">
        <v>192</v>
      </c>
      <c r="AB2" s="98" t="s">
        <v>193</v>
      </c>
      <c r="AC2" s="98" t="s">
        <v>194</v>
      </c>
      <c r="AD2" s="98" t="s">
        <v>195</v>
      </c>
      <c r="AE2" s="98" t="s">
        <v>196</v>
      </c>
      <c r="AG2" s="304" t="s">
        <v>241</v>
      </c>
      <c r="AH2" s="305"/>
    </row>
    <row r="3" spans="2:34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9" t="s">
        <v>1</v>
      </c>
      <c r="U3" s="99" t="s">
        <v>212</v>
      </c>
      <c r="V3" s="98">
        <v>2016</v>
      </c>
      <c r="W3" s="98">
        <v>2017</v>
      </c>
      <c r="X3" s="98">
        <v>2018</v>
      </c>
      <c r="Y3" s="98">
        <v>2019</v>
      </c>
      <c r="Z3" s="98">
        <v>2020</v>
      </c>
      <c r="AA3" s="98">
        <v>2021</v>
      </c>
      <c r="AB3" s="98">
        <v>2022</v>
      </c>
      <c r="AC3" s="98">
        <v>2023</v>
      </c>
      <c r="AD3" s="98">
        <v>2024</v>
      </c>
      <c r="AE3" s="98">
        <v>2025</v>
      </c>
      <c r="AF3" s="114" t="s">
        <v>1</v>
      </c>
      <c r="AG3" s="306" t="s">
        <v>242</v>
      </c>
      <c r="AH3" s="307"/>
    </row>
    <row r="4" spans="2:34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15"/>
      <c r="AG4" s="10"/>
      <c r="AH4" s="10"/>
    </row>
    <row r="5" spans="2:34">
      <c r="B5" s="93" t="s">
        <v>200</v>
      </c>
      <c r="C5" s="10"/>
      <c r="D5" s="10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0"/>
      <c r="U5" s="10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15"/>
      <c r="AG5" s="10"/>
      <c r="AH5" s="131"/>
    </row>
    <row r="6" spans="2:34">
      <c r="B6" s="10" t="s">
        <v>10</v>
      </c>
      <c r="C6" s="119"/>
      <c r="D6" s="119"/>
      <c r="E6" s="125"/>
      <c r="F6" s="125"/>
      <c r="G6" s="125">
        <v>273</v>
      </c>
      <c r="H6" s="125">
        <v>367</v>
      </c>
      <c r="I6" s="125">
        <v>412</v>
      </c>
      <c r="J6" s="125">
        <v>449</v>
      </c>
      <c r="K6" s="125">
        <v>721</v>
      </c>
      <c r="L6" s="125">
        <v>86</v>
      </c>
      <c r="M6" s="125">
        <v>1783</v>
      </c>
      <c r="N6" s="125">
        <v>2255</v>
      </c>
      <c r="O6" s="125">
        <v>2602</v>
      </c>
      <c r="P6" s="125">
        <v>2994</v>
      </c>
      <c r="Q6" s="125">
        <v>3374</v>
      </c>
      <c r="R6" s="182">
        <v>3719</v>
      </c>
      <c r="S6" s="182">
        <v>4195</v>
      </c>
      <c r="T6" s="101">
        <f>((S6/G6)^(1/($J$2-$J$1) ))-1</f>
        <v>0.25568520287265395</v>
      </c>
      <c r="U6" s="21">
        <f>$N$2</f>
        <v>0.15</v>
      </c>
      <c r="V6" s="131">
        <f>S6*(1+$U6)</f>
        <v>4824.25</v>
      </c>
      <c r="W6" s="131">
        <f>V6*(1+$U6)</f>
        <v>5547.8874999999998</v>
      </c>
      <c r="X6" s="131">
        <f t="shared" ref="X6:AE6" si="0">W6*(1+$U6)</f>
        <v>6380.0706249999994</v>
      </c>
      <c r="Y6" s="131">
        <f t="shared" si="0"/>
        <v>7337.0812187499987</v>
      </c>
      <c r="Z6" s="131">
        <f t="shared" si="0"/>
        <v>8437.6434015624982</v>
      </c>
      <c r="AA6" s="131">
        <f t="shared" si="0"/>
        <v>9703.2899117968718</v>
      </c>
      <c r="AB6" s="131">
        <f t="shared" si="0"/>
        <v>11158.783398566402</v>
      </c>
      <c r="AC6" s="131">
        <f t="shared" si="0"/>
        <v>12832.600908351362</v>
      </c>
      <c r="AD6" s="131">
        <f t="shared" si="0"/>
        <v>14757.491044604065</v>
      </c>
      <c r="AE6" s="131">
        <f t="shared" si="0"/>
        <v>16971.114701294675</v>
      </c>
      <c r="AF6" s="116">
        <f>((AE6/I6)^(1/($AE$3-$J$1) ))-1</f>
        <v>0.19370184306327487</v>
      </c>
      <c r="AG6" s="21">
        <f>$N$1</f>
        <v>0.05</v>
      </c>
      <c r="AH6" s="124">
        <f t="shared" ref="AH6:AH59" si="1">(AE6*(1+AG6))/($C$1-AG6)</f>
        <v>178196.70436359412</v>
      </c>
    </row>
    <row r="7" spans="2:34">
      <c r="B7" s="10" t="s">
        <v>198</v>
      </c>
      <c r="C7" s="119"/>
      <c r="D7" s="119"/>
      <c r="E7" s="125"/>
      <c r="F7" s="125"/>
      <c r="G7" s="125">
        <v>407</v>
      </c>
      <c r="H7" s="125">
        <v>498</v>
      </c>
      <c r="I7" s="125">
        <v>541</v>
      </c>
      <c r="J7" s="125">
        <v>571</v>
      </c>
      <c r="K7" s="125">
        <v>846</v>
      </c>
      <c r="L7" s="125">
        <v>992</v>
      </c>
      <c r="M7" s="125">
        <v>1916</v>
      </c>
      <c r="N7" s="125">
        <v>2385</v>
      </c>
      <c r="O7" s="125">
        <v>2687</v>
      </c>
      <c r="P7" s="125">
        <v>3079</v>
      </c>
      <c r="Q7" s="125">
        <v>3459</v>
      </c>
      <c r="R7" s="182">
        <v>3804</v>
      </c>
      <c r="S7" s="182">
        <v>4279</v>
      </c>
      <c r="T7" s="101">
        <f>((S7/G7)^(1/($J$2-$J$1) ))-1</f>
        <v>0.21659396123034802</v>
      </c>
      <c r="U7" s="21">
        <f>$N$2</f>
        <v>0.15</v>
      </c>
      <c r="V7" s="131">
        <f t="shared" ref="V7:V59" si="2">S7*(1+$U7)</f>
        <v>4920.8499999999995</v>
      </c>
      <c r="W7" s="131">
        <f t="shared" ref="W7:AE7" si="3">V7*(1+$U7)</f>
        <v>5658.9774999999991</v>
      </c>
      <c r="X7" s="131">
        <f t="shared" si="3"/>
        <v>6507.8241249999983</v>
      </c>
      <c r="Y7" s="131">
        <f t="shared" si="3"/>
        <v>7483.9977437499974</v>
      </c>
      <c r="Z7" s="131">
        <f t="shared" si="3"/>
        <v>8606.5974053124955</v>
      </c>
      <c r="AA7" s="131">
        <f t="shared" si="3"/>
        <v>9897.5870161093699</v>
      </c>
      <c r="AB7" s="131">
        <f t="shared" si="3"/>
        <v>11382.225068525775</v>
      </c>
      <c r="AC7" s="131">
        <f t="shared" si="3"/>
        <v>13089.55882880464</v>
      </c>
      <c r="AD7" s="131">
        <f t="shared" si="3"/>
        <v>15052.992653125335</v>
      </c>
      <c r="AE7" s="131">
        <f t="shared" si="3"/>
        <v>17310.941551094133</v>
      </c>
      <c r="AF7" s="116">
        <f>((AE7/I7)^(1/($AE$3-$J$1) ))-1</f>
        <v>0.17943101498021186</v>
      </c>
      <c r="AG7" s="21">
        <f>$N$1</f>
        <v>0.05</v>
      </c>
      <c r="AH7" s="124">
        <f t="shared" si="1"/>
        <v>181764.88628648841</v>
      </c>
    </row>
    <row r="8" spans="2:34">
      <c r="B8" s="10"/>
      <c r="C8" s="119"/>
      <c r="D8" s="119"/>
      <c r="E8" s="125"/>
      <c r="F8" s="125"/>
      <c r="G8" s="272">
        <f>(G7-F7)/G7</f>
        <v>1</v>
      </c>
      <c r="H8" s="128">
        <f>(H7-G7)/H7</f>
        <v>0.18273092369477911</v>
      </c>
      <c r="I8" s="128">
        <f t="shared" ref="I8:Q8" si="4">(I7-H7)/I7</f>
        <v>7.9482439926062853E-2</v>
      </c>
      <c r="J8" s="128">
        <f t="shared" si="4"/>
        <v>5.2539404553415062E-2</v>
      </c>
      <c r="K8" s="128">
        <f t="shared" si="4"/>
        <v>0.32505910165484636</v>
      </c>
      <c r="L8" s="128">
        <f t="shared" si="4"/>
        <v>0.14717741935483872</v>
      </c>
      <c r="M8" s="128">
        <f t="shared" si="4"/>
        <v>0.4822546972860125</v>
      </c>
      <c r="N8" s="128">
        <f t="shared" si="4"/>
        <v>0.19664570230607967</v>
      </c>
      <c r="O8" s="128">
        <f t="shared" si="4"/>
        <v>0.11239300334946037</v>
      </c>
      <c r="P8" s="128">
        <f t="shared" si="4"/>
        <v>0.12731406300746995</v>
      </c>
      <c r="Q8" s="128">
        <f t="shared" si="4"/>
        <v>0.10985834056085574</v>
      </c>
      <c r="R8" s="128">
        <f t="shared" ref="R8:S8" si="5">(R7-Q7)/Q7</f>
        <v>9.9739809193408496E-2</v>
      </c>
      <c r="S8" s="128">
        <f t="shared" si="5"/>
        <v>0.12486855941114616</v>
      </c>
      <c r="T8" s="110"/>
      <c r="U8" s="10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15"/>
      <c r="AG8" s="115"/>
      <c r="AH8" s="124"/>
    </row>
    <row r="9" spans="2:34">
      <c r="B9" s="10" t="s">
        <v>221</v>
      </c>
      <c r="C9" s="119"/>
      <c r="D9" s="119"/>
      <c r="E9" s="125"/>
      <c r="F9" s="125"/>
      <c r="G9" s="125">
        <v>238</v>
      </c>
      <c r="H9" s="125">
        <v>251</v>
      </c>
      <c r="I9" s="125">
        <v>298</v>
      </c>
      <c r="J9" s="125">
        <v>396</v>
      </c>
      <c r="K9" s="125">
        <v>572</v>
      </c>
      <c r="L9" s="125">
        <v>487</v>
      </c>
      <c r="M9" s="125">
        <v>696</v>
      </c>
      <c r="N9" s="125">
        <v>933</v>
      </c>
      <c r="O9" s="125">
        <v>1026</v>
      </c>
      <c r="P9" s="125">
        <v>1699</v>
      </c>
      <c r="Q9" s="125">
        <v>1632</v>
      </c>
      <c r="R9" s="182">
        <v>1646</v>
      </c>
      <c r="S9" s="182">
        <v>1908</v>
      </c>
      <c r="T9" s="101">
        <f>((S9/G9)^(1/($J$2-$J$1) ))-1</f>
        <v>0.18941510932689698</v>
      </c>
      <c r="U9" s="21">
        <f t="shared" ref="U9:U55" si="6">$N$2</f>
        <v>0.15</v>
      </c>
      <c r="V9" s="131">
        <f t="shared" si="2"/>
        <v>2194.1999999999998</v>
      </c>
      <c r="W9" s="131">
        <f t="shared" ref="W9" si="7">V9*(1+$U9)</f>
        <v>2523.3299999999995</v>
      </c>
      <c r="X9" s="131">
        <f t="shared" ref="X9" si="8">W9*(1+$U9)</f>
        <v>2901.8294999999994</v>
      </c>
      <c r="Y9" s="131">
        <f t="shared" ref="Y9" si="9">X9*(1+$U9)</f>
        <v>3337.103924999999</v>
      </c>
      <c r="Z9" s="131">
        <f t="shared" ref="Z9" si="10">Y9*(1+$U9)</f>
        <v>3837.6695137499987</v>
      </c>
      <c r="AA9" s="131">
        <f t="shared" ref="AA9" si="11">Z9*(1+$U9)</f>
        <v>4413.3199408124983</v>
      </c>
      <c r="AB9" s="131">
        <f t="shared" ref="AB9" si="12">AA9*(1+$U9)</f>
        <v>5075.3179319343726</v>
      </c>
      <c r="AC9" s="131">
        <f t="shared" ref="AC9" si="13">AB9*(1+$U9)</f>
        <v>5836.615621724528</v>
      </c>
      <c r="AD9" s="131">
        <f t="shared" ref="AD9" si="14">AC9*(1+$U9)</f>
        <v>6712.1079649832063</v>
      </c>
      <c r="AE9" s="131">
        <f t="shared" ref="AE9" si="15">AD9*(1+$U9)</f>
        <v>7718.9241597306864</v>
      </c>
      <c r="AF9" s="116">
        <f>((AE9/I9)^(1/($AE$3-$J$1) ))-1</f>
        <v>0.1676210853394724</v>
      </c>
      <c r="AG9" s="21">
        <f t="shared" ref="AG9:AG99" si="16">$N$1</f>
        <v>0.05</v>
      </c>
      <c r="AH9" s="124">
        <f t="shared" si="1"/>
        <v>81048.70367717222</v>
      </c>
    </row>
    <row r="10" spans="2:34">
      <c r="B10" s="10" t="s">
        <v>3</v>
      </c>
      <c r="C10" s="119"/>
      <c r="D10" s="119"/>
      <c r="E10" s="125"/>
      <c r="F10" s="125"/>
      <c r="G10" s="125">
        <v>203</v>
      </c>
      <c r="H10" s="125">
        <v>298</v>
      </c>
      <c r="I10" s="125">
        <v>297</v>
      </c>
      <c r="J10" s="125">
        <v>341</v>
      </c>
      <c r="K10" s="125">
        <v>376</v>
      </c>
      <c r="L10" s="125">
        <v>361</v>
      </c>
      <c r="M10" s="125">
        <v>174</v>
      </c>
      <c r="N10" s="125">
        <v>104</v>
      </c>
      <c r="O10" s="125">
        <v>27</v>
      </c>
      <c r="P10" s="125">
        <v>51</v>
      </c>
      <c r="Q10" s="125">
        <v>14</v>
      </c>
      <c r="R10" s="182">
        <v>54</v>
      </c>
      <c r="S10" s="182">
        <v>111</v>
      </c>
      <c r="T10" s="101">
        <f>((S10/G10)^(1/($J$2-$J$1) ))-1</f>
        <v>-4.9061906538683697E-2</v>
      </c>
      <c r="U10" s="21">
        <f t="shared" si="6"/>
        <v>0.15</v>
      </c>
      <c r="V10" s="131">
        <f t="shared" si="2"/>
        <v>127.64999999999999</v>
      </c>
      <c r="W10" s="131">
        <f t="shared" ref="W10:AE10" si="17">V10*(1+$U10)</f>
        <v>146.79749999999999</v>
      </c>
      <c r="X10" s="131">
        <f t="shared" si="17"/>
        <v>168.81712499999998</v>
      </c>
      <c r="Y10" s="131">
        <f t="shared" si="17"/>
        <v>194.13969374999996</v>
      </c>
      <c r="Z10" s="131">
        <f t="shared" si="17"/>
        <v>223.26064781249994</v>
      </c>
      <c r="AA10" s="131">
        <f t="shared" si="17"/>
        <v>256.7497449843749</v>
      </c>
      <c r="AB10" s="131">
        <f t="shared" si="17"/>
        <v>295.26220673203113</v>
      </c>
      <c r="AC10" s="131">
        <f t="shared" si="17"/>
        <v>339.55153774183577</v>
      </c>
      <c r="AD10" s="131">
        <f t="shared" si="17"/>
        <v>390.48426840311112</v>
      </c>
      <c r="AE10" s="131">
        <f t="shared" si="17"/>
        <v>449.05690866357776</v>
      </c>
      <c r="AF10" s="116">
        <f t="shared" ref="AF10:AF57" si="18">((AE10/I10)^(1/($AE$3-$J$1) ))-1</f>
        <v>1.98816049338153E-2</v>
      </c>
      <c r="AG10" s="21">
        <f t="shared" si="16"/>
        <v>0.05</v>
      </c>
      <c r="AH10" s="124">
        <f t="shared" si="1"/>
        <v>4715.0975409675675</v>
      </c>
    </row>
    <row r="11" spans="2:34">
      <c r="B11" s="10"/>
      <c r="C11" s="119"/>
      <c r="D11" s="119"/>
      <c r="E11" s="125"/>
      <c r="F11" s="125"/>
      <c r="G11" s="272">
        <f>(G10-F10)/G10</f>
        <v>1</v>
      </c>
      <c r="H11" s="272">
        <f t="shared" ref="H11:Q11" si="19">(H10-G10)/H10</f>
        <v>0.31879194630872482</v>
      </c>
      <c r="I11" s="272">
        <f t="shared" si="19"/>
        <v>-3.3670033670033669E-3</v>
      </c>
      <c r="J11" s="272">
        <f t="shared" si="19"/>
        <v>0.12903225806451613</v>
      </c>
      <c r="K11" s="272">
        <f t="shared" si="19"/>
        <v>9.3085106382978719E-2</v>
      </c>
      <c r="L11" s="272">
        <f t="shared" si="19"/>
        <v>-4.1551246537396121E-2</v>
      </c>
      <c r="M11" s="272">
        <f t="shared" si="19"/>
        <v>-1.0747126436781609</v>
      </c>
      <c r="N11" s="272">
        <f t="shared" si="19"/>
        <v>-0.67307692307692313</v>
      </c>
      <c r="O11" s="272">
        <f t="shared" si="19"/>
        <v>-2.8518518518518516</v>
      </c>
      <c r="P11" s="272">
        <f t="shared" si="19"/>
        <v>0.47058823529411764</v>
      </c>
      <c r="Q11" s="272">
        <f t="shared" si="19"/>
        <v>-2.6428571428571428</v>
      </c>
      <c r="R11" s="128">
        <f t="shared" ref="R11:S11" si="20">(R10-Q10)/Q10</f>
        <v>2.8571428571428572</v>
      </c>
      <c r="S11" s="128">
        <f t="shared" si="20"/>
        <v>1.0555555555555556</v>
      </c>
      <c r="T11" s="110"/>
      <c r="U11" s="10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02"/>
      <c r="AG11" s="21">
        <f t="shared" si="16"/>
        <v>0.05</v>
      </c>
      <c r="AH11" s="131"/>
    </row>
    <row r="12" spans="2:34">
      <c r="B12" s="10" t="s">
        <v>2</v>
      </c>
      <c r="C12" s="119"/>
      <c r="D12" s="119"/>
      <c r="E12" s="125"/>
      <c r="F12" s="125"/>
      <c r="G12" s="125">
        <v>2</v>
      </c>
      <c r="H12" s="125">
        <v>37</v>
      </c>
      <c r="I12" s="125">
        <v>47</v>
      </c>
      <c r="J12" s="125">
        <v>4</v>
      </c>
      <c r="K12" s="125">
        <v>7</v>
      </c>
      <c r="L12" s="125">
        <v>39</v>
      </c>
      <c r="M12" s="125">
        <v>30</v>
      </c>
      <c r="N12" s="125">
        <v>23</v>
      </c>
      <c r="O12" s="125">
        <v>63</v>
      </c>
      <c r="P12" s="125">
        <v>221</v>
      </c>
      <c r="Q12" s="125">
        <v>287</v>
      </c>
      <c r="R12" s="182">
        <v>207</v>
      </c>
      <c r="S12" s="182">
        <v>294</v>
      </c>
      <c r="T12" s="101">
        <f>((S12/G12)^(1/($J$2-$J$1) ))-1</f>
        <v>0.51568788017187184</v>
      </c>
      <c r="U12" s="21">
        <f t="shared" si="6"/>
        <v>0.15</v>
      </c>
      <c r="V12" s="131">
        <f t="shared" si="2"/>
        <v>338.09999999999997</v>
      </c>
      <c r="W12" s="131">
        <f t="shared" ref="W12:AE12" si="21">V12*(1+$U12)</f>
        <v>388.81499999999994</v>
      </c>
      <c r="X12" s="131">
        <f t="shared" si="21"/>
        <v>447.13724999999988</v>
      </c>
      <c r="Y12" s="131">
        <f t="shared" si="21"/>
        <v>514.20783749999987</v>
      </c>
      <c r="Z12" s="131">
        <f t="shared" si="21"/>
        <v>591.33901312499984</v>
      </c>
      <c r="AA12" s="131">
        <f t="shared" si="21"/>
        <v>680.03986509374977</v>
      </c>
      <c r="AB12" s="131">
        <f t="shared" si="21"/>
        <v>782.0458448578122</v>
      </c>
      <c r="AC12" s="131">
        <f t="shared" si="21"/>
        <v>899.35272158648399</v>
      </c>
      <c r="AD12" s="131">
        <f t="shared" si="21"/>
        <v>1034.2556298244565</v>
      </c>
      <c r="AE12" s="131">
        <f t="shared" si="21"/>
        <v>1189.3939742981249</v>
      </c>
      <c r="AF12" s="116">
        <f t="shared" si="18"/>
        <v>0.16632712236460856</v>
      </c>
      <c r="AG12" s="21">
        <f t="shared" si="16"/>
        <v>0.05</v>
      </c>
      <c r="AH12" s="124">
        <f t="shared" si="1"/>
        <v>12488.636730130314</v>
      </c>
    </row>
    <row r="13" spans="2:34">
      <c r="B13" s="10" t="s">
        <v>191</v>
      </c>
      <c r="C13" s="119"/>
      <c r="D13" s="119"/>
      <c r="E13" s="125"/>
      <c r="F13" s="125"/>
      <c r="G13" s="125">
        <v>8</v>
      </c>
      <c r="H13" s="125">
        <v>93</v>
      </c>
      <c r="I13" s="125">
        <v>228</v>
      </c>
      <c r="J13" s="125">
        <v>238</v>
      </c>
      <c r="K13" s="125">
        <v>256</v>
      </c>
      <c r="L13" s="125">
        <v>275</v>
      </c>
      <c r="M13" s="125">
        <v>877</v>
      </c>
      <c r="N13" s="125">
        <v>861</v>
      </c>
      <c r="O13" s="125">
        <v>993</v>
      </c>
      <c r="P13" s="125">
        <v>6829</v>
      </c>
      <c r="Q13" s="125">
        <v>7928</v>
      </c>
      <c r="R13" s="182">
        <v>6348</v>
      </c>
      <c r="S13" s="182">
        <v>8247</v>
      </c>
      <c r="T13" s="101">
        <f t="shared" ref="T13:T59" si="22">((S13/G13)^(1/($J$2-$J$1) ))-1</f>
        <v>0.78279127768278922</v>
      </c>
      <c r="U13" s="21">
        <f t="shared" si="6"/>
        <v>0.15</v>
      </c>
      <c r="V13" s="131">
        <f t="shared" si="2"/>
        <v>9484.0499999999993</v>
      </c>
      <c r="W13" s="131">
        <f t="shared" ref="W13:AE13" si="23">V13*(1+$U13)</f>
        <v>10906.657499999998</v>
      </c>
      <c r="X13" s="131">
        <f t="shared" si="23"/>
        <v>12542.656124999996</v>
      </c>
      <c r="Y13" s="131">
        <f t="shared" si="23"/>
        <v>14424.054543749995</v>
      </c>
      <c r="Z13" s="131">
        <f t="shared" si="23"/>
        <v>16587.662725312493</v>
      </c>
      <c r="AA13" s="131">
        <f t="shared" si="23"/>
        <v>19075.812134109365</v>
      </c>
      <c r="AB13" s="131">
        <f t="shared" si="23"/>
        <v>21937.183954225769</v>
      </c>
      <c r="AC13" s="131">
        <f t="shared" si="23"/>
        <v>25227.761547359634</v>
      </c>
      <c r="AD13" s="131">
        <f t="shared" si="23"/>
        <v>29011.925779463578</v>
      </c>
      <c r="AE13" s="131">
        <f t="shared" si="23"/>
        <v>33363.714646383109</v>
      </c>
      <c r="AF13" s="116">
        <f t="shared" si="18"/>
        <v>0.26797709139071313</v>
      </c>
      <c r="AG13" s="21">
        <f t="shared" si="16"/>
        <v>0.05</v>
      </c>
      <c r="AH13" s="124">
        <f t="shared" si="1"/>
        <v>350319.00378702272</v>
      </c>
    </row>
    <row r="14" spans="2:34">
      <c r="B14" s="10" t="s">
        <v>318</v>
      </c>
      <c r="C14" s="119"/>
      <c r="D14" s="119"/>
      <c r="E14" s="125"/>
      <c r="F14" s="125"/>
      <c r="G14" s="125">
        <v>224</v>
      </c>
      <c r="H14" s="125">
        <v>246</v>
      </c>
      <c r="I14" s="125">
        <v>264</v>
      </c>
      <c r="J14" s="125">
        <v>424</v>
      </c>
      <c r="K14" s="125">
        <v>640</v>
      </c>
      <c r="L14" s="125">
        <v>524</v>
      </c>
      <c r="M14" s="125">
        <v>797</v>
      </c>
      <c r="N14" s="125">
        <v>1134</v>
      </c>
      <c r="O14" s="125">
        <v>1160</v>
      </c>
      <c r="P14" s="125">
        <v>1407</v>
      </c>
      <c r="Q14" s="125">
        <v>1302</v>
      </c>
      <c r="R14" s="182">
        <v>1646</v>
      </c>
      <c r="S14" s="182">
        <v>1245</v>
      </c>
      <c r="T14" s="101">
        <f t="shared" si="22"/>
        <v>0.15365719175878079</v>
      </c>
      <c r="U14" s="21">
        <f t="shared" si="6"/>
        <v>0.15</v>
      </c>
      <c r="V14" s="131">
        <f t="shared" si="2"/>
        <v>1431.75</v>
      </c>
      <c r="W14" s="131">
        <f t="shared" ref="W14" si="24">V14*(1+$U14)</f>
        <v>1646.5124999999998</v>
      </c>
      <c r="X14" s="131">
        <f t="shared" ref="X14" si="25">W14*(1+$U14)</f>
        <v>1893.4893749999997</v>
      </c>
      <c r="Y14" s="131">
        <f t="shared" ref="Y14" si="26">X14*(1+$U14)</f>
        <v>2177.5127812499995</v>
      </c>
      <c r="Z14" s="131">
        <f t="shared" ref="Z14" si="27">Y14*(1+$U14)</f>
        <v>2504.1396984374992</v>
      </c>
      <c r="AA14" s="131">
        <f t="shared" ref="AA14" si="28">Z14*(1+$U14)</f>
        <v>2879.7606532031236</v>
      </c>
      <c r="AB14" s="131">
        <f t="shared" ref="AB14" si="29">AA14*(1+$U14)</f>
        <v>3311.7247511835917</v>
      </c>
      <c r="AC14" s="131">
        <f t="shared" ref="AC14" si="30">AB14*(1+$U14)</f>
        <v>3808.4834638611301</v>
      </c>
      <c r="AD14" s="131">
        <f t="shared" ref="AD14" si="31">AC14*(1+$U14)</f>
        <v>4379.7559834402991</v>
      </c>
      <c r="AE14" s="131">
        <f t="shared" ref="AE14" si="32">AD14*(1+$U14)</f>
        <v>5036.7193809563432</v>
      </c>
      <c r="AF14" s="116">
        <f t="shared" ref="AF14" si="33">((AE14/I14)^(1/($AE$3-$J$1) ))-1</f>
        <v>0.15074282983523779</v>
      </c>
      <c r="AG14" s="21">
        <f t="shared" si="16"/>
        <v>0.05</v>
      </c>
      <c r="AH14" s="124">
        <f t="shared" ref="AH14" si="34">(AE14*(1+AG14))/($C$1-AG14)</f>
        <v>52885.553500041613</v>
      </c>
    </row>
    <row r="15" spans="2:34">
      <c r="B15" s="10" t="s">
        <v>11</v>
      </c>
      <c r="C15" s="119"/>
      <c r="D15" s="119"/>
      <c r="E15" s="125"/>
      <c r="F15" s="125"/>
      <c r="G15" s="125">
        <v>368</v>
      </c>
      <c r="H15" s="125">
        <v>437</v>
      </c>
      <c r="I15" s="125">
        <v>458</v>
      </c>
      <c r="J15" s="125">
        <v>605</v>
      </c>
      <c r="K15" s="125">
        <v>939</v>
      </c>
      <c r="L15" s="125">
        <v>827</v>
      </c>
      <c r="M15" s="125">
        <v>1120</v>
      </c>
      <c r="N15" s="125">
        <v>1530</v>
      </c>
      <c r="O15" s="125">
        <v>1650</v>
      </c>
      <c r="P15" s="125">
        <v>2219</v>
      </c>
      <c r="Q15" s="125">
        <v>2248</v>
      </c>
      <c r="R15" s="182">
        <v>2543</v>
      </c>
      <c r="S15" s="182">
        <v>2262</v>
      </c>
      <c r="T15" s="101">
        <f t="shared" si="22"/>
        <v>0.16337679898848267</v>
      </c>
      <c r="U15" s="21">
        <f t="shared" si="6"/>
        <v>0.15</v>
      </c>
      <c r="V15" s="131">
        <f t="shared" si="2"/>
        <v>2601.2999999999997</v>
      </c>
      <c r="W15" s="131">
        <f t="shared" ref="W15:AE15" si="35">V15*(1+$U15)</f>
        <v>2991.4949999999994</v>
      </c>
      <c r="X15" s="131">
        <f t="shared" si="35"/>
        <v>3440.2192499999992</v>
      </c>
      <c r="Y15" s="131">
        <f t="shared" si="35"/>
        <v>3956.2521374999988</v>
      </c>
      <c r="Z15" s="131">
        <f t="shared" si="35"/>
        <v>4549.6899581249982</v>
      </c>
      <c r="AA15" s="131">
        <f t="shared" si="35"/>
        <v>5232.1434518437472</v>
      </c>
      <c r="AB15" s="131">
        <f t="shared" si="35"/>
        <v>6016.9649696203087</v>
      </c>
      <c r="AC15" s="131">
        <f t="shared" si="35"/>
        <v>6919.5097150633546</v>
      </c>
      <c r="AD15" s="131">
        <f t="shared" si="35"/>
        <v>7957.4361723228576</v>
      </c>
      <c r="AE15" s="131">
        <f t="shared" si="35"/>
        <v>9151.0515981712851</v>
      </c>
      <c r="AF15" s="116">
        <f t="shared" si="18"/>
        <v>0.15327690858774323</v>
      </c>
      <c r="AG15" s="21">
        <f t="shared" si="16"/>
        <v>0.05</v>
      </c>
      <c r="AH15" s="124">
        <f t="shared" si="1"/>
        <v>96086.041780798507</v>
      </c>
    </row>
    <row r="16" spans="2:34">
      <c r="B16" s="10" t="s">
        <v>12</v>
      </c>
      <c r="C16" s="119"/>
      <c r="D16" s="119"/>
      <c r="E16" s="125"/>
      <c r="F16" s="125"/>
      <c r="G16" s="125">
        <v>115</v>
      </c>
      <c r="H16" s="125">
        <v>204</v>
      </c>
      <c r="I16" s="125">
        <v>138</v>
      </c>
      <c r="J16" s="125">
        <v>161</v>
      </c>
      <c r="K16" s="125">
        <v>316</v>
      </c>
      <c r="L16" s="125">
        <v>302</v>
      </c>
      <c r="M16" s="125">
        <v>413</v>
      </c>
      <c r="N16" s="125">
        <v>600</v>
      </c>
      <c r="O16" s="125">
        <v>602</v>
      </c>
      <c r="P16" s="125">
        <v>831</v>
      </c>
      <c r="Q16" s="125">
        <v>959</v>
      </c>
      <c r="R16" s="182">
        <v>3704</v>
      </c>
      <c r="S16" s="182">
        <v>2659</v>
      </c>
      <c r="T16" s="101">
        <f t="shared" si="22"/>
        <v>0.29917715352814422</v>
      </c>
      <c r="U16" s="21">
        <f t="shared" si="6"/>
        <v>0.15</v>
      </c>
      <c r="V16" s="131">
        <f t="shared" si="2"/>
        <v>3057.85</v>
      </c>
      <c r="W16" s="131">
        <f t="shared" ref="W16:AE16" si="36">V16*(1+$U16)</f>
        <v>3516.5274999999997</v>
      </c>
      <c r="X16" s="131">
        <f t="shared" si="36"/>
        <v>4044.0066249999995</v>
      </c>
      <c r="Y16" s="131">
        <f t="shared" si="36"/>
        <v>4650.6076187499993</v>
      </c>
      <c r="Z16" s="131">
        <f t="shared" si="36"/>
        <v>5348.1987615624985</v>
      </c>
      <c r="AA16" s="131">
        <f t="shared" si="36"/>
        <v>6150.4285757968728</v>
      </c>
      <c r="AB16" s="131">
        <f t="shared" si="36"/>
        <v>7072.992862166403</v>
      </c>
      <c r="AC16" s="131">
        <f t="shared" si="36"/>
        <v>8133.9417914913629</v>
      </c>
      <c r="AD16" s="131">
        <f t="shared" si="36"/>
        <v>9354.0330602150661</v>
      </c>
      <c r="AE16" s="131">
        <f t="shared" si="36"/>
        <v>10757.138019247324</v>
      </c>
      <c r="AF16" s="116">
        <f t="shared" si="18"/>
        <v>0.23051398805245937</v>
      </c>
      <c r="AG16" s="21">
        <f t="shared" si="16"/>
        <v>0.05</v>
      </c>
      <c r="AH16" s="124">
        <f t="shared" si="1"/>
        <v>112949.94920209692</v>
      </c>
    </row>
    <row r="17" spans="2:34">
      <c r="B17" s="10"/>
      <c r="C17" s="119"/>
      <c r="D17" s="119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10"/>
      <c r="U17" s="10"/>
      <c r="V17" s="131">
        <f t="shared" si="2"/>
        <v>0</v>
      </c>
      <c r="W17" s="131"/>
      <c r="X17" s="131"/>
      <c r="Y17" s="131"/>
      <c r="Z17" s="131"/>
      <c r="AA17" s="131"/>
      <c r="AB17" s="131"/>
      <c r="AC17" s="131"/>
      <c r="AD17" s="131"/>
      <c r="AE17" s="131"/>
      <c r="AF17" s="117"/>
      <c r="AG17" s="115"/>
      <c r="AH17" s="131"/>
    </row>
    <row r="18" spans="2:34">
      <c r="B18" s="10" t="s">
        <v>229</v>
      </c>
      <c r="C18" s="119"/>
      <c r="D18" s="119"/>
      <c r="E18" s="125"/>
      <c r="F18" s="125"/>
      <c r="G18" s="125">
        <v>486</v>
      </c>
      <c r="H18" s="125">
        <v>499</v>
      </c>
      <c r="I18" s="125">
        <v>471</v>
      </c>
      <c r="J18" s="125">
        <v>487</v>
      </c>
      <c r="K18" s="125">
        <v>611</v>
      </c>
      <c r="L18" s="125">
        <v>773</v>
      </c>
      <c r="M18" s="125">
        <v>794</v>
      </c>
      <c r="N18" s="125">
        <v>967</v>
      </c>
      <c r="O18" s="125">
        <v>1104</v>
      </c>
      <c r="P18" s="125">
        <v>1677</v>
      </c>
      <c r="Q18" s="125">
        <f>P18</f>
        <v>1677</v>
      </c>
      <c r="R18" s="182">
        <v>1744</v>
      </c>
      <c r="S18" s="182">
        <v>1941</v>
      </c>
      <c r="T18" s="101">
        <f t="shared" si="22"/>
        <v>0.12231759656626107</v>
      </c>
      <c r="U18" s="21">
        <f t="shared" si="6"/>
        <v>0.15</v>
      </c>
      <c r="V18" s="131">
        <f t="shared" si="2"/>
        <v>2232.1499999999996</v>
      </c>
      <c r="W18" s="131">
        <f t="shared" ref="W18:W34" si="37">V18*(1+$U18)</f>
        <v>2566.9724999999994</v>
      </c>
      <c r="X18" s="131">
        <f t="shared" ref="X18:X34" si="38">W18*(1+$U18)</f>
        <v>2952.0183749999992</v>
      </c>
      <c r="Y18" s="131">
        <f t="shared" ref="Y18:Y34" si="39">X18*(1+$U18)</f>
        <v>3394.8211312499989</v>
      </c>
      <c r="Z18" s="131">
        <f t="shared" ref="Z18:Z51" si="40">Y18*(1+$U18)</f>
        <v>3904.0443009374985</v>
      </c>
      <c r="AA18" s="131">
        <f t="shared" ref="AA18:AA51" si="41">Z18*(1+$U18)</f>
        <v>4489.6509460781226</v>
      </c>
      <c r="AB18" s="131">
        <f t="shared" ref="AB18:AB51" si="42">AA18*(1+$U18)</f>
        <v>5163.0985879898408</v>
      </c>
      <c r="AC18" s="131">
        <f t="shared" ref="AC18:AC51" si="43">AB18*(1+$U18)</f>
        <v>5937.5633761883164</v>
      </c>
      <c r="AD18" s="131">
        <f t="shared" ref="AD18:AD51" si="44">AC18*(1+$U18)</f>
        <v>6828.1978826165632</v>
      </c>
      <c r="AE18" s="131">
        <f t="shared" ref="AE18:AE51" si="45">AD18*(1+$U18)</f>
        <v>7852.4275650090467</v>
      </c>
      <c r="AF18" s="116">
        <f t="shared" si="18"/>
        <v>0.14337756976661908</v>
      </c>
      <c r="AG18" s="21">
        <f t="shared" si="16"/>
        <v>0.05</v>
      </c>
      <c r="AH18" s="124">
        <f t="shared" si="1"/>
        <v>82450.489432594986</v>
      </c>
    </row>
    <row r="19" spans="2:34">
      <c r="B19" s="10"/>
      <c r="C19" s="119"/>
      <c r="D19" s="119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10"/>
      <c r="U19" s="10"/>
      <c r="V19" s="131">
        <f t="shared" si="2"/>
        <v>0</v>
      </c>
      <c r="W19" s="131"/>
      <c r="X19" s="131"/>
      <c r="Y19" s="131"/>
      <c r="Z19" s="131"/>
      <c r="AA19" s="131"/>
      <c r="AB19" s="131"/>
      <c r="AC19" s="131"/>
      <c r="AD19" s="131"/>
      <c r="AE19" s="131"/>
      <c r="AF19" s="117"/>
      <c r="AG19" s="115"/>
      <c r="AH19" s="131"/>
    </row>
    <row r="20" spans="2:34">
      <c r="B20" s="10" t="s">
        <v>234</v>
      </c>
      <c r="C20" s="119"/>
      <c r="D20" s="119"/>
      <c r="E20" s="125"/>
      <c r="F20" s="125"/>
      <c r="G20" s="125">
        <v>161</v>
      </c>
      <c r="H20" s="125">
        <v>92</v>
      </c>
      <c r="I20" s="125">
        <v>224</v>
      </c>
      <c r="J20" s="125">
        <v>188</v>
      </c>
      <c r="K20" s="125">
        <v>180</v>
      </c>
      <c r="L20" s="125">
        <v>504</v>
      </c>
      <c r="M20" s="125">
        <v>524</v>
      </c>
      <c r="N20" s="125">
        <v>398</v>
      </c>
      <c r="O20" s="125">
        <v>510</v>
      </c>
      <c r="P20" s="125">
        <v>359</v>
      </c>
      <c r="Q20" s="125">
        <v>647</v>
      </c>
      <c r="R20" s="125">
        <v>326</v>
      </c>
      <c r="S20" s="125">
        <v>1339</v>
      </c>
      <c r="T20" s="101">
        <f t="shared" si="22"/>
        <v>0.19306166610517139</v>
      </c>
      <c r="U20" s="21">
        <f t="shared" si="6"/>
        <v>0.15</v>
      </c>
      <c r="V20" s="131">
        <f t="shared" si="2"/>
        <v>1539.85</v>
      </c>
      <c r="W20" s="131">
        <f t="shared" ref="W20:W22" si="46">V20*(1+$U20)</f>
        <v>1770.8274999999996</v>
      </c>
      <c r="X20" s="131">
        <f t="shared" ref="X20:X22" si="47">W20*(1+$U20)</f>
        <v>2036.4516249999995</v>
      </c>
      <c r="Y20" s="131">
        <f t="shared" ref="Y20:Y22" si="48">X20*(1+$U20)</f>
        <v>2341.9193687499992</v>
      </c>
      <c r="Z20" s="131">
        <f t="shared" ref="Z20:Z22" si="49">Y20*(1+$U20)</f>
        <v>2693.207274062499</v>
      </c>
      <c r="AA20" s="131">
        <f t="shared" ref="AA20:AA22" si="50">Z20*(1+$U20)</f>
        <v>3097.1883651718736</v>
      </c>
      <c r="AB20" s="131">
        <f t="shared" ref="AB20:AB22" si="51">AA20*(1+$U20)</f>
        <v>3561.7666199476544</v>
      </c>
      <c r="AC20" s="131">
        <f t="shared" ref="AC20:AC22" si="52">AB20*(1+$U20)</f>
        <v>4096.0316129398025</v>
      </c>
      <c r="AD20" s="131">
        <f t="shared" ref="AD20:AD22" si="53">AC20*(1+$U20)</f>
        <v>4710.4363548807723</v>
      </c>
      <c r="AE20" s="131">
        <f t="shared" ref="AE20:AE22" si="54">AD20*(1+$U20)</f>
        <v>5417.0018081128874</v>
      </c>
      <c r="AF20" s="116">
        <f t="shared" ref="AF20:AF22" si="55">((AE20/I20)^(1/($AE$3-$J$1) ))-1</f>
        <v>0.1638083649555413</v>
      </c>
      <c r="AG20" s="21">
        <f t="shared" si="16"/>
        <v>0.05</v>
      </c>
      <c r="AH20" s="124">
        <f t="shared" si="1"/>
        <v>56878.518985185321</v>
      </c>
    </row>
    <row r="21" spans="2:34">
      <c r="B21" s="10" t="s">
        <v>235</v>
      </c>
      <c r="C21" s="119"/>
      <c r="D21" s="119"/>
      <c r="E21" s="125"/>
      <c r="F21" s="125"/>
      <c r="G21" s="125">
        <v>-54</v>
      </c>
      <c r="H21" s="125">
        <v>-158</v>
      </c>
      <c r="I21" s="125">
        <v>-193</v>
      </c>
      <c r="J21" s="125">
        <v>-189</v>
      </c>
      <c r="K21" s="125">
        <v>-292</v>
      </c>
      <c r="L21" s="125">
        <v>-319</v>
      </c>
      <c r="M21" s="125">
        <v>-770</v>
      </c>
      <c r="N21" s="125">
        <v>-184</v>
      </c>
      <c r="O21" s="125">
        <v>-323</v>
      </c>
      <c r="P21" s="125">
        <v>-180</v>
      </c>
      <c r="Q21" s="125">
        <v>-434</v>
      </c>
      <c r="R21" s="125">
        <v>-215</v>
      </c>
      <c r="S21" s="125">
        <v>-1145</v>
      </c>
      <c r="T21" s="101">
        <f t="shared" si="22"/>
        <v>0.28983545475629957</v>
      </c>
      <c r="U21" s="21">
        <f t="shared" si="6"/>
        <v>0.15</v>
      </c>
      <c r="V21" s="131">
        <f t="shared" si="2"/>
        <v>-1316.75</v>
      </c>
      <c r="W21" s="131">
        <f t="shared" si="46"/>
        <v>-1514.2624999999998</v>
      </c>
      <c r="X21" s="131">
        <f t="shared" si="47"/>
        <v>-1741.4018749999996</v>
      </c>
      <c r="Y21" s="131">
        <f t="shared" si="48"/>
        <v>-2002.6121562499993</v>
      </c>
      <c r="Z21" s="131">
        <f t="shared" si="49"/>
        <v>-2303.0039796874989</v>
      </c>
      <c r="AA21" s="131">
        <f t="shared" si="50"/>
        <v>-2648.4545766406236</v>
      </c>
      <c r="AB21" s="131">
        <f t="shared" si="51"/>
        <v>-3045.7227631367168</v>
      </c>
      <c r="AC21" s="131">
        <f t="shared" si="52"/>
        <v>-3502.5811776072242</v>
      </c>
      <c r="AD21" s="131">
        <f t="shared" si="53"/>
        <v>-4027.9683542483076</v>
      </c>
      <c r="AE21" s="131">
        <f t="shared" si="54"/>
        <v>-4632.1636073855534</v>
      </c>
      <c r="AF21" s="116">
        <f t="shared" si="55"/>
        <v>0.16338932715308774</v>
      </c>
      <c r="AG21" s="21">
        <f t="shared" si="16"/>
        <v>0.05</v>
      </c>
      <c r="AH21" s="124">
        <f t="shared" si="1"/>
        <v>-48637.717877548319</v>
      </c>
    </row>
    <row r="22" spans="2:34">
      <c r="B22" s="10" t="s">
        <v>236</v>
      </c>
      <c r="C22" s="119"/>
      <c r="D22" s="119"/>
      <c r="E22" s="125"/>
      <c r="F22" s="125"/>
      <c r="G22" s="125">
        <v>-108</v>
      </c>
      <c r="H22" s="125">
        <v>102</v>
      </c>
      <c r="I22" s="125">
        <v>-49</v>
      </c>
      <c r="J22" s="125">
        <v>-15</v>
      </c>
      <c r="K22" s="125">
        <v>111</v>
      </c>
      <c r="L22" s="125">
        <v>154</v>
      </c>
      <c r="M22" s="125">
        <v>214</v>
      </c>
      <c r="N22" s="125">
        <v>-201</v>
      </c>
      <c r="O22" s="125">
        <v>-144</v>
      </c>
      <c r="P22" s="125">
        <v>-162</v>
      </c>
      <c r="Q22" s="125">
        <v>-168</v>
      </c>
      <c r="R22" s="125">
        <v>-202</v>
      </c>
      <c r="S22" s="125">
        <v>-150</v>
      </c>
      <c r="T22" s="101">
        <f t="shared" si="22"/>
        <v>2.7753486255686521E-2</v>
      </c>
      <c r="U22" s="21">
        <f t="shared" si="6"/>
        <v>0.15</v>
      </c>
      <c r="V22" s="131">
        <f t="shared" si="2"/>
        <v>-172.5</v>
      </c>
      <c r="W22" s="131">
        <f t="shared" si="46"/>
        <v>-198.37499999999997</v>
      </c>
      <c r="X22" s="131">
        <f t="shared" si="47"/>
        <v>-228.13124999999994</v>
      </c>
      <c r="Y22" s="131">
        <f t="shared" si="48"/>
        <v>-262.35093749999993</v>
      </c>
      <c r="Z22" s="131">
        <f t="shared" si="49"/>
        <v>-301.70357812499992</v>
      </c>
      <c r="AA22" s="131">
        <f t="shared" si="50"/>
        <v>-346.95911484374989</v>
      </c>
      <c r="AB22" s="131">
        <f t="shared" si="51"/>
        <v>-399.00298207031233</v>
      </c>
      <c r="AC22" s="131">
        <f t="shared" si="52"/>
        <v>-458.85342938085915</v>
      </c>
      <c r="AD22" s="131">
        <f t="shared" si="53"/>
        <v>-527.68144378798797</v>
      </c>
      <c r="AE22" s="131">
        <f t="shared" si="54"/>
        <v>-606.8336603561861</v>
      </c>
      <c r="AF22" s="116">
        <f t="shared" si="55"/>
        <v>0.12730543066283451</v>
      </c>
      <c r="AG22" s="21">
        <f t="shared" si="16"/>
        <v>0.05</v>
      </c>
      <c r="AH22" s="124">
        <f t="shared" si="1"/>
        <v>-6371.7534337399557</v>
      </c>
    </row>
    <row r="23" spans="2:34">
      <c r="B23" s="10" t="s">
        <v>245</v>
      </c>
      <c r="C23" s="119"/>
      <c r="D23" s="119"/>
      <c r="E23" s="125"/>
      <c r="F23" s="125"/>
      <c r="G23" s="125">
        <v>1.2</v>
      </c>
      <c r="H23" s="125">
        <v>36</v>
      </c>
      <c r="I23" s="125">
        <v>17</v>
      </c>
      <c r="J23" s="125">
        <v>1.5</v>
      </c>
      <c r="K23" s="125">
        <v>1.7</v>
      </c>
      <c r="L23" s="125">
        <v>34</v>
      </c>
      <c r="M23" s="125">
        <v>3</v>
      </c>
      <c r="N23" s="125">
        <v>15</v>
      </c>
      <c r="O23" s="125">
        <v>58</v>
      </c>
      <c r="P23" s="125">
        <v>75</v>
      </c>
      <c r="Q23" s="125">
        <v>120</v>
      </c>
      <c r="R23" s="125">
        <v>30</v>
      </c>
      <c r="S23" s="125">
        <v>74</v>
      </c>
      <c r="T23" s="101">
        <f t="shared" si="22"/>
        <v>0.40984339103612943</v>
      </c>
      <c r="U23" s="21">
        <f t="shared" si="6"/>
        <v>0.15</v>
      </c>
      <c r="V23" s="131">
        <f t="shared" si="2"/>
        <v>85.1</v>
      </c>
      <c r="W23" s="131">
        <f t="shared" ref="W23" si="56">V23*(1+$U23)</f>
        <v>97.864999999999981</v>
      </c>
      <c r="X23" s="131">
        <f t="shared" ref="X23" si="57">W23*(1+$U23)</f>
        <v>112.54474999999996</v>
      </c>
      <c r="Y23" s="131">
        <f t="shared" ref="Y23" si="58">X23*(1+$U23)</f>
        <v>129.42646249999996</v>
      </c>
      <c r="Z23" s="131">
        <f t="shared" ref="Z23" si="59">Y23*(1+$U23)</f>
        <v>148.84043187499995</v>
      </c>
      <c r="AA23" s="131">
        <f t="shared" ref="AA23" si="60">Z23*(1+$U23)</f>
        <v>171.16649665624993</v>
      </c>
      <c r="AB23" s="131">
        <f t="shared" ref="AB23" si="61">AA23*(1+$U23)</f>
        <v>196.84147115468741</v>
      </c>
      <c r="AC23" s="131">
        <f t="shared" ref="AC23" si="62">AB23*(1+$U23)</f>
        <v>226.3676918278905</v>
      </c>
      <c r="AD23" s="131">
        <f t="shared" ref="AD23" si="63">AC23*(1+$U23)</f>
        <v>260.32284560207404</v>
      </c>
      <c r="AE23" s="131">
        <f t="shared" ref="AE23" si="64">AD23*(1+$U23)</f>
        <v>299.37127244238513</v>
      </c>
      <c r="AF23" s="116">
        <f t="shared" ref="AF23" si="65">((AE23/I23)^(1/($AE$3-$J$1) ))-1</f>
        <v>0.14636247647087175</v>
      </c>
      <c r="AG23" s="21">
        <f t="shared" si="16"/>
        <v>0.05</v>
      </c>
      <c r="AH23" s="124">
        <f t="shared" si="1"/>
        <v>3143.3983606450447</v>
      </c>
    </row>
    <row r="24" spans="2:34">
      <c r="B24" s="10"/>
      <c r="C24" s="119"/>
      <c r="D24" s="119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10"/>
      <c r="U24" s="10"/>
      <c r="V24" s="131">
        <f t="shared" si="2"/>
        <v>0</v>
      </c>
      <c r="W24" s="131"/>
      <c r="X24" s="131"/>
      <c r="Y24" s="131"/>
      <c r="Z24" s="131"/>
      <c r="AA24" s="131"/>
      <c r="AB24" s="131"/>
      <c r="AC24" s="131"/>
      <c r="AD24" s="131"/>
      <c r="AE24" s="131"/>
      <c r="AF24" s="102"/>
      <c r="AG24" s="115"/>
      <c r="AH24" s="131"/>
    </row>
    <row r="25" spans="2:34">
      <c r="B25" s="10" t="s">
        <v>68</v>
      </c>
      <c r="C25" s="119"/>
      <c r="D25" s="119"/>
      <c r="E25" s="125"/>
      <c r="F25" s="125"/>
      <c r="G25" s="125">
        <v>1100</v>
      </c>
      <c r="H25" s="125">
        <v>1400</v>
      </c>
      <c r="I25" s="125">
        <v>1658</v>
      </c>
      <c r="J25" s="125">
        <v>2299</v>
      </c>
      <c r="K25" s="125">
        <v>3404</v>
      </c>
      <c r="L25" s="125">
        <v>3792</v>
      </c>
      <c r="M25" s="125">
        <v>4509</v>
      </c>
      <c r="N25" s="125">
        <v>5561</v>
      </c>
      <c r="O25" s="125">
        <v>5417</v>
      </c>
      <c r="P25" s="125">
        <v>6622</v>
      </c>
      <c r="Q25" s="125">
        <v>8391</v>
      </c>
      <c r="R25" s="182">
        <v>9919</v>
      </c>
      <c r="S25" s="182">
        <v>9374</v>
      </c>
      <c r="T25" s="101">
        <f t="shared" si="22"/>
        <v>0.19548561669738995</v>
      </c>
      <c r="U25" s="21">
        <f t="shared" si="6"/>
        <v>0.15</v>
      </c>
      <c r="V25" s="131">
        <f t="shared" si="2"/>
        <v>10780.099999999999</v>
      </c>
      <c r="W25" s="131">
        <f t="shared" si="37"/>
        <v>12397.114999999998</v>
      </c>
      <c r="X25" s="131">
        <f t="shared" si="38"/>
        <v>14256.682249999996</v>
      </c>
      <c r="Y25" s="131">
        <f t="shared" si="39"/>
        <v>16395.184587499993</v>
      </c>
      <c r="Z25" s="131">
        <f t="shared" si="40"/>
        <v>18854.462275624988</v>
      </c>
      <c r="AA25" s="131">
        <f t="shared" si="41"/>
        <v>21682.631616968734</v>
      </c>
      <c r="AB25" s="131">
        <f t="shared" si="42"/>
        <v>24935.026359514042</v>
      </c>
      <c r="AC25" s="131">
        <f t="shared" si="43"/>
        <v>28675.280313441148</v>
      </c>
      <c r="AD25" s="131">
        <f t="shared" si="44"/>
        <v>32976.572360457314</v>
      </c>
      <c r="AE25" s="131">
        <f t="shared" si="45"/>
        <v>37923.05821452591</v>
      </c>
      <c r="AF25" s="116">
        <f t="shared" si="18"/>
        <v>0.16072534594637622</v>
      </c>
      <c r="AG25" s="21">
        <f t="shared" si="16"/>
        <v>0.05</v>
      </c>
      <c r="AH25" s="124">
        <f t="shared" si="1"/>
        <v>398192.1112525221</v>
      </c>
    </row>
    <row r="26" spans="2:34" s="106" customFormat="1">
      <c r="B26" s="13"/>
      <c r="C26" s="126"/>
      <c r="D26" s="126"/>
      <c r="E26" s="127"/>
      <c r="F26" s="127"/>
      <c r="G26" s="272">
        <f>(G25-F25)/G25</f>
        <v>1</v>
      </c>
      <c r="H26" s="272">
        <f>(H25-G25)/H25</f>
        <v>0.21428571428571427</v>
      </c>
      <c r="I26" s="272">
        <f t="shared" ref="I26:Q26" si="66">(I25-H25)/I25</f>
        <v>0.15560916767189384</v>
      </c>
      <c r="J26" s="272">
        <f t="shared" si="66"/>
        <v>0.27881687690300133</v>
      </c>
      <c r="K26" s="272">
        <f t="shared" si="66"/>
        <v>0.32461809635722677</v>
      </c>
      <c r="L26" s="272">
        <f t="shared" si="66"/>
        <v>0.10232067510548523</v>
      </c>
      <c r="M26" s="272">
        <f t="shared" si="66"/>
        <v>0.15901530272787759</v>
      </c>
      <c r="N26" s="272">
        <f t="shared" si="66"/>
        <v>0.18917460888329438</v>
      </c>
      <c r="O26" s="272">
        <f t="shared" si="66"/>
        <v>-2.6582979508953296E-2</v>
      </c>
      <c r="P26" s="272">
        <f t="shared" si="66"/>
        <v>0.18196919359710056</v>
      </c>
      <c r="Q26" s="272">
        <f t="shared" si="66"/>
        <v>0.21082111786437849</v>
      </c>
      <c r="R26" s="128">
        <f t="shared" ref="R26:S26" si="67">(R25-Q25)/Q25</f>
        <v>0.18209986890716243</v>
      </c>
      <c r="S26" s="128">
        <f t="shared" si="67"/>
        <v>-5.4945054945054944E-2</v>
      </c>
      <c r="T26" s="110"/>
      <c r="U26" s="10"/>
      <c r="V26" s="131"/>
      <c r="W26" s="132"/>
      <c r="X26" s="132"/>
      <c r="Y26" s="132"/>
      <c r="Z26" s="132"/>
      <c r="AA26" s="132"/>
      <c r="AB26" s="132"/>
      <c r="AC26" s="132"/>
      <c r="AD26" s="132"/>
      <c r="AE26" s="132"/>
      <c r="AF26" s="102"/>
      <c r="AG26" s="115"/>
      <c r="AH26" s="131"/>
    </row>
    <row r="27" spans="2:34">
      <c r="B27" s="10" t="s">
        <v>219</v>
      </c>
      <c r="C27" s="119"/>
      <c r="D27" s="119"/>
      <c r="E27" s="125"/>
      <c r="F27" s="125"/>
      <c r="G27" s="125">
        <v>921</v>
      </c>
      <c r="H27" s="125">
        <v>1212</v>
      </c>
      <c r="I27" s="125">
        <v>1419</v>
      </c>
      <c r="J27" s="125">
        <v>1971</v>
      </c>
      <c r="K27" s="125">
        <v>2905</v>
      </c>
      <c r="L27" s="125">
        <v>3201</v>
      </c>
      <c r="M27" s="125">
        <v>3518</v>
      </c>
      <c r="N27" s="125">
        <v>4499</v>
      </c>
      <c r="O27" s="125">
        <v>4631</v>
      </c>
      <c r="P27" s="125">
        <v>5714</v>
      </c>
      <c r="Q27" s="125">
        <v>7456</v>
      </c>
      <c r="R27" s="182">
        <v>8887</v>
      </c>
      <c r="S27" s="182">
        <v>8184</v>
      </c>
      <c r="T27" s="101">
        <f t="shared" si="22"/>
        <v>0.19966180664996824</v>
      </c>
      <c r="U27" s="21">
        <f t="shared" si="6"/>
        <v>0.15</v>
      </c>
      <c r="V27" s="131">
        <f t="shared" si="2"/>
        <v>9411.5999999999985</v>
      </c>
      <c r="W27" s="131">
        <f t="shared" si="37"/>
        <v>10823.339999999998</v>
      </c>
      <c r="X27" s="131">
        <f t="shared" si="38"/>
        <v>12446.840999999997</v>
      </c>
      <c r="Y27" s="131">
        <f t="shared" si="39"/>
        <v>14313.867149999995</v>
      </c>
      <c r="Z27" s="131">
        <f t="shared" si="40"/>
        <v>16460.947222499992</v>
      </c>
      <c r="AA27" s="131">
        <f t="shared" si="41"/>
        <v>18930.08930587499</v>
      </c>
      <c r="AB27" s="131">
        <f t="shared" si="42"/>
        <v>21769.602701756237</v>
      </c>
      <c r="AC27" s="131">
        <f t="shared" si="43"/>
        <v>25035.043107019672</v>
      </c>
      <c r="AD27" s="131">
        <f t="shared" si="44"/>
        <v>28790.299573072622</v>
      </c>
      <c r="AE27" s="131">
        <f t="shared" si="45"/>
        <v>33108.844509033515</v>
      </c>
      <c r="AF27" s="116">
        <f t="shared" si="18"/>
        <v>0.16182583629170755</v>
      </c>
      <c r="AG27" s="21">
        <f t="shared" si="16"/>
        <v>0.05</v>
      </c>
      <c r="AH27" s="124">
        <f t="shared" si="1"/>
        <v>347642.86734485195</v>
      </c>
    </row>
    <row r="28" spans="2:34" s="106" customFormat="1">
      <c r="B28" s="13"/>
      <c r="C28" s="126"/>
      <c r="D28" s="126"/>
      <c r="E28" s="127"/>
      <c r="F28" s="127"/>
      <c r="G28" s="272">
        <f t="shared" ref="G28:Q28" si="68">(G27-F27)/G27</f>
        <v>1</v>
      </c>
      <c r="H28" s="272">
        <f t="shared" si="68"/>
        <v>0.24009900990099009</v>
      </c>
      <c r="I28" s="272">
        <f t="shared" si="68"/>
        <v>0.14587737843551796</v>
      </c>
      <c r="J28" s="272">
        <f t="shared" si="68"/>
        <v>0.28006088280060881</v>
      </c>
      <c r="K28" s="272">
        <f t="shared" si="68"/>
        <v>0.32151462994836488</v>
      </c>
      <c r="L28" s="272">
        <f t="shared" si="68"/>
        <v>9.2471102780381134E-2</v>
      </c>
      <c r="M28" s="272">
        <f t="shared" si="68"/>
        <v>9.0108015918135304E-2</v>
      </c>
      <c r="N28" s="272">
        <f t="shared" si="68"/>
        <v>0.2180484552122694</v>
      </c>
      <c r="O28" s="272">
        <f t="shared" si="68"/>
        <v>2.8503562945368172E-2</v>
      </c>
      <c r="P28" s="272">
        <f t="shared" si="68"/>
        <v>0.18953447672383619</v>
      </c>
      <c r="Q28" s="272">
        <f t="shared" si="68"/>
        <v>0.23363733905579398</v>
      </c>
      <c r="R28" s="128">
        <f t="shared" ref="R28:S28" si="69">(R27-Q27)/Q27</f>
        <v>0.19192596566523606</v>
      </c>
      <c r="S28" s="128">
        <f t="shared" si="69"/>
        <v>-7.9104309665803979E-2</v>
      </c>
      <c r="T28" s="110"/>
      <c r="U28" s="10"/>
      <c r="V28" s="131"/>
      <c r="W28" s="132"/>
      <c r="X28" s="132"/>
      <c r="Y28" s="132"/>
      <c r="Z28" s="132"/>
      <c r="AA28" s="132"/>
      <c r="AB28" s="132"/>
      <c r="AC28" s="132"/>
      <c r="AD28" s="132"/>
      <c r="AE28" s="132"/>
      <c r="AF28" s="102"/>
      <c r="AG28" s="115"/>
      <c r="AH28" s="131"/>
    </row>
    <row r="29" spans="2:34" s="106" customFormat="1">
      <c r="B29" s="10" t="s">
        <v>269</v>
      </c>
      <c r="C29" s="126"/>
      <c r="D29" s="126"/>
      <c r="E29" s="127"/>
      <c r="F29" s="127"/>
      <c r="G29" s="125">
        <v>13</v>
      </c>
      <c r="H29" s="125">
        <v>16</v>
      </c>
      <c r="I29" s="125">
        <v>28</v>
      </c>
      <c r="J29" s="125">
        <v>32</v>
      </c>
      <c r="K29" s="125">
        <v>45</v>
      </c>
      <c r="L29" s="125">
        <v>66</v>
      </c>
      <c r="M29" s="125">
        <v>21</v>
      </c>
      <c r="N29" s="125">
        <v>16</v>
      </c>
      <c r="O29" s="125">
        <v>15</v>
      </c>
      <c r="P29" s="125">
        <v>9</v>
      </c>
      <c r="Q29" s="125">
        <v>8</v>
      </c>
      <c r="R29" s="182">
        <v>3.21</v>
      </c>
      <c r="S29" s="182">
        <v>1.6</v>
      </c>
      <c r="T29" s="101">
        <f t="shared" si="22"/>
        <v>-0.16018933443247196</v>
      </c>
      <c r="U29" s="21">
        <f t="shared" si="6"/>
        <v>0.15</v>
      </c>
      <c r="V29" s="131">
        <f t="shared" si="2"/>
        <v>1.8399999999999999</v>
      </c>
      <c r="W29" s="131">
        <f t="shared" ref="W29" si="70">V29*(1+$U29)</f>
        <v>2.1159999999999997</v>
      </c>
      <c r="X29" s="131">
        <f t="shared" ref="X29" si="71">W29*(1+$U29)</f>
        <v>2.4333999999999993</v>
      </c>
      <c r="Y29" s="131">
        <f t="shared" ref="Y29" si="72">X29*(1+$U29)</f>
        <v>2.7984099999999992</v>
      </c>
      <c r="Z29" s="131">
        <f t="shared" ref="Z29" si="73">Y29*(1+$U29)</f>
        <v>3.2181714999999986</v>
      </c>
      <c r="AA29" s="131">
        <f t="shared" ref="AA29" si="74">Z29*(1+$U29)</f>
        <v>3.7008972249999981</v>
      </c>
      <c r="AB29" s="131">
        <f t="shared" ref="AB29" si="75">AA29*(1+$U29)</f>
        <v>4.2560318087499978</v>
      </c>
      <c r="AC29" s="131">
        <f t="shared" ref="AC29" si="76">AB29*(1+$U29)</f>
        <v>4.8944365800624974</v>
      </c>
      <c r="AD29" s="131">
        <f t="shared" ref="AD29" si="77">AC29*(1+$U29)</f>
        <v>5.6286020670718715</v>
      </c>
      <c r="AE29" s="131">
        <f t="shared" ref="AE29" si="78">AD29*(1+$U29)</f>
        <v>6.4728923771326521</v>
      </c>
      <c r="AF29" s="116">
        <f t="shared" ref="AF29" si="79">((AE29/I29)^(1/($AE$3-$J$1) ))-1</f>
        <v>-6.7365567346554522E-2</v>
      </c>
      <c r="AG29" s="21">
        <f t="shared" si="16"/>
        <v>0.05</v>
      </c>
      <c r="AH29" s="124">
        <f t="shared" ref="AH29" si="80">(AE29*(1+AG29))/($C$1-AG29)</f>
        <v>67.965369959892854</v>
      </c>
    </row>
    <row r="30" spans="2:34" s="106" customFormat="1">
      <c r="B30" s="13"/>
      <c r="C30" s="126"/>
      <c r="D30" s="126"/>
      <c r="E30" s="127"/>
      <c r="F30" s="127"/>
      <c r="G30" s="272">
        <f t="shared" ref="G30:Q30" si="81">(G29-F29)/G29</f>
        <v>1</v>
      </c>
      <c r="H30" s="272">
        <f t="shared" si="81"/>
        <v>0.1875</v>
      </c>
      <c r="I30" s="272">
        <f t="shared" si="81"/>
        <v>0.42857142857142855</v>
      </c>
      <c r="J30" s="272">
        <f t="shared" si="81"/>
        <v>0.125</v>
      </c>
      <c r="K30" s="272">
        <f t="shared" si="81"/>
        <v>0.28888888888888886</v>
      </c>
      <c r="L30" s="272">
        <f t="shared" si="81"/>
        <v>0.31818181818181818</v>
      </c>
      <c r="M30" s="272">
        <f t="shared" si="81"/>
        <v>-2.1428571428571428</v>
      </c>
      <c r="N30" s="272">
        <f t="shared" si="81"/>
        <v>-0.3125</v>
      </c>
      <c r="O30" s="272">
        <f t="shared" si="81"/>
        <v>-6.6666666666666666E-2</v>
      </c>
      <c r="P30" s="272">
        <f t="shared" si="81"/>
        <v>-0.66666666666666663</v>
      </c>
      <c r="Q30" s="272">
        <f t="shared" si="81"/>
        <v>-0.125</v>
      </c>
      <c r="R30" s="128">
        <f t="shared" ref="R30:S30" si="82">(R29-Q29)/Q29</f>
        <v>-0.59875</v>
      </c>
      <c r="S30" s="128">
        <f t="shared" si="82"/>
        <v>-0.50155763239875384</v>
      </c>
      <c r="T30" s="110"/>
      <c r="U30" s="10"/>
      <c r="V30" s="131"/>
      <c r="W30" s="132"/>
      <c r="X30" s="132"/>
      <c r="Y30" s="132"/>
      <c r="Z30" s="132"/>
      <c r="AA30" s="132"/>
      <c r="AB30" s="132"/>
      <c r="AC30" s="132"/>
      <c r="AD30" s="132"/>
      <c r="AE30" s="132"/>
      <c r="AF30" s="139"/>
      <c r="AG30" s="115"/>
      <c r="AH30" s="131"/>
    </row>
    <row r="31" spans="2:34">
      <c r="B31" s="10" t="s">
        <v>277</v>
      </c>
      <c r="C31" s="119"/>
      <c r="D31" s="119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82">
        <v>0</v>
      </c>
      <c r="S31" s="182">
        <v>0</v>
      </c>
      <c r="T31" s="101" t="e">
        <f t="shared" si="22"/>
        <v>#DIV/0!</v>
      </c>
      <c r="U31" s="21">
        <f t="shared" si="6"/>
        <v>0.15</v>
      </c>
      <c r="V31" s="131">
        <f t="shared" si="2"/>
        <v>0</v>
      </c>
      <c r="W31" s="131">
        <f>V31*(1+$U31)</f>
        <v>0</v>
      </c>
      <c r="X31" s="131">
        <f t="shared" ref="X31:AE32" si="83">W31*(1+$U31)</f>
        <v>0</v>
      </c>
      <c r="Y31" s="131">
        <f t="shared" si="83"/>
        <v>0</v>
      </c>
      <c r="Z31" s="131">
        <f t="shared" si="83"/>
        <v>0</v>
      </c>
      <c r="AA31" s="131">
        <f t="shared" si="83"/>
        <v>0</v>
      </c>
      <c r="AB31" s="131">
        <f t="shared" si="83"/>
        <v>0</v>
      </c>
      <c r="AC31" s="131">
        <f t="shared" si="83"/>
        <v>0</v>
      </c>
      <c r="AD31" s="131">
        <f t="shared" si="83"/>
        <v>0</v>
      </c>
      <c r="AE31" s="131">
        <f t="shared" si="83"/>
        <v>0</v>
      </c>
      <c r="AF31" s="116" t="e">
        <f t="shared" ref="AF31" si="84">((AE31/I31)^(1/($AE$3-$J$1) ))-1</f>
        <v>#DIV/0!</v>
      </c>
      <c r="AG31" s="21">
        <f t="shared" si="16"/>
        <v>0.05</v>
      </c>
      <c r="AH31" s="124">
        <f t="shared" si="1"/>
        <v>0</v>
      </c>
    </row>
    <row r="32" spans="2:34">
      <c r="B32" s="10" t="s">
        <v>276</v>
      </c>
      <c r="C32" s="119"/>
      <c r="D32" s="119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82">
        <v>0</v>
      </c>
      <c r="S32" s="182">
        <v>0</v>
      </c>
      <c r="T32" s="101" t="e">
        <f t="shared" si="22"/>
        <v>#DIV/0!</v>
      </c>
      <c r="U32" s="21">
        <f t="shared" si="6"/>
        <v>0.15</v>
      </c>
      <c r="V32" s="131">
        <f t="shared" si="2"/>
        <v>0</v>
      </c>
      <c r="W32" s="131">
        <f>V32*(1+$U32)</f>
        <v>0</v>
      </c>
      <c r="X32" s="131">
        <f t="shared" si="83"/>
        <v>0</v>
      </c>
      <c r="Y32" s="131">
        <f t="shared" si="83"/>
        <v>0</v>
      </c>
      <c r="Z32" s="131">
        <f t="shared" si="83"/>
        <v>0</v>
      </c>
      <c r="AA32" s="131">
        <f t="shared" si="83"/>
        <v>0</v>
      </c>
      <c r="AB32" s="131">
        <f t="shared" si="83"/>
        <v>0</v>
      </c>
      <c r="AC32" s="131">
        <f t="shared" si="83"/>
        <v>0</v>
      </c>
      <c r="AD32" s="131">
        <f t="shared" si="83"/>
        <v>0</v>
      </c>
      <c r="AE32" s="131">
        <f t="shared" si="83"/>
        <v>0</v>
      </c>
      <c r="AF32" s="116" t="e">
        <f t="shared" ref="AF32" si="85">((AE32/I32)^(1/($AE$3-$J$1) ))-1</f>
        <v>#DIV/0!</v>
      </c>
      <c r="AG32" s="21">
        <f t="shared" si="16"/>
        <v>0.05</v>
      </c>
      <c r="AH32" s="124">
        <f t="shared" si="1"/>
        <v>0</v>
      </c>
    </row>
    <row r="33" spans="1:34">
      <c r="B33" s="10" t="s">
        <v>514</v>
      </c>
      <c r="C33" s="119"/>
      <c r="D33" s="119"/>
      <c r="E33" s="125"/>
      <c r="F33" s="125"/>
      <c r="G33" s="125">
        <v>522</v>
      </c>
      <c r="H33" s="125">
        <v>762</v>
      </c>
      <c r="I33" s="125">
        <v>924</v>
      </c>
      <c r="J33" s="125">
        <v>1330</v>
      </c>
      <c r="K33" s="125">
        <v>2083</v>
      </c>
      <c r="L33" s="125">
        <v>2179</v>
      </c>
      <c r="M33" s="125">
        <v>2309</v>
      </c>
      <c r="N33" s="125">
        <v>3073</v>
      </c>
      <c r="O33" s="125">
        <v>3572</v>
      </c>
      <c r="P33" s="125">
        <v>4347</v>
      </c>
      <c r="Q33" s="125">
        <v>4079</v>
      </c>
      <c r="R33" s="182">
        <v>5010</v>
      </c>
      <c r="S33" s="182">
        <v>4252</v>
      </c>
      <c r="T33" s="101">
        <f t="shared" si="22"/>
        <v>0.19099579846720927</v>
      </c>
      <c r="U33" s="21">
        <f t="shared" si="6"/>
        <v>0.15</v>
      </c>
      <c r="V33" s="131">
        <f t="shared" si="2"/>
        <v>4889.7999999999993</v>
      </c>
      <c r="W33" s="131">
        <f t="shared" si="37"/>
        <v>5623.2699999999986</v>
      </c>
      <c r="X33" s="131">
        <f t="shared" si="38"/>
        <v>6466.7604999999976</v>
      </c>
      <c r="Y33" s="131">
        <f t="shared" si="39"/>
        <v>7436.7745749999967</v>
      </c>
      <c r="Z33" s="131">
        <f t="shared" si="40"/>
        <v>8552.2907612499948</v>
      </c>
      <c r="AA33" s="131">
        <f t="shared" si="41"/>
        <v>9835.1343754374939</v>
      </c>
      <c r="AB33" s="131">
        <f t="shared" si="42"/>
        <v>11310.404531753116</v>
      </c>
      <c r="AC33" s="131">
        <f t="shared" si="43"/>
        <v>13006.965211516082</v>
      </c>
      <c r="AD33" s="131">
        <f t="shared" si="44"/>
        <v>14958.009993243493</v>
      </c>
      <c r="AE33" s="131">
        <f t="shared" si="45"/>
        <v>17201.711492230017</v>
      </c>
      <c r="AF33" s="116">
        <f t="shared" si="18"/>
        <v>0.14940058469720041</v>
      </c>
      <c r="AG33" s="21">
        <f t="shared" si="16"/>
        <v>0.05</v>
      </c>
      <c r="AH33" s="124">
        <f t="shared" si="1"/>
        <v>180617.97066841519</v>
      </c>
    </row>
    <row r="34" spans="1:34">
      <c r="B34" s="10" t="s">
        <v>515</v>
      </c>
      <c r="C34" s="119"/>
      <c r="D34" s="119"/>
      <c r="E34" s="125"/>
      <c r="F34" s="125"/>
      <c r="G34" s="125">
        <v>96</v>
      </c>
      <c r="H34" s="125">
        <v>105</v>
      </c>
      <c r="I34" s="125">
        <v>116</v>
      </c>
      <c r="J34" s="125">
        <v>142</v>
      </c>
      <c r="K34" s="125">
        <v>172</v>
      </c>
      <c r="L34" s="125">
        <v>201</v>
      </c>
      <c r="M34" s="125">
        <v>261</v>
      </c>
      <c r="N34" s="125">
        <v>321</v>
      </c>
      <c r="O34" s="125">
        <v>330</v>
      </c>
      <c r="P34" s="125">
        <v>403</v>
      </c>
      <c r="Q34" s="125">
        <v>258</v>
      </c>
      <c r="R34" s="182">
        <v>265</v>
      </c>
      <c r="S34" s="182">
        <v>251</v>
      </c>
      <c r="T34" s="101">
        <f t="shared" si="22"/>
        <v>8.3386802170565044E-2</v>
      </c>
      <c r="U34" s="21">
        <f t="shared" si="6"/>
        <v>0.15</v>
      </c>
      <c r="V34" s="131">
        <f t="shared" si="2"/>
        <v>288.64999999999998</v>
      </c>
      <c r="W34" s="131">
        <f t="shared" si="37"/>
        <v>331.94749999999993</v>
      </c>
      <c r="X34" s="131">
        <f t="shared" si="38"/>
        <v>381.73962499999988</v>
      </c>
      <c r="Y34" s="131">
        <f t="shared" si="39"/>
        <v>439.00056874999984</v>
      </c>
      <c r="Z34" s="131">
        <f t="shared" si="40"/>
        <v>504.85065406249976</v>
      </c>
      <c r="AA34" s="131">
        <f t="shared" si="41"/>
        <v>580.57825217187462</v>
      </c>
      <c r="AB34" s="131">
        <f t="shared" si="42"/>
        <v>667.66498999765577</v>
      </c>
      <c r="AC34" s="131">
        <f t="shared" si="43"/>
        <v>767.81473849730412</v>
      </c>
      <c r="AD34" s="131">
        <f t="shared" si="44"/>
        <v>882.98694927189968</v>
      </c>
      <c r="AE34" s="131">
        <f t="shared" si="45"/>
        <v>1015.4349916626845</v>
      </c>
      <c r="AF34" s="116">
        <f t="shared" si="18"/>
        <v>0.10883362530563079</v>
      </c>
      <c r="AG34" s="21">
        <f t="shared" si="16"/>
        <v>0.05</v>
      </c>
      <c r="AH34" s="124">
        <f t="shared" si="1"/>
        <v>10662.067412458189</v>
      </c>
    </row>
    <row r="35" spans="1:34">
      <c r="B35" s="10"/>
      <c r="C35" s="119"/>
      <c r="D35" s="119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17"/>
      <c r="AG35" s="115"/>
      <c r="AH35" s="131"/>
    </row>
    <row r="36" spans="1:34">
      <c r="A36" s="300" t="s">
        <v>425</v>
      </c>
      <c r="B36" s="179" t="s">
        <v>419</v>
      </c>
      <c r="C36" s="119"/>
      <c r="D36" s="119"/>
      <c r="E36" s="125"/>
      <c r="F36" s="125"/>
      <c r="G36" s="182">
        <f t="shared" ref="G36:H36" si="86">H36</f>
        <v>0</v>
      </c>
      <c r="H36" s="182">
        <f t="shared" si="86"/>
        <v>0</v>
      </c>
      <c r="I36" s="182">
        <f>J36</f>
        <v>0</v>
      </c>
      <c r="J36" s="182">
        <v>0</v>
      </c>
      <c r="K36" s="182">
        <v>0</v>
      </c>
      <c r="L36" s="182">
        <v>0</v>
      </c>
      <c r="M36" s="182">
        <v>0</v>
      </c>
      <c r="N36" s="182">
        <v>0</v>
      </c>
      <c r="O36" s="182">
        <v>0</v>
      </c>
      <c r="P36" s="182">
        <v>0</v>
      </c>
      <c r="Q36" s="182">
        <v>0</v>
      </c>
      <c r="R36" s="182">
        <v>0</v>
      </c>
      <c r="S36" s="182">
        <v>0</v>
      </c>
      <c r="T36" s="101" t="e">
        <f t="shared" si="22"/>
        <v>#DIV/0!</v>
      </c>
      <c r="U36" s="21">
        <f t="shared" si="6"/>
        <v>0.15</v>
      </c>
      <c r="V36" s="131">
        <f t="shared" ref="V36:V49" si="87">S36*(1+$U36)</f>
        <v>0</v>
      </c>
      <c r="W36" s="131">
        <f t="shared" ref="W36:W49" si="88">V36*(1+$U36)</f>
        <v>0</v>
      </c>
      <c r="X36" s="131">
        <f t="shared" ref="X36:X49" si="89">W36*(1+$U36)</f>
        <v>0</v>
      </c>
      <c r="Y36" s="131">
        <f t="shared" ref="Y36:Y49" si="90">X36*(1+$U36)</f>
        <v>0</v>
      </c>
      <c r="Z36" s="131">
        <f t="shared" ref="Z36:Z49" si="91">Y36*(1+$U36)</f>
        <v>0</v>
      </c>
      <c r="AA36" s="131">
        <f t="shared" ref="AA36:AA49" si="92">Z36*(1+$U36)</f>
        <v>0</v>
      </c>
      <c r="AB36" s="131">
        <f t="shared" ref="AB36:AB49" si="93">AA36*(1+$U36)</f>
        <v>0</v>
      </c>
      <c r="AC36" s="131">
        <f t="shared" ref="AC36:AC49" si="94">AB36*(1+$U36)</f>
        <v>0</v>
      </c>
      <c r="AD36" s="131">
        <f t="shared" ref="AD36:AD49" si="95">AC36*(1+$U36)</f>
        <v>0</v>
      </c>
      <c r="AE36" s="131">
        <f t="shared" ref="AE36:AE49" si="96">AD36*(1+$U36)</f>
        <v>0</v>
      </c>
      <c r="AF36" s="116" t="e">
        <f t="shared" ref="AF36:AF49" si="97">((AE36/I36)^(1/($AE$3-$J$1) ))-1</f>
        <v>#DIV/0!</v>
      </c>
      <c r="AG36" s="21">
        <f t="shared" si="16"/>
        <v>0.05</v>
      </c>
      <c r="AH36" s="124">
        <f t="shared" ref="AH36:AH49" si="98">(AE36*(1+AG36))/($C$1-AG36)</f>
        <v>0</v>
      </c>
    </row>
    <row r="37" spans="1:34">
      <c r="A37" s="300"/>
      <c r="B37" s="179"/>
      <c r="C37" s="119"/>
      <c r="D37" s="119"/>
      <c r="E37" s="125"/>
      <c r="F37" s="125"/>
      <c r="G37" s="128" t="e">
        <f t="shared" ref="G37" si="99">(G36-F36)/F36</f>
        <v>#DIV/0!</v>
      </c>
      <c r="H37" s="128" t="e">
        <f t="shared" ref="H37" si="100">(H36-G36)/G36</f>
        <v>#DIV/0!</v>
      </c>
      <c r="I37" s="128" t="e">
        <f t="shared" ref="I37" si="101">(I36-H36)/H36</f>
        <v>#DIV/0!</v>
      </c>
      <c r="J37" s="128" t="e">
        <f t="shared" ref="J37" si="102">(J36-I36)/I36</f>
        <v>#DIV/0!</v>
      </c>
      <c r="K37" s="128" t="e">
        <f t="shared" ref="K37" si="103">(K36-J36)/J36</f>
        <v>#DIV/0!</v>
      </c>
      <c r="L37" s="128" t="e">
        <f t="shared" ref="L37" si="104">(L36-K36)/K36</f>
        <v>#DIV/0!</v>
      </c>
      <c r="M37" s="128" t="e">
        <f t="shared" ref="M37" si="105">(M36-L36)/L36</f>
        <v>#DIV/0!</v>
      </c>
      <c r="N37" s="128" t="e">
        <f t="shared" ref="N37" si="106">(N36-M36)/M36</f>
        <v>#DIV/0!</v>
      </c>
      <c r="O37" s="128" t="e">
        <f t="shared" ref="O37" si="107">(O36-N36)/N36</f>
        <v>#DIV/0!</v>
      </c>
      <c r="P37" s="128" t="e">
        <f t="shared" ref="P37" si="108">(P36-O36)/O36</f>
        <v>#DIV/0!</v>
      </c>
      <c r="Q37" s="128" t="e">
        <f t="shared" ref="Q37" si="109">(Q36-P36)/P36</f>
        <v>#DIV/0!</v>
      </c>
      <c r="R37" s="128" t="e">
        <f t="shared" ref="R37" si="110">(R36-Q36)/Q36</f>
        <v>#DIV/0!</v>
      </c>
      <c r="S37" s="128" t="e">
        <f t="shared" ref="S37" si="111">(S36-R36)/R36</f>
        <v>#DIV/0!</v>
      </c>
      <c r="T37" s="110"/>
      <c r="U37" s="10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24"/>
    </row>
    <row r="38" spans="1:34">
      <c r="A38" s="300"/>
      <c r="B38" s="179" t="s">
        <v>420</v>
      </c>
      <c r="C38" s="119"/>
      <c r="D38" s="119"/>
      <c r="E38" s="125"/>
      <c r="F38" s="125"/>
      <c r="G38" s="182">
        <f t="shared" ref="G38:H38" si="112">H38</f>
        <v>0</v>
      </c>
      <c r="H38" s="182">
        <f t="shared" si="112"/>
        <v>0</v>
      </c>
      <c r="I38" s="182">
        <f>J38</f>
        <v>0</v>
      </c>
      <c r="J38" s="182">
        <v>0</v>
      </c>
      <c r="K38" s="182">
        <v>0</v>
      </c>
      <c r="L38" s="182">
        <v>0</v>
      </c>
      <c r="M38" s="182">
        <v>0</v>
      </c>
      <c r="N38" s="182">
        <v>0</v>
      </c>
      <c r="O38" s="182">
        <v>0</v>
      </c>
      <c r="P38" s="182">
        <v>0</v>
      </c>
      <c r="Q38" s="182">
        <v>0</v>
      </c>
      <c r="R38" s="182">
        <v>0</v>
      </c>
      <c r="S38" s="182">
        <v>0</v>
      </c>
      <c r="T38" s="101" t="e">
        <f t="shared" si="22"/>
        <v>#DIV/0!</v>
      </c>
      <c r="U38" s="21">
        <f t="shared" si="6"/>
        <v>0.15</v>
      </c>
      <c r="V38" s="131">
        <f t="shared" si="87"/>
        <v>0</v>
      </c>
      <c r="W38" s="131">
        <f t="shared" si="88"/>
        <v>0</v>
      </c>
      <c r="X38" s="131">
        <f t="shared" si="89"/>
        <v>0</v>
      </c>
      <c r="Y38" s="131">
        <f t="shared" si="90"/>
        <v>0</v>
      </c>
      <c r="Z38" s="131">
        <f t="shared" si="91"/>
        <v>0</v>
      </c>
      <c r="AA38" s="131">
        <f t="shared" si="92"/>
        <v>0</v>
      </c>
      <c r="AB38" s="131">
        <f t="shared" si="93"/>
        <v>0</v>
      </c>
      <c r="AC38" s="131">
        <f t="shared" si="94"/>
        <v>0</v>
      </c>
      <c r="AD38" s="131">
        <f t="shared" si="95"/>
        <v>0</v>
      </c>
      <c r="AE38" s="131">
        <f t="shared" si="96"/>
        <v>0</v>
      </c>
      <c r="AF38" s="116" t="e">
        <f t="shared" si="97"/>
        <v>#DIV/0!</v>
      </c>
      <c r="AG38" s="21">
        <f t="shared" si="16"/>
        <v>0.05</v>
      </c>
      <c r="AH38" s="124">
        <f t="shared" si="98"/>
        <v>0</v>
      </c>
    </row>
    <row r="39" spans="1:34">
      <c r="A39" s="300"/>
      <c r="B39" s="179"/>
      <c r="C39" s="119"/>
      <c r="D39" s="119"/>
      <c r="E39" s="125"/>
      <c r="F39" s="125"/>
      <c r="G39" s="128" t="e">
        <f t="shared" ref="G39" si="113">(G38-F38)/F38</f>
        <v>#DIV/0!</v>
      </c>
      <c r="H39" s="128" t="e">
        <f t="shared" ref="H39" si="114">(H38-G38)/G38</f>
        <v>#DIV/0!</v>
      </c>
      <c r="I39" s="128" t="e">
        <f t="shared" ref="I39" si="115">(I38-H38)/H38</f>
        <v>#DIV/0!</v>
      </c>
      <c r="J39" s="128" t="e">
        <f t="shared" ref="J39" si="116">(J38-I38)/I38</f>
        <v>#DIV/0!</v>
      </c>
      <c r="K39" s="128" t="e">
        <f t="shared" ref="K39" si="117">(K38-J38)/J38</f>
        <v>#DIV/0!</v>
      </c>
      <c r="L39" s="128" t="e">
        <f t="shared" ref="L39" si="118">(L38-K38)/K38</f>
        <v>#DIV/0!</v>
      </c>
      <c r="M39" s="128" t="e">
        <f t="shared" ref="M39" si="119">(M38-L38)/L38</f>
        <v>#DIV/0!</v>
      </c>
      <c r="N39" s="128" t="e">
        <f t="shared" ref="N39" si="120">(N38-M38)/M38</f>
        <v>#DIV/0!</v>
      </c>
      <c r="O39" s="128" t="e">
        <f t="shared" ref="O39" si="121">(O38-N38)/N38</f>
        <v>#DIV/0!</v>
      </c>
      <c r="P39" s="128" t="e">
        <f t="shared" ref="P39" si="122">(P38-O38)/O38</f>
        <v>#DIV/0!</v>
      </c>
      <c r="Q39" s="128" t="e">
        <f t="shared" ref="Q39" si="123">(Q38-P38)/P38</f>
        <v>#DIV/0!</v>
      </c>
      <c r="R39" s="128" t="e">
        <f t="shared" ref="R39" si="124">(R38-Q38)/Q38</f>
        <v>#DIV/0!</v>
      </c>
      <c r="S39" s="128" t="e">
        <f t="shared" ref="S39" si="125">(S38-R38)/R38</f>
        <v>#DIV/0!</v>
      </c>
      <c r="T39" s="110"/>
      <c r="U39" s="10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24"/>
    </row>
    <row r="40" spans="1:34">
      <c r="A40" s="300"/>
      <c r="B40" s="179" t="s">
        <v>424</v>
      </c>
      <c r="C40" s="119"/>
      <c r="D40" s="119"/>
      <c r="E40" s="125"/>
      <c r="F40" s="125"/>
      <c r="G40" s="182">
        <f t="shared" ref="G40:H40" si="126">H40</f>
        <v>0</v>
      </c>
      <c r="H40" s="182">
        <f t="shared" si="126"/>
        <v>0</v>
      </c>
      <c r="I40" s="182">
        <f>J40</f>
        <v>0</v>
      </c>
      <c r="J40" s="182">
        <v>0</v>
      </c>
      <c r="K40" s="182">
        <v>0</v>
      </c>
      <c r="L40" s="182">
        <v>0</v>
      </c>
      <c r="M40" s="182">
        <v>0</v>
      </c>
      <c r="N40" s="182">
        <v>0</v>
      </c>
      <c r="O40" s="182">
        <v>0</v>
      </c>
      <c r="P40" s="182">
        <v>0</v>
      </c>
      <c r="Q40" s="182">
        <v>0</v>
      </c>
      <c r="R40" s="182">
        <v>0</v>
      </c>
      <c r="S40" s="182">
        <v>0</v>
      </c>
      <c r="T40" s="101" t="e">
        <f t="shared" si="22"/>
        <v>#DIV/0!</v>
      </c>
      <c r="U40" s="21">
        <f t="shared" si="6"/>
        <v>0.15</v>
      </c>
      <c r="V40" s="131">
        <f t="shared" si="87"/>
        <v>0</v>
      </c>
      <c r="W40" s="131">
        <f t="shared" si="88"/>
        <v>0</v>
      </c>
      <c r="X40" s="131">
        <f t="shared" si="89"/>
        <v>0</v>
      </c>
      <c r="Y40" s="131">
        <f t="shared" si="90"/>
        <v>0</v>
      </c>
      <c r="Z40" s="131">
        <f t="shared" si="91"/>
        <v>0</v>
      </c>
      <c r="AA40" s="131">
        <f t="shared" si="92"/>
        <v>0</v>
      </c>
      <c r="AB40" s="131">
        <f t="shared" si="93"/>
        <v>0</v>
      </c>
      <c r="AC40" s="131">
        <f t="shared" si="94"/>
        <v>0</v>
      </c>
      <c r="AD40" s="131">
        <f t="shared" si="95"/>
        <v>0</v>
      </c>
      <c r="AE40" s="131">
        <f t="shared" si="96"/>
        <v>0</v>
      </c>
      <c r="AF40" s="116" t="e">
        <f t="shared" si="97"/>
        <v>#DIV/0!</v>
      </c>
      <c r="AG40" s="21">
        <f t="shared" si="16"/>
        <v>0.05</v>
      </c>
      <c r="AH40" s="124">
        <f t="shared" si="98"/>
        <v>0</v>
      </c>
    </row>
    <row r="41" spans="1:34">
      <c r="A41" s="300"/>
      <c r="B41" s="179" t="s">
        <v>421</v>
      </c>
      <c r="C41" s="119"/>
      <c r="D41" s="119"/>
      <c r="E41" s="125"/>
      <c r="F41" s="125"/>
      <c r="G41" s="182">
        <f t="shared" ref="G41:H41" si="127">H41</f>
        <v>0</v>
      </c>
      <c r="H41" s="182">
        <f t="shared" si="127"/>
        <v>0</v>
      </c>
      <c r="I41" s="182">
        <f>J41</f>
        <v>0</v>
      </c>
      <c r="J41" s="182">
        <v>0</v>
      </c>
      <c r="K41" s="182">
        <v>0</v>
      </c>
      <c r="L41" s="182">
        <v>0</v>
      </c>
      <c r="M41" s="182">
        <v>0</v>
      </c>
      <c r="N41" s="182">
        <v>0</v>
      </c>
      <c r="O41" s="182">
        <v>0</v>
      </c>
      <c r="P41" s="182">
        <v>0</v>
      </c>
      <c r="Q41" s="182">
        <v>0</v>
      </c>
      <c r="R41" s="182">
        <v>0</v>
      </c>
      <c r="S41" s="182">
        <v>0</v>
      </c>
      <c r="T41" s="101" t="e">
        <f t="shared" si="22"/>
        <v>#DIV/0!</v>
      </c>
      <c r="U41" s="21">
        <f t="shared" si="6"/>
        <v>0.15</v>
      </c>
      <c r="V41" s="131">
        <f t="shared" si="87"/>
        <v>0</v>
      </c>
      <c r="W41" s="131">
        <f t="shared" si="88"/>
        <v>0</v>
      </c>
      <c r="X41" s="131">
        <f t="shared" si="89"/>
        <v>0</v>
      </c>
      <c r="Y41" s="131">
        <f t="shared" si="90"/>
        <v>0</v>
      </c>
      <c r="Z41" s="131">
        <f t="shared" si="91"/>
        <v>0</v>
      </c>
      <c r="AA41" s="131">
        <f t="shared" si="92"/>
        <v>0</v>
      </c>
      <c r="AB41" s="131">
        <f t="shared" si="93"/>
        <v>0</v>
      </c>
      <c r="AC41" s="131">
        <f t="shared" si="94"/>
        <v>0</v>
      </c>
      <c r="AD41" s="131">
        <f t="shared" si="95"/>
        <v>0</v>
      </c>
      <c r="AE41" s="131">
        <f t="shared" si="96"/>
        <v>0</v>
      </c>
      <c r="AF41" s="116" t="e">
        <f t="shared" si="97"/>
        <v>#DIV/0!</v>
      </c>
      <c r="AG41" s="21">
        <f t="shared" si="16"/>
        <v>0.05</v>
      </c>
      <c r="AH41" s="124">
        <f t="shared" si="98"/>
        <v>0</v>
      </c>
    </row>
    <row r="42" spans="1:34">
      <c r="A42" s="300"/>
      <c r="B42" s="179" t="s">
        <v>423</v>
      </c>
      <c r="C42" s="119"/>
      <c r="D42" s="119"/>
      <c r="E42" s="125"/>
      <c r="F42" s="125"/>
      <c r="G42" s="182">
        <f t="shared" ref="G42:H42" si="128">H42</f>
        <v>0</v>
      </c>
      <c r="H42" s="182">
        <f t="shared" si="128"/>
        <v>0</v>
      </c>
      <c r="I42" s="182">
        <f>J42</f>
        <v>0</v>
      </c>
      <c r="J42" s="182">
        <v>0</v>
      </c>
      <c r="K42" s="182">
        <v>0</v>
      </c>
      <c r="L42" s="182">
        <v>0</v>
      </c>
      <c r="M42" s="182">
        <v>0</v>
      </c>
      <c r="N42" s="182">
        <v>0</v>
      </c>
      <c r="O42" s="182">
        <v>0</v>
      </c>
      <c r="P42" s="182">
        <v>0</v>
      </c>
      <c r="Q42" s="182">
        <v>0</v>
      </c>
      <c r="R42" s="182">
        <v>0</v>
      </c>
      <c r="S42" s="182">
        <v>0</v>
      </c>
      <c r="T42" s="101" t="e">
        <f t="shared" si="22"/>
        <v>#DIV/0!</v>
      </c>
      <c r="U42" s="21">
        <f t="shared" si="6"/>
        <v>0.15</v>
      </c>
      <c r="V42" s="131">
        <f t="shared" si="87"/>
        <v>0</v>
      </c>
      <c r="W42" s="131">
        <f t="shared" si="88"/>
        <v>0</v>
      </c>
      <c r="X42" s="131">
        <f t="shared" si="89"/>
        <v>0</v>
      </c>
      <c r="Y42" s="131">
        <f t="shared" si="90"/>
        <v>0</v>
      </c>
      <c r="Z42" s="131">
        <f t="shared" si="91"/>
        <v>0</v>
      </c>
      <c r="AA42" s="131">
        <f t="shared" si="92"/>
        <v>0</v>
      </c>
      <c r="AB42" s="131">
        <f t="shared" si="93"/>
        <v>0</v>
      </c>
      <c r="AC42" s="131">
        <f t="shared" si="94"/>
        <v>0</v>
      </c>
      <c r="AD42" s="131">
        <f t="shared" si="95"/>
        <v>0</v>
      </c>
      <c r="AE42" s="131">
        <f t="shared" si="96"/>
        <v>0</v>
      </c>
      <c r="AF42" s="116" t="e">
        <f t="shared" si="97"/>
        <v>#DIV/0!</v>
      </c>
      <c r="AG42" s="21">
        <f t="shared" si="16"/>
        <v>0.05</v>
      </c>
      <c r="AH42" s="124">
        <f t="shared" si="98"/>
        <v>0</v>
      </c>
    </row>
    <row r="43" spans="1:34">
      <c r="A43" s="300"/>
      <c r="B43" s="179" t="s">
        <v>422</v>
      </c>
      <c r="C43" s="119"/>
      <c r="D43" s="119"/>
      <c r="E43" s="125"/>
      <c r="F43" s="125"/>
      <c r="G43" s="182">
        <f t="shared" ref="G43:H43" si="129">H43</f>
        <v>0</v>
      </c>
      <c r="H43" s="182">
        <f t="shared" si="129"/>
        <v>0</v>
      </c>
      <c r="I43" s="182">
        <f>J43</f>
        <v>0</v>
      </c>
      <c r="J43" s="182">
        <v>0</v>
      </c>
      <c r="K43" s="182">
        <v>0</v>
      </c>
      <c r="L43" s="182">
        <v>0</v>
      </c>
      <c r="M43" s="182">
        <v>0</v>
      </c>
      <c r="N43" s="182">
        <v>0</v>
      </c>
      <c r="O43" s="182">
        <v>0</v>
      </c>
      <c r="P43" s="182">
        <v>0</v>
      </c>
      <c r="Q43" s="182">
        <v>0</v>
      </c>
      <c r="R43" s="182">
        <v>0</v>
      </c>
      <c r="S43" s="182">
        <v>0</v>
      </c>
      <c r="T43" s="101" t="e">
        <f t="shared" si="22"/>
        <v>#DIV/0!</v>
      </c>
      <c r="U43" s="21">
        <f t="shared" si="6"/>
        <v>0.15</v>
      </c>
      <c r="V43" s="131">
        <f t="shared" si="87"/>
        <v>0</v>
      </c>
      <c r="W43" s="131">
        <f t="shared" si="88"/>
        <v>0</v>
      </c>
      <c r="X43" s="131">
        <f t="shared" si="89"/>
        <v>0</v>
      </c>
      <c r="Y43" s="131">
        <f t="shared" si="90"/>
        <v>0</v>
      </c>
      <c r="Z43" s="131">
        <f t="shared" si="91"/>
        <v>0</v>
      </c>
      <c r="AA43" s="131">
        <f t="shared" si="92"/>
        <v>0</v>
      </c>
      <c r="AB43" s="131">
        <f t="shared" si="93"/>
        <v>0</v>
      </c>
      <c r="AC43" s="131">
        <f t="shared" si="94"/>
        <v>0</v>
      </c>
      <c r="AD43" s="131">
        <f t="shared" si="95"/>
        <v>0</v>
      </c>
      <c r="AE43" s="131">
        <f t="shared" si="96"/>
        <v>0</v>
      </c>
      <c r="AF43" s="116" t="e">
        <f t="shared" si="97"/>
        <v>#DIV/0!</v>
      </c>
      <c r="AG43" s="21">
        <f t="shared" si="16"/>
        <v>0.05</v>
      </c>
      <c r="AH43" s="124">
        <f t="shared" si="98"/>
        <v>0</v>
      </c>
    </row>
    <row r="44" spans="1:34">
      <c r="A44" s="300"/>
      <c r="B44" s="179"/>
      <c r="C44" s="119"/>
      <c r="D44" s="119"/>
      <c r="E44" s="125"/>
      <c r="F44" s="125"/>
      <c r="G44" s="128" t="e">
        <f t="shared" ref="G44" si="130">(G43-F43)/F43</f>
        <v>#DIV/0!</v>
      </c>
      <c r="H44" s="128" t="e">
        <f t="shared" ref="H44" si="131">(H43-G43)/G43</f>
        <v>#DIV/0!</v>
      </c>
      <c r="I44" s="128" t="e">
        <f t="shared" ref="I44" si="132">(I43-H43)/H43</f>
        <v>#DIV/0!</v>
      </c>
      <c r="J44" s="128" t="e">
        <f t="shared" ref="J44" si="133">(J43-I43)/I43</f>
        <v>#DIV/0!</v>
      </c>
      <c r="K44" s="128" t="e">
        <f t="shared" ref="K44" si="134">(K43-J43)/J43</f>
        <v>#DIV/0!</v>
      </c>
      <c r="L44" s="128" t="e">
        <f t="shared" ref="L44" si="135">(L43-K43)/K43</f>
        <v>#DIV/0!</v>
      </c>
      <c r="M44" s="128" t="e">
        <f t="shared" ref="M44" si="136">(M43-L43)/L43</f>
        <v>#DIV/0!</v>
      </c>
      <c r="N44" s="128" t="e">
        <f t="shared" ref="N44" si="137">(N43-M43)/M43</f>
        <v>#DIV/0!</v>
      </c>
      <c r="O44" s="128" t="e">
        <f t="shared" ref="O44" si="138">(O43-N43)/N43</f>
        <v>#DIV/0!</v>
      </c>
      <c r="P44" s="128" t="e">
        <f t="shared" ref="P44" si="139">(P43-O43)/O43</f>
        <v>#DIV/0!</v>
      </c>
      <c r="Q44" s="128" t="e">
        <f t="shared" ref="Q44" si="140">(Q43-P43)/P43</f>
        <v>#DIV/0!</v>
      </c>
      <c r="R44" s="128" t="e">
        <f t="shared" ref="R44" si="141">(R43-Q43)/Q43</f>
        <v>#DIV/0!</v>
      </c>
      <c r="S44" s="128" t="e">
        <f t="shared" ref="S44" si="142">(S43-R43)/R43</f>
        <v>#DIV/0!</v>
      </c>
      <c r="T44" s="110"/>
      <c r="U44" s="10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24"/>
    </row>
    <row r="45" spans="1:34">
      <c r="A45" s="300"/>
      <c r="B45" s="179" t="s">
        <v>191</v>
      </c>
      <c r="C45" s="119"/>
      <c r="D45" s="119"/>
      <c r="E45" s="125"/>
      <c r="F45" s="125"/>
      <c r="G45" s="182">
        <f t="shared" ref="G45:H45" si="143">H45</f>
        <v>0</v>
      </c>
      <c r="H45" s="182">
        <f t="shared" si="143"/>
        <v>0</v>
      </c>
      <c r="I45" s="182">
        <f>J45</f>
        <v>0</v>
      </c>
      <c r="J45" s="182">
        <v>0</v>
      </c>
      <c r="K45" s="182">
        <v>0</v>
      </c>
      <c r="L45" s="182">
        <v>0</v>
      </c>
      <c r="M45" s="182">
        <v>0</v>
      </c>
      <c r="N45" s="182">
        <v>0</v>
      </c>
      <c r="O45" s="182">
        <v>0</v>
      </c>
      <c r="P45" s="182">
        <v>0</v>
      </c>
      <c r="Q45" s="182">
        <v>0</v>
      </c>
      <c r="R45" s="182">
        <v>0</v>
      </c>
      <c r="S45" s="182">
        <v>0</v>
      </c>
      <c r="T45" s="101" t="e">
        <f t="shared" si="22"/>
        <v>#DIV/0!</v>
      </c>
      <c r="U45" s="21">
        <f t="shared" si="6"/>
        <v>0.15</v>
      </c>
      <c r="V45" s="131">
        <f t="shared" si="87"/>
        <v>0</v>
      </c>
      <c r="W45" s="131">
        <f t="shared" si="88"/>
        <v>0</v>
      </c>
      <c r="X45" s="131">
        <f t="shared" si="89"/>
        <v>0</v>
      </c>
      <c r="Y45" s="131">
        <f t="shared" si="90"/>
        <v>0</v>
      </c>
      <c r="Z45" s="131">
        <f t="shared" si="91"/>
        <v>0</v>
      </c>
      <c r="AA45" s="131">
        <f t="shared" si="92"/>
        <v>0</v>
      </c>
      <c r="AB45" s="131">
        <f t="shared" si="93"/>
        <v>0</v>
      </c>
      <c r="AC45" s="131">
        <f t="shared" si="94"/>
        <v>0</v>
      </c>
      <c r="AD45" s="131">
        <f t="shared" si="95"/>
        <v>0</v>
      </c>
      <c r="AE45" s="131">
        <f t="shared" si="96"/>
        <v>0</v>
      </c>
      <c r="AF45" s="116" t="e">
        <f t="shared" si="97"/>
        <v>#DIV/0!</v>
      </c>
      <c r="AG45" s="21">
        <f t="shared" si="16"/>
        <v>0.05</v>
      </c>
      <c r="AH45" s="124">
        <f t="shared" si="98"/>
        <v>0</v>
      </c>
    </row>
    <row r="46" spans="1:34">
      <c r="A46" s="180"/>
      <c r="B46" s="179"/>
      <c r="C46" s="119"/>
      <c r="D46" s="119"/>
      <c r="E46" s="125"/>
      <c r="F46" s="125"/>
      <c r="G46" s="128" t="e">
        <f t="shared" ref="G46" si="144">(G45-F45)/F45</f>
        <v>#DIV/0!</v>
      </c>
      <c r="H46" s="128" t="e">
        <f t="shared" ref="H46" si="145">(H45-G45)/G45</f>
        <v>#DIV/0!</v>
      </c>
      <c r="I46" s="128" t="e">
        <f t="shared" ref="I46" si="146">(I45-H45)/H45</f>
        <v>#DIV/0!</v>
      </c>
      <c r="J46" s="128" t="e">
        <f t="shared" ref="J46" si="147">(J45-I45)/I45</f>
        <v>#DIV/0!</v>
      </c>
      <c r="K46" s="128" t="e">
        <f t="shared" ref="K46" si="148">(K45-J45)/J45</f>
        <v>#DIV/0!</v>
      </c>
      <c r="L46" s="128" t="e">
        <f t="shared" ref="L46" si="149">(L45-K45)/K45</f>
        <v>#DIV/0!</v>
      </c>
      <c r="M46" s="128" t="e">
        <f t="shared" ref="M46" si="150">(M45-L45)/L45</f>
        <v>#DIV/0!</v>
      </c>
      <c r="N46" s="128" t="e">
        <f t="shared" ref="N46" si="151">(N45-M45)/M45</f>
        <v>#DIV/0!</v>
      </c>
      <c r="O46" s="128" t="e">
        <f t="shared" ref="O46" si="152">(O45-N45)/N45</f>
        <v>#DIV/0!</v>
      </c>
      <c r="P46" s="128" t="e">
        <f t="shared" ref="P46" si="153">(P45-O45)/O45</f>
        <v>#DIV/0!</v>
      </c>
      <c r="Q46" s="128" t="e">
        <f t="shared" ref="Q46" si="154">(Q45-P45)/P45</f>
        <v>#DIV/0!</v>
      </c>
      <c r="R46" s="128" t="e">
        <f t="shared" ref="R46" si="155">(R45-Q45)/Q45</f>
        <v>#DIV/0!</v>
      </c>
      <c r="S46" s="128" t="e">
        <f t="shared" ref="S46" si="156">(S45-R45)/R45</f>
        <v>#DIV/0!</v>
      </c>
      <c r="T46" s="110"/>
      <c r="U46" s="10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24"/>
    </row>
    <row r="47" spans="1:34">
      <c r="A47" s="180"/>
      <c r="B47" s="179" t="s">
        <v>435</v>
      </c>
      <c r="C47" s="119"/>
      <c r="D47" s="119"/>
      <c r="E47" s="125"/>
      <c r="F47" s="125"/>
      <c r="G47" s="182">
        <f t="shared" ref="G47:H47" si="157">H47</f>
        <v>0</v>
      </c>
      <c r="H47" s="182">
        <f t="shared" si="157"/>
        <v>0</v>
      </c>
      <c r="I47" s="182">
        <f>J47</f>
        <v>0</v>
      </c>
      <c r="J47" s="182">
        <v>0</v>
      </c>
      <c r="K47" s="182">
        <v>0</v>
      </c>
      <c r="L47" s="182">
        <v>0</v>
      </c>
      <c r="M47" s="182">
        <v>0</v>
      </c>
      <c r="N47" s="182">
        <v>0</v>
      </c>
      <c r="O47" s="182">
        <v>0</v>
      </c>
      <c r="P47" s="182">
        <v>0</v>
      </c>
      <c r="Q47" s="182">
        <v>0</v>
      </c>
      <c r="R47" s="182">
        <v>0</v>
      </c>
      <c r="S47" s="182">
        <v>0</v>
      </c>
      <c r="T47" s="101" t="e">
        <f t="shared" si="22"/>
        <v>#DIV/0!</v>
      </c>
      <c r="U47" s="21">
        <f t="shared" si="6"/>
        <v>0.15</v>
      </c>
      <c r="V47" s="131">
        <f t="shared" ref="V47" si="158">S47*(1+$U47)</f>
        <v>0</v>
      </c>
      <c r="W47" s="131">
        <f t="shared" ref="W47" si="159">V47*(1+$U47)</f>
        <v>0</v>
      </c>
      <c r="X47" s="131">
        <f t="shared" ref="X47" si="160">W47*(1+$U47)</f>
        <v>0</v>
      </c>
      <c r="Y47" s="131">
        <f t="shared" ref="Y47" si="161">X47*(1+$U47)</f>
        <v>0</v>
      </c>
      <c r="Z47" s="131">
        <f t="shared" ref="Z47" si="162">Y47*(1+$U47)</f>
        <v>0</v>
      </c>
      <c r="AA47" s="131">
        <f t="shared" ref="AA47" si="163">Z47*(1+$U47)</f>
        <v>0</v>
      </c>
      <c r="AB47" s="131">
        <f t="shared" ref="AB47" si="164">AA47*(1+$U47)</f>
        <v>0</v>
      </c>
      <c r="AC47" s="131">
        <f t="shared" ref="AC47" si="165">AB47*(1+$U47)</f>
        <v>0</v>
      </c>
      <c r="AD47" s="131">
        <f t="shared" ref="AD47" si="166">AC47*(1+$U47)</f>
        <v>0</v>
      </c>
      <c r="AE47" s="131">
        <f t="shared" ref="AE47" si="167">AD47*(1+$U47)</f>
        <v>0</v>
      </c>
      <c r="AF47" s="116" t="e">
        <f t="shared" ref="AF47" si="168">((AE47/I47)^(1/($AE$3-$J$1) ))-1</f>
        <v>#DIV/0!</v>
      </c>
      <c r="AG47" s="21">
        <f t="shared" si="16"/>
        <v>0.05</v>
      </c>
      <c r="AH47" s="124">
        <f t="shared" si="98"/>
        <v>0</v>
      </c>
    </row>
    <row r="48" spans="1:34">
      <c r="A48" s="180"/>
      <c r="B48" s="179"/>
      <c r="C48" s="119"/>
      <c r="D48" s="119"/>
      <c r="E48" s="125"/>
      <c r="F48" s="125"/>
      <c r="G48" s="128" t="e">
        <f t="shared" ref="G48" si="169">(G47-F47)/F47</f>
        <v>#DIV/0!</v>
      </c>
      <c r="H48" s="128" t="e">
        <f t="shared" ref="H48" si="170">(H47-G47)/G47</f>
        <v>#DIV/0!</v>
      </c>
      <c r="I48" s="128" t="e">
        <f t="shared" ref="I48" si="171">(I47-H47)/H47</f>
        <v>#DIV/0!</v>
      </c>
      <c r="J48" s="128" t="e">
        <f t="shared" ref="J48" si="172">(J47-I47)/I47</f>
        <v>#DIV/0!</v>
      </c>
      <c r="K48" s="128" t="e">
        <f t="shared" ref="K48" si="173">(K47-J47)/J47</f>
        <v>#DIV/0!</v>
      </c>
      <c r="L48" s="128" t="e">
        <f t="shared" ref="L48" si="174">(L47-K47)/K47</f>
        <v>#DIV/0!</v>
      </c>
      <c r="M48" s="128" t="e">
        <f t="shared" ref="M48" si="175">(M47-L47)/L47</f>
        <v>#DIV/0!</v>
      </c>
      <c r="N48" s="128" t="e">
        <f t="shared" ref="N48" si="176">(N47-M47)/M47</f>
        <v>#DIV/0!</v>
      </c>
      <c r="O48" s="128" t="e">
        <f t="shared" ref="O48" si="177">(O47-N47)/N47</f>
        <v>#DIV/0!</v>
      </c>
      <c r="P48" s="128" t="e">
        <f t="shared" ref="P48" si="178">(P47-O47)/O47</f>
        <v>#DIV/0!</v>
      </c>
      <c r="Q48" s="128" t="e">
        <f t="shared" ref="Q48" si="179">(Q47-P47)/P47</f>
        <v>#DIV/0!</v>
      </c>
      <c r="R48" s="128" t="e">
        <f t="shared" ref="R48" si="180">(R47-Q47)/Q47</f>
        <v>#DIV/0!</v>
      </c>
      <c r="S48" s="128" t="e">
        <f t="shared" ref="S48" si="181">(S47-R47)/R47</f>
        <v>#DIV/0!</v>
      </c>
      <c r="T48" s="110"/>
      <c r="U48" s="10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24"/>
    </row>
    <row r="49" spans="1:34">
      <c r="A49" s="180"/>
      <c r="B49" s="179" t="s">
        <v>426</v>
      </c>
      <c r="C49" s="119"/>
      <c r="D49" s="119"/>
      <c r="E49" s="125"/>
      <c r="F49" s="125"/>
      <c r="G49" s="182">
        <f t="shared" ref="G49:H49" si="182">H49</f>
        <v>0</v>
      </c>
      <c r="H49" s="182">
        <f t="shared" si="182"/>
        <v>0</v>
      </c>
      <c r="I49" s="182">
        <f>J49</f>
        <v>0</v>
      </c>
      <c r="J49" s="182">
        <v>0</v>
      </c>
      <c r="K49" s="182">
        <v>0</v>
      </c>
      <c r="L49" s="182">
        <v>0</v>
      </c>
      <c r="M49" s="182">
        <v>0</v>
      </c>
      <c r="N49" s="182">
        <v>0</v>
      </c>
      <c r="O49" s="182">
        <v>0</v>
      </c>
      <c r="P49" s="182">
        <v>0</v>
      </c>
      <c r="Q49" s="182">
        <v>0</v>
      </c>
      <c r="R49" s="182">
        <v>0</v>
      </c>
      <c r="S49" s="182">
        <v>0</v>
      </c>
      <c r="T49" s="101" t="e">
        <f t="shared" si="22"/>
        <v>#DIV/0!</v>
      </c>
      <c r="U49" s="21">
        <f t="shared" si="6"/>
        <v>0.15</v>
      </c>
      <c r="V49" s="131">
        <f t="shared" si="87"/>
        <v>0</v>
      </c>
      <c r="W49" s="131">
        <f t="shared" si="88"/>
        <v>0</v>
      </c>
      <c r="X49" s="131">
        <f t="shared" si="89"/>
        <v>0</v>
      </c>
      <c r="Y49" s="131">
        <f t="shared" si="90"/>
        <v>0</v>
      </c>
      <c r="Z49" s="131">
        <f t="shared" si="91"/>
        <v>0</v>
      </c>
      <c r="AA49" s="131">
        <f t="shared" si="92"/>
        <v>0</v>
      </c>
      <c r="AB49" s="131">
        <f t="shared" si="93"/>
        <v>0</v>
      </c>
      <c r="AC49" s="131">
        <f t="shared" si="94"/>
        <v>0</v>
      </c>
      <c r="AD49" s="131">
        <f t="shared" si="95"/>
        <v>0</v>
      </c>
      <c r="AE49" s="131">
        <f t="shared" si="96"/>
        <v>0</v>
      </c>
      <c r="AF49" s="116" t="e">
        <f t="shared" si="97"/>
        <v>#DIV/0!</v>
      </c>
      <c r="AG49" s="21">
        <f t="shared" si="16"/>
        <v>0.05</v>
      </c>
      <c r="AH49" s="124">
        <f t="shared" si="98"/>
        <v>0</v>
      </c>
    </row>
    <row r="50" spans="1:34">
      <c r="B50" s="10"/>
      <c r="C50" s="119"/>
      <c r="D50" s="119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10"/>
      <c r="U50" s="10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17"/>
      <c r="AG50" s="115"/>
      <c r="AH50" s="131"/>
    </row>
    <row r="51" spans="1:34">
      <c r="B51" s="10" t="s">
        <v>230</v>
      </c>
      <c r="C51" s="119"/>
      <c r="D51" s="119"/>
      <c r="E51" s="125"/>
      <c r="F51" s="125"/>
      <c r="G51" s="125">
        <v>186</v>
      </c>
      <c r="H51" s="125">
        <v>187</v>
      </c>
      <c r="I51" s="125">
        <v>229</v>
      </c>
      <c r="J51" s="125">
        <v>320</v>
      </c>
      <c r="K51" s="125">
        <v>490</v>
      </c>
      <c r="L51" s="125">
        <v>585</v>
      </c>
      <c r="M51" s="125">
        <v>983</v>
      </c>
      <c r="N51" s="125">
        <v>961</v>
      </c>
      <c r="O51" s="125">
        <v>745</v>
      </c>
      <c r="P51" s="125">
        <v>852</v>
      </c>
      <c r="Q51" s="125">
        <v>863</v>
      </c>
      <c r="R51" s="182">
        <v>937</v>
      </c>
      <c r="S51" s="182">
        <v>1055</v>
      </c>
      <c r="T51" s="101">
        <f t="shared" si="22"/>
        <v>0.15561089128064109</v>
      </c>
      <c r="U51" s="21">
        <f t="shared" si="6"/>
        <v>0.15</v>
      </c>
      <c r="V51" s="131">
        <f t="shared" si="2"/>
        <v>1213.25</v>
      </c>
      <c r="W51" s="131">
        <f t="shared" ref="W51" si="183">V51*(1+$U51)</f>
        <v>1395.2375</v>
      </c>
      <c r="X51" s="131">
        <f t="shared" ref="X51" si="184">W51*(1+$U51)</f>
        <v>1604.5231249999999</v>
      </c>
      <c r="Y51" s="131">
        <f t="shared" ref="Y51" si="185">X51*(1+$U51)</f>
        <v>1845.2015937499998</v>
      </c>
      <c r="Z51" s="131">
        <f t="shared" si="40"/>
        <v>2121.9818328124998</v>
      </c>
      <c r="AA51" s="131">
        <f t="shared" si="41"/>
        <v>2440.2791077343745</v>
      </c>
      <c r="AB51" s="131">
        <f t="shared" si="42"/>
        <v>2806.3209738945307</v>
      </c>
      <c r="AC51" s="131">
        <f t="shared" si="43"/>
        <v>3227.26911997871</v>
      </c>
      <c r="AD51" s="131">
        <f t="shared" si="44"/>
        <v>3711.3594879755165</v>
      </c>
      <c r="AE51" s="131">
        <f t="shared" si="45"/>
        <v>4268.0634111718437</v>
      </c>
      <c r="AF51" s="116">
        <f t="shared" si="18"/>
        <v>0.14946305765962808</v>
      </c>
      <c r="AG51" s="21">
        <f t="shared" si="16"/>
        <v>0.05</v>
      </c>
      <c r="AH51" s="124">
        <f t="shared" si="1"/>
        <v>44814.665817304362</v>
      </c>
    </row>
    <row r="52" spans="1:34" s="106" customFormat="1">
      <c r="B52" s="13"/>
      <c r="C52" s="126"/>
      <c r="D52" s="126"/>
      <c r="E52" s="127"/>
      <c r="F52" s="127"/>
      <c r="G52" s="272">
        <f t="shared" ref="G52:Q52" si="186">(G51-F51)/G51</f>
        <v>1</v>
      </c>
      <c r="H52" s="272">
        <f t="shared" si="186"/>
        <v>5.3475935828877002E-3</v>
      </c>
      <c r="I52" s="272">
        <f t="shared" si="186"/>
        <v>0.18340611353711792</v>
      </c>
      <c r="J52" s="272">
        <f t="shared" si="186"/>
        <v>0.28437499999999999</v>
      </c>
      <c r="K52" s="272">
        <f t="shared" si="186"/>
        <v>0.34693877551020408</v>
      </c>
      <c r="L52" s="272">
        <f t="shared" si="186"/>
        <v>0.1623931623931624</v>
      </c>
      <c r="M52" s="272">
        <f t="shared" si="186"/>
        <v>0.40488301119023395</v>
      </c>
      <c r="N52" s="272">
        <f t="shared" si="186"/>
        <v>-2.2892819979188347E-2</v>
      </c>
      <c r="O52" s="272">
        <f t="shared" si="186"/>
        <v>-0.28993288590604027</v>
      </c>
      <c r="P52" s="272">
        <f t="shared" si="186"/>
        <v>0.12558685446009391</v>
      </c>
      <c r="Q52" s="272">
        <f t="shared" si="186"/>
        <v>1.2746234067207415E-2</v>
      </c>
      <c r="R52" s="128">
        <f t="shared" ref="R52:S52" si="187">(R51-Q51)/Q51</f>
        <v>8.574739281575898E-2</v>
      </c>
      <c r="S52" s="128">
        <f t="shared" si="187"/>
        <v>0.12593383137673425</v>
      </c>
      <c r="T52" s="110"/>
      <c r="U52" s="10"/>
      <c r="V52" s="131"/>
      <c r="W52" s="132"/>
      <c r="X52" s="132"/>
      <c r="Y52" s="132"/>
      <c r="Z52" s="132"/>
      <c r="AA52" s="132"/>
      <c r="AB52" s="132"/>
      <c r="AC52" s="132"/>
      <c r="AD52" s="132"/>
      <c r="AE52" s="132"/>
      <c r="AF52" s="117"/>
      <c r="AG52" s="115"/>
      <c r="AH52" s="133"/>
    </row>
    <row r="53" spans="1:34" s="106" customFormat="1">
      <c r="B53" s="10" t="s">
        <v>345</v>
      </c>
      <c r="C53" s="126"/>
      <c r="D53" s="126"/>
      <c r="E53" s="127"/>
      <c r="F53" s="127"/>
      <c r="G53" s="125">
        <v>111</v>
      </c>
      <c r="H53" s="125">
        <v>117</v>
      </c>
      <c r="I53" s="125">
        <v>154</v>
      </c>
      <c r="J53" s="125">
        <v>239</v>
      </c>
      <c r="K53" s="125">
        <v>389</v>
      </c>
      <c r="L53" s="125">
        <v>452</v>
      </c>
      <c r="M53" s="125">
        <v>881</v>
      </c>
      <c r="N53" s="125">
        <v>957</v>
      </c>
      <c r="O53" s="125">
        <v>662</v>
      </c>
      <c r="P53" s="125">
        <v>777</v>
      </c>
      <c r="Q53" s="125">
        <v>786</v>
      </c>
      <c r="R53" s="182">
        <v>874</v>
      </c>
      <c r="S53" s="182">
        <v>1008</v>
      </c>
      <c r="T53" s="101">
        <f t="shared" si="22"/>
        <v>0.201834857944029</v>
      </c>
      <c r="U53" s="21">
        <f t="shared" si="6"/>
        <v>0.15</v>
      </c>
      <c r="V53" s="131">
        <f t="shared" si="2"/>
        <v>1159.1999999999998</v>
      </c>
      <c r="W53" s="131">
        <f t="shared" ref="W53" si="188">V53*(1+$U53)</f>
        <v>1333.0799999999997</v>
      </c>
      <c r="X53" s="131">
        <f t="shared" ref="X53" si="189">W53*(1+$U53)</f>
        <v>1533.0419999999995</v>
      </c>
      <c r="Y53" s="131">
        <f t="shared" ref="Y53" si="190">X53*(1+$U53)</f>
        <v>1762.9982999999993</v>
      </c>
      <c r="Z53" s="131">
        <f t="shared" ref="Z53" si="191">Y53*(1+$U53)</f>
        <v>2027.448044999999</v>
      </c>
      <c r="AA53" s="131">
        <f t="shared" ref="AA53" si="192">Z53*(1+$U53)</f>
        <v>2331.5652517499984</v>
      </c>
      <c r="AB53" s="131">
        <f t="shared" ref="AB53" si="193">AA53*(1+$U53)</f>
        <v>2681.3000395124982</v>
      </c>
      <c r="AC53" s="131">
        <f t="shared" ref="AC53" si="194">AB53*(1+$U53)</f>
        <v>3083.4950454393725</v>
      </c>
      <c r="AD53" s="131">
        <f t="shared" ref="AD53" si="195">AC53*(1+$U53)</f>
        <v>3546.019302255278</v>
      </c>
      <c r="AE53" s="131">
        <f t="shared" ref="AE53" si="196">AD53*(1+$U53)</f>
        <v>4077.9221975935693</v>
      </c>
      <c r="AF53" s="116">
        <f t="shared" ref="AF53" si="197">((AE53/I53)^(1/($AE$3-$J$1) ))-1</f>
        <v>0.16884792509011048</v>
      </c>
      <c r="AG53" s="21">
        <f t="shared" si="16"/>
        <v>0.05</v>
      </c>
      <c r="AH53" s="124">
        <f t="shared" ref="AH53" si="198">(AE53*(1+AG53))/($C$1-AG53)</f>
        <v>42818.183074732478</v>
      </c>
    </row>
    <row r="54" spans="1:34" s="106" customFormat="1">
      <c r="B54" s="13"/>
      <c r="C54" s="126"/>
      <c r="D54" s="126"/>
      <c r="E54" s="127"/>
      <c r="F54" s="127"/>
      <c r="G54" s="272">
        <f t="shared" ref="G54:Q54" si="199">(G53-F53)/G53</f>
        <v>1</v>
      </c>
      <c r="H54" s="272">
        <f t="shared" si="199"/>
        <v>5.128205128205128E-2</v>
      </c>
      <c r="I54" s="272">
        <f t="shared" si="199"/>
        <v>0.24025974025974026</v>
      </c>
      <c r="J54" s="272">
        <f t="shared" si="199"/>
        <v>0.35564853556485354</v>
      </c>
      <c r="K54" s="272">
        <f t="shared" si="199"/>
        <v>0.38560411311053983</v>
      </c>
      <c r="L54" s="272">
        <f t="shared" si="199"/>
        <v>0.13938053097345132</v>
      </c>
      <c r="M54" s="272">
        <f t="shared" si="199"/>
        <v>0.48694665153234962</v>
      </c>
      <c r="N54" s="272">
        <f t="shared" si="199"/>
        <v>7.9414838035527693E-2</v>
      </c>
      <c r="O54" s="272">
        <f t="shared" si="199"/>
        <v>-0.44561933534743203</v>
      </c>
      <c r="P54" s="272">
        <f t="shared" si="199"/>
        <v>0.148005148005148</v>
      </c>
      <c r="Q54" s="272">
        <f t="shared" si="199"/>
        <v>1.1450381679389313E-2</v>
      </c>
      <c r="R54" s="128">
        <f t="shared" ref="R54:S54" si="200">(R53-Q53)/Q53</f>
        <v>0.11195928753180662</v>
      </c>
      <c r="S54" s="128">
        <f t="shared" si="200"/>
        <v>0.15331807780320367</v>
      </c>
      <c r="T54" s="110"/>
      <c r="U54" s="10"/>
      <c r="V54" s="131"/>
      <c r="W54" s="132"/>
      <c r="X54" s="132"/>
      <c r="Y54" s="132"/>
      <c r="Z54" s="132"/>
      <c r="AA54" s="132"/>
      <c r="AB54" s="132"/>
      <c r="AC54" s="132"/>
      <c r="AD54" s="132"/>
      <c r="AE54" s="132"/>
      <c r="AF54" s="117"/>
      <c r="AG54" s="115"/>
      <c r="AH54" s="133"/>
    </row>
    <row r="55" spans="1:34">
      <c r="B55" s="10" t="s">
        <v>346</v>
      </c>
      <c r="C55" s="119"/>
      <c r="D55" s="119"/>
      <c r="E55" s="125"/>
      <c r="F55" s="125"/>
      <c r="G55" s="125">
        <v>74</v>
      </c>
      <c r="H55" s="125">
        <v>79</v>
      </c>
      <c r="I55" s="125">
        <v>103</v>
      </c>
      <c r="J55" s="125">
        <v>158</v>
      </c>
      <c r="K55" s="125">
        <v>262</v>
      </c>
      <c r="L55" s="125">
        <v>294</v>
      </c>
      <c r="M55" s="125">
        <v>581</v>
      </c>
      <c r="N55" s="125">
        <v>659</v>
      </c>
      <c r="O55" s="125">
        <v>465</v>
      </c>
      <c r="P55" s="125">
        <v>540</v>
      </c>
      <c r="Q55" s="125">
        <v>546</v>
      </c>
      <c r="R55" s="182">
        <v>616</v>
      </c>
      <c r="S55" s="182">
        <v>716</v>
      </c>
      <c r="T55" s="101">
        <f t="shared" si="22"/>
        <v>0.20820355302807636</v>
      </c>
      <c r="U55" s="21">
        <f t="shared" si="6"/>
        <v>0.15</v>
      </c>
      <c r="V55" s="131">
        <f t="shared" si="2"/>
        <v>823.4</v>
      </c>
      <c r="W55" s="131">
        <f t="shared" ref="W55:AE55" si="201">V55*(1+$U55)</f>
        <v>946.90999999999985</v>
      </c>
      <c r="X55" s="131">
        <f t="shared" si="201"/>
        <v>1088.9464999999998</v>
      </c>
      <c r="Y55" s="131">
        <f t="shared" si="201"/>
        <v>1252.2884749999996</v>
      </c>
      <c r="Z55" s="131">
        <f t="shared" si="201"/>
        <v>1440.1317462499994</v>
      </c>
      <c r="AA55" s="131">
        <f t="shared" si="201"/>
        <v>1656.1515081874993</v>
      </c>
      <c r="AB55" s="131">
        <f t="shared" si="201"/>
        <v>1904.574234415624</v>
      </c>
      <c r="AC55" s="131">
        <f t="shared" si="201"/>
        <v>2190.2603695779676</v>
      </c>
      <c r="AD55" s="131">
        <f t="shared" si="201"/>
        <v>2518.7994250146626</v>
      </c>
      <c r="AE55" s="131">
        <f t="shared" si="201"/>
        <v>2896.6193387668618</v>
      </c>
      <c r="AF55" s="116">
        <f t="shared" si="18"/>
        <v>0.17220233191105305</v>
      </c>
      <c r="AG55" s="21">
        <f t="shared" si="16"/>
        <v>0.05</v>
      </c>
      <c r="AH55" s="124">
        <f t="shared" si="1"/>
        <v>30414.503057052054</v>
      </c>
    </row>
    <row r="56" spans="1:34" s="106" customFormat="1">
      <c r="B56" s="13"/>
      <c r="C56" s="126"/>
      <c r="D56" s="126"/>
      <c r="E56" s="127"/>
      <c r="F56" s="127"/>
      <c r="G56" s="272">
        <f>(G55-F55)/G55</f>
        <v>1</v>
      </c>
      <c r="H56" s="272">
        <f t="shared" ref="H56:Q56" si="202">(H55-G55)/H55</f>
        <v>6.3291139240506333E-2</v>
      </c>
      <c r="I56" s="272">
        <f t="shared" si="202"/>
        <v>0.23300970873786409</v>
      </c>
      <c r="J56" s="272">
        <f t="shared" si="202"/>
        <v>0.34810126582278483</v>
      </c>
      <c r="K56" s="272">
        <f t="shared" si="202"/>
        <v>0.39694656488549618</v>
      </c>
      <c r="L56" s="272">
        <f t="shared" si="202"/>
        <v>0.10884353741496598</v>
      </c>
      <c r="M56" s="272">
        <f t="shared" si="202"/>
        <v>0.49397590361445781</v>
      </c>
      <c r="N56" s="272">
        <f t="shared" si="202"/>
        <v>0.11836115326251896</v>
      </c>
      <c r="O56" s="272">
        <f t="shared" si="202"/>
        <v>-0.41720430107526879</v>
      </c>
      <c r="P56" s="272">
        <f t="shared" si="202"/>
        <v>0.1388888888888889</v>
      </c>
      <c r="Q56" s="272">
        <f t="shared" si="202"/>
        <v>1.098901098901099E-2</v>
      </c>
      <c r="R56" s="128">
        <f t="shared" ref="R56:S56" si="203">(R55-Q55)/Q55</f>
        <v>0.12820512820512819</v>
      </c>
      <c r="S56" s="128">
        <f t="shared" si="203"/>
        <v>0.16233766233766234</v>
      </c>
      <c r="T56" s="110"/>
      <c r="U56" s="10"/>
      <c r="V56" s="131"/>
      <c r="W56" s="132"/>
      <c r="X56" s="132"/>
      <c r="Y56" s="132"/>
      <c r="Z56" s="132"/>
      <c r="AA56" s="132"/>
      <c r="AB56" s="132"/>
      <c r="AC56" s="132"/>
      <c r="AD56" s="132"/>
      <c r="AE56" s="132"/>
      <c r="AF56" s="117"/>
      <c r="AG56" s="115"/>
      <c r="AH56" s="133"/>
    </row>
    <row r="57" spans="1:34">
      <c r="B57" s="10" t="s">
        <v>197</v>
      </c>
      <c r="C57" s="120"/>
      <c r="D57" s="120"/>
      <c r="E57" s="123"/>
      <c r="F57" s="123"/>
      <c r="G57" s="123">
        <v>7.12</v>
      </c>
      <c r="H57" s="123">
        <v>7.5</v>
      </c>
      <c r="I57" s="123">
        <v>7.5</v>
      </c>
      <c r="J57" s="123">
        <v>75</v>
      </c>
      <c r="K57" s="123">
        <v>80</v>
      </c>
      <c r="L57" s="123">
        <v>80</v>
      </c>
      <c r="M57" s="123">
        <v>85</v>
      </c>
      <c r="N57" s="123">
        <v>85</v>
      </c>
      <c r="O57" s="123">
        <v>85</v>
      </c>
      <c r="P57" s="123">
        <v>85</v>
      </c>
      <c r="Q57" s="123">
        <f>P57</f>
        <v>85</v>
      </c>
      <c r="R57" s="182">
        <v>85</v>
      </c>
      <c r="S57" s="182">
        <v>85</v>
      </c>
      <c r="T57" s="101">
        <f t="shared" si="22"/>
        <v>0.22954636726364885</v>
      </c>
      <c r="U57" s="21">
        <v>0.02</v>
      </c>
      <c r="V57" s="131">
        <f t="shared" si="2"/>
        <v>86.7</v>
      </c>
      <c r="W57" s="131">
        <f>V57*(1+$U57)</f>
        <v>88.433999999999997</v>
      </c>
      <c r="X57" s="131">
        <f t="shared" ref="X57:AE57" si="204">W57*(1+$U57)</f>
        <v>90.202680000000001</v>
      </c>
      <c r="Y57" s="131">
        <f t="shared" si="204"/>
        <v>92.006733600000004</v>
      </c>
      <c r="Z57" s="131">
        <f t="shared" si="204"/>
        <v>93.846868272000009</v>
      </c>
      <c r="AA57" s="131">
        <f t="shared" si="204"/>
        <v>95.723805637440009</v>
      </c>
      <c r="AB57" s="131">
        <f t="shared" si="204"/>
        <v>97.63828175018881</v>
      </c>
      <c r="AC57" s="131">
        <f t="shared" si="204"/>
        <v>99.591047385192581</v>
      </c>
      <c r="AD57" s="131">
        <f t="shared" si="204"/>
        <v>101.58286833289644</v>
      </c>
      <c r="AE57" s="131">
        <f t="shared" si="204"/>
        <v>103.61452569955436</v>
      </c>
      <c r="AF57" s="116">
        <f t="shared" si="18"/>
        <v>0.13319024591241901</v>
      </c>
      <c r="AG57" s="21">
        <f t="shared" si="16"/>
        <v>0.05</v>
      </c>
      <c r="AH57" s="124">
        <f t="shared" si="1"/>
        <v>1087.9525198453209</v>
      </c>
    </row>
    <row r="58" spans="1:34">
      <c r="B58" s="10"/>
      <c r="C58" s="120"/>
      <c r="D58" s="120"/>
      <c r="E58" s="121"/>
      <c r="F58" s="121"/>
      <c r="G58" s="272">
        <f>(G57-F57)/G57</f>
        <v>1</v>
      </c>
      <c r="H58" s="272">
        <f t="shared" ref="H58:Q58" si="205">(H57-G57)/H57</f>
        <v>5.0666666666666652E-2</v>
      </c>
      <c r="I58" s="272">
        <f t="shared" si="205"/>
        <v>0</v>
      </c>
      <c r="J58" s="272">
        <f t="shared" si="205"/>
        <v>0.9</v>
      </c>
      <c r="K58" s="272">
        <f t="shared" si="205"/>
        <v>6.25E-2</v>
      </c>
      <c r="L58" s="272">
        <f t="shared" si="205"/>
        <v>0</v>
      </c>
      <c r="M58" s="272">
        <f t="shared" si="205"/>
        <v>5.8823529411764705E-2</v>
      </c>
      <c r="N58" s="272">
        <f t="shared" si="205"/>
        <v>0</v>
      </c>
      <c r="O58" s="272">
        <f t="shared" si="205"/>
        <v>0</v>
      </c>
      <c r="P58" s="272">
        <f t="shared" si="205"/>
        <v>0</v>
      </c>
      <c r="Q58" s="272">
        <f t="shared" si="205"/>
        <v>0</v>
      </c>
      <c r="R58" s="128">
        <f t="shared" ref="R58:S58" si="206">(R57-Q57)/Q57</f>
        <v>0</v>
      </c>
      <c r="S58" s="128">
        <f t="shared" si="206"/>
        <v>0</v>
      </c>
      <c r="T58" s="110"/>
      <c r="U58" s="10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17"/>
      <c r="AG58" s="115"/>
      <c r="AH58" s="124"/>
    </row>
    <row r="59" spans="1:34">
      <c r="B59" s="10" t="s">
        <v>233</v>
      </c>
      <c r="C59" s="123"/>
      <c r="D59" s="123"/>
      <c r="E59" s="123"/>
      <c r="F59" s="123"/>
      <c r="G59" s="123">
        <v>4</v>
      </c>
      <c r="H59" s="123">
        <v>2.5</v>
      </c>
      <c r="I59" s="123">
        <v>3</v>
      </c>
      <c r="J59" s="123">
        <v>0.35</v>
      </c>
      <c r="K59" s="123">
        <v>0.4</v>
      </c>
      <c r="L59" s="123">
        <v>0.6</v>
      </c>
      <c r="M59" s="123">
        <v>1</v>
      </c>
      <c r="N59" s="123">
        <v>1.5</v>
      </c>
      <c r="O59" s="123">
        <v>1.5</v>
      </c>
      <c r="P59" s="123">
        <v>1.6</v>
      </c>
      <c r="Q59" s="123">
        <v>1.8</v>
      </c>
      <c r="R59" s="123">
        <v>2.2000000000000002</v>
      </c>
      <c r="S59" s="123">
        <v>2.4</v>
      </c>
      <c r="T59" s="101">
        <f t="shared" si="22"/>
        <v>-4.1675471372851991E-2</v>
      </c>
      <c r="U59" s="21">
        <f>R1</f>
        <v>0.05</v>
      </c>
      <c r="V59" s="131">
        <f t="shared" si="2"/>
        <v>2.52</v>
      </c>
      <c r="W59" s="131">
        <f t="shared" ref="W59" si="207">V59*(1+$U59)</f>
        <v>2.6460000000000004</v>
      </c>
      <c r="X59" s="131">
        <f t="shared" ref="X59" si="208">W59*(1+$U59)</f>
        <v>2.7783000000000007</v>
      </c>
      <c r="Y59" s="131">
        <f t="shared" ref="Y59" si="209">X59*(1+$U59)</f>
        <v>2.917215000000001</v>
      </c>
      <c r="Z59" s="131">
        <f t="shared" ref="Z59" si="210">Y59*(1+$U59)</f>
        <v>3.0630757500000012</v>
      </c>
      <c r="AA59" s="131">
        <f t="shared" ref="AA59" si="211">Z59*(1+$U59)</f>
        <v>3.2162295375000016</v>
      </c>
      <c r="AB59" s="131">
        <f t="shared" ref="AB59" si="212">AA59*(1+$U59)</f>
        <v>3.3770410143750018</v>
      </c>
      <c r="AC59" s="131">
        <f t="shared" ref="AC59" si="213">AB59*(1+$U59)</f>
        <v>3.5458930650937521</v>
      </c>
      <c r="AD59" s="131">
        <f t="shared" ref="AD59" si="214">AC59*(1+$U59)</f>
        <v>3.7231877183484401</v>
      </c>
      <c r="AE59" s="131">
        <f t="shared" ref="AE59" si="215">AD59*(1+$U59)</f>
        <v>3.9093471042658621</v>
      </c>
      <c r="AF59" s="116">
        <f t="shared" ref="AF59" si="216">((AE59/I59)^(1/($AE$3-$J$1) ))-1</f>
        <v>1.2687338045211272E-2</v>
      </c>
      <c r="AG59" s="21">
        <f t="shared" si="16"/>
        <v>0.05</v>
      </c>
      <c r="AH59" s="124">
        <f t="shared" si="1"/>
        <v>41.048144594791559</v>
      </c>
    </row>
    <row r="60" spans="1:34">
      <c r="B60" s="10"/>
      <c r="C60" s="123"/>
      <c r="D60" s="123"/>
      <c r="E60" s="123"/>
      <c r="F60" s="123"/>
      <c r="G60" s="128" t="e">
        <f t="shared" ref="G60" si="217">(G59-F59)/F59</f>
        <v>#DIV/0!</v>
      </c>
      <c r="H60" s="128">
        <f t="shared" ref="H60" si="218">(H59-G59)/G59</f>
        <v>-0.375</v>
      </c>
      <c r="I60" s="128">
        <f t="shared" ref="I60:S60" si="219">(I59-H59)/H59</f>
        <v>0.2</v>
      </c>
      <c r="J60" s="128">
        <f t="shared" si="219"/>
        <v>-0.8833333333333333</v>
      </c>
      <c r="K60" s="128">
        <f t="shared" si="219"/>
        <v>0.14285714285714299</v>
      </c>
      <c r="L60" s="128">
        <f t="shared" si="219"/>
        <v>0.49999999999999989</v>
      </c>
      <c r="M60" s="128">
        <f t="shared" si="219"/>
        <v>0.66666666666666674</v>
      </c>
      <c r="N60" s="128">
        <f t="shared" si="219"/>
        <v>0.5</v>
      </c>
      <c r="O60" s="128">
        <f t="shared" si="219"/>
        <v>0</v>
      </c>
      <c r="P60" s="128">
        <f t="shared" si="219"/>
        <v>6.6666666666666721E-2</v>
      </c>
      <c r="Q60" s="128">
        <f t="shared" si="219"/>
        <v>0.12499999999999997</v>
      </c>
      <c r="R60" s="128">
        <f t="shared" si="219"/>
        <v>0.22222222222222229</v>
      </c>
      <c r="S60" s="128">
        <f t="shared" si="219"/>
        <v>9.0909090909090787E-2</v>
      </c>
      <c r="T60" s="110"/>
      <c r="U60" s="10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17"/>
      <c r="AG60" s="115"/>
      <c r="AH60" s="124"/>
    </row>
    <row r="61" spans="1:34">
      <c r="B61" s="10" t="s">
        <v>371</v>
      </c>
      <c r="C61" s="10"/>
      <c r="D61" s="10"/>
      <c r="E61" s="109"/>
      <c r="F61" s="109"/>
      <c r="G61" s="125">
        <v>0</v>
      </c>
      <c r="H61" s="125">
        <v>0</v>
      </c>
      <c r="I61" s="125">
        <v>0</v>
      </c>
      <c r="J61" s="125" t="s">
        <v>511</v>
      </c>
      <c r="K61" s="125">
        <v>0</v>
      </c>
      <c r="L61" s="125">
        <v>0</v>
      </c>
      <c r="M61" s="125">
        <v>0</v>
      </c>
      <c r="N61" s="125">
        <v>0</v>
      </c>
      <c r="O61" s="125">
        <v>0</v>
      </c>
      <c r="P61" s="125">
        <v>0</v>
      </c>
      <c r="Q61" s="125">
        <v>0</v>
      </c>
      <c r="R61" s="125">
        <v>0</v>
      </c>
      <c r="S61" s="125">
        <v>0</v>
      </c>
      <c r="T61" s="125">
        <v>0</v>
      </c>
      <c r="U61" s="110"/>
      <c r="V61" s="131"/>
      <c r="W61" s="131"/>
      <c r="X61" s="131"/>
      <c r="Y61" s="131"/>
      <c r="Z61" s="131"/>
      <c r="AA61" s="131"/>
      <c r="AB61" s="131"/>
      <c r="AC61" s="131"/>
      <c r="AD61" s="131"/>
      <c r="AE61" s="131"/>
      <c r="AF61" s="117"/>
      <c r="AG61" s="115"/>
      <c r="AH61" s="131"/>
    </row>
    <row r="62" spans="1:34">
      <c r="B62" s="10" t="s">
        <v>369</v>
      </c>
      <c r="C62" s="10"/>
      <c r="D62" s="10"/>
      <c r="E62" s="109"/>
      <c r="F62" s="109"/>
      <c r="G62" s="125" t="s">
        <v>512</v>
      </c>
      <c r="H62" s="125">
        <v>0</v>
      </c>
      <c r="I62" s="125">
        <v>0</v>
      </c>
      <c r="J62" s="125">
        <v>0</v>
      </c>
      <c r="K62" s="125">
        <v>0</v>
      </c>
      <c r="L62" s="125">
        <v>0</v>
      </c>
      <c r="M62" s="125">
        <v>0</v>
      </c>
      <c r="N62" s="125">
        <v>0</v>
      </c>
      <c r="O62" s="125">
        <v>0</v>
      </c>
      <c r="P62" s="125">
        <v>0</v>
      </c>
      <c r="Q62" s="125">
        <v>0</v>
      </c>
      <c r="R62" s="125">
        <v>0</v>
      </c>
      <c r="S62" s="125">
        <v>0</v>
      </c>
      <c r="T62" s="125">
        <v>0</v>
      </c>
      <c r="U62" s="110"/>
      <c r="V62" s="131"/>
      <c r="W62" s="131"/>
      <c r="X62" s="131"/>
      <c r="Y62" s="131"/>
      <c r="Z62" s="131"/>
      <c r="AA62" s="131"/>
      <c r="AB62" s="131"/>
      <c r="AC62" s="131"/>
      <c r="AD62" s="131"/>
      <c r="AE62" s="131"/>
      <c r="AF62" s="117"/>
      <c r="AG62" s="115"/>
      <c r="AH62" s="131"/>
    </row>
    <row r="63" spans="1:34">
      <c r="B63" s="10" t="s">
        <v>370</v>
      </c>
      <c r="C63" s="10"/>
      <c r="D63" s="10"/>
      <c r="E63" s="109"/>
      <c r="F63" s="109"/>
      <c r="G63" s="125">
        <v>0</v>
      </c>
      <c r="H63" s="125">
        <v>0</v>
      </c>
      <c r="I63" s="125">
        <v>0</v>
      </c>
      <c r="J63" s="125">
        <v>0</v>
      </c>
      <c r="K63" s="125" t="s">
        <v>513</v>
      </c>
      <c r="L63" s="125">
        <v>0</v>
      </c>
      <c r="M63" s="125">
        <v>0</v>
      </c>
      <c r="N63" s="125">
        <v>0</v>
      </c>
      <c r="O63" s="125">
        <v>0</v>
      </c>
      <c r="P63" s="125">
        <v>0</v>
      </c>
      <c r="Q63" s="125">
        <v>0</v>
      </c>
      <c r="R63" s="125">
        <v>0</v>
      </c>
      <c r="S63" s="125">
        <v>0</v>
      </c>
      <c r="T63" s="125">
        <v>0</v>
      </c>
      <c r="U63" s="110"/>
      <c r="V63" s="131"/>
      <c r="W63" s="131"/>
      <c r="X63" s="131"/>
      <c r="Y63" s="131"/>
      <c r="Z63" s="131"/>
      <c r="AA63" s="131"/>
      <c r="AB63" s="131"/>
      <c r="AC63" s="131"/>
      <c r="AD63" s="131"/>
      <c r="AE63" s="131"/>
      <c r="AF63" s="117"/>
      <c r="AG63" s="115"/>
      <c r="AH63" s="131"/>
    </row>
    <row r="64" spans="1:34">
      <c r="B64" s="10"/>
      <c r="C64" s="10"/>
      <c r="D64" s="10"/>
      <c r="E64" s="109"/>
      <c r="F64" s="109"/>
      <c r="G64" s="109"/>
      <c r="H64" s="109"/>
      <c r="I64" s="109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10"/>
      <c r="U64" s="110"/>
      <c r="V64" s="131"/>
      <c r="W64" s="131"/>
      <c r="X64" s="131"/>
      <c r="Y64" s="131"/>
      <c r="Z64" s="131"/>
      <c r="AA64" s="131"/>
      <c r="AB64" s="131"/>
      <c r="AC64" s="131"/>
      <c r="AD64" s="131"/>
      <c r="AE64" s="131"/>
      <c r="AF64" s="117"/>
      <c r="AG64" s="115"/>
      <c r="AH64" s="131"/>
    </row>
    <row r="65" spans="2:34">
      <c r="B65" s="93" t="s">
        <v>201</v>
      </c>
      <c r="C65" s="10"/>
      <c r="D65" s="10"/>
      <c r="E65" s="109"/>
      <c r="F65" s="109"/>
      <c r="G65" s="109"/>
      <c r="H65" s="109"/>
      <c r="I65" s="109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10"/>
      <c r="U65" s="110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17"/>
      <c r="AG65" s="115"/>
      <c r="AH65" s="131"/>
    </row>
    <row r="66" spans="2:34">
      <c r="B66" s="10" t="s">
        <v>253</v>
      </c>
      <c r="C66" s="112"/>
      <c r="D66" s="112"/>
      <c r="E66" s="112"/>
      <c r="F66" s="112"/>
      <c r="G66" s="112">
        <f t="shared" ref="G66:H66" si="220">G25/G57</f>
        <v>154.49438202247191</v>
      </c>
      <c r="H66" s="112">
        <f t="shared" si="220"/>
        <v>186.66666666666666</v>
      </c>
      <c r="I66" s="112">
        <f t="shared" ref="I66:R66" si="221">I25/I57</f>
        <v>221.06666666666666</v>
      </c>
      <c r="J66" s="112">
        <f t="shared" si="221"/>
        <v>30.653333333333332</v>
      </c>
      <c r="K66" s="112">
        <f t="shared" si="221"/>
        <v>42.55</v>
      </c>
      <c r="L66" s="112">
        <f t="shared" si="221"/>
        <v>47.4</v>
      </c>
      <c r="M66" s="112">
        <f t="shared" si="221"/>
        <v>53.047058823529412</v>
      </c>
      <c r="N66" s="112">
        <f t="shared" si="221"/>
        <v>65.423529411764704</v>
      </c>
      <c r="O66" s="112">
        <f t="shared" si="221"/>
        <v>63.72941176470588</v>
      </c>
      <c r="P66" s="112">
        <f t="shared" si="221"/>
        <v>77.905882352941177</v>
      </c>
      <c r="Q66" s="112">
        <f t="shared" si="221"/>
        <v>98.71764705882353</v>
      </c>
      <c r="R66" s="112">
        <f t="shared" si="221"/>
        <v>116.69411764705882</v>
      </c>
      <c r="S66" s="112">
        <f t="shared" ref="S66" si="222">S25/S57</f>
        <v>110.28235294117647</v>
      </c>
      <c r="T66" s="101">
        <f t="shared" ref="T66:T68" si="223">((S66/G66)^(1/($J$2-$J$1) ))-1</f>
        <v>-2.7701883778536107E-2</v>
      </c>
      <c r="U66" s="110"/>
      <c r="V66" s="135">
        <f t="shared" ref="V66:AE66" si="224">V25/V57</f>
        <v>124.33794694348326</v>
      </c>
      <c r="W66" s="135">
        <f t="shared" si="224"/>
        <v>140.18494018137818</v>
      </c>
      <c r="X66" s="135">
        <f t="shared" si="224"/>
        <v>158.05164824371067</v>
      </c>
      <c r="Y66" s="135">
        <f t="shared" si="224"/>
        <v>178.19548576496788</v>
      </c>
      <c r="Z66" s="135">
        <f t="shared" si="224"/>
        <v>200.90667512716962</v>
      </c>
      <c r="AA66" s="135">
        <f t="shared" si="224"/>
        <v>226.51242783945594</v>
      </c>
      <c r="AB66" s="135">
        <f t="shared" si="224"/>
        <v>255.38165883860225</v>
      </c>
      <c r="AC66" s="135">
        <f t="shared" si="224"/>
        <v>287.93030163175746</v>
      </c>
      <c r="AD66" s="135">
        <f t="shared" si="224"/>
        <v>324.6273008593343</v>
      </c>
      <c r="AE66" s="135">
        <f t="shared" si="224"/>
        <v>366.00136861591614</v>
      </c>
      <c r="AF66" s="116">
        <f t="shared" ref="AF66" si="225">((AE66/I66)^(1/($AE$3-$J$1) ))-1</f>
        <v>2.4298744304656728E-2</v>
      </c>
      <c r="AG66" s="21">
        <f t="shared" si="16"/>
        <v>0.05</v>
      </c>
      <c r="AH66" s="124">
        <f t="shared" ref="AH66:AH67" si="226">(AE66*(1+AG66))/($C$1-AG66)</f>
        <v>3843.01437046712</v>
      </c>
    </row>
    <row r="67" spans="2:34">
      <c r="B67" s="10" t="s">
        <v>254</v>
      </c>
      <c r="C67" s="112"/>
      <c r="D67" s="112"/>
      <c r="E67" s="112"/>
      <c r="F67" s="112"/>
      <c r="G67" s="112">
        <f t="shared" ref="G67:H67" si="227">G27/G57</f>
        <v>129.35393258426967</v>
      </c>
      <c r="H67" s="112">
        <f t="shared" si="227"/>
        <v>161.6</v>
      </c>
      <c r="I67" s="112">
        <f t="shared" ref="I67:R67" si="228">I27/I57</f>
        <v>189.2</v>
      </c>
      <c r="J67" s="112">
        <f t="shared" si="228"/>
        <v>26.28</v>
      </c>
      <c r="K67" s="112">
        <f t="shared" si="228"/>
        <v>36.3125</v>
      </c>
      <c r="L67" s="112">
        <f t="shared" si="228"/>
        <v>40.012500000000003</v>
      </c>
      <c r="M67" s="112">
        <f t="shared" si="228"/>
        <v>41.388235294117649</v>
      </c>
      <c r="N67" s="112">
        <f t="shared" si="228"/>
        <v>52.929411764705883</v>
      </c>
      <c r="O67" s="112">
        <f t="shared" si="228"/>
        <v>54.482352941176472</v>
      </c>
      <c r="P67" s="112">
        <f t="shared" si="228"/>
        <v>67.223529411764702</v>
      </c>
      <c r="Q67" s="112">
        <f t="shared" si="228"/>
        <v>87.71764705882353</v>
      </c>
      <c r="R67" s="112">
        <f t="shared" si="228"/>
        <v>104.55294117647058</v>
      </c>
      <c r="S67" s="112">
        <f t="shared" ref="S67" si="229">S27/S57</f>
        <v>96.28235294117647</v>
      </c>
      <c r="T67" s="101">
        <f t="shared" si="223"/>
        <v>-2.4305354730288609E-2</v>
      </c>
      <c r="U67" s="110"/>
      <c r="V67" s="135">
        <f t="shared" ref="V67:AE67" si="230">V27/V57</f>
        <v>108.55363321799305</v>
      </c>
      <c r="W67" s="135">
        <f t="shared" si="230"/>
        <v>122.38890019675689</v>
      </c>
      <c r="X67" s="135">
        <f t="shared" si="230"/>
        <v>137.98748551595136</v>
      </c>
      <c r="Y67" s="135">
        <f t="shared" si="230"/>
        <v>155.57412582680789</v>
      </c>
      <c r="Z67" s="135">
        <f t="shared" si="230"/>
        <v>175.40220068708732</v>
      </c>
      <c r="AA67" s="135">
        <f t="shared" si="230"/>
        <v>197.75738312759842</v>
      </c>
      <c r="AB67" s="135">
        <f t="shared" si="230"/>
        <v>222.96175548699821</v>
      </c>
      <c r="AC67" s="135">
        <f t="shared" si="230"/>
        <v>251.37844981377251</v>
      </c>
      <c r="AD67" s="135">
        <f t="shared" si="230"/>
        <v>283.41687969199836</v>
      </c>
      <c r="AE67" s="135">
        <f t="shared" si="230"/>
        <v>319.53863886842959</v>
      </c>
      <c r="AF67" s="116">
        <f t="shared" ref="AF67" si="231">((AE67/I67)^(1/($AE$3-$J$1) ))-1</f>
        <v>2.526988780796624E-2</v>
      </c>
      <c r="AG67" s="21">
        <f t="shared" si="16"/>
        <v>0.05</v>
      </c>
      <c r="AH67" s="124">
        <f t="shared" si="226"/>
        <v>3355.155708118511</v>
      </c>
    </row>
    <row r="68" spans="2:34">
      <c r="B68" s="10" t="s">
        <v>372</v>
      </c>
      <c r="C68" s="112"/>
      <c r="D68" s="112"/>
      <c r="E68" s="112"/>
      <c r="F68" s="112"/>
      <c r="G68" s="112">
        <f t="shared" ref="G68:H68" si="232">G53-G55</f>
        <v>37</v>
      </c>
      <c r="H68" s="112">
        <f t="shared" si="232"/>
        <v>38</v>
      </c>
      <c r="I68" s="112">
        <f>I53-I55</f>
        <v>51</v>
      </c>
      <c r="J68" s="112">
        <f t="shared" ref="J68:R68" si="233">J53-J55</f>
        <v>81</v>
      </c>
      <c r="K68" s="112">
        <f t="shared" si="233"/>
        <v>127</v>
      </c>
      <c r="L68" s="112">
        <f t="shared" si="233"/>
        <v>158</v>
      </c>
      <c r="M68" s="112">
        <f t="shared" si="233"/>
        <v>300</v>
      </c>
      <c r="N68" s="112">
        <f t="shared" si="233"/>
        <v>298</v>
      </c>
      <c r="O68" s="112">
        <f t="shared" si="233"/>
        <v>197</v>
      </c>
      <c r="P68" s="112">
        <f t="shared" si="233"/>
        <v>237</v>
      </c>
      <c r="Q68" s="112">
        <f t="shared" si="233"/>
        <v>240</v>
      </c>
      <c r="R68" s="112">
        <f t="shared" si="233"/>
        <v>258</v>
      </c>
      <c r="S68" s="112">
        <f t="shared" ref="S68" si="234">S53-S55</f>
        <v>292</v>
      </c>
      <c r="T68" s="101">
        <f t="shared" si="223"/>
        <v>0.18785955089834516</v>
      </c>
      <c r="U68" s="110"/>
      <c r="V68" s="112">
        <f t="shared" ref="V68:AE68" si="235">V53-V55</f>
        <v>335.79999999999984</v>
      </c>
      <c r="W68" s="112">
        <f t="shared" si="235"/>
        <v>386.16999999999985</v>
      </c>
      <c r="X68" s="112">
        <f t="shared" si="235"/>
        <v>444.09549999999967</v>
      </c>
      <c r="Y68" s="112">
        <f t="shared" si="235"/>
        <v>510.70982499999968</v>
      </c>
      <c r="Z68" s="112">
        <f t="shared" si="235"/>
        <v>587.31629874999953</v>
      </c>
      <c r="AA68" s="112">
        <f t="shared" si="235"/>
        <v>675.41374356249912</v>
      </c>
      <c r="AB68" s="112">
        <f t="shared" si="235"/>
        <v>776.72580509687418</v>
      </c>
      <c r="AC68" s="112">
        <f t="shared" si="235"/>
        <v>893.23467586140487</v>
      </c>
      <c r="AD68" s="112">
        <f t="shared" si="235"/>
        <v>1027.2198772406155</v>
      </c>
      <c r="AE68" s="112">
        <f t="shared" si="235"/>
        <v>1181.3028588267075</v>
      </c>
      <c r="AF68" s="116">
        <f t="shared" ref="AF68" si="236">((AE68/I68)^(1/($AE$3-$J$1) ))-1</f>
        <v>0.1614220081978337</v>
      </c>
      <c r="AG68" s="21">
        <f t="shared" si="16"/>
        <v>0.05</v>
      </c>
      <c r="AH68" s="124">
        <f t="shared" ref="AH68" si="237">(AE68*(1+AG68))/($C$1-AG68)</f>
        <v>12403.68001768043</v>
      </c>
    </row>
    <row r="69" spans="2:34">
      <c r="B69" s="10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0"/>
      <c r="U69" s="110"/>
      <c r="V69" s="135"/>
      <c r="W69" s="135"/>
      <c r="X69" s="135"/>
      <c r="Y69" s="135"/>
      <c r="Z69" s="135"/>
      <c r="AA69" s="135"/>
      <c r="AB69" s="135"/>
      <c r="AC69" s="135"/>
      <c r="AD69" s="135"/>
      <c r="AE69" s="135"/>
      <c r="AF69" s="102"/>
      <c r="AG69" s="115"/>
      <c r="AH69" s="124"/>
    </row>
    <row r="70" spans="2:34">
      <c r="B70" s="10" t="s">
        <v>405</v>
      </c>
      <c r="C70" s="112"/>
      <c r="D70" s="112"/>
      <c r="E70" s="112"/>
      <c r="F70" s="112"/>
      <c r="G70" s="15">
        <f t="shared" ref="G70:H70" si="238">G51/G57</f>
        <v>26.123595505617978</v>
      </c>
      <c r="H70" s="15">
        <f t="shared" si="238"/>
        <v>24.933333333333334</v>
      </c>
      <c r="I70" s="15">
        <f t="shared" ref="I70:R70" si="239">I51/I57</f>
        <v>30.533333333333335</v>
      </c>
      <c r="J70" s="15">
        <f t="shared" si="239"/>
        <v>4.2666666666666666</v>
      </c>
      <c r="K70" s="15">
        <f t="shared" si="239"/>
        <v>6.125</v>
      </c>
      <c r="L70" s="15">
        <f t="shared" si="239"/>
        <v>7.3125</v>
      </c>
      <c r="M70" s="15">
        <f t="shared" si="239"/>
        <v>11.564705882352941</v>
      </c>
      <c r="N70" s="15">
        <f t="shared" si="239"/>
        <v>11.305882352941177</v>
      </c>
      <c r="O70" s="15">
        <f t="shared" si="239"/>
        <v>8.764705882352942</v>
      </c>
      <c r="P70" s="15">
        <f t="shared" si="239"/>
        <v>10.023529411764706</v>
      </c>
      <c r="Q70" s="15">
        <f t="shared" si="239"/>
        <v>10.152941176470588</v>
      </c>
      <c r="R70" s="15">
        <f t="shared" si="239"/>
        <v>11.023529411764706</v>
      </c>
      <c r="S70" s="15">
        <f>S51/S57</f>
        <v>12.411764705882353</v>
      </c>
      <c r="T70" s="101">
        <f t="shared" ref="T70:T134" si="240">((S70/G70)^(1/($J$2-$J$1) ))-1</f>
        <v>-6.0132320302446862E-2</v>
      </c>
      <c r="U70" s="110"/>
      <c r="V70" s="96">
        <f>V51/V57</f>
        <v>13.993656286043828</v>
      </c>
      <c r="W70" s="96">
        <f t="shared" ref="W70:AE70" si="241">W51/W57</f>
        <v>15.777161498970983</v>
      </c>
      <c r="X70" s="96">
        <f t="shared" si="241"/>
        <v>17.787976199820225</v>
      </c>
      <c r="Y70" s="96">
        <f t="shared" si="241"/>
        <v>20.055071205679663</v>
      </c>
      <c r="Z70" s="96">
        <f t="shared" si="241"/>
        <v>22.611109692678053</v>
      </c>
      <c r="AA70" s="96">
        <f t="shared" si="241"/>
        <v>25.492917790764469</v>
      </c>
      <c r="AB70" s="96">
        <f t="shared" si="241"/>
        <v>28.742015156254055</v>
      </c>
      <c r="AC70" s="96">
        <f t="shared" si="241"/>
        <v>32.405213166364867</v>
      </c>
      <c r="AD70" s="96">
        <f t="shared" si="241"/>
        <v>36.535289354234898</v>
      </c>
      <c r="AE70" s="96">
        <f t="shared" si="241"/>
        <v>41.191747801343261</v>
      </c>
      <c r="AF70" s="116">
        <f t="shared" ref="AF70:AF71" si="242">((AE70/I70)^(1/($AE$3-$J$1) ))-1</f>
        <v>1.4360176330415308E-2</v>
      </c>
      <c r="AG70" s="21">
        <f t="shared" si="16"/>
        <v>0.05</v>
      </c>
      <c r="AH70" s="124">
        <f t="shared" ref="AH70:AH71" si="243">(AE70*(1+AG70))/($C$1-AG70)</f>
        <v>432.51335191410431</v>
      </c>
    </row>
    <row r="71" spans="2:34">
      <c r="B71" s="10" t="s">
        <v>406</v>
      </c>
      <c r="C71" s="112"/>
      <c r="D71" s="112"/>
      <c r="E71" s="112"/>
      <c r="F71" s="112"/>
      <c r="G71" s="15">
        <f t="shared" ref="G71:H71" si="244">G53/G57</f>
        <v>15.589887640449438</v>
      </c>
      <c r="H71" s="15">
        <f t="shared" si="244"/>
        <v>15.6</v>
      </c>
      <c r="I71" s="15">
        <f t="shared" ref="I71:R71" si="245">I53/I57</f>
        <v>20.533333333333335</v>
      </c>
      <c r="J71" s="15">
        <f t="shared" si="245"/>
        <v>3.1866666666666665</v>
      </c>
      <c r="K71" s="15">
        <f t="shared" si="245"/>
        <v>4.8624999999999998</v>
      </c>
      <c r="L71" s="15">
        <f t="shared" si="245"/>
        <v>5.65</v>
      </c>
      <c r="M71" s="15">
        <f t="shared" si="245"/>
        <v>10.364705882352942</v>
      </c>
      <c r="N71" s="15">
        <f t="shared" si="245"/>
        <v>11.258823529411766</v>
      </c>
      <c r="O71" s="15">
        <f t="shared" si="245"/>
        <v>7.7882352941176469</v>
      </c>
      <c r="P71" s="15">
        <f t="shared" si="245"/>
        <v>9.1411764705882348</v>
      </c>
      <c r="Q71" s="15">
        <f t="shared" si="245"/>
        <v>9.2470588235294109</v>
      </c>
      <c r="R71" s="15">
        <f t="shared" si="245"/>
        <v>10.282352941176471</v>
      </c>
      <c r="S71" s="15">
        <f>S53/S57</f>
        <v>11.858823529411765</v>
      </c>
      <c r="T71" s="101">
        <f t="shared" si="240"/>
        <v>-2.2537994546144469E-2</v>
      </c>
      <c r="U71" s="110"/>
      <c r="V71" s="96">
        <f>V53/V57</f>
        <v>13.370242214532869</v>
      </c>
      <c r="W71" s="96">
        <f t="shared" ref="W71:AE71" si="246">W53/W57</f>
        <v>15.074292692855686</v>
      </c>
      <c r="X71" s="96">
        <f t="shared" si="246"/>
        <v>16.995526075278466</v>
      </c>
      <c r="Y71" s="96">
        <f t="shared" si="246"/>
        <v>19.161622535853173</v>
      </c>
      <c r="Z71" s="96">
        <f t="shared" si="246"/>
        <v>21.603790113952101</v>
      </c>
      <c r="AA71" s="96">
        <f t="shared" si="246"/>
        <v>24.35721434416168</v>
      </c>
      <c r="AB71" s="96">
        <f t="shared" si="246"/>
        <v>27.461565191946992</v>
      </c>
      <c r="AC71" s="96">
        <f t="shared" si="246"/>
        <v>30.961568598763762</v>
      </c>
      <c r="AD71" s="96">
        <f t="shared" si="246"/>
        <v>34.907650871155219</v>
      </c>
      <c r="AE71" s="96">
        <f t="shared" si="246"/>
        <v>39.356665197871074</v>
      </c>
      <c r="AF71" s="116">
        <f t="shared" si="242"/>
        <v>3.1466630873601353E-2</v>
      </c>
      <c r="AG71" s="21">
        <f t="shared" si="16"/>
        <v>0.05</v>
      </c>
      <c r="AH71" s="124">
        <f t="shared" si="243"/>
        <v>413.24498457764628</v>
      </c>
    </row>
    <row r="72" spans="2:34">
      <c r="B72" s="10" t="s">
        <v>215</v>
      </c>
      <c r="C72" s="15"/>
      <c r="D72" s="15"/>
      <c r="E72" s="15"/>
      <c r="F72" s="15"/>
      <c r="G72" s="112">
        <f t="shared" ref="G72:H72" si="247">G55/G57</f>
        <v>10.393258426966291</v>
      </c>
      <c r="H72" s="112">
        <f t="shared" si="247"/>
        <v>10.533333333333333</v>
      </c>
      <c r="I72" s="112">
        <f t="shared" ref="I72:R72" si="248">I55/I57</f>
        <v>13.733333333333333</v>
      </c>
      <c r="J72" s="112">
        <f t="shared" si="248"/>
        <v>2.1066666666666665</v>
      </c>
      <c r="K72" s="112">
        <f t="shared" si="248"/>
        <v>3.2749999999999999</v>
      </c>
      <c r="L72" s="112">
        <f t="shared" si="248"/>
        <v>3.6749999999999998</v>
      </c>
      <c r="M72" s="112">
        <f t="shared" si="248"/>
        <v>6.8352941176470585</v>
      </c>
      <c r="N72" s="112">
        <f t="shared" si="248"/>
        <v>7.7529411764705882</v>
      </c>
      <c r="O72" s="112">
        <f t="shared" si="248"/>
        <v>5.4705882352941178</v>
      </c>
      <c r="P72" s="112">
        <f t="shared" si="248"/>
        <v>6.3529411764705879</v>
      </c>
      <c r="Q72" s="112">
        <f t="shared" si="248"/>
        <v>6.4235294117647062</v>
      </c>
      <c r="R72" s="112">
        <f t="shared" si="248"/>
        <v>7.2470588235294118</v>
      </c>
      <c r="S72" s="112">
        <f t="shared" ref="S72" si="249">S55/S57</f>
        <v>8.4235294117647062</v>
      </c>
      <c r="T72" s="101">
        <f t="shared" si="240"/>
        <v>-1.7358283350526249E-2</v>
      </c>
      <c r="U72" s="110"/>
      <c r="V72" s="135">
        <f t="shared" ref="V72:AE72" si="250">V55/V57</f>
        <v>9.4971164936562857</v>
      </c>
      <c r="W72" s="135">
        <f t="shared" si="250"/>
        <v>10.707533301671301</v>
      </c>
      <c r="X72" s="135">
        <f t="shared" si="250"/>
        <v>12.072218918550977</v>
      </c>
      <c r="Y72" s="135">
        <f t="shared" si="250"/>
        <v>13.610835055229041</v>
      </c>
      <c r="Z72" s="135">
        <f t="shared" si="250"/>
        <v>15.345549326973915</v>
      </c>
      <c r="AA72" s="135">
        <f t="shared" si="250"/>
        <v>17.301354633352943</v>
      </c>
      <c r="AB72" s="135">
        <f t="shared" si="250"/>
        <v>19.50642924348616</v>
      </c>
      <c r="AC72" s="135">
        <f t="shared" si="250"/>
        <v>21.992542774518711</v>
      </c>
      <c r="AD72" s="135">
        <f t="shared" si="250"/>
        <v>24.795513912447561</v>
      </c>
      <c r="AE72" s="135">
        <f t="shared" si="250"/>
        <v>27.955726469916367</v>
      </c>
      <c r="AF72" s="116">
        <f t="shared" ref="AF72:AF86" si="251">((AE72/I72)^(1/($AE$3-$J$1) ))-1</f>
        <v>3.442677532687588E-2</v>
      </c>
      <c r="AG72" s="21">
        <f t="shared" si="16"/>
        <v>0.05</v>
      </c>
      <c r="AH72" s="124">
        <f t="shared" ref="AH72:AH100" si="252">(AE72*(1+AG72))/($C$1-AG72)</f>
        <v>293.53512793412187</v>
      </c>
    </row>
    <row r="73" spans="2:34">
      <c r="B73" s="10" t="s">
        <v>333</v>
      </c>
      <c r="C73" s="112"/>
      <c r="D73" s="112"/>
      <c r="E73" s="112"/>
      <c r="F73" s="112"/>
      <c r="G73" s="112">
        <f t="shared" ref="G73:H73" si="253">G20/G57</f>
        <v>22.612359550561798</v>
      </c>
      <c r="H73" s="112">
        <f t="shared" si="253"/>
        <v>12.266666666666667</v>
      </c>
      <c r="I73" s="112">
        <f>I20/I57</f>
        <v>29.866666666666667</v>
      </c>
      <c r="J73" s="112">
        <f t="shared" ref="J73:R73" si="254">J20/J57</f>
        <v>2.5066666666666668</v>
      </c>
      <c r="K73" s="112">
        <f t="shared" si="254"/>
        <v>2.25</v>
      </c>
      <c r="L73" s="112">
        <f t="shared" si="254"/>
        <v>6.3</v>
      </c>
      <c r="M73" s="112">
        <f t="shared" si="254"/>
        <v>6.1647058823529415</v>
      </c>
      <c r="N73" s="112">
        <f t="shared" si="254"/>
        <v>4.6823529411764708</v>
      </c>
      <c r="O73" s="112">
        <f t="shared" si="254"/>
        <v>6</v>
      </c>
      <c r="P73" s="112">
        <f t="shared" si="254"/>
        <v>4.223529411764706</v>
      </c>
      <c r="Q73" s="112">
        <f t="shared" si="254"/>
        <v>7.6117647058823525</v>
      </c>
      <c r="R73" s="112">
        <f t="shared" si="254"/>
        <v>3.835294117647059</v>
      </c>
      <c r="S73" s="112">
        <f t="shared" ref="S73" si="255">S20/S57</f>
        <v>15.752941176470589</v>
      </c>
      <c r="T73" s="101">
        <f t="shared" si="240"/>
        <v>-2.9673302390111567E-2</v>
      </c>
      <c r="U73" s="110"/>
      <c r="V73" s="112">
        <f t="shared" ref="V73:AE73" si="256">V20/V57</f>
        <v>17.760668973471741</v>
      </c>
      <c r="W73" s="112">
        <f t="shared" si="256"/>
        <v>20.024283646561273</v>
      </c>
      <c r="X73" s="112">
        <f t="shared" si="256"/>
        <v>22.576398228966141</v>
      </c>
      <c r="Y73" s="112">
        <f t="shared" si="256"/>
        <v>25.453782316971626</v>
      </c>
      <c r="Z73" s="112">
        <f t="shared" si="256"/>
        <v>28.697891827958202</v>
      </c>
      <c r="AA73" s="112">
        <f t="shared" si="256"/>
        <v>32.355466276619538</v>
      </c>
      <c r="AB73" s="112">
        <f t="shared" si="256"/>
        <v>36.479202174620063</v>
      </c>
      <c r="AC73" s="112">
        <f t="shared" si="256"/>
        <v>41.128512255699093</v>
      </c>
      <c r="AD73" s="112">
        <f t="shared" si="256"/>
        <v>46.370381464758779</v>
      </c>
      <c r="AE73" s="112">
        <f t="shared" si="256"/>
        <v>52.280332043600573</v>
      </c>
      <c r="AF73" s="116">
        <f t="shared" ref="AF73" si="257">((AE73/I73)^(1/($AE$3-$J$1) ))-1</f>
        <v>2.7019398687524898E-2</v>
      </c>
      <c r="AG73" s="21">
        <f t="shared" si="16"/>
        <v>0.05</v>
      </c>
      <c r="AH73" s="124">
        <f t="shared" si="252"/>
        <v>548.9434864578061</v>
      </c>
    </row>
    <row r="74" spans="2:34">
      <c r="B74" s="10" t="s">
        <v>203</v>
      </c>
      <c r="C74" s="15"/>
      <c r="D74" s="15"/>
      <c r="E74" s="15"/>
      <c r="F74" s="15"/>
      <c r="G74" s="112">
        <f t="shared" ref="G74:H74" si="258">G7/G57</f>
        <v>57.162921348314605</v>
      </c>
      <c r="H74" s="112">
        <f t="shared" si="258"/>
        <v>66.400000000000006</v>
      </c>
      <c r="I74" s="112">
        <f t="shared" ref="I74:R74" si="259">I7/I57</f>
        <v>72.13333333333334</v>
      </c>
      <c r="J74" s="112">
        <f t="shared" si="259"/>
        <v>7.6133333333333333</v>
      </c>
      <c r="K74" s="112">
        <f t="shared" si="259"/>
        <v>10.574999999999999</v>
      </c>
      <c r="L74" s="112">
        <f t="shared" si="259"/>
        <v>12.4</v>
      </c>
      <c r="M74" s="112">
        <f t="shared" si="259"/>
        <v>22.541176470588237</v>
      </c>
      <c r="N74" s="112">
        <f t="shared" si="259"/>
        <v>28.058823529411764</v>
      </c>
      <c r="O74" s="112">
        <f t="shared" si="259"/>
        <v>31.611764705882354</v>
      </c>
      <c r="P74" s="112">
        <f t="shared" si="259"/>
        <v>36.223529411764709</v>
      </c>
      <c r="Q74" s="112">
        <f t="shared" si="259"/>
        <v>40.694117647058825</v>
      </c>
      <c r="R74" s="112">
        <f t="shared" si="259"/>
        <v>44.752941176470586</v>
      </c>
      <c r="S74" s="112">
        <f t="shared" ref="S74" si="260">S7/S57</f>
        <v>50.341176470588238</v>
      </c>
      <c r="T74" s="101">
        <f t="shared" si="240"/>
        <v>-1.0534296532571097E-2</v>
      </c>
      <c r="U74" s="110"/>
      <c r="V74" s="135">
        <f t="shared" ref="V74:AE74" si="261">V7/V57</f>
        <v>56.757208765859275</v>
      </c>
      <c r="W74" s="135">
        <f t="shared" si="261"/>
        <v>63.990970667390364</v>
      </c>
      <c r="X74" s="135">
        <f t="shared" si="261"/>
        <v>72.146682615195004</v>
      </c>
      <c r="Y74" s="135">
        <f t="shared" si="261"/>
        <v>81.341848046543376</v>
      </c>
      <c r="Z74" s="135">
        <f t="shared" si="261"/>
        <v>91.708946326985156</v>
      </c>
      <c r="AA74" s="135">
        <f t="shared" si="261"/>
        <v>103.39734144709111</v>
      </c>
      <c r="AB74" s="135">
        <f t="shared" si="261"/>
        <v>116.57543398446546</v>
      </c>
      <c r="AC74" s="135">
        <f t="shared" si="261"/>
        <v>131.43308733542673</v>
      </c>
      <c r="AD74" s="135">
        <f t="shared" si="261"/>
        <v>148.18436317229484</v>
      </c>
      <c r="AE74" s="135">
        <f t="shared" si="261"/>
        <v>167.07060553739123</v>
      </c>
      <c r="AF74" s="116">
        <f t="shared" si="251"/>
        <v>4.0805830472500082E-2</v>
      </c>
      <c r="AG74" s="21">
        <f t="shared" si="16"/>
        <v>0.05</v>
      </c>
      <c r="AH74" s="124">
        <f t="shared" si="252"/>
        <v>1754.2413581426083</v>
      </c>
    </row>
    <row r="75" spans="2:34">
      <c r="B75" s="10" t="s">
        <v>204</v>
      </c>
      <c r="C75" s="109"/>
      <c r="D75" s="109"/>
      <c r="E75" s="109"/>
      <c r="F75" s="109"/>
      <c r="G75" s="122">
        <f t="shared" ref="G75:H75" si="262">G6/G57</f>
        <v>38.342696629213485</v>
      </c>
      <c r="H75" s="122">
        <f t="shared" si="262"/>
        <v>48.93333333333333</v>
      </c>
      <c r="I75" s="122">
        <f t="shared" ref="I75:R75" si="263">I6/I57</f>
        <v>54.93333333333333</v>
      </c>
      <c r="J75" s="122">
        <f t="shared" si="263"/>
        <v>5.9866666666666664</v>
      </c>
      <c r="K75" s="122">
        <f t="shared" si="263"/>
        <v>9.0124999999999993</v>
      </c>
      <c r="L75" s="122">
        <f t="shared" si="263"/>
        <v>1.075</v>
      </c>
      <c r="M75" s="122">
        <f t="shared" si="263"/>
        <v>20.976470588235294</v>
      </c>
      <c r="N75" s="122">
        <f t="shared" si="263"/>
        <v>26.529411764705884</v>
      </c>
      <c r="O75" s="122">
        <f t="shared" si="263"/>
        <v>30.611764705882354</v>
      </c>
      <c r="P75" s="122">
        <f t="shared" si="263"/>
        <v>35.223529411764709</v>
      </c>
      <c r="Q75" s="122">
        <f t="shared" si="263"/>
        <v>39.694117647058825</v>
      </c>
      <c r="R75" s="122">
        <f t="shared" si="263"/>
        <v>43.752941176470586</v>
      </c>
      <c r="S75" s="122">
        <f t="shared" ref="S75" si="264">S6/S57</f>
        <v>49.352941176470587</v>
      </c>
      <c r="T75" s="101">
        <f t="shared" si="240"/>
        <v>2.1258926303996839E-2</v>
      </c>
      <c r="U75" s="110"/>
      <c r="V75" s="134">
        <f t="shared" ref="V75:AE75" si="265">V6/V57</f>
        <v>55.643021914648209</v>
      </c>
      <c r="W75" s="134">
        <f t="shared" si="265"/>
        <v>62.734779609652399</v>
      </c>
      <c r="X75" s="134">
        <f t="shared" si="265"/>
        <v>70.73038877558848</v>
      </c>
      <c r="Y75" s="134">
        <f t="shared" si="265"/>
        <v>79.745046168555632</v>
      </c>
      <c r="Z75" s="134">
        <f t="shared" si="265"/>
        <v>89.90863048415585</v>
      </c>
      <c r="AA75" s="134">
        <f t="shared" si="265"/>
        <v>101.36757358507766</v>
      </c>
      <c r="AB75" s="134">
        <f t="shared" si="265"/>
        <v>114.2869702184699</v>
      </c>
      <c r="AC75" s="134">
        <f t="shared" si="265"/>
        <v>128.85295661886312</v>
      </c>
      <c r="AD75" s="134">
        <f t="shared" si="265"/>
        <v>145.27539226636526</v>
      </c>
      <c r="AE75" s="134">
        <f t="shared" si="265"/>
        <v>163.79088343756871</v>
      </c>
      <c r="AF75" s="116">
        <f t="shared" si="251"/>
        <v>5.3399327579044975E-2</v>
      </c>
      <c r="AG75" s="21">
        <f t="shared" si="16"/>
        <v>0.05</v>
      </c>
      <c r="AH75" s="124">
        <f t="shared" si="252"/>
        <v>1719.8042760944718</v>
      </c>
    </row>
    <row r="76" spans="2:34">
      <c r="B76" s="10" t="s">
        <v>205</v>
      </c>
      <c r="C76" s="109"/>
      <c r="D76" s="109"/>
      <c r="E76" s="109"/>
      <c r="F76" s="109"/>
      <c r="G76" s="122">
        <f t="shared" ref="G76:H76" si="266">G10/G57</f>
        <v>28.511235955056179</v>
      </c>
      <c r="H76" s="122">
        <f t="shared" si="266"/>
        <v>39.733333333333334</v>
      </c>
      <c r="I76" s="122">
        <f t="shared" ref="I76:R76" si="267">I10/I57</f>
        <v>39.6</v>
      </c>
      <c r="J76" s="122">
        <f t="shared" si="267"/>
        <v>4.5466666666666669</v>
      </c>
      <c r="K76" s="122">
        <f t="shared" si="267"/>
        <v>4.7</v>
      </c>
      <c r="L76" s="122">
        <f t="shared" si="267"/>
        <v>4.5125000000000002</v>
      </c>
      <c r="M76" s="122">
        <f t="shared" si="267"/>
        <v>2.0470588235294116</v>
      </c>
      <c r="N76" s="122">
        <f t="shared" si="267"/>
        <v>1.223529411764706</v>
      </c>
      <c r="O76" s="122">
        <f t="shared" si="267"/>
        <v>0.31764705882352939</v>
      </c>
      <c r="P76" s="122">
        <f t="shared" si="267"/>
        <v>0.6</v>
      </c>
      <c r="Q76" s="122">
        <f t="shared" si="267"/>
        <v>0.16470588235294117</v>
      </c>
      <c r="R76" s="122">
        <f t="shared" si="267"/>
        <v>0.63529411764705879</v>
      </c>
      <c r="S76" s="122">
        <f t="shared" ref="S76" si="268">S10/S57</f>
        <v>1.3058823529411765</v>
      </c>
      <c r="T76" s="101">
        <f t="shared" si="240"/>
        <v>-0.22659436131910526</v>
      </c>
      <c r="U76" s="110"/>
      <c r="V76" s="134">
        <f t="shared" ref="V76:AE76" si="269">V10/V57</f>
        <v>1.4723183391003458</v>
      </c>
      <c r="W76" s="134">
        <f t="shared" si="269"/>
        <v>1.659966754868037</v>
      </c>
      <c r="X76" s="134">
        <f t="shared" si="269"/>
        <v>1.8715311451943553</v>
      </c>
      <c r="Y76" s="134">
        <f t="shared" si="269"/>
        <v>2.1100596244838319</v>
      </c>
      <c r="Z76" s="134">
        <f t="shared" si="269"/>
        <v>2.3789887923102024</v>
      </c>
      <c r="AA76" s="134">
        <f t="shared" si="269"/>
        <v>2.6821932462320905</v>
      </c>
      <c r="AB76" s="134">
        <f t="shared" si="269"/>
        <v>3.0240414050655922</v>
      </c>
      <c r="AC76" s="134">
        <f t="shared" si="269"/>
        <v>3.4094584468876774</v>
      </c>
      <c r="AD76" s="134">
        <f t="shared" si="269"/>
        <v>3.8439972685498316</v>
      </c>
      <c r="AE76" s="134">
        <f t="shared" si="269"/>
        <v>4.333918489051281</v>
      </c>
      <c r="AF76" s="116">
        <f t="shared" si="251"/>
        <v>-9.9990836831965635E-2</v>
      </c>
      <c r="AG76" s="21">
        <f t="shared" si="16"/>
        <v>0.05</v>
      </c>
      <c r="AH76" s="124">
        <f t="shared" si="252"/>
        <v>45.506144135038454</v>
      </c>
    </row>
    <row r="77" spans="2:34">
      <c r="B77" s="10"/>
      <c r="C77" s="109"/>
      <c r="D77" s="109"/>
      <c r="E77" s="109"/>
      <c r="F77" s="109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10"/>
      <c r="U77" s="110"/>
      <c r="V77" s="134"/>
      <c r="W77" s="134"/>
      <c r="X77" s="134"/>
      <c r="Y77" s="134"/>
      <c r="Z77" s="134"/>
      <c r="AA77" s="134"/>
      <c r="AB77" s="134"/>
      <c r="AC77" s="134"/>
      <c r="AD77" s="134"/>
      <c r="AE77" s="134"/>
      <c r="AF77" s="117"/>
      <c r="AG77" s="115"/>
      <c r="AH77" s="124"/>
    </row>
    <row r="78" spans="2:34">
      <c r="B78" s="10" t="s">
        <v>222</v>
      </c>
      <c r="C78" s="109"/>
      <c r="D78" s="109"/>
      <c r="E78" s="109"/>
      <c r="F78" s="109"/>
      <c r="G78" s="122">
        <f t="shared" ref="G78:H78" si="270">(G7-G10)/G57</f>
        <v>28.651685393258425</v>
      </c>
      <c r="H78" s="122">
        <f t="shared" si="270"/>
        <v>26.666666666666668</v>
      </c>
      <c r="I78" s="122">
        <f t="shared" ref="I78:R78" si="271">(I7-I10)/I57</f>
        <v>32.533333333333331</v>
      </c>
      <c r="J78" s="122">
        <f t="shared" si="271"/>
        <v>3.0666666666666669</v>
      </c>
      <c r="K78" s="122">
        <f t="shared" si="271"/>
        <v>5.875</v>
      </c>
      <c r="L78" s="122">
        <f t="shared" si="271"/>
        <v>7.8875000000000002</v>
      </c>
      <c r="M78" s="122">
        <f t="shared" si="271"/>
        <v>20.494117647058822</v>
      </c>
      <c r="N78" s="122">
        <f t="shared" si="271"/>
        <v>26.835294117647059</v>
      </c>
      <c r="O78" s="122">
        <f t="shared" si="271"/>
        <v>31.294117647058822</v>
      </c>
      <c r="P78" s="122">
        <f t="shared" si="271"/>
        <v>35.623529411764707</v>
      </c>
      <c r="Q78" s="122">
        <f t="shared" si="271"/>
        <v>40.529411764705884</v>
      </c>
      <c r="R78" s="122">
        <f t="shared" si="271"/>
        <v>44.117647058823529</v>
      </c>
      <c r="S78" s="122">
        <f t="shared" ref="S78" si="272">(S7-S10)/S57</f>
        <v>49.035294117647062</v>
      </c>
      <c r="T78" s="101">
        <f t="shared" si="240"/>
        <v>4.5794975401465265E-2</v>
      </c>
      <c r="U78" s="110"/>
      <c r="V78" s="134">
        <f t="shared" ref="V78:AE78" si="273">(V7-V10)/V57</f>
        <v>55.284890426758935</v>
      </c>
      <c r="W78" s="134">
        <f t="shared" si="273"/>
        <v>62.331003912522327</v>
      </c>
      <c r="X78" s="134">
        <f t="shared" si="273"/>
        <v>70.275151470000651</v>
      </c>
      <c r="Y78" s="134">
        <f t="shared" si="273"/>
        <v>79.231788422059537</v>
      </c>
      <c r="Z78" s="134">
        <f t="shared" si="273"/>
        <v>89.329957534674961</v>
      </c>
      <c r="AA78" s="134">
        <f t="shared" si="273"/>
        <v>100.71514820085903</v>
      </c>
      <c r="AB78" s="134">
        <f t="shared" si="273"/>
        <v>113.55139257939987</v>
      </c>
      <c r="AC78" s="134">
        <f t="shared" si="273"/>
        <v>128.02362888853906</v>
      </c>
      <c r="AD78" s="134">
        <f t="shared" si="273"/>
        <v>144.34036590374501</v>
      </c>
      <c r="AE78" s="134">
        <f t="shared" si="273"/>
        <v>162.73668704833995</v>
      </c>
      <c r="AF78" s="116">
        <f t="shared" si="251"/>
        <v>7.9675349845636401E-2</v>
      </c>
      <c r="AG78" s="21">
        <f t="shared" si="16"/>
        <v>0.05</v>
      </c>
      <c r="AH78" s="124">
        <f t="shared" si="252"/>
        <v>1708.7352140075695</v>
      </c>
    </row>
    <row r="79" spans="2:34">
      <c r="B79" s="10" t="s">
        <v>223</v>
      </c>
      <c r="C79" s="109"/>
      <c r="D79" s="109"/>
      <c r="E79" s="109"/>
      <c r="F79" s="109"/>
      <c r="G79" s="122">
        <f t="shared" ref="G79:H79" si="274">(G7-G10-G9)/G57</f>
        <v>-4.7752808988764048</v>
      </c>
      <c r="H79" s="122">
        <f t="shared" si="274"/>
        <v>-6.8</v>
      </c>
      <c r="I79" s="122">
        <f t="shared" ref="I79:R79" si="275">(I7-I10-I9)/I57</f>
        <v>-7.2</v>
      </c>
      <c r="J79" s="122">
        <f t="shared" si="275"/>
        <v>-2.2133333333333334</v>
      </c>
      <c r="K79" s="122">
        <f t="shared" si="275"/>
        <v>-1.2749999999999999</v>
      </c>
      <c r="L79" s="122">
        <f t="shared" si="275"/>
        <v>1.8</v>
      </c>
      <c r="M79" s="122">
        <f t="shared" si="275"/>
        <v>12.305882352941177</v>
      </c>
      <c r="N79" s="122">
        <f t="shared" si="275"/>
        <v>15.858823529411765</v>
      </c>
      <c r="O79" s="122">
        <f t="shared" si="275"/>
        <v>19.223529411764705</v>
      </c>
      <c r="P79" s="122">
        <f t="shared" si="275"/>
        <v>15.635294117647058</v>
      </c>
      <c r="Q79" s="122">
        <f t="shared" si="275"/>
        <v>21.329411764705881</v>
      </c>
      <c r="R79" s="122">
        <f t="shared" si="275"/>
        <v>24.752941176470589</v>
      </c>
      <c r="S79" s="122">
        <f t="shared" ref="S79" si="276">(S7-S10-S9)/S57</f>
        <v>26.588235294117649</v>
      </c>
      <c r="T79" s="101" t="e">
        <f t="shared" si="240"/>
        <v>#NUM!</v>
      </c>
      <c r="U79" s="110"/>
      <c r="V79" s="134">
        <f t="shared" ref="V79:AE79" si="277">(V7-V10-V9)/V57</f>
        <v>29.976931949250286</v>
      </c>
      <c r="W79" s="134">
        <f t="shared" si="277"/>
        <v>33.79752131533121</v>
      </c>
      <c r="X79" s="134">
        <f t="shared" si="277"/>
        <v>38.105048541794979</v>
      </c>
      <c r="Y79" s="134">
        <f t="shared" si="277"/>
        <v>42.961574336337463</v>
      </c>
      <c r="Z79" s="134">
        <f t="shared" si="277"/>
        <v>48.437069104694181</v>
      </c>
      <c r="AA79" s="134">
        <f t="shared" si="277"/>
        <v>54.610421049410128</v>
      </c>
      <c r="AB79" s="134">
        <f t="shared" si="277"/>
        <v>61.57057275178591</v>
      </c>
      <c r="AC79" s="134">
        <f t="shared" si="277"/>
        <v>69.417802612307653</v>
      </c>
      <c r="AD79" s="134">
        <f t="shared" si="277"/>
        <v>78.265169611915468</v>
      </c>
      <c r="AE79" s="134">
        <f t="shared" si="277"/>
        <v>88.240142209512541</v>
      </c>
      <c r="AF79" s="116">
        <f t="shared" si="251"/>
        <v>-2.1267444159579525</v>
      </c>
      <c r="AG79" s="21">
        <f t="shared" si="16"/>
        <v>0.05</v>
      </c>
      <c r="AH79" s="124">
        <f t="shared" si="252"/>
        <v>926.52149319988177</v>
      </c>
    </row>
    <row r="80" spans="2:34">
      <c r="B80" s="10" t="s">
        <v>228</v>
      </c>
      <c r="C80" s="109"/>
      <c r="D80" s="109"/>
      <c r="E80" s="109"/>
      <c r="F80" s="109"/>
      <c r="G80" s="122">
        <f t="shared" ref="G80:H80" si="278">(G7+G15-G10-G9)/G57</f>
        <v>46.91011235955056</v>
      </c>
      <c r="H80" s="122">
        <f t="shared" si="278"/>
        <v>51.466666666666669</v>
      </c>
      <c r="I80" s="122">
        <f t="shared" ref="I80:R80" si="279">(I7+I15-I10-I9)/I57</f>
        <v>53.866666666666667</v>
      </c>
      <c r="J80" s="122">
        <f t="shared" si="279"/>
        <v>5.8533333333333335</v>
      </c>
      <c r="K80" s="122">
        <f t="shared" si="279"/>
        <v>10.4625</v>
      </c>
      <c r="L80" s="122">
        <f t="shared" si="279"/>
        <v>12.137499999999999</v>
      </c>
      <c r="M80" s="122">
        <f t="shared" si="279"/>
        <v>25.482352941176469</v>
      </c>
      <c r="N80" s="122">
        <f t="shared" si="279"/>
        <v>33.858823529411765</v>
      </c>
      <c r="O80" s="122">
        <f t="shared" si="279"/>
        <v>38.635294117647057</v>
      </c>
      <c r="P80" s="122">
        <f t="shared" si="279"/>
        <v>41.741176470588236</v>
      </c>
      <c r="Q80" s="122">
        <f t="shared" si="279"/>
        <v>47.776470588235291</v>
      </c>
      <c r="R80" s="122">
        <f t="shared" si="279"/>
        <v>54.670588235294119</v>
      </c>
      <c r="S80" s="122">
        <f t="shared" ref="S80" si="280">(S7+S15-S10-S9)/S57</f>
        <v>53.2</v>
      </c>
      <c r="T80" s="101">
        <f t="shared" si="240"/>
        <v>1.0540592133454041E-2</v>
      </c>
      <c r="U80" s="110"/>
      <c r="V80" s="134">
        <f t="shared" ref="V80:AE80" si="281">(V7+V15-V10-V9)/V57</f>
        <v>59.980392156862749</v>
      </c>
      <c r="W80" s="134">
        <f t="shared" si="281"/>
        <v>67.624951941560909</v>
      </c>
      <c r="X80" s="134">
        <f t="shared" si="281"/>
        <v>76.243818365485353</v>
      </c>
      <c r="Y80" s="134">
        <f t="shared" si="281"/>
        <v>85.961167765007986</v>
      </c>
      <c r="Z80" s="134">
        <f t="shared" si="281"/>
        <v>96.917002872312892</v>
      </c>
      <c r="AA80" s="134">
        <f t="shared" si="281"/>
        <v>109.26916990505866</v>
      </c>
      <c r="AB80" s="134">
        <f t="shared" si="281"/>
        <v>123.19563273609555</v>
      </c>
      <c r="AC80" s="134">
        <f t="shared" si="281"/>
        <v>138.89703690834301</v>
      </c>
      <c r="AD80" s="134">
        <f t="shared" si="281"/>
        <v>156.59960043587694</v>
      </c>
      <c r="AE80" s="134">
        <f t="shared" si="281"/>
        <v>176.55837304044942</v>
      </c>
      <c r="AF80" s="116">
        <f t="shared" si="251"/>
        <v>5.815884732526011E-2</v>
      </c>
      <c r="AG80" s="21">
        <f t="shared" si="16"/>
        <v>0.05</v>
      </c>
      <c r="AH80" s="124">
        <f t="shared" si="252"/>
        <v>1853.8629169247192</v>
      </c>
    </row>
    <row r="81" spans="2:34">
      <c r="B81" s="10"/>
      <c r="C81" s="109"/>
      <c r="D81" s="109"/>
      <c r="E81" s="109"/>
      <c r="F81" s="109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10"/>
      <c r="U81" s="110"/>
      <c r="V81" s="131"/>
      <c r="W81" s="131"/>
      <c r="X81" s="131"/>
      <c r="Y81" s="131"/>
      <c r="Z81" s="131"/>
      <c r="AA81" s="131"/>
      <c r="AB81" s="131"/>
      <c r="AC81" s="131"/>
      <c r="AD81" s="131"/>
      <c r="AE81" s="131"/>
      <c r="AF81" s="117"/>
      <c r="AG81" s="115"/>
      <c r="AH81" s="131"/>
    </row>
    <row r="82" spans="2:34">
      <c r="B82" s="10" t="s">
        <v>206</v>
      </c>
      <c r="C82" s="109"/>
      <c r="D82" s="109"/>
      <c r="E82" s="109"/>
      <c r="F82" s="109"/>
      <c r="G82" s="122">
        <f t="shared" ref="G82:H82" si="282">G12/G57</f>
        <v>0.2808988764044944</v>
      </c>
      <c r="H82" s="122">
        <f t="shared" si="282"/>
        <v>4.9333333333333336</v>
      </c>
      <c r="I82" s="122">
        <f t="shared" ref="I82:R82" si="283">I12/I57</f>
        <v>6.2666666666666666</v>
      </c>
      <c r="J82" s="122">
        <f t="shared" si="283"/>
        <v>5.3333333333333337E-2</v>
      </c>
      <c r="K82" s="122">
        <f t="shared" si="283"/>
        <v>8.7499999999999994E-2</v>
      </c>
      <c r="L82" s="122">
        <f t="shared" si="283"/>
        <v>0.48749999999999999</v>
      </c>
      <c r="M82" s="122">
        <f t="shared" si="283"/>
        <v>0.35294117647058826</v>
      </c>
      <c r="N82" s="122">
        <f t="shared" si="283"/>
        <v>0.27058823529411763</v>
      </c>
      <c r="O82" s="122">
        <f t="shared" si="283"/>
        <v>0.74117647058823533</v>
      </c>
      <c r="P82" s="122">
        <f t="shared" si="283"/>
        <v>2.6</v>
      </c>
      <c r="Q82" s="122">
        <f t="shared" si="283"/>
        <v>3.3764705882352941</v>
      </c>
      <c r="R82" s="122">
        <f t="shared" si="283"/>
        <v>2.4352941176470586</v>
      </c>
      <c r="S82" s="122">
        <f t="shared" ref="S82" si="284">S12/S57</f>
        <v>3.4588235294117649</v>
      </c>
      <c r="T82" s="101">
        <f t="shared" si="240"/>
        <v>0.23272120558172182</v>
      </c>
      <c r="U82" s="110"/>
      <c r="V82" s="134">
        <f t="shared" ref="V82:AE82" si="285">V12/V57</f>
        <v>3.8996539792387539</v>
      </c>
      <c r="W82" s="134">
        <f t="shared" si="285"/>
        <v>4.3966687020829092</v>
      </c>
      <c r="X82" s="134">
        <f t="shared" si="285"/>
        <v>4.9570284386228867</v>
      </c>
      <c r="Y82" s="134">
        <f t="shared" si="285"/>
        <v>5.5888065729571759</v>
      </c>
      <c r="Z82" s="134">
        <f t="shared" si="285"/>
        <v>6.3011054499026979</v>
      </c>
      <c r="AA82" s="134">
        <f t="shared" si="285"/>
        <v>7.1041875170471593</v>
      </c>
      <c r="AB82" s="134">
        <f t="shared" si="285"/>
        <v>8.0096231809845406</v>
      </c>
      <c r="AC82" s="134">
        <f t="shared" si="285"/>
        <v>9.030457507972768</v>
      </c>
      <c r="AD82" s="134">
        <f t="shared" si="285"/>
        <v>10.181398170753608</v>
      </c>
      <c r="AE82" s="134">
        <f t="shared" si="285"/>
        <v>11.479027349379068</v>
      </c>
      <c r="AF82" s="116">
        <f t="shared" si="251"/>
        <v>2.9242112321138602E-2</v>
      </c>
      <c r="AG82" s="21">
        <f t="shared" si="16"/>
        <v>0.05</v>
      </c>
      <c r="AH82" s="124">
        <f t="shared" si="252"/>
        <v>120.52978716848023</v>
      </c>
    </row>
    <row r="83" spans="2:34">
      <c r="B83" s="10" t="s">
        <v>213</v>
      </c>
      <c r="C83" s="109"/>
      <c r="D83" s="109"/>
      <c r="E83" s="109"/>
      <c r="F83" s="109"/>
      <c r="G83" s="122">
        <f t="shared" ref="G83:H83" si="286">G13/G57</f>
        <v>1.1235955056179776</v>
      </c>
      <c r="H83" s="122">
        <f t="shared" si="286"/>
        <v>12.4</v>
      </c>
      <c r="I83" s="122">
        <f t="shared" ref="I83:R83" si="287">I13/I57</f>
        <v>30.4</v>
      </c>
      <c r="J83" s="122">
        <f t="shared" si="287"/>
        <v>3.1733333333333333</v>
      </c>
      <c r="K83" s="122">
        <f t="shared" si="287"/>
        <v>3.2</v>
      </c>
      <c r="L83" s="122">
        <f t="shared" si="287"/>
        <v>3.4375</v>
      </c>
      <c r="M83" s="122">
        <f t="shared" si="287"/>
        <v>10.31764705882353</v>
      </c>
      <c r="N83" s="122">
        <f t="shared" si="287"/>
        <v>10.129411764705882</v>
      </c>
      <c r="O83" s="122">
        <f t="shared" si="287"/>
        <v>11.68235294117647</v>
      </c>
      <c r="P83" s="122">
        <f t="shared" si="287"/>
        <v>80.341176470588238</v>
      </c>
      <c r="Q83" s="122">
        <f t="shared" si="287"/>
        <v>93.270588235294113</v>
      </c>
      <c r="R83" s="122">
        <f t="shared" si="287"/>
        <v>74.682352941176475</v>
      </c>
      <c r="S83" s="122">
        <f t="shared" ref="S83" si="288">S13/S57</f>
        <v>97.023529411764713</v>
      </c>
      <c r="T83" s="101">
        <f t="shared" si="240"/>
        <v>0.44995855800898754</v>
      </c>
      <c r="U83" s="110"/>
      <c r="V83" s="134">
        <f t="shared" ref="V83:AE83" si="289">V13/V57</f>
        <v>109.38927335640138</v>
      </c>
      <c r="W83" s="134">
        <f t="shared" si="289"/>
        <v>123.33104349006035</v>
      </c>
      <c r="X83" s="134">
        <f t="shared" si="289"/>
        <v>139.04970589565627</v>
      </c>
      <c r="Y83" s="134">
        <f t="shared" si="289"/>
        <v>156.77172723529873</v>
      </c>
      <c r="Z83" s="134">
        <f t="shared" si="289"/>
        <v>176.75243756920932</v>
      </c>
      <c r="AA83" s="134">
        <f t="shared" si="289"/>
        <v>199.27970902410854</v>
      </c>
      <c r="AB83" s="134">
        <f t="shared" si="289"/>
        <v>224.67810331149491</v>
      </c>
      <c r="AC83" s="134">
        <f t="shared" si="289"/>
        <v>253.31354785119524</v>
      </c>
      <c r="AD83" s="134">
        <f t="shared" si="289"/>
        <v>285.59860787144561</v>
      </c>
      <c r="AE83" s="134">
        <f t="shared" si="289"/>
        <v>321.99843044329646</v>
      </c>
      <c r="AF83" s="116">
        <f t="shared" si="251"/>
        <v>0.118944586722741</v>
      </c>
      <c r="AG83" s="21">
        <f t="shared" si="16"/>
        <v>0.05</v>
      </c>
      <c r="AH83" s="124">
        <f t="shared" si="252"/>
        <v>3380.9835196546132</v>
      </c>
    </row>
    <row r="84" spans="2:34">
      <c r="B84" s="10" t="s">
        <v>214</v>
      </c>
      <c r="C84" s="109"/>
      <c r="D84" s="109"/>
      <c r="E84" s="109"/>
      <c r="F84" s="109"/>
      <c r="G84" s="122">
        <f t="shared" ref="G84:H84" si="290">(G82+G83)</f>
        <v>1.404494382022472</v>
      </c>
      <c r="H84" s="122">
        <f t="shared" si="290"/>
        <v>17.333333333333336</v>
      </c>
      <c r="I84" s="122">
        <f t="shared" ref="I84:R84" si="291">(I82+I83)</f>
        <v>36.666666666666664</v>
      </c>
      <c r="J84" s="122">
        <f t="shared" si="291"/>
        <v>3.2266666666666666</v>
      </c>
      <c r="K84" s="122">
        <f t="shared" si="291"/>
        <v>3.2875000000000001</v>
      </c>
      <c r="L84" s="122">
        <f t="shared" si="291"/>
        <v>3.9249999999999998</v>
      </c>
      <c r="M84" s="122">
        <f t="shared" si="291"/>
        <v>10.670588235294119</v>
      </c>
      <c r="N84" s="122">
        <f t="shared" si="291"/>
        <v>10.4</v>
      </c>
      <c r="O84" s="122">
        <f t="shared" si="291"/>
        <v>12.423529411764704</v>
      </c>
      <c r="P84" s="122">
        <f t="shared" si="291"/>
        <v>82.941176470588232</v>
      </c>
      <c r="Q84" s="122">
        <f t="shared" ref="Q84" si="292">(Q82+Q83)</f>
        <v>96.647058823529406</v>
      </c>
      <c r="R84" s="122">
        <f t="shared" si="291"/>
        <v>77.117647058823536</v>
      </c>
      <c r="S84" s="122">
        <f t="shared" ref="S84" si="293">(S82+S83)</f>
        <v>100.48235294117647</v>
      </c>
      <c r="T84" s="101">
        <f t="shared" si="240"/>
        <v>0.42740588342516128</v>
      </c>
      <c r="U84" s="110"/>
      <c r="V84" s="134">
        <f t="shared" ref="V84:AE84" si="294">(V82+V83)</f>
        <v>113.28892733564012</v>
      </c>
      <c r="W84" s="134">
        <f t="shared" si="294"/>
        <v>127.72771219214326</v>
      </c>
      <c r="X84" s="134">
        <f t="shared" si="294"/>
        <v>144.00673433427917</v>
      </c>
      <c r="Y84" s="134">
        <f t="shared" si="294"/>
        <v>162.36053380825589</v>
      </c>
      <c r="Z84" s="134">
        <f t="shared" si="294"/>
        <v>183.05354301911203</v>
      </c>
      <c r="AA84" s="134">
        <f t="shared" si="294"/>
        <v>206.38389654115571</v>
      </c>
      <c r="AB84" s="134">
        <f t="shared" si="294"/>
        <v>232.68772649247944</v>
      </c>
      <c r="AC84" s="134">
        <f t="shared" si="294"/>
        <v>262.34400535916802</v>
      </c>
      <c r="AD84" s="134">
        <f t="shared" si="294"/>
        <v>295.7800060421992</v>
      </c>
      <c r="AE84" s="134">
        <f t="shared" si="294"/>
        <v>333.47745779267552</v>
      </c>
      <c r="AF84" s="116">
        <f t="shared" si="251"/>
        <v>0.1108538056865942</v>
      </c>
      <c r="AG84" s="21">
        <f t="shared" si="16"/>
        <v>0.05</v>
      </c>
      <c r="AH84" s="124">
        <f t="shared" si="252"/>
        <v>3501.5133068230934</v>
      </c>
    </row>
    <row r="85" spans="2:34">
      <c r="B85" s="10" t="s">
        <v>207</v>
      </c>
      <c r="C85" s="109"/>
      <c r="D85" s="109"/>
      <c r="E85" s="109"/>
      <c r="F85" s="109"/>
      <c r="G85" s="122">
        <f t="shared" ref="G85:H85" si="295">G15/G57</f>
        <v>51.685393258426963</v>
      </c>
      <c r="H85" s="122">
        <f t="shared" si="295"/>
        <v>58.266666666666666</v>
      </c>
      <c r="I85" s="122">
        <f t="shared" ref="I85:R85" si="296">I15/I57</f>
        <v>61.06666666666667</v>
      </c>
      <c r="J85" s="122">
        <f t="shared" si="296"/>
        <v>8.0666666666666664</v>
      </c>
      <c r="K85" s="122">
        <f t="shared" si="296"/>
        <v>11.737500000000001</v>
      </c>
      <c r="L85" s="122">
        <f t="shared" si="296"/>
        <v>10.3375</v>
      </c>
      <c r="M85" s="122">
        <f t="shared" si="296"/>
        <v>13.176470588235293</v>
      </c>
      <c r="N85" s="122">
        <f t="shared" si="296"/>
        <v>18</v>
      </c>
      <c r="O85" s="122">
        <f t="shared" si="296"/>
        <v>19.411764705882351</v>
      </c>
      <c r="P85" s="122">
        <f t="shared" si="296"/>
        <v>26.105882352941176</v>
      </c>
      <c r="Q85" s="122">
        <f t="shared" si="296"/>
        <v>26.44705882352941</v>
      </c>
      <c r="R85" s="122">
        <f t="shared" si="296"/>
        <v>29.91764705882353</v>
      </c>
      <c r="S85" s="122">
        <f t="shared" ref="S85" si="297">S15/S57</f>
        <v>26.611764705882354</v>
      </c>
      <c r="T85" s="101">
        <f t="shared" si="240"/>
        <v>-5.3816244784998579E-2</v>
      </c>
      <c r="U85" s="110"/>
      <c r="V85" s="134">
        <f t="shared" ref="V85:AE85" si="298">V15/V57</f>
        <v>30.003460207612452</v>
      </c>
      <c r="W85" s="134">
        <f t="shared" si="298"/>
        <v>33.827430626229727</v>
      </c>
      <c r="X85" s="134">
        <f t="shared" si="298"/>
        <v>38.138769823690374</v>
      </c>
      <c r="Y85" s="134">
        <f t="shared" si="298"/>
        <v>42.999593428670515</v>
      </c>
      <c r="Z85" s="134">
        <f t="shared" si="298"/>
        <v>48.479933767618711</v>
      </c>
      <c r="AA85" s="134">
        <f t="shared" si="298"/>
        <v>54.65874885564854</v>
      </c>
      <c r="AB85" s="134">
        <f t="shared" si="298"/>
        <v>61.625059984309623</v>
      </c>
      <c r="AC85" s="134">
        <f t="shared" si="298"/>
        <v>69.479234296035358</v>
      </c>
      <c r="AD85" s="134">
        <f t="shared" si="298"/>
        <v>78.334430823961426</v>
      </c>
      <c r="AE85" s="134">
        <f t="shared" si="298"/>
        <v>88.318230830936898</v>
      </c>
      <c r="AF85" s="116">
        <f t="shared" si="251"/>
        <v>1.7725763831607066E-2</v>
      </c>
      <c r="AG85" s="21">
        <f t="shared" si="16"/>
        <v>0.05</v>
      </c>
      <c r="AH85" s="124">
        <f t="shared" si="252"/>
        <v>927.34142372483757</v>
      </c>
    </row>
    <row r="86" spans="2:34">
      <c r="B86" s="10" t="s">
        <v>208</v>
      </c>
      <c r="C86" s="109"/>
      <c r="D86" s="109"/>
      <c r="E86" s="109"/>
      <c r="F86" s="109"/>
      <c r="G86" s="122">
        <f t="shared" ref="G86:H86" si="299">G16/G57</f>
        <v>16.151685393258425</v>
      </c>
      <c r="H86" s="122">
        <f t="shared" si="299"/>
        <v>27.2</v>
      </c>
      <c r="I86" s="122">
        <f t="shared" ref="I86:R86" si="300">I16/I57</f>
        <v>18.399999999999999</v>
      </c>
      <c r="J86" s="122">
        <f t="shared" si="300"/>
        <v>2.1466666666666665</v>
      </c>
      <c r="K86" s="122">
        <f t="shared" si="300"/>
        <v>3.95</v>
      </c>
      <c r="L86" s="122">
        <f t="shared" si="300"/>
        <v>3.7749999999999999</v>
      </c>
      <c r="M86" s="122">
        <f t="shared" si="300"/>
        <v>4.8588235294117643</v>
      </c>
      <c r="N86" s="122">
        <f t="shared" si="300"/>
        <v>7.0588235294117645</v>
      </c>
      <c r="O86" s="122">
        <f t="shared" si="300"/>
        <v>7.0823529411764703</v>
      </c>
      <c r="P86" s="122">
        <f t="shared" si="300"/>
        <v>9.7764705882352949</v>
      </c>
      <c r="Q86" s="122">
        <f t="shared" si="300"/>
        <v>11.282352941176471</v>
      </c>
      <c r="R86" s="122">
        <f t="shared" si="300"/>
        <v>43.576470588235296</v>
      </c>
      <c r="S86" s="122">
        <f t="shared" ref="S86" si="301">S16/S57</f>
        <v>31.28235294117647</v>
      </c>
      <c r="T86" s="101">
        <f t="shared" si="240"/>
        <v>5.6631281355788321E-2</v>
      </c>
      <c r="U86" s="110"/>
      <c r="V86" s="134">
        <f t="shared" ref="V86:AE86" si="302">V16/V57</f>
        <v>35.269319492502881</v>
      </c>
      <c r="W86" s="134">
        <f t="shared" si="302"/>
        <v>39.764428839586579</v>
      </c>
      <c r="X86" s="134">
        <f t="shared" si="302"/>
        <v>44.832444279926044</v>
      </c>
      <c r="Y86" s="134">
        <f t="shared" si="302"/>
        <v>50.546383256779365</v>
      </c>
      <c r="Z86" s="134">
        <f t="shared" si="302"/>
        <v>56.988569358133581</v>
      </c>
      <c r="AA86" s="134">
        <f t="shared" si="302"/>
        <v>64.251818393974133</v>
      </c>
      <c r="AB86" s="134">
        <f t="shared" si="302"/>
        <v>72.440775640264945</v>
      </c>
      <c r="AC86" s="134">
        <f t="shared" si="302"/>
        <v>81.673423515984993</v>
      </c>
      <c r="AD86" s="134">
        <f t="shared" si="302"/>
        <v>92.082781415081101</v>
      </c>
      <c r="AE86" s="134">
        <f t="shared" si="302"/>
        <v>103.81882218366985</v>
      </c>
      <c r="AF86" s="116">
        <f t="shared" si="251"/>
        <v>8.5884733380913847E-2</v>
      </c>
      <c r="AG86" s="115"/>
      <c r="AH86" s="124">
        <f t="shared" si="252"/>
        <v>692.12548122446572</v>
      </c>
    </row>
    <row r="87" spans="2:34">
      <c r="B87" s="10"/>
      <c r="C87" s="109"/>
      <c r="D87" s="109"/>
      <c r="E87" s="109"/>
      <c r="F87" s="109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10"/>
      <c r="U87" s="110"/>
      <c r="V87" s="131"/>
      <c r="W87" s="131"/>
      <c r="X87" s="131"/>
      <c r="Y87" s="131"/>
      <c r="Z87" s="131"/>
      <c r="AA87" s="131"/>
      <c r="AB87" s="131"/>
      <c r="AC87" s="131"/>
      <c r="AD87" s="131"/>
      <c r="AE87" s="131"/>
      <c r="AF87" s="117"/>
      <c r="AG87" s="21">
        <f t="shared" si="16"/>
        <v>0.05</v>
      </c>
      <c r="AH87" s="124">
        <f t="shared" si="252"/>
        <v>0</v>
      </c>
    </row>
    <row r="88" spans="2:34">
      <c r="B88" s="10" t="s">
        <v>233</v>
      </c>
      <c r="C88" s="136"/>
      <c r="D88" s="136"/>
      <c r="E88" s="136"/>
      <c r="F88" s="136"/>
      <c r="G88" s="136">
        <f t="shared" ref="G88:H88" si="303">G59</f>
        <v>4</v>
      </c>
      <c r="H88" s="136">
        <f t="shared" si="303"/>
        <v>2.5</v>
      </c>
      <c r="I88" s="136">
        <f t="shared" ref="I88:R88" si="304">I59</f>
        <v>3</v>
      </c>
      <c r="J88" s="136">
        <f t="shared" si="304"/>
        <v>0.35</v>
      </c>
      <c r="K88" s="136">
        <f t="shared" si="304"/>
        <v>0.4</v>
      </c>
      <c r="L88" s="136">
        <f t="shared" si="304"/>
        <v>0.6</v>
      </c>
      <c r="M88" s="136">
        <f t="shared" si="304"/>
        <v>1</v>
      </c>
      <c r="N88" s="136">
        <f t="shared" si="304"/>
        <v>1.5</v>
      </c>
      <c r="O88" s="136">
        <f t="shared" si="304"/>
        <v>1.5</v>
      </c>
      <c r="P88" s="136">
        <f t="shared" si="304"/>
        <v>1.6</v>
      </c>
      <c r="Q88" s="136">
        <f t="shared" si="304"/>
        <v>1.8</v>
      </c>
      <c r="R88" s="136">
        <f t="shared" si="304"/>
        <v>2.2000000000000002</v>
      </c>
      <c r="S88" s="136">
        <f t="shared" ref="S88" si="305">S59</f>
        <v>2.4</v>
      </c>
      <c r="T88" s="101">
        <f t="shared" si="240"/>
        <v>-4.1675471372851991E-2</v>
      </c>
      <c r="U88" s="110"/>
      <c r="V88" s="136">
        <f t="shared" ref="V88:AE88" si="306">V59</f>
        <v>2.52</v>
      </c>
      <c r="W88" s="136">
        <f t="shared" si="306"/>
        <v>2.6460000000000004</v>
      </c>
      <c r="X88" s="136">
        <f t="shared" si="306"/>
        <v>2.7783000000000007</v>
      </c>
      <c r="Y88" s="136">
        <f t="shared" si="306"/>
        <v>2.917215000000001</v>
      </c>
      <c r="Z88" s="136">
        <f t="shared" si="306"/>
        <v>3.0630757500000012</v>
      </c>
      <c r="AA88" s="136">
        <f t="shared" si="306"/>
        <v>3.2162295375000016</v>
      </c>
      <c r="AB88" s="136">
        <f t="shared" si="306"/>
        <v>3.3770410143750018</v>
      </c>
      <c r="AC88" s="136">
        <f t="shared" si="306"/>
        <v>3.5458930650937521</v>
      </c>
      <c r="AD88" s="136">
        <f t="shared" si="306"/>
        <v>3.7231877183484401</v>
      </c>
      <c r="AE88" s="136">
        <f t="shared" si="306"/>
        <v>3.9093471042658621</v>
      </c>
      <c r="AF88" s="116">
        <f t="shared" ref="AF88" si="307">((AE88/I88)^(1/($AE$3-$J$1) ))-1</f>
        <v>1.2687338045211272E-2</v>
      </c>
      <c r="AG88" s="21">
        <f t="shared" si="16"/>
        <v>0.05</v>
      </c>
      <c r="AH88" s="124">
        <f t="shared" si="252"/>
        <v>41.048144594791559</v>
      </c>
    </row>
    <row r="89" spans="2:34">
      <c r="B89" s="10"/>
      <c r="C89" s="109"/>
      <c r="D89" s="109"/>
      <c r="E89" s="109"/>
      <c r="F89" s="109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10"/>
      <c r="U89" s="110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17"/>
      <c r="AG89" s="115"/>
      <c r="AH89" s="131"/>
    </row>
    <row r="90" spans="2:34">
      <c r="B90" s="10" t="s">
        <v>263</v>
      </c>
      <c r="C90" s="109"/>
      <c r="D90" s="109"/>
      <c r="E90" s="109"/>
      <c r="F90" s="109"/>
      <c r="G90" s="122">
        <f t="shared" ref="G90:H90" si="308">G20+G21</f>
        <v>107</v>
      </c>
      <c r="H90" s="122">
        <f t="shared" si="308"/>
        <v>-66</v>
      </c>
      <c r="I90" s="122">
        <f t="shared" ref="I90:R90" si="309">I20+I21</f>
        <v>31</v>
      </c>
      <c r="J90" s="122">
        <f t="shared" si="309"/>
        <v>-1</v>
      </c>
      <c r="K90" s="122">
        <f t="shared" si="309"/>
        <v>-112</v>
      </c>
      <c r="L90" s="122">
        <f t="shared" si="309"/>
        <v>185</v>
      </c>
      <c r="M90" s="122">
        <f t="shared" si="309"/>
        <v>-246</v>
      </c>
      <c r="N90" s="122">
        <f t="shared" si="309"/>
        <v>214</v>
      </c>
      <c r="O90" s="122">
        <f t="shared" si="309"/>
        <v>187</v>
      </c>
      <c r="P90" s="122">
        <f t="shared" si="309"/>
        <v>179</v>
      </c>
      <c r="Q90" s="122">
        <f t="shared" si="309"/>
        <v>213</v>
      </c>
      <c r="R90" s="122">
        <f t="shared" si="309"/>
        <v>111</v>
      </c>
      <c r="S90" s="122">
        <f t="shared" ref="S90" si="310">S20+S21</f>
        <v>194</v>
      </c>
      <c r="T90" s="101">
        <f t="shared" si="240"/>
        <v>5.0835725937796727E-2</v>
      </c>
      <c r="U90" s="110"/>
      <c r="V90" s="122">
        <f t="shared" ref="V90:AE90" si="311">V20+V21</f>
        <v>223.09999999999991</v>
      </c>
      <c r="W90" s="122">
        <f t="shared" si="311"/>
        <v>256.56499999999983</v>
      </c>
      <c r="X90" s="122">
        <f t="shared" si="311"/>
        <v>295.0497499999999</v>
      </c>
      <c r="Y90" s="122">
        <f t="shared" si="311"/>
        <v>339.30721249999988</v>
      </c>
      <c r="Z90" s="122">
        <f t="shared" si="311"/>
        <v>390.20329437500004</v>
      </c>
      <c r="AA90" s="122">
        <f t="shared" si="311"/>
        <v>448.73378853124996</v>
      </c>
      <c r="AB90" s="122">
        <f t="shared" si="311"/>
        <v>516.04385681093754</v>
      </c>
      <c r="AC90" s="122">
        <f t="shared" si="311"/>
        <v>593.45043533257831</v>
      </c>
      <c r="AD90" s="122">
        <f t="shared" si="311"/>
        <v>682.46800063246474</v>
      </c>
      <c r="AE90" s="122">
        <f t="shared" si="311"/>
        <v>784.83820072733397</v>
      </c>
      <c r="AF90" s="116">
        <f t="shared" ref="AF90:AF95" si="312">((AE90/I90)^(1/($AE$3-$J$1) ))-1</f>
        <v>0.16635149268839711</v>
      </c>
      <c r="AG90" s="21">
        <f t="shared" si="16"/>
        <v>0.05</v>
      </c>
      <c r="AH90" s="124">
        <f t="shared" si="252"/>
        <v>8240.8011076370076</v>
      </c>
    </row>
    <row r="91" spans="2:34">
      <c r="B91" s="10"/>
      <c r="C91" s="109"/>
      <c r="D91" s="109"/>
      <c r="E91" s="109"/>
      <c r="F91" s="109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10"/>
      <c r="U91" s="110"/>
      <c r="V91" s="124"/>
      <c r="W91" s="124"/>
      <c r="X91" s="124"/>
      <c r="Y91" s="124"/>
      <c r="Z91" s="124"/>
      <c r="AA91" s="124"/>
      <c r="AB91" s="124"/>
      <c r="AC91" s="124"/>
      <c r="AD91" s="124"/>
      <c r="AE91" s="124"/>
      <c r="AF91" s="117"/>
      <c r="AG91" s="115"/>
      <c r="AH91" s="124"/>
    </row>
    <row r="92" spans="2:34">
      <c r="B92" s="10" t="s">
        <v>264</v>
      </c>
      <c r="C92" s="109"/>
      <c r="D92" s="109"/>
      <c r="E92" s="109"/>
      <c r="F92" s="109"/>
      <c r="G92" s="122">
        <f t="shared" ref="G92:H92" si="313">G90/G57</f>
        <v>15.02808988764045</v>
      </c>
      <c r="H92" s="122">
        <f t="shared" si="313"/>
        <v>-8.8000000000000007</v>
      </c>
      <c r="I92" s="122">
        <f t="shared" ref="I92:R92" si="314">I90/I57</f>
        <v>4.1333333333333337</v>
      </c>
      <c r="J92" s="122">
        <f t="shared" si="314"/>
        <v>-1.3333333333333334E-2</v>
      </c>
      <c r="K92" s="122">
        <f t="shared" si="314"/>
        <v>-1.4</v>
      </c>
      <c r="L92" s="122">
        <f t="shared" si="314"/>
        <v>2.3125</v>
      </c>
      <c r="M92" s="122">
        <f t="shared" si="314"/>
        <v>-2.8941176470588235</v>
      </c>
      <c r="N92" s="122">
        <f t="shared" si="314"/>
        <v>2.5176470588235293</v>
      </c>
      <c r="O92" s="122">
        <f t="shared" si="314"/>
        <v>2.2000000000000002</v>
      </c>
      <c r="P92" s="122">
        <f t="shared" si="314"/>
        <v>2.1058823529411765</v>
      </c>
      <c r="Q92" s="122">
        <f t="shared" si="314"/>
        <v>2.5058823529411764</v>
      </c>
      <c r="R92" s="122">
        <f t="shared" si="314"/>
        <v>1.3058823529411765</v>
      </c>
      <c r="S92" s="122">
        <f t="shared" ref="S92" si="315">S90/S57</f>
        <v>2.2823529411764705</v>
      </c>
      <c r="T92" s="101">
        <f t="shared" si="240"/>
        <v>-0.14534680926557664</v>
      </c>
      <c r="U92" s="110"/>
      <c r="V92" s="124">
        <f t="shared" ref="V92:AE92" si="316">V90/V57</f>
        <v>2.5732410611303336</v>
      </c>
      <c r="W92" s="124">
        <f t="shared" si="316"/>
        <v>2.9012031571567478</v>
      </c>
      <c r="X92" s="124">
        <f t="shared" si="316"/>
        <v>3.2709643438531972</v>
      </c>
      <c r="Y92" s="124">
        <f t="shared" si="316"/>
        <v>3.6878519563050749</v>
      </c>
      <c r="Z92" s="124">
        <f t="shared" si="316"/>
        <v>4.1578723036772924</v>
      </c>
      <c r="AA92" s="124">
        <f t="shared" si="316"/>
        <v>4.6877972051263574</v>
      </c>
      <c r="AB92" s="124">
        <f t="shared" si="316"/>
        <v>5.2852615547993258</v>
      </c>
      <c r="AC92" s="124">
        <f t="shared" si="316"/>
        <v>5.9588733215874772</v>
      </c>
      <c r="AD92" s="124">
        <f t="shared" si="316"/>
        <v>6.718337568456465</v>
      </c>
      <c r="AE92" s="124">
        <f t="shared" si="316"/>
        <v>7.5745962781616969</v>
      </c>
      <c r="AF92" s="116">
        <f t="shared" si="312"/>
        <v>2.9263618263213553E-2</v>
      </c>
      <c r="AG92" s="21">
        <f t="shared" si="16"/>
        <v>0.05</v>
      </c>
      <c r="AH92" s="124">
        <f t="shared" si="252"/>
        <v>79.533260920697828</v>
      </c>
    </row>
    <row r="93" spans="2:34">
      <c r="B93" s="10" t="s">
        <v>237</v>
      </c>
      <c r="C93" s="109"/>
      <c r="D93" s="109"/>
      <c r="E93" s="109"/>
      <c r="F93" s="109"/>
      <c r="G93" s="122">
        <f t="shared" ref="G93:H93" si="317">G20/G57</f>
        <v>22.612359550561798</v>
      </c>
      <c r="H93" s="122">
        <f t="shared" si="317"/>
        <v>12.266666666666667</v>
      </c>
      <c r="I93" s="122">
        <f t="shared" ref="I93:R93" si="318">I20/I57</f>
        <v>29.866666666666667</v>
      </c>
      <c r="J93" s="122">
        <f t="shared" si="318"/>
        <v>2.5066666666666668</v>
      </c>
      <c r="K93" s="122">
        <f t="shared" si="318"/>
        <v>2.25</v>
      </c>
      <c r="L93" s="122">
        <f t="shared" si="318"/>
        <v>6.3</v>
      </c>
      <c r="M93" s="122">
        <f t="shared" si="318"/>
        <v>6.1647058823529415</v>
      </c>
      <c r="N93" s="122">
        <f t="shared" si="318"/>
        <v>4.6823529411764708</v>
      </c>
      <c r="O93" s="122">
        <f t="shared" si="318"/>
        <v>6</v>
      </c>
      <c r="P93" s="122">
        <f t="shared" si="318"/>
        <v>4.223529411764706</v>
      </c>
      <c r="Q93" s="122">
        <f t="shared" si="318"/>
        <v>7.6117647058823525</v>
      </c>
      <c r="R93" s="122">
        <f t="shared" si="318"/>
        <v>3.835294117647059</v>
      </c>
      <c r="S93" s="122">
        <f t="shared" ref="S93" si="319">S20/S57</f>
        <v>15.752941176470589</v>
      </c>
      <c r="T93" s="101">
        <f t="shared" si="240"/>
        <v>-2.9673302390111567E-2</v>
      </c>
      <c r="U93" s="110"/>
      <c r="V93" s="124">
        <f t="shared" ref="V93:AE93" si="320">V20/V57</f>
        <v>17.760668973471741</v>
      </c>
      <c r="W93" s="124">
        <f t="shared" si="320"/>
        <v>20.024283646561273</v>
      </c>
      <c r="X93" s="124">
        <f t="shared" si="320"/>
        <v>22.576398228966141</v>
      </c>
      <c r="Y93" s="124">
        <f t="shared" si="320"/>
        <v>25.453782316971626</v>
      </c>
      <c r="Z93" s="124">
        <f t="shared" si="320"/>
        <v>28.697891827958202</v>
      </c>
      <c r="AA93" s="124">
        <f t="shared" si="320"/>
        <v>32.355466276619538</v>
      </c>
      <c r="AB93" s="124">
        <f t="shared" si="320"/>
        <v>36.479202174620063</v>
      </c>
      <c r="AC93" s="124">
        <f t="shared" si="320"/>
        <v>41.128512255699093</v>
      </c>
      <c r="AD93" s="124">
        <f t="shared" si="320"/>
        <v>46.370381464758779</v>
      </c>
      <c r="AE93" s="124">
        <f t="shared" si="320"/>
        <v>52.280332043600573</v>
      </c>
      <c r="AF93" s="116">
        <f t="shared" si="312"/>
        <v>2.7019398687524898E-2</v>
      </c>
      <c r="AG93" s="21">
        <f t="shared" si="16"/>
        <v>0.05</v>
      </c>
      <c r="AH93" s="124">
        <f t="shared" si="252"/>
        <v>548.9434864578061</v>
      </c>
    </row>
    <row r="94" spans="2:34">
      <c r="B94" s="10" t="s">
        <v>238</v>
      </c>
      <c r="C94" s="109"/>
      <c r="D94" s="109"/>
      <c r="E94" s="109"/>
      <c r="F94" s="109"/>
      <c r="G94" s="122">
        <f t="shared" ref="G94:H94" si="321">G21/G57</f>
        <v>-7.584269662921348</v>
      </c>
      <c r="H94" s="122">
        <f t="shared" si="321"/>
        <v>-21.066666666666666</v>
      </c>
      <c r="I94" s="122">
        <f t="shared" ref="I94:R94" si="322">I21/I57</f>
        <v>-25.733333333333334</v>
      </c>
      <c r="J94" s="122">
        <f t="shared" si="322"/>
        <v>-2.52</v>
      </c>
      <c r="K94" s="122">
        <f t="shared" si="322"/>
        <v>-3.65</v>
      </c>
      <c r="L94" s="122">
        <f t="shared" si="322"/>
        <v>-3.9874999999999998</v>
      </c>
      <c r="M94" s="122">
        <f t="shared" si="322"/>
        <v>-9.0588235294117645</v>
      </c>
      <c r="N94" s="122">
        <f t="shared" si="322"/>
        <v>-2.164705882352941</v>
      </c>
      <c r="O94" s="122">
        <f t="shared" si="322"/>
        <v>-3.8</v>
      </c>
      <c r="P94" s="122">
        <f t="shared" si="322"/>
        <v>-2.1176470588235294</v>
      </c>
      <c r="Q94" s="122">
        <f t="shared" si="322"/>
        <v>-5.1058823529411761</v>
      </c>
      <c r="R94" s="122">
        <f t="shared" si="322"/>
        <v>-2.5294117647058822</v>
      </c>
      <c r="S94" s="122">
        <f t="shared" ref="S94" si="323">S21/S57</f>
        <v>-13.470588235294118</v>
      </c>
      <c r="T94" s="101">
        <f t="shared" si="240"/>
        <v>4.9033602227481543E-2</v>
      </c>
      <c r="U94" s="110"/>
      <c r="V94" s="124">
        <f t="shared" ref="V94:AE94" si="324">V21/V57</f>
        <v>-15.187427912341407</v>
      </c>
      <c r="W94" s="124">
        <f t="shared" si="324"/>
        <v>-17.123080489404526</v>
      </c>
      <c r="X94" s="124">
        <f t="shared" si="324"/>
        <v>-19.305433885112944</v>
      </c>
      <c r="Y94" s="124">
        <f t="shared" si="324"/>
        <v>-21.765930360666552</v>
      </c>
      <c r="Z94" s="124">
        <f t="shared" si="324"/>
        <v>-24.540019524280911</v>
      </c>
      <c r="AA94" s="124">
        <f t="shared" si="324"/>
        <v>-27.667669071493183</v>
      </c>
      <c r="AB94" s="124">
        <f t="shared" si="324"/>
        <v>-31.19394061982074</v>
      </c>
      <c r="AC94" s="124">
        <f t="shared" si="324"/>
        <v>-35.169638934111617</v>
      </c>
      <c r="AD94" s="124">
        <f t="shared" si="324"/>
        <v>-39.65204389630231</v>
      </c>
      <c r="AE94" s="124">
        <f t="shared" si="324"/>
        <v>-44.705735765438881</v>
      </c>
      <c r="AF94" s="116">
        <f t="shared" si="312"/>
        <v>2.6649612763259389E-2</v>
      </c>
      <c r="AG94" s="21">
        <f t="shared" si="16"/>
        <v>0.05</v>
      </c>
      <c r="AH94" s="124">
        <f t="shared" si="252"/>
        <v>-469.41022553710832</v>
      </c>
    </row>
    <row r="95" spans="2:34">
      <c r="B95" s="10" t="s">
        <v>239</v>
      </c>
      <c r="C95" s="109"/>
      <c r="D95" s="109"/>
      <c r="E95" s="109"/>
      <c r="F95" s="109"/>
      <c r="G95" s="122">
        <f t="shared" ref="G95:H95" si="325">G22/G57</f>
        <v>-15.168539325842696</v>
      </c>
      <c r="H95" s="122">
        <f t="shared" si="325"/>
        <v>13.6</v>
      </c>
      <c r="I95" s="122">
        <f t="shared" ref="I95:R95" si="326">I22/I57</f>
        <v>-6.5333333333333332</v>
      </c>
      <c r="J95" s="122">
        <f t="shared" si="326"/>
        <v>-0.2</v>
      </c>
      <c r="K95" s="122">
        <f t="shared" si="326"/>
        <v>1.3875</v>
      </c>
      <c r="L95" s="122">
        <f t="shared" si="326"/>
        <v>1.925</v>
      </c>
      <c r="M95" s="122">
        <f t="shared" si="326"/>
        <v>2.5176470588235293</v>
      </c>
      <c r="N95" s="122">
        <f t="shared" si="326"/>
        <v>-2.3647058823529412</v>
      </c>
      <c r="O95" s="122">
        <f t="shared" si="326"/>
        <v>-1.6941176470588235</v>
      </c>
      <c r="P95" s="122">
        <f t="shared" si="326"/>
        <v>-1.9058823529411764</v>
      </c>
      <c r="Q95" s="122">
        <f t="shared" si="326"/>
        <v>-1.9764705882352942</v>
      </c>
      <c r="R95" s="122">
        <f t="shared" si="326"/>
        <v>-2.3764705882352941</v>
      </c>
      <c r="S95" s="122">
        <f t="shared" ref="S95" si="327">S22/S57</f>
        <v>-1.7647058823529411</v>
      </c>
      <c r="T95" s="101">
        <f t="shared" si="240"/>
        <v>-0.16411978139307737</v>
      </c>
      <c r="U95" s="110"/>
      <c r="V95" s="124">
        <f t="shared" ref="V95:AE95" si="328">V22/V57</f>
        <v>-1.9896193771626296</v>
      </c>
      <c r="W95" s="124">
        <f t="shared" si="328"/>
        <v>-2.2431983173892394</v>
      </c>
      <c r="X95" s="124">
        <f t="shared" si="328"/>
        <v>-2.5290961421545339</v>
      </c>
      <c r="Y95" s="124">
        <f t="shared" si="328"/>
        <v>-2.8514319249781508</v>
      </c>
      <c r="Z95" s="124">
        <f t="shared" si="328"/>
        <v>-3.2148497193381114</v>
      </c>
      <c r="AA95" s="124">
        <f t="shared" si="328"/>
        <v>-3.6245854678812037</v>
      </c>
      <c r="AB95" s="124">
        <f t="shared" si="328"/>
        <v>-4.0865424392778271</v>
      </c>
      <c r="AC95" s="124">
        <f t="shared" si="328"/>
        <v>-4.6073762795779425</v>
      </c>
      <c r="AD95" s="124">
        <f t="shared" si="328"/>
        <v>-5.1945909034457181</v>
      </c>
      <c r="AE95" s="124">
        <f t="shared" si="328"/>
        <v>-5.8566466068260548</v>
      </c>
      <c r="AF95" s="116">
        <f t="shared" si="312"/>
        <v>-5.19313969636781E-3</v>
      </c>
      <c r="AG95" s="21">
        <f t="shared" si="16"/>
        <v>0.05</v>
      </c>
      <c r="AH95" s="124">
        <f t="shared" si="252"/>
        <v>-61.494789371673583</v>
      </c>
    </row>
    <row r="96" spans="2:34">
      <c r="B96" s="10" t="s">
        <v>246</v>
      </c>
      <c r="C96" s="109"/>
      <c r="D96" s="109"/>
      <c r="E96" s="109"/>
      <c r="F96" s="109"/>
      <c r="G96" s="122">
        <f t="shared" ref="G96:H96" si="329">G23/G57</f>
        <v>0.16853932584269662</v>
      </c>
      <c r="H96" s="122">
        <f t="shared" si="329"/>
        <v>4.8</v>
      </c>
      <c r="I96" s="122">
        <f t="shared" ref="I96:R96" si="330">I23/I57</f>
        <v>2.2666666666666666</v>
      </c>
      <c r="J96" s="122">
        <f t="shared" si="330"/>
        <v>0.02</v>
      </c>
      <c r="K96" s="122">
        <f t="shared" si="330"/>
        <v>2.1249999999999998E-2</v>
      </c>
      <c r="L96" s="122">
        <f t="shared" si="330"/>
        <v>0.42499999999999999</v>
      </c>
      <c r="M96" s="122">
        <f t="shared" si="330"/>
        <v>3.5294117647058823E-2</v>
      </c>
      <c r="N96" s="122">
        <f t="shared" si="330"/>
        <v>0.17647058823529413</v>
      </c>
      <c r="O96" s="122">
        <f t="shared" si="330"/>
        <v>0.68235294117647061</v>
      </c>
      <c r="P96" s="122">
        <f t="shared" si="330"/>
        <v>0.88235294117647056</v>
      </c>
      <c r="Q96" s="122">
        <f t="shared" si="330"/>
        <v>1.411764705882353</v>
      </c>
      <c r="R96" s="122">
        <f t="shared" si="330"/>
        <v>0.35294117647058826</v>
      </c>
      <c r="S96" s="122">
        <f t="shared" ref="S96" si="331">S23/S57</f>
        <v>0.87058823529411766</v>
      </c>
      <c r="T96" s="101">
        <f t="shared" si="240"/>
        <v>0.14663702693354352</v>
      </c>
      <c r="U96" s="110"/>
      <c r="V96" s="124">
        <f t="shared" ref="V96:AE96" si="332">V23/V57</f>
        <v>0.98154555940023058</v>
      </c>
      <c r="W96" s="124">
        <f t="shared" si="332"/>
        <v>1.106644503245358</v>
      </c>
      <c r="X96" s="124">
        <f t="shared" si="332"/>
        <v>1.24768743012957</v>
      </c>
      <c r="Y96" s="124">
        <f t="shared" si="332"/>
        <v>1.4067064163225544</v>
      </c>
      <c r="Z96" s="124">
        <f t="shared" si="332"/>
        <v>1.5859925282068015</v>
      </c>
      <c r="AA96" s="124">
        <f t="shared" si="332"/>
        <v>1.7881288308213936</v>
      </c>
      <c r="AB96" s="124">
        <f t="shared" si="332"/>
        <v>2.0160276033770614</v>
      </c>
      <c r="AC96" s="124">
        <f t="shared" si="332"/>
        <v>2.2729722979251181</v>
      </c>
      <c r="AD96" s="124">
        <f t="shared" si="332"/>
        <v>2.5626648456998873</v>
      </c>
      <c r="AE96" s="124">
        <f t="shared" si="332"/>
        <v>2.8892789927008535</v>
      </c>
      <c r="AF96" s="116">
        <f t="shared" ref="AF96" si="333">((AE96/I96)^(1/($AE$3-$J$1) ))-1</f>
        <v>1.1624023950053353E-2</v>
      </c>
      <c r="AG96" s="21">
        <f t="shared" si="16"/>
        <v>0.05</v>
      </c>
      <c r="AH96" s="124">
        <f t="shared" si="252"/>
        <v>30.337429423358962</v>
      </c>
    </row>
    <row r="97" spans="2:34">
      <c r="B97" s="10"/>
      <c r="C97" s="109"/>
      <c r="D97" s="109"/>
      <c r="E97" s="109"/>
      <c r="F97" s="109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10"/>
      <c r="U97" s="110"/>
      <c r="V97" s="102"/>
      <c r="W97" s="102"/>
      <c r="X97" s="102"/>
      <c r="Y97" s="102"/>
      <c r="Z97" s="102"/>
      <c r="AA97" s="102"/>
      <c r="AB97" s="102"/>
      <c r="AC97" s="102"/>
      <c r="AD97" s="102"/>
      <c r="AE97" s="102"/>
      <c r="AF97" s="117"/>
      <c r="AG97" s="115"/>
      <c r="AH97" s="131"/>
    </row>
    <row r="98" spans="2:34">
      <c r="B98" s="10" t="s">
        <v>437</v>
      </c>
      <c r="C98" s="122"/>
      <c r="D98" s="122"/>
      <c r="E98" s="122"/>
      <c r="F98" s="122"/>
      <c r="G98" s="122">
        <f t="shared" ref="G98:H98" si="334">G51/G57</f>
        <v>26.123595505617978</v>
      </c>
      <c r="H98" s="122">
        <f t="shared" si="334"/>
        <v>24.933333333333334</v>
      </c>
      <c r="I98" s="122">
        <f t="shared" ref="I98:R98" si="335">I51/I57</f>
        <v>30.533333333333335</v>
      </c>
      <c r="J98" s="122">
        <f t="shared" si="335"/>
        <v>4.2666666666666666</v>
      </c>
      <c r="K98" s="122">
        <f t="shared" si="335"/>
        <v>6.125</v>
      </c>
      <c r="L98" s="122">
        <f t="shared" si="335"/>
        <v>7.3125</v>
      </c>
      <c r="M98" s="122">
        <f t="shared" si="335"/>
        <v>11.564705882352941</v>
      </c>
      <c r="N98" s="122">
        <f t="shared" si="335"/>
        <v>11.305882352941177</v>
      </c>
      <c r="O98" s="122">
        <f t="shared" si="335"/>
        <v>8.764705882352942</v>
      </c>
      <c r="P98" s="122">
        <f t="shared" si="335"/>
        <v>10.023529411764706</v>
      </c>
      <c r="Q98" s="122">
        <f t="shared" si="335"/>
        <v>10.152941176470588</v>
      </c>
      <c r="R98" s="122">
        <f t="shared" si="335"/>
        <v>11.023529411764706</v>
      </c>
      <c r="S98" s="122">
        <f t="shared" ref="S98" si="336">S51/S57</f>
        <v>12.411764705882353</v>
      </c>
      <c r="T98" s="101">
        <f t="shared" si="240"/>
        <v>-6.0132320302446862E-2</v>
      </c>
      <c r="U98" s="110"/>
      <c r="V98" s="122">
        <f t="shared" ref="V98:AE98" si="337">V51/V57</f>
        <v>13.993656286043828</v>
      </c>
      <c r="W98" s="122">
        <f t="shared" si="337"/>
        <v>15.777161498970983</v>
      </c>
      <c r="X98" s="122">
        <f t="shared" si="337"/>
        <v>17.787976199820225</v>
      </c>
      <c r="Y98" s="122">
        <f t="shared" si="337"/>
        <v>20.055071205679663</v>
      </c>
      <c r="Z98" s="122">
        <f t="shared" si="337"/>
        <v>22.611109692678053</v>
      </c>
      <c r="AA98" s="122">
        <f t="shared" si="337"/>
        <v>25.492917790764469</v>
      </c>
      <c r="AB98" s="122">
        <f t="shared" si="337"/>
        <v>28.742015156254055</v>
      </c>
      <c r="AC98" s="122">
        <f t="shared" si="337"/>
        <v>32.405213166364867</v>
      </c>
      <c r="AD98" s="122">
        <f t="shared" si="337"/>
        <v>36.535289354234898</v>
      </c>
      <c r="AE98" s="122">
        <f t="shared" si="337"/>
        <v>41.191747801343261</v>
      </c>
      <c r="AF98" s="116">
        <f t="shared" ref="AF98:AF100" si="338">((AE98/I98)^(1/($AE$3-$J$1) ))-1</f>
        <v>1.4360176330415308E-2</v>
      </c>
      <c r="AG98" s="21">
        <f t="shared" si="16"/>
        <v>0.05</v>
      </c>
      <c r="AH98" s="124">
        <f t="shared" si="252"/>
        <v>432.51335191410431</v>
      </c>
    </row>
    <row r="99" spans="2:34">
      <c r="B99" s="10" t="s">
        <v>438</v>
      </c>
      <c r="C99" s="122"/>
      <c r="D99" s="122"/>
      <c r="E99" s="122"/>
      <c r="F99" s="122"/>
      <c r="G99" s="122">
        <f t="shared" ref="G99:H99" si="339">G55/G57</f>
        <v>10.393258426966291</v>
      </c>
      <c r="H99" s="122">
        <f t="shared" si="339"/>
        <v>10.533333333333333</v>
      </c>
      <c r="I99" s="122">
        <f t="shared" ref="I99:R99" si="340">I55/I57</f>
        <v>13.733333333333333</v>
      </c>
      <c r="J99" s="122">
        <f t="shared" si="340"/>
        <v>2.1066666666666665</v>
      </c>
      <c r="K99" s="122">
        <f t="shared" si="340"/>
        <v>3.2749999999999999</v>
      </c>
      <c r="L99" s="122">
        <f t="shared" si="340"/>
        <v>3.6749999999999998</v>
      </c>
      <c r="M99" s="122">
        <f t="shared" si="340"/>
        <v>6.8352941176470585</v>
      </c>
      <c r="N99" s="122">
        <f t="shared" si="340"/>
        <v>7.7529411764705882</v>
      </c>
      <c r="O99" s="122">
        <f t="shared" si="340"/>
        <v>5.4705882352941178</v>
      </c>
      <c r="P99" s="122">
        <f t="shared" si="340"/>
        <v>6.3529411764705879</v>
      </c>
      <c r="Q99" s="122">
        <f t="shared" si="340"/>
        <v>6.4235294117647062</v>
      </c>
      <c r="R99" s="122">
        <f t="shared" si="340"/>
        <v>7.2470588235294118</v>
      </c>
      <c r="S99" s="122">
        <f t="shared" ref="S99" si="341">S55/S57</f>
        <v>8.4235294117647062</v>
      </c>
      <c r="T99" s="101">
        <f t="shared" si="240"/>
        <v>-1.7358283350526249E-2</v>
      </c>
      <c r="U99" s="110"/>
      <c r="V99" s="122">
        <f t="shared" ref="V99:AE99" si="342">V55/V57</f>
        <v>9.4971164936562857</v>
      </c>
      <c r="W99" s="122">
        <f t="shared" si="342"/>
        <v>10.707533301671301</v>
      </c>
      <c r="X99" s="122">
        <f t="shared" si="342"/>
        <v>12.072218918550977</v>
      </c>
      <c r="Y99" s="122">
        <f t="shared" si="342"/>
        <v>13.610835055229041</v>
      </c>
      <c r="Z99" s="122">
        <f t="shared" si="342"/>
        <v>15.345549326973915</v>
      </c>
      <c r="AA99" s="122">
        <f t="shared" si="342"/>
        <v>17.301354633352943</v>
      </c>
      <c r="AB99" s="122">
        <f t="shared" si="342"/>
        <v>19.50642924348616</v>
      </c>
      <c r="AC99" s="122">
        <f t="shared" si="342"/>
        <v>21.992542774518711</v>
      </c>
      <c r="AD99" s="122">
        <f t="shared" si="342"/>
        <v>24.795513912447561</v>
      </c>
      <c r="AE99" s="122">
        <f t="shared" si="342"/>
        <v>27.955726469916367</v>
      </c>
      <c r="AF99" s="116">
        <f t="shared" si="338"/>
        <v>3.442677532687588E-2</v>
      </c>
      <c r="AG99" s="21">
        <f t="shared" si="16"/>
        <v>0.05</v>
      </c>
      <c r="AH99" s="124">
        <f t="shared" si="252"/>
        <v>293.53512793412187</v>
      </c>
    </row>
    <row r="100" spans="2:34">
      <c r="B100" s="10" t="s">
        <v>260</v>
      </c>
      <c r="C100" s="122"/>
      <c r="D100" s="122"/>
      <c r="E100" s="122"/>
      <c r="F100" s="122"/>
      <c r="G100" s="122">
        <f t="shared" ref="G100:H100" si="343">G6/G57</f>
        <v>38.342696629213485</v>
      </c>
      <c r="H100" s="122">
        <f t="shared" si="343"/>
        <v>48.93333333333333</v>
      </c>
      <c r="I100" s="122">
        <f t="shared" ref="I100:R100" si="344">I6/I57</f>
        <v>54.93333333333333</v>
      </c>
      <c r="J100" s="122">
        <f t="shared" si="344"/>
        <v>5.9866666666666664</v>
      </c>
      <c r="K100" s="122">
        <f t="shared" si="344"/>
        <v>9.0124999999999993</v>
      </c>
      <c r="L100" s="122">
        <f t="shared" si="344"/>
        <v>1.075</v>
      </c>
      <c r="M100" s="122">
        <f t="shared" si="344"/>
        <v>20.976470588235294</v>
      </c>
      <c r="N100" s="122">
        <f t="shared" si="344"/>
        <v>26.529411764705884</v>
      </c>
      <c r="O100" s="122">
        <f t="shared" si="344"/>
        <v>30.611764705882354</v>
      </c>
      <c r="P100" s="122">
        <f t="shared" si="344"/>
        <v>35.223529411764709</v>
      </c>
      <c r="Q100" s="122">
        <f t="shared" si="344"/>
        <v>39.694117647058825</v>
      </c>
      <c r="R100" s="122">
        <f t="shared" si="344"/>
        <v>43.752941176470586</v>
      </c>
      <c r="S100" s="122">
        <f t="shared" ref="S100" si="345">S6/S57</f>
        <v>49.352941176470587</v>
      </c>
      <c r="T100" s="101">
        <f t="shared" si="240"/>
        <v>2.1258926303996839E-2</v>
      </c>
      <c r="U100" s="110"/>
      <c r="V100" s="122">
        <f t="shared" ref="V100:AE100" si="346">V6/V57</f>
        <v>55.643021914648209</v>
      </c>
      <c r="W100" s="122">
        <f t="shared" si="346"/>
        <v>62.734779609652399</v>
      </c>
      <c r="X100" s="122">
        <f t="shared" si="346"/>
        <v>70.73038877558848</v>
      </c>
      <c r="Y100" s="122">
        <f t="shared" si="346"/>
        <v>79.745046168555632</v>
      </c>
      <c r="Z100" s="122">
        <f t="shared" si="346"/>
        <v>89.90863048415585</v>
      </c>
      <c r="AA100" s="122">
        <f t="shared" si="346"/>
        <v>101.36757358507766</v>
      </c>
      <c r="AB100" s="122">
        <f t="shared" si="346"/>
        <v>114.2869702184699</v>
      </c>
      <c r="AC100" s="122">
        <f t="shared" si="346"/>
        <v>128.85295661886312</v>
      </c>
      <c r="AD100" s="122">
        <f t="shared" si="346"/>
        <v>145.27539226636526</v>
      </c>
      <c r="AE100" s="122">
        <f t="shared" si="346"/>
        <v>163.79088343756871</v>
      </c>
      <c r="AF100" s="116">
        <f t="shared" si="338"/>
        <v>5.3399327579044975E-2</v>
      </c>
      <c r="AG100" s="21">
        <f t="shared" ref="AG100" si="347">$N$1</f>
        <v>0.05</v>
      </c>
      <c r="AH100" s="124">
        <f t="shared" si="252"/>
        <v>1719.8042760944718</v>
      </c>
    </row>
    <row r="101" spans="2:34">
      <c r="B101" s="10"/>
      <c r="C101" s="109"/>
      <c r="D101" s="109"/>
      <c r="E101" s="109"/>
      <c r="F101" s="109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10"/>
      <c r="U101" s="110"/>
      <c r="V101" s="102"/>
      <c r="W101" s="102"/>
      <c r="X101" s="102"/>
      <c r="Y101" s="102"/>
      <c r="Z101" s="102"/>
      <c r="AA101" s="102"/>
      <c r="AB101" s="102"/>
      <c r="AC101" s="102"/>
      <c r="AD101" s="102"/>
      <c r="AE101" s="102"/>
      <c r="AF101" s="117"/>
      <c r="AG101" s="10"/>
      <c r="AH101" s="131"/>
    </row>
    <row r="102" spans="2:34">
      <c r="B102" s="10" t="s">
        <v>410</v>
      </c>
      <c r="C102" s="109"/>
      <c r="D102" s="109"/>
      <c r="E102" s="109"/>
      <c r="F102" s="109"/>
      <c r="G102" s="122">
        <f t="shared" ref="G102:H102" si="348">G55/$S$57</f>
        <v>0.87058823529411766</v>
      </c>
      <c r="H102" s="122">
        <f t="shared" si="348"/>
        <v>0.92941176470588238</v>
      </c>
      <c r="I102" s="122">
        <f t="shared" ref="I102:S102" si="349">I55/$S$57</f>
        <v>1.2117647058823529</v>
      </c>
      <c r="J102" s="122">
        <f t="shared" si="349"/>
        <v>1.8588235294117648</v>
      </c>
      <c r="K102" s="122">
        <f t="shared" si="349"/>
        <v>3.0823529411764707</v>
      </c>
      <c r="L102" s="122">
        <f t="shared" si="349"/>
        <v>3.4588235294117649</v>
      </c>
      <c r="M102" s="122">
        <f t="shared" si="349"/>
        <v>6.8352941176470585</v>
      </c>
      <c r="N102" s="122">
        <f t="shared" si="349"/>
        <v>7.7529411764705882</v>
      </c>
      <c r="O102" s="122">
        <f t="shared" si="349"/>
        <v>5.4705882352941178</v>
      </c>
      <c r="P102" s="122">
        <f t="shared" si="349"/>
        <v>6.3529411764705879</v>
      </c>
      <c r="Q102" s="122">
        <f t="shared" si="349"/>
        <v>6.4235294117647062</v>
      </c>
      <c r="R102" s="122">
        <f t="shared" si="349"/>
        <v>7.2470588235294118</v>
      </c>
      <c r="S102" s="122">
        <f t="shared" si="349"/>
        <v>8.4235294117647062</v>
      </c>
      <c r="T102" s="101">
        <f t="shared" si="240"/>
        <v>0.20820355302807636</v>
      </c>
      <c r="U102" s="110"/>
      <c r="V102" s="122">
        <f t="shared" ref="V102:AE102" si="350">V55/V57</f>
        <v>9.4971164936562857</v>
      </c>
      <c r="W102" s="122">
        <f t="shared" si="350"/>
        <v>10.707533301671301</v>
      </c>
      <c r="X102" s="122">
        <f t="shared" si="350"/>
        <v>12.072218918550977</v>
      </c>
      <c r="Y102" s="122">
        <f t="shared" si="350"/>
        <v>13.610835055229041</v>
      </c>
      <c r="Z102" s="122">
        <f t="shared" si="350"/>
        <v>15.345549326973915</v>
      </c>
      <c r="AA102" s="122">
        <f t="shared" si="350"/>
        <v>17.301354633352943</v>
      </c>
      <c r="AB102" s="122">
        <f t="shared" si="350"/>
        <v>19.50642924348616</v>
      </c>
      <c r="AC102" s="122">
        <f t="shared" si="350"/>
        <v>21.992542774518711</v>
      </c>
      <c r="AD102" s="122">
        <f t="shared" si="350"/>
        <v>24.795513912447561</v>
      </c>
      <c r="AE102" s="122">
        <f t="shared" si="350"/>
        <v>27.955726469916367</v>
      </c>
      <c r="AF102" s="117"/>
      <c r="AG102" s="10"/>
      <c r="AH102" s="131"/>
    </row>
    <row r="103" spans="2:34">
      <c r="B103" s="10"/>
      <c r="C103" s="109"/>
      <c r="D103" s="109"/>
      <c r="E103" s="109"/>
      <c r="F103" s="109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10"/>
      <c r="U103" s="110"/>
      <c r="V103" s="102"/>
      <c r="W103" s="102"/>
      <c r="X103" s="102"/>
      <c r="Y103" s="102"/>
      <c r="Z103" s="102"/>
      <c r="AA103" s="102"/>
      <c r="AB103" s="102"/>
      <c r="AC103" s="102"/>
      <c r="AD103" s="102"/>
      <c r="AE103" s="102"/>
      <c r="AF103" s="117"/>
      <c r="AG103" s="10"/>
      <c r="AH103" s="131"/>
    </row>
    <row r="104" spans="2:34">
      <c r="B104" s="93" t="s">
        <v>259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</row>
    <row r="105" spans="2:34">
      <c r="B105" s="10" t="s">
        <v>258</v>
      </c>
      <c r="C105" s="129"/>
      <c r="D105" s="129"/>
      <c r="E105" s="129"/>
      <c r="F105" s="129"/>
      <c r="G105" s="129">
        <f t="shared" ref="G105:H105" si="351">G51/G25</f>
        <v>0.1690909090909091</v>
      </c>
      <c r="H105" s="129">
        <f t="shared" si="351"/>
        <v>0.13357142857142856</v>
      </c>
      <c r="I105" s="129">
        <f t="shared" ref="I105:R105" si="352">I51/I25</f>
        <v>0.13811821471652594</v>
      </c>
      <c r="J105" s="129">
        <f t="shared" si="352"/>
        <v>0.13919095258808178</v>
      </c>
      <c r="K105" s="129">
        <f t="shared" si="352"/>
        <v>0.14394829612220916</v>
      </c>
      <c r="L105" s="129">
        <f t="shared" si="352"/>
        <v>0.15427215189873417</v>
      </c>
      <c r="M105" s="129">
        <f t="shared" si="352"/>
        <v>0.21800842758926592</v>
      </c>
      <c r="N105" s="129">
        <f t="shared" si="352"/>
        <v>0.17281064556734399</v>
      </c>
      <c r="O105" s="129">
        <f t="shared" si="352"/>
        <v>0.13752999815395975</v>
      </c>
      <c r="P105" s="129">
        <f t="shared" si="352"/>
        <v>0.12866203563877981</v>
      </c>
      <c r="Q105" s="129">
        <f t="shared" si="352"/>
        <v>0.10284828983434632</v>
      </c>
      <c r="R105" s="129">
        <f t="shared" si="352"/>
        <v>9.4465167859663274E-2</v>
      </c>
      <c r="S105" s="129">
        <f t="shared" ref="S105" si="353">S51/S25</f>
        <v>0.11254533816940474</v>
      </c>
      <c r="T105" s="101">
        <f t="shared" si="240"/>
        <v>-3.3354416698801903E-2</v>
      </c>
      <c r="U105" s="129"/>
      <c r="V105" s="129">
        <f t="shared" ref="V105:AE105" si="354">V51/V25</f>
        <v>0.11254533816940475</v>
      </c>
      <c r="W105" s="129">
        <f t="shared" si="354"/>
        <v>0.11254533816940475</v>
      </c>
      <c r="X105" s="129">
        <f t="shared" si="354"/>
        <v>0.11254533816940476</v>
      </c>
      <c r="Y105" s="129">
        <f t="shared" si="354"/>
        <v>0.11254533816940478</v>
      </c>
      <c r="Z105" s="129">
        <f t="shared" si="354"/>
        <v>0.11254533816940479</v>
      </c>
      <c r="AA105" s="129">
        <f t="shared" si="354"/>
        <v>0.11254533816940479</v>
      </c>
      <c r="AB105" s="129">
        <f t="shared" si="354"/>
        <v>0.1125453381694048</v>
      </c>
      <c r="AC105" s="129">
        <f t="shared" si="354"/>
        <v>0.1125453381694048</v>
      </c>
      <c r="AD105" s="129">
        <f t="shared" si="354"/>
        <v>0.11254533816940482</v>
      </c>
      <c r="AE105" s="129">
        <f t="shared" si="354"/>
        <v>0.11254533816940482</v>
      </c>
      <c r="AF105" s="116">
        <f t="shared" ref="AF105:AF154" si="355">((AE105/I105)^(1/($AE$3-$J$1) ))-1</f>
        <v>-9.7028020677584204E-3</v>
      </c>
      <c r="AG105" s="124"/>
      <c r="AH105" s="124"/>
    </row>
    <row r="106" spans="2:34">
      <c r="B106" s="10" t="s">
        <v>220</v>
      </c>
      <c r="C106" s="129"/>
      <c r="D106" s="129"/>
      <c r="E106" s="129"/>
      <c r="F106" s="129"/>
      <c r="G106" s="129">
        <f t="shared" ref="G106:H106" si="356">G55/G25</f>
        <v>6.7272727272727276E-2</v>
      </c>
      <c r="H106" s="129">
        <f t="shared" si="356"/>
        <v>5.6428571428571425E-2</v>
      </c>
      <c r="I106" s="129">
        <f t="shared" ref="I106:R106" si="357">I55/I25</f>
        <v>6.2123039806996384E-2</v>
      </c>
      <c r="J106" s="129">
        <f t="shared" si="357"/>
        <v>6.872553284036538E-2</v>
      </c>
      <c r="K106" s="129">
        <f t="shared" si="357"/>
        <v>7.6968272620446532E-2</v>
      </c>
      <c r="L106" s="129">
        <f t="shared" si="357"/>
        <v>7.753164556962025E-2</v>
      </c>
      <c r="M106" s="129">
        <f t="shared" si="357"/>
        <v>0.12885340430250611</v>
      </c>
      <c r="N106" s="129">
        <f t="shared" si="357"/>
        <v>0.11850386621111311</v>
      </c>
      <c r="O106" s="129">
        <f t="shared" si="357"/>
        <v>8.5840871330995022E-2</v>
      </c>
      <c r="P106" s="129">
        <f t="shared" si="357"/>
        <v>8.1546360616128064E-2</v>
      </c>
      <c r="Q106" s="129">
        <f t="shared" si="357"/>
        <v>6.5069717554522705E-2</v>
      </c>
      <c r="R106" s="129">
        <f t="shared" si="357"/>
        <v>6.2103034580098804E-2</v>
      </c>
      <c r="S106" s="129">
        <f t="shared" ref="S106" si="358">S55/S25</f>
        <v>7.6381480691273734E-2</v>
      </c>
      <c r="T106" s="101">
        <f t="shared" si="240"/>
        <v>1.0638301417478013E-2</v>
      </c>
      <c r="U106" s="129"/>
      <c r="V106" s="129">
        <f t="shared" ref="V106:AE106" si="359">V55/V25</f>
        <v>7.6381480691273748E-2</v>
      </c>
      <c r="W106" s="129">
        <f t="shared" si="359"/>
        <v>7.6381480691273734E-2</v>
      </c>
      <c r="X106" s="129">
        <f t="shared" si="359"/>
        <v>7.6381480691273748E-2</v>
      </c>
      <c r="Y106" s="129">
        <f t="shared" si="359"/>
        <v>7.6381480691273748E-2</v>
      </c>
      <c r="Z106" s="129">
        <f t="shared" si="359"/>
        <v>7.6381480691273748E-2</v>
      </c>
      <c r="AA106" s="129">
        <f t="shared" si="359"/>
        <v>7.6381480691273762E-2</v>
      </c>
      <c r="AB106" s="129">
        <f t="shared" si="359"/>
        <v>7.6381480691273762E-2</v>
      </c>
      <c r="AC106" s="129">
        <f t="shared" si="359"/>
        <v>7.6381480691273762E-2</v>
      </c>
      <c r="AD106" s="129">
        <f t="shared" si="359"/>
        <v>7.6381480691273762E-2</v>
      </c>
      <c r="AE106" s="129">
        <f t="shared" si="359"/>
        <v>7.6381480691273762E-2</v>
      </c>
      <c r="AF106" s="116">
        <f t="shared" si="355"/>
        <v>9.8877706123661202E-3</v>
      </c>
      <c r="AG106" s="124"/>
      <c r="AH106" s="124"/>
    </row>
    <row r="107" spans="2:34">
      <c r="B107" s="10" t="s">
        <v>304</v>
      </c>
      <c r="C107" s="129"/>
      <c r="D107" s="129"/>
      <c r="E107" s="129"/>
      <c r="F107" s="129"/>
      <c r="G107" s="129">
        <f t="shared" ref="G107:H107" si="360">G55/G7</f>
        <v>0.18181818181818182</v>
      </c>
      <c r="H107" s="129">
        <f t="shared" si="360"/>
        <v>0.15863453815261044</v>
      </c>
      <c r="I107" s="129">
        <f>I55/I7</f>
        <v>0.19038817005545286</v>
      </c>
      <c r="J107" s="129">
        <f t="shared" ref="J107:Q107" si="361">J55/J7</f>
        <v>0.27670753064798598</v>
      </c>
      <c r="K107" s="129">
        <f t="shared" si="361"/>
        <v>0.30969267139479906</v>
      </c>
      <c r="L107" s="129">
        <f t="shared" si="361"/>
        <v>0.2963709677419355</v>
      </c>
      <c r="M107" s="129">
        <f t="shared" si="361"/>
        <v>0.30323590814196244</v>
      </c>
      <c r="N107" s="129">
        <f t="shared" si="361"/>
        <v>0.27631027253668761</v>
      </c>
      <c r="O107" s="129">
        <f t="shared" si="361"/>
        <v>0.17305545217714924</v>
      </c>
      <c r="P107" s="129">
        <f t="shared" si="361"/>
        <v>0.17538161740824942</v>
      </c>
      <c r="Q107" s="129">
        <f t="shared" si="361"/>
        <v>0.15784908933217692</v>
      </c>
      <c r="R107" s="129">
        <f t="shared" ref="R107:S107" si="362">R55/R7</f>
        <v>0.16193480546792849</v>
      </c>
      <c r="S107" s="129">
        <f t="shared" si="362"/>
        <v>0.16732881514372516</v>
      </c>
      <c r="T107" s="101">
        <f t="shared" si="240"/>
        <v>-6.8966380482330392E-3</v>
      </c>
      <c r="U107" s="10"/>
      <c r="V107" s="129">
        <f t="shared" ref="V107" si="363">V55/V7</f>
        <v>0.16732881514372519</v>
      </c>
      <c r="W107" s="129">
        <f t="shared" ref="W107:AE107" si="364">W55/W7</f>
        <v>0.16732881514372516</v>
      </c>
      <c r="X107" s="129">
        <f t="shared" si="364"/>
        <v>0.16732881514372519</v>
      </c>
      <c r="Y107" s="129">
        <f t="shared" si="364"/>
        <v>0.16732881514372516</v>
      </c>
      <c r="Z107" s="129">
        <f t="shared" si="364"/>
        <v>0.16732881514372519</v>
      </c>
      <c r="AA107" s="129">
        <f t="shared" si="364"/>
        <v>0.16732881514372519</v>
      </c>
      <c r="AB107" s="129">
        <f t="shared" si="364"/>
        <v>0.16732881514372516</v>
      </c>
      <c r="AC107" s="129">
        <f t="shared" si="364"/>
        <v>0.16732881514372519</v>
      </c>
      <c r="AD107" s="129">
        <f t="shared" si="364"/>
        <v>0.16732881514372519</v>
      </c>
      <c r="AE107" s="129">
        <f t="shared" si="364"/>
        <v>0.16732881514372522</v>
      </c>
      <c r="AF107" s="116">
        <f t="shared" si="355"/>
        <v>-6.1289579274630412E-3</v>
      </c>
      <c r="AG107" s="124"/>
      <c r="AH107" s="124"/>
    </row>
    <row r="108" spans="2:34">
      <c r="B108" s="10" t="s">
        <v>305</v>
      </c>
      <c r="C108" s="129"/>
      <c r="D108" s="129"/>
      <c r="E108" s="129"/>
      <c r="F108" s="129"/>
      <c r="G108" s="129">
        <f t="shared" ref="G108:H108" si="365">(G55)/(G7+G10)</f>
        <v>0.12131147540983607</v>
      </c>
      <c r="H108" s="129">
        <f t="shared" si="365"/>
        <v>9.9246231155778894E-2</v>
      </c>
      <c r="I108" s="129">
        <f>(I55)/(I7+I10)</f>
        <v>0.12291169451073986</v>
      </c>
      <c r="J108" s="129">
        <f t="shared" ref="J108:Q108" si="366">(J55)/(J7+J10)</f>
        <v>0.17324561403508773</v>
      </c>
      <c r="K108" s="129">
        <f t="shared" si="366"/>
        <v>0.2144026186579378</v>
      </c>
      <c r="L108" s="129">
        <f t="shared" si="366"/>
        <v>0.21729490022172948</v>
      </c>
      <c r="M108" s="129">
        <f t="shared" si="366"/>
        <v>0.27799043062200957</v>
      </c>
      <c r="N108" s="129">
        <f t="shared" si="366"/>
        <v>0.26476496584973885</v>
      </c>
      <c r="O108" s="129">
        <f t="shared" si="366"/>
        <v>0.17133382461311716</v>
      </c>
      <c r="P108" s="129">
        <f t="shared" si="366"/>
        <v>0.17252396166134185</v>
      </c>
      <c r="Q108" s="129">
        <f t="shared" si="366"/>
        <v>0.15721278433630867</v>
      </c>
      <c r="R108" s="129">
        <f t="shared" ref="R108:S108" si="367">(R55)/(R7+R10)</f>
        <v>0.15966822187662</v>
      </c>
      <c r="S108" s="129">
        <f t="shared" si="367"/>
        <v>0.16309794988610479</v>
      </c>
      <c r="T108" s="101">
        <f t="shared" si="240"/>
        <v>2.4972511044813794E-2</v>
      </c>
      <c r="U108" s="10"/>
      <c r="V108" s="129">
        <f t="shared" ref="V108:AE108" si="368">(V55)/(V7+V10)</f>
        <v>0.16309794988610482</v>
      </c>
      <c r="W108" s="129">
        <f t="shared" si="368"/>
        <v>0.16309794988610479</v>
      </c>
      <c r="X108" s="129">
        <f t="shared" si="368"/>
        <v>0.16309794988610479</v>
      </c>
      <c r="Y108" s="129">
        <f t="shared" si="368"/>
        <v>0.16309794988610479</v>
      </c>
      <c r="Z108" s="129">
        <f t="shared" si="368"/>
        <v>0.16309794988610479</v>
      </c>
      <c r="AA108" s="129">
        <f t="shared" si="368"/>
        <v>0.16309794988610482</v>
      </c>
      <c r="AB108" s="129">
        <f t="shared" si="368"/>
        <v>0.16309794988610479</v>
      </c>
      <c r="AC108" s="129">
        <f t="shared" si="368"/>
        <v>0.16309794988610479</v>
      </c>
      <c r="AD108" s="129">
        <f t="shared" si="368"/>
        <v>0.16309794988610479</v>
      </c>
      <c r="AE108" s="129">
        <f t="shared" si="368"/>
        <v>0.16309794988610482</v>
      </c>
      <c r="AF108" s="116">
        <f t="shared" si="355"/>
        <v>1.3561842183541062E-2</v>
      </c>
      <c r="AG108" s="124"/>
      <c r="AH108" s="124"/>
    </row>
    <row r="109" spans="2:34">
      <c r="B109" s="10" t="s">
        <v>321</v>
      </c>
      <c r="C109" s="129"/>
      <c r="D109" s="129"/>
      <c r="E109" s="129"/>
      <c r="F109" s="129"/>
      <c r="G109" s="129">
        <f t="shared" ref="G109:H109" si="369">G20/G25</f>
        <v>0.14636363636363636</v>
      </c>
      <c r="H109" s="129">
        <f t="shared" si="369"/>
        <v>6.5714285714285711E-2</v>
      </c>
      <c r="I109" s="129">
        <f>I20/I25</f>
        <v>0.13510253317249699</v>
      </c>
      <c r="J109" s="129">
        <f t="shared" ref="J109:R109" si="370">J20/J25</f>
        <v>8.1774684645498044E-2</v>
      </c>
      <c r="K109" s="129">
        <f t="shared" si="370"/>
        <v>5.2878965922444184E-2</v>
      </c>
      <c r="L109" s="129">
        <f t="shared" si="370"/>
        <v>0.13291139240506328</v>
      </c>
      <c r="M109" s="129">
        <f t="shared" si="370"/>
        <v>0.11621202040363716</v>
      </c>
      <c r="N109" s="129">
        <f t="shared" si="370"/>
        <v>7.1569861535695015E-2</v>
      </c>
      <c r="O109" s="129">
        <f t="shared" si="370"/>
        <v>9.4148052427542914E-2</v>
      </c>
      <c r="P109" s="129">
        <f t="shared" si="370"/>
        <v>5.4213228631833282E-2</v>
      </c>
      <c r="Q109" s="129">
        <f t="shared" si="370"/>
        <v>7.710642354904064E-2</v>
      </c>
      <c r="R109" s="129">
        <f t="shared" si="370"/>
        <v>3.2866216352454881E-2</v>
      </c>
      <c r="S109" s="129">
        <f t="shared" ref="S109" si="371">S20/S25</f>
        <v>0.14284190313633455</v>
      </c>
      <c r="T109" s="101">
        <f t="shared" si="240"/>
        <v>-2.027586579347429E-3</v>
      </c>
      <c r="U109" s="10"/>
      <c r="V109" s="129">
        <f t="shared" ref="V109:AE109" si="372">V20/V25</f>
        <v>0.14284190313633455</v>
      </c>
      <c r="W109" s="129">
        <f t="shared" si="372"/>
        <v>0.14284190313633455</v>
      </c>
      <c r="X109" s="129">
        <f t="shared" si="372"/>
        <v>0.14284190313633455</v>
      </c>
      <c r="Y109" s="129">
        <f t="shared" si="372"/>
        <v>0.14284190313633455</v>
      </c>
      <c r="Z109" s="129">
        <f t="shared" si="372"/>
        <v>0.14284190313633457</v>
      </c>
      <c r="AA109" s="129">
        <f t="shared" si="372"/>
        <v>0.14284190313633457</v>
      </c>
      <c r="AB109" s="129">
        <f t="shared" si="372"/>
        <v>0.14284190313633457</v>
      </c>
      <c r="AC109" s="129">
        <f t="shared" si="372"/>
        <v>0.14284190313633457</v>
      </c>
      <c r="AD109" s="129">
        <f t="shared" si="372"/>
        <v>0.1428419031363346</v>
      </c>
      <c r="AE109" s="129">
        <f t="shared" si="372"/>
        <v>0.14284190313633457</v>
      </c>
      <c r="AF109" s="116">
        <f t="shared" si="355"/>
        <v>2.6561141444287895E-3</v>
      </c>
      <c r="AG109" s="124"/>
      <c r="AH109" s="124"/>
    </row>
    <row r="110" spans="2:34">
      <c r="B110" s="10" t="s">
        <v>373</v>
      </c>
      <c r="C110" s="129"/>
      <c r="D110" s="129"/>
      <c r="E110" s="129"/>
      <c r="F110" s="129"/>
      <c r="G110" s="129">
        <f t="shared" ref="G110:H110" si="373">G68/G25</f>
        <v>3.3636363636363638E-2</v>
      </c>
      <c r="H110" s="129">
        <f t="shared" si="373"/>
        <v>2.7142857142857142E-2</v>
      </c>
      <c r="I110" s="129">
        <f>I68/I25</f>
        <v>3.0759951749095297E-2</v>
      </c>
      <c r="J110" s="129">
        <f t="shared" ref="J110:R110" si="374">J68/J25</f>
        <v>3.5232709873858202E-2</v>
      </c>
      <c r="K110" s="129">
        <f t="shared" si="374"/>
        <v>3.7309048178613399E-2</v>
      </c>
      <c r="L110" s="129">
        <f t="shared" si="374"/>
        <v>4.1666666666666664E-2</v>
      </c>
      <c r="M110" s="129">
        <f t="shared" si="374"/>
        <v>6.65335994677312E-2</v>
      </c>
      <c r="N110" s="129">
        <f t="shared" si="374"/>
        <v>5.3587484265419885E-2</v>
      </c>
      <c r="O110" s="129">
        <f t="shared" si="374"/>
        <v>3.6366992800443053E-2</v>
      </c>
      <c r="P110" s="129">
        <f t="shared" si="374"/>
        <v>3.578979160374509E-2</v>
      </c>
      <c r="Q110" s="129">
        <f t="shared" si="374"/>
        <v>2.8602073650339649E-2</v>
      </c>
      <c r="R110" s="129">
        <f t="shared" si="374"/>
        <v>2.6010686561145278E-2</v>
      </c>
      <c r="S110" s="129">
        <f t="shared" ref="S110" si="375">S68/S25</f>
        <v>3.1149989332195434E-2</v>
      </c>
      <c r="T110" s="101">
        <f t="shared" si="240"/>
        <v>-6.3790527401845765E-3</v>
      </c>
      <c r="U110" s="10"/>
      <c r="V110" s="129">
        <f t="shared" ref="V110:AE110" si="376">V68/V25</f>
        <v>3.1149989332195423E-2</v>
      </c>
      <c r="W110" s="129">
        <f t="shared" si="376"/>
        <v>3.1149989332195427E-2</v>
      </c>
      <c r="X110" s="129">
        <f t="shared" si="376"/>
        <v>3.114998933219542E-2</v>
      </c>
      <c r="Y110" s="129">
        <f t="shared" si="376"/>
        <v>3.114998933219543E-2</v>
      </c>
      <c r="Z110" s="129">
        <f t="shared" si="376"/>
        <v>3.114998933219543E-2</v>
      </c>
      <c r="AA110" s="129">
        <f t="shared" si="376"/>
        <v>3.1149989332195416E-2</v>
      </c>
      <c r="AB110" s="129">
        <f t="shared" si="376"/>
        <v>3.1149989332195427E-2</v>
      </c>
      <c r="AC110" s="129">
        <f t="shared" si="376"/>
        <v>3.1149989332195413E-2</v>
      </c>
      <c r="AD110" s="129">
        <f t="shared" si="376"/>
        <v>3.1149989332195413E-2</v>
      </c>
      <c r="AE110" s="129">
        <f t="shared" si="376"/>
        <v>3.1149989332195406E-2</v>
      </c>
      <c r="AF110" s="116">
        <f t="shared" si="355"/>
        <v>6.0019560517954318E-4</v>
      </c>
      <c r="AG110" s="124"/>
      <c r="AH110" s="124"/>
    </row>
    <row r="111" spans="2:34">
      <c r="B111" s="10"/>
      <c r="C111" s="129"/>
      <c r="D111" s="129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10"/>
      <c r="U111" s="10"/>
      <c r="V111" s="129"/>
      <c r="W111" s="129"/>
      <c r="X111" s="129"/>
      <c r="Y111" s="129"/>
      <c r="Z111" s="129"/>
      <c r="AA111" s="129"/>
      <c r="AB111" s="129"/>
      <c r="AC111" s="129"/>
      <c r="AD111" s="129"/>
      <c r="AE111" s="129"/>
      <c r="AF111" s="3"/>
      <c r="AG111" s="124"/>
      <c r="AH111" s="124"/>
    </row>
    <row r="112" spans="2:34">
      <c r="B112" s="10" t="s">
        <v>268</v>
      </c>
      <c r="C112" s="129"/>
      <c r="D112" s="129"/>
      <c r="E112" s="129"/>
      <c r="F112" s="129"/>
      <c r="G112" s="129">
        <f t="shared" ref="G112:H112" si="377">G29/G25</f>
        <v>1.1818181818181818E-2</v>
      </c>
      <c r="H112" s="129">
        <f t="shared" si="377"/>
        <v>1.1428571428571429E-2</v>
      </c>
      <c r="I112" s="129">
        <f>I29/I25</f>
        <v>1.6887816646562123E-2</v>
      </c>
      <c r="J112" s="129">
        <f t="shared" ref="J112:R112" si="378">J29/J25</f>
        <v>1.3919095258808177E-2</v>
      </c>
      <c r="K112" s="129">
        <f t="shared" si="378"/>
        <v>1.3219741480611046E-2</v>
      </c>
      <c r="L112" s="129">
        <f t="shared" si="378"/>
        <v>1.740506329113924E-2</v>
      </c>
      <c r="M112" s="129">
        <f t="shared" si="378"/>
        <v>4.6573519627411842E-3</v>
      </c>
      <c r="N112" s="129">
        <f t="shared" si="378"/>
        <v>2.8771803632440208E-3</v>
      </c>
      <c r="O112" s="129">
        <f t="shared" si="378"/>
        <v>2.7690603655159685E-3</v>
      </c>
      <c r="P112" s="129">
        <f t="shared" si="378"/>
        <v>1.3591060102688009E-3</v>
      </c>
      <c r="Q112" s="129">
        <f t="shared" si="378"/>
        <v>9.534024550113217E-4</v>
      </c>
      <c r="R112" s="129">
        <f t="shared" si="378"/>
        <v>3.2362133279564473E-4</v>
      </c>
      <c r="S112" s="129">
        <f t="shared" ref="S112" si="379">S29/S25</f>
        <v>1.7068487305312566E-4</v>
      </c>
      <c r="T112" s="101">
        <f t="shared" si="240"/>
        <v>-0.29751504004911256</v>
      </c>
      <c r="U112" s="10"/>
      <c r="V112" s="129">
        <f t="shared" ref="V112:AE112" si="380">V29/V25</f>
        <v>1.7068487305312566E-4</v>
      </c>
      <c r="W112" s="129">
        <f t="shared" si="380"/>
        <v>1.7068487305312566E-4</v>
      </c>
      <c r="X112" s="129">
        <f t="shared" si="380"/>
        <v>1.7068487305312566E-4</v>
      </c>
      <c r="Y112" s="129">
        <f t="shared" si="380"/>
        <v>1.7068487305312569E-4</v>
      </c>
      <c r="Z112" s="129">
        <f t="shared" si="380"/>
        <v>1.7068487305312569E-4</v>
      </c>
      <c r="AA112" s="129">
        <f t="shared" si="380"/>
        <v>1.7068487305312569E-4</v>
      </c>
      <c r="AB112" s="129">
        <f t="shared" si="380"/>
        <v>1.7068487305312572E-4</v>
      </c>
      <c r="AC112" s="129">
        <f t="shared" si="380"/>
        <v>1.7068487305312572E-4</v>
      </c>
      <c r="AD112" s="129">
        <f t="shared" si="380"/>
        <v>1.7068487305312575E-4</v>
      </c>
      <c r="AE112" s="129">
        <f t="shared" si="380"/>
        <v>1.7068487305312575E-4</v>
      </c>
      <c r="AF112" s="116">
        <f t="shared" si="355"/>
        <v>-0.19650722204826232</v>
      </c>
      <c r="AG112" s="124"/>
      <c r="AH112" s="124"/>
    </row>
    <row r="113" spans="1:34">
      <c r="B113" s="10" t="s">
        <v>314</v>
      </c>
      <c r="C113" s="129"/>
      <c r="D113" s="129"/>
      <c r="E113" s="129"/>
      <c r="F113" s="129"/>
      <c r="G113" s="129">
        <f t="shared" ref="G113:H113" si="381">G29/G51</f>
        <v>6.9892473118279563E-2</v>
      </c>
      <c r="H113" s="129">
        <f t="shared" si="381"/>
        <v>8.5561497326203204E-2</v>
      </c>
      <c r="I113" s="129">
        <f>I29/I51</f>
        <v>0.1222707423580786</v>
      </c>
      <c r="J113" s="129">
        <f t="shared" ref="J113:R113" si="382">J29/J51</f>
        <v>0.1</v>
      </c>
      <c r="K113" s="129">
        <f t="shared" si="382"/>
        <v>9.1836734693877556E-2</v>
      </c>
      <c r="L113" s="129">
        <f t="shared" si="382"/>
        <v>0.11282051282051282</v>
      </c>
      <c r="M113" s="129">
        <f t="shared" si="382"/>
        <v>2.1363173957273652E-2</v>
      </c>
      <c r="N113" s="129">
        <f t="shared" si="382"/>
        <v>1.6649323621227889E-2</v>
      </c>
      <c r="O113" s="129">
        <f t="shared" si="382"/>
        <v>2.0134228187919462E-2</v>
      </c>
      <c r="P113" s="129">
        <f t="shared" si="382"/>
        <v>1.0563380281690141E-2</v>
      </c>
      <c r="Q113" s="129">
        <f t="shared" si="382"/>
        <v>9.2699884125144842E-3</v>
      </c>
      <c r="R113" s="129">
        <f t="shared" si="382"/>
        <v>3.4258271077908216E-3</v>
      </c>
      <c r="S113" s="129">
        <f t="shared" ref="S113" si="383">S29/S51</f>
        <v>1.5165876777251187E-3</v>
      </c>
      <c r="T113" s="101">
        <f t="shared" si="240"/>
        <v>-0.2732755706059028</v>
      </c>
      <c r="U113" s="10"/>
      <c r="V113" s="129">
        <f t="shared" ref="V113:AE113" si="384">V29/V51</f>
        <v>1.5165876777251184E-3</v>
      </c>
      <c r="W113" s="129">
        <f t="shared" si="384"/>
        <v>1.5165876777251182E-3</v>
      </c>
      <c r="X113" s="129">
        <f t="shared" si="384"/>
        <v>1.5165876777251182E-3</v>
      </c>
      <c r="Y113" s="129">
        <f t="shared" si="384"/>
        <v>1.5165876777251182E-3</v>
      </c>
      <c r="Z113" s="129">
        <f t="shared" si="384"/>
        <v>1.516587677725118E-3</v>
      </c>
      <c r="AA113" s="129">
        <f t="shared" si="384"/>
        <v>1.516587677725118E-3</v>
      </c>
      <c r="AB113" s="129">
        <f t="shared" si="384"/>
        <v>1.516587677725118E-3</v>
      </c>
      <c r="AC113" s="129">
        <f t="shared" si="384"/>
        <v>1.516587677725118E-3</v>
      </c>
      <c r="AD113" s="129">
        <f t="shared" si="384"/>
        <v>1.516587677725118E-3</v>
      </c>
      <c r="AE113" s="129">
        <f t="shared" si="384"/>
        <v>1.516587677725118E-3</v>
      </c>
      <c r="AF113" s="116">
        <f t="shared" ref="AF113" si="385">((AE113/I113)^(1/($AE$3-$J$1) ))-1</f>
        <v>-0.18863470518805348</v>
      </c>
      <c r="AG113" s="124"/>
      <c r="AH113" s="124"/>
    </row>
    <row r="114" spans="1:34" ht="12" customHeight="1">
      <c r="B114" s="10" t="s">
        <v>313</v>
      </c>
      <c r="C114" s="129"/>
      <c r="D114" s="129"/>
      <c r="E114" s="129"/>
      <c r="F114" s="129"/>
      <c r="G114" s="148">
        <f t="shared" ref="G114:H114" si="386">G29/G55</f>
        <v>0.17567567567567569</v>
      </c>
      <c r="H114" s="148">
        <f t="shared" si="386"/>
        <v>0.20253164556962025</v>
      </c>
      <c r="I114" s="148">
        <f t="shared" ref="I114:R114" si="387">I29/I55</f>
        <v>0.27184466019417475</v>
      </c>
      <c r="J114" s="148">
        <f t="shared" si="387"/>
        <v>0.20253164556962025</v>
      </c>
      <c r="K114" s="148">
        <f t="shared" si="387"/>
        <v>0.1717557251908397</v>
      </c>
      <c r="L114" s="148">
        <f t="shared" si="387"/>
        <v>0.22448979591836735</v>
      </c>
      <c r="M114" s="148">
        <f t="shared" si="387"/>
        <v>3.614457831325301E-2</v>
      </c>
      <c r="N114" s="148">
        <f t="shared" si="387"/>
        <v>2.4279210925644917E-2</v>
      </c>
      <c r="O114" s="148">
        <f t="shared" si="387"/>
        <v>3.2258064516129031E-2</v>
      </c>
      <c r="P114" s="148">
        <f t="shared" si="387"/>
        <v>1.6666666666666666E-2</v>
      </c>
      <c r="Q114" s="148">
        <f t="shared" si="387"/>
        <v>1.4652014652014652E-2</v>
      </c>
      <c r="R114" s="148">
        <f t="shared" si="387"/>
        <v>5.2110389610389614E-3</v>
      </c>
      <c r="S114" s="148">
        <f t="shared" ref="S114" si="388">S29/S55</f>
        <v>2.2346368715083801E-3</v>
      </c>
      <c r="T114" s="101">
        <f t="shared" si="240"/>
        <v>-0.30490962101316343</v>
      </c>
      <c r="U114" s="10"/>
      <c r="V114" s="148">
        <f t="shared" ref="V114:AE114" si="389">V29/V55</f>
        <v>2.2346368715083797E-3</v>
      </c>
      <c r="W114" s="148">
        <f t="shared" si="389"/>
        <v>2.2346368715083797E-3</v>
      </c>
      <c r="X114" s="148">
        <f t="shared" si="389"/>
        <v>2.2346368715083797E-3</v>
      </c>
      <c r="Y114" s="148">
        <f t="shared" si="389"/>
        <v>2.2346368715083801E-3</v>
      </c>
      <c r="Z114" s="148">
        <f t="shared" si="389"/>
        <v>2.2346368715083797E-3</v>
      </c>
      <c r="AA114" s="148">
        <f t="shared" si="389"/>
        <v>2.2346368715083797E-3</v>
      </c>
      <c r="AB114" s="148">
        <f t="shared" si="389"/>
        <v>2.2346368715083797E-3</v>
      </c>
      <c r="AC114" s="148">
        <f t="shared" si="389"/>
        <v>2.2346368715083797E-3</v>
      </c>
      <c r="AD114" s="148">
        <f t="shared" si="389"/>
        <v>2.2346368715083797E-3</v>
      </c>
      <c r="AE114" s="148">
        <f t="shared" si="389"/>
        <v>2.2346368715083797E-3</v>
      </c>
      <c r="AF114" s="116">
        <f t="shared" ref="AF114" si="390">((AE114/I114)^(1/($AE$3-$J$1) ))-1</f>
        <v>-0.20437418757480008</v>
      </c>
      <c r="AG114" s="124"/>
      <c r="AH114" s="124"/>
    </row>
    <row r="115" spans="1:34" ht="12" customHeight="1">
      <c r="B115" s="10" t="s">
        <v>270</v>
      </c>
      <c r="C115" s="129"/>
      <c r="D115" s="129"/>
      <c r="E115" s="129"/>
      <c r="F115" s="129"/>
      <c r="G115" s="148">
        <f t="shared" ref="G115:H115" si="391">G29/G12</f>
        <v>6.5</v>
      </c>
      <c r="H115" s="148">
        <f t="shared" si="391"/>
        <v>0.43243243243243246</v>
      </c>
      <c r="I115" s="148">
        <f t="shared" ref="I115:R115" si="392">I29/I12</f>
        <v>0.5957446808510638</v>
      </c>
      <c r="J115" s="148">
        <f t="shared" si="392"/>
        <v>8</v>
      </c>
      <c r="K115" s="148">
        <f t="shared" si="392"/>
        <v>6.4285714285714288</v>
      </c>
      <c r="L115" s="148">
        <f t="shared" si="392"/>
        <v>1.6923076923076923</v>
      </c>
      <c r="M115" s="148">
        <f t="shared" si="392"/>
        <v>0.7</v>
      </c>
      <c r="N115" s="148">
        <f t="shared" si="392"/>
        <v>0.69565217391304346</v>
      </c>
      <c r="O115" s="148">
        <f t="shared" si="392"/>
        <v>0.23809523809523808</v>
      </c>
      <c r="P115" s="148">
        <f t="shared" si="392"/>
        <v>4.072398190045249E-2</v>
      </c>
      <c r="Q115" s="148">
        <f t="shared" si="392"/>
        <v>2.7874564459930314E-2</v>
      </c>
      <c r="R115" s="148">
        <f t="shared" si="392"/>
        <v>1.5507246376811595E-2</v>
      </c>
      <c r="S115" s="148">
        <f t="shared" ref="S115" si="393">S29/S12</f>
        <v>5.4421768707482998E-3</v>
      </c>
      <c r="T115" s="101">
        <f t="shared" si="240"/>
        <v>-0.44592110516032002</v>
      </c>
      <c r="U115" s="10"/>
      <c r="V115" s="129">
        <f t="shared" ref="V115:AE115" si="394">V29/V12</f>
        <v>5.4421768707482998E-3</v>
      </c>
      <c r="W115" s="129">
        <f t="shared" si="394"/>
        <v>5.4421768707482989E-3</v>
      </c>
      <c r="X115" s="129">
        <f t="shared" si="394"/>
        <v>5.4421768707482989E-3</v>
      </c>
      <c r="Y115" s="129">
        <f t="shared" si="394"/>
        <v>5.4421768707482989E-3</v>
      </c>
      <c r="Z115" s="129">
        <f t="shared" si="394"/>
        <v>5.4421768707482981E-3</v>
      </c>
      <c r="AA115" s="129">
        <f t="shared" si="394"/>
        <v>5.4421768707482981E-3</v>
      </c>
      <c r="AB115" s="129">
        <f t="shared" si="394"/>
        <v>5.4421768707482989E-3</v>
      </c>
      <c r="AC115" s="129">
        <f t="shared" si="394"/>
        <v>5.4421768707482989E-3</v>
      </c>
      <c r="AD115" s="129">
        <f t="shared" si="394"/>
        <v>5.4421768707482989E-3</v>
      </c>
      <c r="AE115" s="129">
        <f t="shared" si="394"/>
        <v>5.4421768707482989E-3</v>
      </c>
      <c r="AF115" s="116">
        <f t="shared" si="355"/>
        <v>-0.20036633396415848</v>
      </c>
      <c r="AG115" s="124"/>
      <c r="AH115" s="124"/>
    </row>
    <row r="116" spans="1:34" ht="12" customHeight="1">
      <c r="B116" s="10" t="s">
        <v>315</v>
      </c>
      <c r="C116" s="129"/>
      <c r="D116" s="129"/>
      <c r="E116" s="129"/>
      <c r="F116" s="129"/>
      <c r="G116" s="148">
        <f t="shared" ref="G116:H116" si="395">G29/G23</f>
        <v>10.833333333333334</v>
      </c>
      <c r="H116" s="148">
        <f t="shared" si="395"/>
        <v>0.44444444444444442</v>
      </c>
      <c r="I116" s="148">
        <f>I29/I23</f>
        <v>1.6470588235294117</v>
      </c>
      <c r="J116" s="148">
        <f t="shared" ref="J116:R116" si="396">J29/J23</f>
        <v>21.333333333333332</v>
      </c>
      <c r="K116" s="148">
        <f t="shared" si="396"/>
        <v>26.47058823529412</v>
      </c>
      <c r="L116" s="148">
        <f t="shared" si="396"/>
        <v>1.9411764705882353</v>
      </c>
      <c r="M116" s="148">
        <f t="shared" si="396"/>
        <v>7</v>
      </c>
      <c r="N116" s="148">
        <f t="shared" si="396"/>
        <v>1.0666666666666667</v>
      </c>
      <c r="O116" s="148">
        <f t="shared" si="396"/>
        <v>0.25862068965517243</v>
      </c>
      <c r="P116" s="148">
        <f t="shared" si="396"/>
        <v>0.12</v>
      </c>
      <c r="Q116" s="148">
        <f t="shared" si="396"/>
        <v>6.6666666666666666E-2</v>
      </c>
      <c r="R116" s="148">
        <f t="shared" si="396"/>
        <v>0.107</v>
      </c>
      <c r="S116" s="148">
        <f t="shared" ref="S116" si="397">S29/S23</f>
        <v>2.1621621621621623E-2</v>
      </c>
      <c r="T116" s="101">
        <f t="shared" si="240"/>
        <v>-0.40432343698094719</v>
      </c>
      <c r="U116" s="10"/>
      <c r="V116" s="148">
        <f t="shared" ref="V116:AE116" si="398">V29/V23</f>
        <v>2.1621621621621623E-2</v>
      </c>
      <c r="W116" s="148">
        <f t="shared" si="398"/>
        <v>2.1621621621621623E-2</v>
      </c>
      <c r="X116" s="148">
        <f t="shared" si="398"/>
        <v>2.1621621621621623E-2</v>
      </c>
      <c r="Y116" s="148">
        <f t="shared" si="398"/>
        <v>2.1621621621621623E-2</v>
      </c>
      <c r="Z116" s="148">
        <f t="shared" si="398"/>
        <v>2.1621621621621619E-2</v>
      </c>
      <c r="AA116" s="148">
        <f t="shared" si="398"/>
        <v>2.1621621621621619E-2</v>
      </c>
      <c r="AB116" s="148">
        <f t="shared" si="398"/>
        <v>2.1621621621621619E-2</v>
      </c>
      <c r="AC116" s="148">
        <f t="shared" si="398"/>
        <v>2.1621621621621623E-2</v>
      </c>
      <c r="AD116" s="148">
        <f t="shared" si="398"/>
        <v>2.1621621621621623E-2</v>
      </c>
      <c r="AE116" s="148">
        <f t="shared" si="398"/>
        <v>2.1621621621621623E-2</v>
      </c>
      <c r="AF116" s="116">
        <f t="shared" ref="AF116" si="399">((AE116/I116)^(1/($AE$3-$J$1) ))-1</f>
        <v>-0.18644019514263721</v>
      </c>
      <c r="AG116" s="124"/>
      <c r="AH116" s="124"/>
    </row>
    <row r="117" spans="1:34" ht="12" customHeight="1">
      <c r="B117" s="10"/>
      <c r="C117" s="129"/>
      <c r="D117" s="129"/>
      <c r="E117" s="129"/>
      <c r="F117" s="129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10"/>
      <c r="U117" s="10"/>
      <c r="V117" s="129"/>
      <c r="W117" s="129"/>
      <c r="X117" s="129"/>
      <c r="Y117" s="129"/>
      <c r="Z117" s="129"/>
      <c r="AA117" s="129"/>
      <c r="AB117" s="129"/>
      <c r="AC117" s="129"/>
      <c r="AD117" s="129"/>
      <c r="AE117" s="129"/>
      <c r="AF117" s="129"/>
      <c r="AG117" s="124"/>
      <c r="AH117" s="124"/>
    </row>
    <row r="118" spans="1:34" ht="12" customHeight="1">
      <c r="B118" s="10" t="s">
        <v>347</v>
      </c>
      <c r="C118" s="129"/>
      <c r="D118" s="129"/>
      <c r="E118" s="129"/>
      <c r="F118" s="129"/>
      <c r="G118" s="109">
        <f t="shared" ref="G118:H118" si="400">1/G112</f>
        <v>84.615384615384613</v>
      </c>
      <c r="H118" s="109">
        <f t="shared" si="400"/>
        <v>87.5</v>
      </c>
      <c r="I118" s="109">
        <f>1/I112</f>
        <v>59.214285714285715</v>
      </c>
      <c r="J118" s="109">
        <f t="shared" ref="J118:R118" si="401">1/J112</f>
        <v>71.84375</v>
      </c>
      <c r="K118" s="109">
        <f t="shared" si="401"/>
        <v>75.644444444444446</v>
      </c>
      <c r="L118" s="109">
        <f t="shared" si="401"/>
        <v>57.45454545454546</v>
      </c>
      <c r="M118" s="109">
        <f t="shared" si="401"/>
        <v>214.71428571428572</v>
      </c>
      <c r="N118" s="109">
        <f t="shared" si="401"/>
        <v>347.5625</v>
      </c>
      <c r="O118" s="109">
        <f t="shared" si="401"/>
        <v>361.13333333333333</v>
      </c>
      <c r="P118" s="109">
        <f t="shared" si="401"/>
        <v>735.77777777777783</v>
      </c>
      <c r="Q118" s="109">
        <f t="shared" si="401"/>
        <v>1048.875</v>
      </c>
      <c r="R118" s="109">
        <f t="shared" si="401"/>
        <v>3090.031152647975</v>
      </c>
      <c r="S118" s="109">
        <f t="shared" ref="S118" si="402">1/S112</f>
        <v>5858.75</v>
      </c>
      <c r="T118" s="101">
        <f t="shared" si="240"/>
        <v>0.42351802104049696</v>
      </c>
      <c r="U118" s="10"/>
      <c r="V118" s="109">
        <f t="shared" ref="V118:AE118" si="403">1/V112</f>
        <v>5858.75</v>
      </c>
      <c r="W118" s="109">
        <f t="shared" si="403"/>
        <v>5858.75</v>
      </c>
      <c r="X118" s="109">
        <f t="shared" si="403"/>
        <v>5858.75</v>
      </c>
      <c r="Y118" s="109">
        <f t="shared" si="403"/>
        <v>5858.7499999999991</v>
      </c>
      <c r="Z118" s="109">
        <f t="shared" si="403"/>
        <v>5858.7499999999991</v>
      </c>
      <c r="AA118" s="109">
        <f t="shared" si="403"/>
        <v>5858.7499999999991</v>
      </c>
      <c r="AB118" s="109">
        <f t="shared" si="403"/>
        <v>5858.7499999999982</v>
      </c>
      <c r="AC118" s="109">
        <f t="shared" si="403"/>
        <v>5858.7499999999982</v>
      </c>
      <c r="AD118" s="109">
        <f t="shared" si="403"/>
        <v>5858.7499999999973</v>
      </c>
      <c r="AE118" s="109">
        <f t="shared" si="403"/>
        <v>5858.7499999999973</v>
      </c>
      <c r="AF118" s="116">
        <f t="shared" si="355"/>
        <v>0.24456625801814691</v>
      </c>
      <c r="AG118" s="124"/>
      <c r="AH118" s="124"/>
    </row>
    <row r="119" spans="1:34" ht="12" customHeight="1">
      <c r="B119" s="10" t="s">
        <v>348</v>
      </c>
      <c r="C119" s="129"/>
      <c r="D119" s="129"/>
      <c r="E119" s="129"/>
      <c r="F119" s="129"/>
      <c r="G119" s="109">
        <f t="shared" ref="G119:H119" si="404">1/G113</f>
        <v>14.307692307692308</v>
      </c>
      <c r="H119" s="109">
        <f t="shared" si="404"/>
        <v>11.6875</v>
      </c>
      <c r="I119" s="109">
        <f t="shared" ref="I119:R122" si="405">1/I113</f>
        <v>8.1785714285714288</v>
      </c>
      <c r="J119" s="109">
        <f t="shared" si="405"/>
        <v>10</v>
      </c>
      <c r="K119" s="109">
        <f t="shared" si="405"/>
        <v>10.888888888888888</v>
      </c>
      <c r="L119" s="109">
        <f t="shared" si="405"/>
        <v>8.8636363636363633</v>
      </c>
      <c r="M119" s="109">
        <f t="shared" si="405"/>
        <v>46.80952380952381</v>
      </c>
      <c r="N119" s="109">
        <f t="shared" si="405"/>
        <v>60.062499999999993</v>
      </c>
      <c r="O119" s="109">
        <f t="shared" si="405"/>
        <v>49.666666666666671</v>
      </c>
      <c r="P119" s="109">
        <f t="shared" si="405"/>
        <v>94.666666666666671</v>
      </c>
      <c r="Q119" s="109">
        <f t="shared" si="405"/>
        <v>107.875</v>
      </c>
      <c r="R119" s="109">
        <f t="shared" si="405"/>
        <v>291.90031152647975</v>
      </c>
      <c r="S119" s="109">
        <f t="shared" ref="S119" si="406">1/S113</f>
        <v>659.37499999999989</v>
      </c>
      <c r="T119" s="101">
        <f t="shared" si="240"/>
        <v>0.37603740778845829</v>
      </c>
      <c r="U119" s="10"/>
      <c r="V119" s="109">
        <f t="shared" ref="V119:AE119" si="407">1/V113</f>
        <v>659.375</v>
      </c>
      <c r="W119" s="109">
        <f t="shared" si="407"/>
        <v>659.37500000000011</v>
      </c>
      <c r="X119" s="109">
        <f t="shared" si="407"/>
        <v>659.37500000000011</v>
      </c>
      <c r="Y119" s="109">
        <f t="shared" si="407"/>
        <v>659.37500000000011</v>
      </c>
      <c r="Z119" s="109">
        <f t="shared" si="407"/>
        <v>659.37500000000023</v>
      </c>
      <c r="AA119" s="109">
        <f t="shared" si="407"/>
        <v>659.37500000000023</v>
      </c>
      <c r="AB119" s="109">
        <f t="shared" si="407"/>
        <v>659.37500000000023</v>
      </c>
      <c r="AC119" s="109">
        <f t="shared" si="407"/>
        <v>659.37500000000023</v>
      </c>
      <c r="AD119" s="109">
        <f t="shared" si="407"/>
        <v>659.37500000000023</v>
      </c>
      <c r="AE119" s="109">
        <f t="shared" si="407"/>
        <v>659.37500000000023</v>
      </c>
      <c r="AF119" s="116">
        <f t="shared" si="355"/>
        <v>0.23249047795638611</v>
      </c>
      <c r="AG119" s="124"/>
      <c r="AH119" s="124"/>
    </row>
    <row r="120" spans="1:34" ht="12" customHeight="1">
      <c r="B120" s="10" t="s">
        <v>349</v>
      </c>
      <c r="C120" s="129"/>
      <c r="D120" s="129"/>
      <c r="E120" s="129"/>
      <c r="F120" s="129"/>
      <c r="G120" s="109">
        <f t="shared" ref="G120:H120" si="408">1/G114</f>
        <v>5.6923076923076916</v>
      </c>
      <c r="H120" s="109">
        <f t="shared" si="408"/>
        <v>4.9375</v>
      </c>
      <c r="I120" s="109">
        <f t="shared" si="405"/>
        <v>3.6785714285714288</v>
      </c>
      <c r="J120" s="109">
        <f t="shared" si="405"/>
        <v>4.9375</v>
      </c>
      <c r="K120" s="109">
        <f t="shared" si="405"/>
        <v>5.822222222222222</v>
      </c>
      <c r="L120" s="109">
        <f t="shared" si="405"/>
        <v>4.4545454545454541</v>
      </c>
      <c r="M120" s="109">
        <f t="shared" si="405"/>
        <v>27.666666666666668</v>
      </c>
      <c r="N120" s="109">
        <f t="shared" si="405"/>
        <v>41.1875</v>
      </c>
      <c r="O120" s="109">
        <f t="shared" si="405"/>
        <v>31</v>
      </c>
      <c r="P120" s="109">
        <f t="shared" si="405"/>
        <v>60</v>
      </c>
      <c r="Q120" s="109">
        <f t="shared" si="405"/>
        <v>68.25</v>
      </c>
      <c r="R120" s="109">
        <f t="shared" si="405"/>
        <v>191.90031152647973</v>
      </c>
      <c r="S120" s="109">
        <f t="shared" ref="S120" si="409">1/S114</f>
        <v>447.49999999999994</v>
      </c>
      <c r="T120" s="101">
        <f t="shared" si="240"/>
        <v>0.43866183482153742</v>
      </c>
      <c r="U120" s="10"/>
      <c r="V120" s="109">
        <f t="shared" ref="V120:AE120" si="410">1/V114</f>
        <v>447.50000000000006</v>
      </c>
      <c r="W120" s="109">
        <f t="shared" si="410"/>
        <v>447.50000000000006</v>
      </c>
      <c r="X120" s="109">
        <f t="shared" si="410"/>
        <v>447.50000000000006</v>
      </c>
      <c r="Y120" s="109">
        <f t="shared" si="410"/>
        <v>447.49999999999994</v>
      </c>
      <c r="Z120" s="109">
        <f t="shared" si="410"/>
        <v>447.50000000000006</v>
      </c>
      <c r="AA120" s="109">
        <f t="shared" si="410"/>
        <v>447.50000000000006</v>
      </c>
      <c r="AB120" s="109">
        <f t="shared" si="410"/>
        <v>447.50000000000006</v>
      </c>
      <c r="AC120" s="109">
        <f t="shared" si="410"/>
        <v>447.50000000000006</v>
      </c>
      <c r="AD120" s="109">
        <f t="shared" si="410"/>
        <v>447.50000000000006</v>
      </c>
      <c r="AE120" s="109">
        <f t="shared" si="410"/>
        <v>447.50000000000006</v>
      </c>
      <c r="AF120" s="116">
        <f t="shared" si="355"/>
        <v>0.25687224368932116</v>
      </c>
      <c r="AG120" s="124"/>
      <c r="AH120" s="124"/>
    </row>
    <row r="121" spans="1:34" ht="12" customHeight="1">
      <c r="B121" s="10" t="s">
        <v>350</v>
      </c>
      <c r="C121" s="129"/>
      <c r="D121" s="129"/>
      <c r="E121" s="129"/>
      <c r="F121" s="129"/>
      <c r="G121" s="109">
        <f t="shared" ref="G121:H121" si="411">1/G115</f>
        <v>0.15384615384615385</v>
      </c>
      <c r="H121" s="109">
        <f t="shared" si="411"/>
        <v>2.3125</v>
      </c>
      <c r="I121" s="109">
        <f t="shared" si="405"/>
        <v>1.6785714285714286</v>
      </c>
      <c r="J121" s="109">
        <f t="shared" si="405"/>
        <v>0.125</v>
      </c>
      <c r="K121" s="109">
        <f t="shared" si="405"/>
        <v>0.15555555555555556</v>
      </c>
      <c r="L121" s="109">
        <f t="shared" si="405"/>
        <v>0.59090909090909094</v>
      </c>
      <c r="M121" s="109">
        <f t="shared" si="405"/>
        <v>1.4285714285714286</v>
      </c>
      <c r="N121" s="109">
        <f t="shared" si="405"/>
        <v>1.4375</v>
      </c>
      <c r="O121" s="109">
        <f t="shared" si="405"/>
        <v>4.2</v>
      </c>
      <c r="P121" s="109">
        <f t="shared" si="405"/>
        <v>24.555555555555554</v>
      </c>
      <c r="Q121" s="109">
        <f t="shared" si="405"/>
        <v>35.875</v>
      </c>
      <c r="R121" s="109">
        <f t="shared" si="405"/>
        <v>64.485981308411212</v>
      </c>
      <c r="S121" s="109">
        <f t="shared" ref="S121" si="412">1/S115</f>
        <v>183.74999999999997</v>
      </c>
      <c r="T121" s="101">
        <f t="shared" si="240"/>
        <v>0.80479713144342946</v>
      </c>
      <c r="U121" s="10"/>
      <c r="V121" s="109">
        <f t="shared" ref="V121:AE121" si="413">1/V115</f>
        <v>183.74999999999997</v>
      </c>
      <c r="W121" s="109">
        <f t="shared" si="413"/>
        <v>183.75</v>
      </c>
      <c r="X121" s="109">
        <f t="shared" si="413"/>
        <v>183.75</v>
      </c>
      <c r="Y121" s="109">
        <f t="shared" si="413"/>
        <v>183.75</v>
      </c>
      <c r="Z121" s="109">
        <f t="shared" si="413"/>
        <v>183.75000000000003</v>
      </c>
      <c r="AA121" s="109">
        <f t="shared" si="413"/>
        <v>183.75000000000003</v>
      </c>
      <c r="AB121" s="109">
        <f t="shared" si="413"/>
        <v>183.75</v>
      </c>
      <c r="AC121" s="109">
        <f t="shared" si="413"/>
        <v>183.75</v>
      </c>
      <c r="AD121" s="109">
        <f t="shared" si="413"/>
        <v>183.75</v>
      </c>
      <c r="AE121" s="109">
        <f t="shared" si="413"/>
        <v>183.75</v>
      </c>
      <c r="AF121" s="116">
        <f t="shared" si="355"/>
        <v>0.25057265904957227</v>
      </c>
      <c r="AG121" s="124"/>
      <c r="AH121" s="124"/>
    </row>
    <row r="122" spans="1:34" ht="12" customHeight="1">
      <c r="B122" s="10" t="s">
        <v>351</v>
      </c>
      <c r="C122" s="129"/>
      <c r="D122" s="129"/>
      <c r="E122" s="129"/>
      <c r="F122" s="129"/>
      <c r="G122" s="109">
        <f t="shared" ref="G122:H122" si="414">1/G116</f>
        <v>9.2307692307692299E-2</v>
      </c>
      <c r="H122" s="109">
        <f t="shared" si="414"/>
        <v>2.25</v>
      </c>
      <c r="I122" s="109">
        <f t="shared" si="405"/>
        <v>0.60714285714285721</v>
      </c>
      <c r="J122" s="109">
        <f t="shared" si="405"/>
        <v>4.6875E-2</v>
      </c>
      <c r="K122" s="109">
        <f t="shared" si="405"/>
        <v>3.7777777777777778E-2</v>
      </c>
      <c r="L122" s="109">
        <f t="shared" si="405"/>
        <v>0.51515151515151514</v>
      </c>
      <c r="M122" s="109">
        <f t="shared" si="405"/>
        <v>0.14285714285714285</v>
      </c>
      <c r="N122" s="109">
        <f t="shared" si="405"/>
        <v>0.9375</v>
      </c>
      <c r="O122" s="109">
        <f t="shared" si="405"/>
        <v>3.8666666666666663</v>
      </c>
      <c r="P122" s="109">
        <f t="shared" si="405"/>
        <v>8.3333333333333339</v>
      </c>
      <c r="Q122" s="109">
        <f t="shared" si="405"/>
        <v>15</v>
      </c>
      <c r="R122" s="109">
        <f t="shared" si="405"/>
        <v>9.3457943925233646</v>
      </c>
      <c r="S122" s="109">
        <f t="shared" ref="S122" si="415">1/S116</f>
        <v>46.25</v>
      </c>
      <c r="T122" s="101">
        <f t="shared" si="240"/>
        <v>0.67876337946170784</v>
      </c>
      <c r="U122" s="10"/>
      <c r="V122" s="109">
        <f t="shared" ref="V122:AE122" si="416">1/V116</f>
        <v>46.25</v>
      </c>
      <c r="W122" s="109">
        <f t="shared" si="416"/>
        <v>46.25</v>
      </c>
      <c r="X122" s="109">
        <f t="shared" si="416"/>
        <v>46.25</v>
      </c>
      <c r="Y122" s="109">
        <f t="shared" si="416"/>
        <v>46.25</v>
      </c>
      <c r="Z122" s="109">
        <f t="shared" si="416"/>
        <v>46.250000000000007</v>
      </c>
      <c r="AA122" s="109">
        <f t="shared" si="416"/>
        <v>46.250000000000007</v>
      </c>
      <c r="AB122" s="109">
        <f t="shared" si="416"/>
        <v>46.250000000000007</v>
      </c>
      <c r="AC122" s="109">
        <f t="shared" si="416"/>
        <v>46.25</v>
      </c>
      <c r="AD122" s="109">
        <f t="shared" si="416"/>
        <v>46.25</v>
      </c>
      <c r="AE122" s="109">
        <f t="shared" si="416"/>
        <v>46.25</v>
      </c>
      <c r="AF122" s="116">
        <f t="shared" si="355"/>
        <v>0.2291659371929331</v>
      </c>
      <c r="AG122" s="124"/>
      <c r="AH122" s="124"/>
    </row>
    <row r="123" spans="1:34" ht="12" customHeight="1">
      <c r="B123" s="10"/>
      <c r="C123" s="129"/>
      <c r="D123" s="129"/>
      <c r="E123" s="129"/>
      <c r="F123" s="129"/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10"/>
      <c r="U123" s="10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4"/>
      <c r="AH123" s="124"/>
    </row>
    <row r="124" spans="1:34" ht="12" customHeight="1">
      <c r="A124" s="300" t="s">
        <v>425</v>
      </c>
      <c r="B124" s="179" t="s">
        <v>432</v>
      </c>
      <c r="C124" s="129"/>
      <c r="D124" s="129"/>
      <c r="E124" s="129"/>
      <c r="F124" s="129"/>
      <c r="G124" s="148" t="e">
        <f t="shared" ref="G124:H124" si="417">G25/(G36+G38)</f>
        <v>#DIV/0!</v>
      </c>
      <c r="H124" s="148" t="e">
        <f t="shared" si="417"/>
        <v>#DIV/0!</v>
      </c>
      <c r="I124" s="148" t="e">
        <f t="shared" ref="I124:S124" si="418">I25/(I36+I38)</f>
        <v>#DIV/0!</v>
      </c>
      <c r="J124" s="148" t="e">
        <f t="shared" si="418"/>
        <v>#DIV/0!</v>
      </c>
      <c r="K124" s="148" t="e">
        <f t="shared" si="418"/>
        <v>#DIV/0!</v>
      </c>
      <c r="L124" s="148" t="e">
        <f t="shared" si="418"/>
        <v>#DIV/0!</v>
      </c>
      <c r="M124" s="148" t="e">
        <f t="shared" si="418"/>
        <v>#DIV/0!</v>
      </c>
      <c r="N124" s="148" t="e">
        <f t="shared" si="418"/>
        <v>#DIV/0!</v>
      </c>
      <c r="O124" s="148" t="e">
        <f t="shared" si="418"/>
        <v>#DIV/0!</v>
      </c>
      <c r="P124" s="148" t="e">
        <f t="shared" si="418"/>
        <v>#DIV/0!</v>
      </c>
      <c r="Q124" s="148" t="e">
        <f t="shared" si="418"/>
        <v>#DIV/0!</v>
      </c>
      <c r="R124" s="148" t="e">
        <f t="shared" si="418"/>
        <v>#DIV/0!</v>
      </c>
      <c r="S124" s="148" t="e">
        <f t="shared" si="418"/>
        <v>#DIV/0!</v>
      </c>
      <c r="T124" s="101" t="e">
        <f t="shared" si="240"/>
        <v>#DIV/0!</v>
      </c>
      <c r="U124" s="10"/>
      <c r="V124" s="148" t="e">
        <f t="shared" ref="V124:AE124" si="419">V25/(V36+V38)</f>
        <v>#DIV/0!</v>
      </c>
      <c r="W124" s="148" t="e">
        <f t="shared" si="419"/>
        <v>#DIV/0!</v>
      </c>
      <c r="X124" s="148" t="e">
        <f t="shared" si="419"/>
        <v>#DIV/0!</v>
      </c>
      <c r="Y124" s="148" t="e">
        <f t="shared" si="419"/>
        <v>#DIV/0!</v>
      </c>
      <c r="Z124" s="148" t="e">
        <f t="shared" si="419"/>
        <v>#DIV/0!</v>
      </c>
      <c r="AA124" s="148" t="e">
        <f t="shared" si="419"/>
        <v>#DIV/0!</v>
      </c>
      <c r="AB124" s="148" t="e">
        <f t="shared" si="419"/>
        <v>#DIV/0!</v>
      </c>
      <c r="AC124" s="148" t="e">
        <f t="shared" si="419"/>
        <v>#DIV/0!</v>
      </c>
      <c r="AD124" s="148" t="e">
        <f t="shared" si="419"/>
        <v>#DIV/0!</v>
      </c>
      <c r="AE124" s="148" t="e">
        <f t="shared" si="419"/>
        <v>#DIV/0!</v>
      </c>
      <c r="AF124" s="116" t="e">
        <f t="shared" ref="AF124:AF132" si="420">((AE124/I124)^(1/($AE$3-$J$1) ))-1</f>
        <v>#DIV/0!</v>
      </c>
      <c r="AG124" s="124"/>
      <c r="AH124" s="124"/>
    </row>
    <row r="125" spans="1:34" ht="12" customHeight="1">
      <c r="A125" s="300"/>
      <c r="B125" s="179" t="s">
        <v>427</v>
      </c>
      <c r="C125" s="129"/>
      <c r="D125" s="129"/>
      <c r="E125" s="129"/>
      <c r="F125" s="129"/>
      <c r="G125" s="148" t="e">
        <f t="shared" ref="G125:H125" si="421">G25/G43</f>
        <v>#DIV/0!</v>
      </c>
      <c r="H125" s="148" t="e">
        <f t="shared" si="421"/>
        <v>#DIV/0!</v>
      </c>
      <c r="I125" s="148" t="e">
        <f t="shared" ref="I125:S125" si="422">I25/I43</f>
        <v>#DIV/0!</v>
      </c>
      <c r="J125" s="148" t="e">
        <f t="shared" si="422"/>
        <v>#DIV/0!</v>
      </c>
      <c r="K125" s="148" t="e">
        <f t="shared" si="422"/>
        <v>#DIV/0!</v>
      </c>
      <c r="L125" s="148" t="e">
        <f t="shared" si="422"/>
        <v>#DIV/0!</v>
      </c>
      <c r="M125" s="148" t="e">
        <f t="shared" si="422"/>
        <v>#DIV/0!</v>
      </c>
      <c r="N125" s="148" t="e">
        <f t="shared" si="422"/>
        <v>#DIV/0!</v>
      </c>
      <c r="O125" s="148" t="e">
        <f t="shared" si="422"/>
        <v>#DIV/0!</v>
      </c>
      <c r="P125" s="148" t="e">
        <f t="shared" si="422"/>
        <v>#DIV/0!</v>
      </c>
      <c r="Q125" s="148" t="e">
        <f t="shared" si="422"/>
        <v>#DIV/0!</v>
      </c>
      <c r="R125" s="148" t="e">
        <f t="shared" si="422"/>
        <v>#DIV/0!</v>
      </c>
      <c r="S125" s="148" t="e">
        <f t="shared" si="422"/>
        <v>#DIV/0!</v>
      </c>
      <c r="T125" s="101" t="e">
        <f t="shared" si="240"/>
        <v>#DIV/0!</v>
      </c>
      <c r="U125" s="10"/>
      <c r="V125" s="148" t="e">
        <f t="shared" ref="V125:AE125" si="423">V25/V43</f>
        <v>#DIV/0!</v>
      </c>
      <c r="W125" s="148" t="e">
        <f t="shared" si="423"/>
        <v>#DIV/0!</v>
      </c>
      <c r="X125" s="148" t="e">
        <f t="shared" si="423"/>
        <v>#DIV/0!</v>
      </c>
      <c r="Y125" s="148" t="e">
        <f t="shared" si="423"/>
        <v>#DIV/0!</v>
      </c>
      <c r="Z125" s="148" t="e">
        <f t="shared" si="423"/>
        <v>#DIV/0!</v>
      </c>
      <c r="AA125" s="148" t="e">
        <f t="shared" si="423"/>
        <v>#DIV/0!</v>
      </c>
      <c r="AB125" s="148" t="e">
        <f t="shared" si="423"/>
        <v>#DIV/0!</v>
      </c>
      <c r="AC125" s="148" t="e">
        <f t="shared" si="423"/>
        <v>#DIV/0!</v>
      </c>
      <c r="AD125" s="148" t="e">
        <f t="shared" si="423"/>
        <v>#DIV/0!</v>
      </c>
      <c r="AE125" s="148" t="e">
        <f t="shared" si="423"/>
        <v>#DIV/0!</v>
      </c>
      <c r="AF125" s="116" t="e">
        <f t="shared" si="420"/>
        <v>#DIV/0!</v>
      </c>
      <c r="AG125" s="124"/>
      <c r="AH125" s="124"/>
    </row>
    <row r="126" spans="1:34" ht="12" customHeight="1">
      <c r="A126" s="300"/>
      <c r="B126" s="179" t="s">
        <v>433</v>
      </c>
      <c r="C126" s="129"/>
      <c r="D126" s="129"/>
      <c r="E126" s="129"/>
      <c r="F126" s="129"/>
      <c r="G126" s="148" t="e">
        <f t="shared" ref="G126:H126" si="424">G43/(G36)</f>
        <v>#DIV/0!</v>
      </c>
      <c r="H126" s="148" t="e">
        <f t="shared" si="424"/>
        <v>#DIV/0!</v>
      </c>
      <c r="I126" s="148" t="e">
        <f t="shared" ref="I126:S126" si="425">I43/(I36)</f>
        <v>#DIV/0!</v>
      </c>
      <c r="J126" s="148" t="e">
        <f t="shared" si="425"/>
        <v>#DIV/0!</v>
      </c>
      <c r="K126" s="148" t="e">
        <f t="shared" si="425"/>
        <v>#DIV/0!</v>
      </c>
      <c r="L126" s="148" t="e">
        <f t="shared" si="425"/>
        <v>#DIV/0!</v>
      </c>
      <c r="M126" s="148" t="e">
        <f t="shared" si="425"/>
        <v>#DIV/0!</v>
      </c>
      <c r="N126" s="148" t="e">
        <f t="shared" si="425"/>
        <v>#DIV/0!</v>
      </c>
      <c r="O126" s="148" t="e">
        <f t="shared" si="425"/>
        <v>#DIV/0!</v>
      </c>
      <c r="P126" s="148" t="e">
        <f t="shared" si="425"/>
        <v>#DIV/0!</v>
      </c>
      <c r="Q126" s="148" t="e">
        <f t="shared" si="425"/>
        <v>#DIV/0!</v>
      </c>
      <c r="R126" s="148" t="e">
        <f t="shared" si="425"/>
        <v>#DIV/0!</v>
      </c>
      <c r="S126" s="148" t="e">
        <f t="shared" si="425"/>
        <v>#DIV/0!</v>
      </c>
      <c r="T126" s="101" t="e">
        <f t="shared" si="240"/>
        <v>#DIV/0!</v>
      </c>
      <c r="U126" s="10"/>
      <c r="V126" s="148" t="e">
        <f t="shared" ref="V126:AE126" si="426">V43/(V36+V38)</f>
        <v>#DIV/0!</v>
      </c>
      <c r="W126" s="148" t="e">
        <f t="shared" si="426"/>
        <v>#DIV/0!</v>
      </c>
      <c r="X126" s="148" t="e">
        <f t="shared" si="426"/>
        <v>#DIV/0!</v>
      </c>
      <c r="Y126" s="148" t="e">
        <f t="shared" si="426"/>
        <v>#DIV/0!</v>
      </c>
      <c r="Z126" s="148" t="e">
        <f t="shared" si="426"/>
        <v>#DIV/0!</v>
      </c>
      <c r="AA126" s="148" t="e">
        <f t="shared" si="426"/>
        <v>#DIV/0!</v>
      </c>
      <c r="AB126" s="148" t="e">
        <f t="shared" si="426"/>
        <v>#DIV/0!</v>
      </c>
      <c r="AC126" s="148" t="e">
        <f t="shared" si="426"/>
        <v>#DIV/0!</v>
      </c>
      <c r="AD126" s="148" t="e">
        <f t="shared" si="426"/>
        <v>#DIV/0!</v>
      </c>
      <c r="AE126" s="148" t="e">
        <f t="shared" si="426"/>
        <v>#DIV/0!</v>
      </c>
      <c r="AF126" s="116" t="e">
        <f t="shared" si="420"/>
        <v>#DIV/0!</v>
      </c>
      <c r="AG126" s="124"/>
      <c r="AH126" s="124"/>
    </row>
    <row r="127" spans="1:34" ht="12" customHeight="1">
      <c r="A127" s="300"/>
      <c r="B127" s="179" t="s">
        <v>431</v>
      </c>
      <c r="C127" s="129"/>
      <c r="D127" s="129"/>
      <c r="E127" s="129"/>
      <c r="F127" s="129"/>
      <c r="G127" s="148" t="e">
        <f t="shared" ref="G127:H127" si="427">G43/G38</f>
        <v>#DIV/0!</v>
      </c>
      <c r="H127" s="148" t="e">
        <f t="shared" si="427"/>
        <v>#DIV/0!</v>
      </c>
      <c r="I127" s="148" t="e">
        <f t="shared" ref="I127:S127" si="428">I43/I38</f>
        <v>#DIV/0!</v>
      </c>
      <c r="J127" s="148" t="e">
        <f t="shared" si="428"/>
        <v>#DIV/0!</v>
      </c>
      <c r="K127" s="148" t="e">
        <f t="shared" si="428"/>
        <v>#DIV/0!</v>
      </c>
      <c r="L127" s="148" t="e">
        <f t="shared" si="428"/>
        <v>#DIV/0!</v>
      </c>
      <c r="M127" s="148" t="e">
        <f t="shared" si="428"/>
        <v>#DIV/0!</v>
      </c>
      <c r="N127" s="148" t="e">
        <f t="shared" si="428"/>
        <v>#DIV/0!</v>
      </c>
      <c r="O127" s="148" t="e">
        <f t="shared" si="428"/>
        <v>#DIV/0!</v>
      </c>
      <c r="P127" s="148" t="e">
        <f t="shared" si="428"/>
        <v>#DIV/0!</v>
      </c>
      <c r="Q127" s="148" t="e">
        <f t="shared" si="428"/>
        <v>#DIV/0!</v>
      </c>
      <c r="R127" s="148" t="e">
        <f t="shared" si="428"/>
        <v>#DIV/0!</v>
      </c>
      <c r="S127" s="148" t="e">
        <f t="shared" si="428"/>
        <v>#DIV/0!</v>
      </c>
      <c r="T127" s="101" t="e">
        <f t="shared" si="240"/>
        <v>#DIV/0!</v>
      </c>
      <c r="U127" s="10"/>
      <c r="V127" s="148" t="e">
        <f t="shared" ref="V127:AE127" si="429">V43/V38</f>
        <v>#DIV/0!</v>
      </c>
      <c r="W127" s="148" t="e">
        <f t="shared" si="429"/>
        <v>#DIV/0!</v>
      </c>
      <c r="X127" s="148" t="e">
        <f t="shared" si="429"/>
        <v>#DIV/0!</v>
      </c>
      <c r="Y127" s="148" t="e">
        <f t="shared" si="429"/>
        <v>#DIV/0!</v>
      </c>
      <c r="Z127" s="148" t="e">
        <f t="shared" si="429"/>
        <v>#DIV/0!</v>
      </c>
      <c r="AA127" s="148" t="e">
        <f t="shared" si="429"/>
        <v>#DIV/0!</v>
      </c>
      <c r="AB127" s="148" t="e">
        <f t="shared" si="429"/>
        <v>#DIV/0!</v>
      </c>
      <c r="AC127" s="148" t="e">
        <f t="shared" si="429"/>
        <v>#DIV/0!</v>
      </c>
      <c r="AD127" s="148" t="e">
        <f t="shared" si="429"/>
        <v>#DIV/0!</v>
      </c>
      <c r="AE127" s="148" t="e">
        <f t="shared" si="429"/>
        <v>#DIV/0!</v>
      </c>
      <c r="AF127" s="116" t="e">
        <f t="shared" si="420"/>
        <v>#DIV/0!</v>
      </c>
      <c r="AG127" s="124"/>
      <c r="AH127" s="124"/>
    </row>
    <row r="128" spans="1:34" ht="12" customHeight="1">
      <c r="A128" s="300"/>
      <c r="B128" s="179" t="s">
        <v>430</v>
      </c>
      <c r="C128" s="129"/>
      <c r="D128" s="129"/>
      <c r="E128" s="129"/>
      <c r="F128" s="129"/>
      <c r="G128" s="148" t="e">
        <f t="shared" ref="G128:H128" si="430">G43/(G36+G38)</f>
        <v>#DIV/0!</v>
      </c>
      <c r="H128" s="148" t="e">
        <f t="shared" si="430"/>
        <v>#DIV/0!</v>
      </c>
      <c r="I128" s="148" t="e">
        <f t="shared" ref="I128:S128" si="431">I43/(I36+I38)</f>
        <v>#DIV/0!</v>
      </c>
      <c r="J128" s="148" t="e">
        <f t="shared" si="431"/>
        <v>#DIV/0!</v>
      </c>
      <c r="K128" s="148" t="e">
        <f t="shared" si="431"/>
        <v>#DIV/0!</v>
      </c>
      <c r="L128" s="148" t="e">
        <f t="shared" si="431"/>
        <v>#DIV/0!</v>
      </c>
      <c r="M128" s="148" t="e">
        <f t="shared" si="431"/>
        <v>#DIV/0!</v>
      </c>
      <c r="N128" s="148" t="e">
        <f t="shared" si="431"/>
        <v>#DIV/0!</v>
      </c>
      <c r="O128" s="148" t="e">
        <f t="shared" si="431"/>
        <v>#DIV/0!</v>
      </c>
      <c r="P128" s="148" t="e">
        <f t="shared" si="431"/>
        <v>#DIV/0!</v>
      </c>
      <c r="Q128" s="148" t="e">
        <f t="shared" si="431"/>
        <v>#DIV/0!</v>
      </c>
      <c r="R128" s="148" t="e">
        <f t="shared" si="431"/>
        <v>#DIV/0!</v>
      </c>
      <c r="S128" s="148" t="e">
        <f t="shared" si="431"/>
        <v>#DIV/0!</v>
      </c>
      <c r="T128" s="101" t="e">
        <f t="shared" si="240"/>
        <v>#DIV/0!</v>
      </c>
      <c r="U128" s="10"/>
      <c r="V128" s="148" t="e">
        <f t="shared" ref="V128:AE128" si="432">V43/(V36+V38)</f>
        <v>#DIV/0!</v>
      </c>
      <c r="W128" s="148" t="e">
        <f t="shared" si="432"/>
        <v>#DIV/0!</v>
      </c>
      <c r="X128" s="148" t="e">
        <f t="shared" si="432"/>
        <v>#DIV/0!</v>
      </c>
      <c r="Y128" s="148" t="e">
        <f t="shared" si="432"/>
        <v>#DIV/0!</v>
      </c>
      <c r="Z128" s="148" t="e">
        <f t="shared" si="432"/>
        <v>#DIV/0!</v>
      </c>
      <c r="AA128" s="148" t="e">
        <f t="shared" si="432"/>
        <v>#DIV/0!</v>
      </c>
      <c r="AB128" s="148" t="e">
        <f t="shared" si="432"/>
        <v>#DIV/0!</v>
      </c>
      <c r="AC128" s="148" t="e">
        <f t="shared" si="432"/>
        <v>#DIV/0!</v>
      </c>
      <c r="AD128" s="148" t="e">
        <f t="shared" si="432"/>
        <v>#DIV/0!</v>
      </c>
      <c r="AE128" s="148" t="e">
        <f t="shared" si="432"/>
        <v>#DIV/0!</v>
      </c>
      <c r="AF128" s="116" t="e">
        <f>((AE128/I128)^(1/($AE$3-$J$1) ))-1</f>
        <v>#DIV/0!</v>
      </c>
      <c r="AG128" s="124"/>
      <c r="AH128" s="124"/>
    </row>
    <row r="129" spans="1:34" ht="12" customHeight="1">
      <c r="A129" s="300"/>
      <c r="B129" s="179" t="s">
        <v>436</v>
      </c>
      <c r="C129" s="129"/>
      <c r="D129" s="129"/>
      <c r="E129" s="129"/>
      <c r="F129" s="129"/>
      <c r="G129" s="148">
        <f t="shared" ref="G129:H129" si="433">G47/G25</f>
        <v>0</v>
      </c>
      <c r="H129" s="148">
        <f t="shared" si="433"/>
        <v>0</v>
      </c>
      <c r="I129" s="148">
        <f t="shared" ref="I129:S129" si="434">I47/I25</f>
        <v>0</v>
      </c>
      <c r="J129" s="148">
        <f t="shared" si="434"/>
        <v>0</v>
      </c>
      <c r="K129" s="148">
        <f t="shared" si="434"/>
        <v>0</v>
      </c>
      <c r="L129" s="148">
        <f t="shared" si="434"/>
        <v>0</v>
      </c>
      <c r="M129" s="148">
        <f t="shared" si="434"/>
        <v>0</v>
      </c>
      <c r="N129" s="148">
        <f t="shared" si="434"/>
        <v>0</v>
      </c>
      <c r="O129" s="148">
        <f t="shared" si="434"/>
        <v>0</v>
      </c>
      <c r="P129" s="148">
        <f t="shared" si="434"/>
        <v>0</v>
      </c>
      <c r="Q129" s="148">
        <f t="shared" si="434"/>
        <v>0</v>
      </c>
      <c r="R129" s="148">
        <f t="shared" si="434"/>
        <v>0</v>
      </c>
      <c r="S129" s="148">
        <f t="shared" si="434"/>
        <v>0</v>
      </c>
      <c r="T129" s="101" t="e">
        <f t="shared" si="240"/>
        <v>#DIV/0!</v>
      </c>
      <c r="U129" s="10"/>
      <c r="V129" s="148">
        <f t="shared" ref="V129:AE129" si="435">V47/V25</f>
        <v>0</v>
      </c>
      <c r="W129" s="148">
        <f t="shared" si="435"/>
        <v>0</v>
      </c>
      <c r="X129" s="148">
        <f t="shared" si="435"/>
        <v>0</v>
      </c>
      <c r="Y129" s="148">
        <f t="shared" si="435"/>
        <v>0</v>
      </c>
      <c r="Z129" s="148">
        <f t="shared" si="435"/>
        <v>0</v>
      </c>
      <c r="AA129" s="148">
        <f t="shared" si="435"/>
        <v>0</v>
      </c>
      <c r="AB129" s="148">
        <f t="shared" si="435"/>
        <v>0</v>
      </c>
      <c r="AC129" s="148">
        <f t="shared" si="435"/>
        <v>0</v>
      </c>
      <c r="AD129" s="148">
        <f t="shared" si="435"/>
        <v>0</v>
      </c>
      <c r="AE129" s="148">
        <f t="shared" si="435"/>
        <v>0</v>
      </c>
      <c r="AF129" s="116" t="e">
        <f>((AE129/I129)^(1/($AE$3-$J$1) ))-1</f>
        <v>#DIV/0!</v>
      </c>
      <c r="AG129" s="124"/>
      <c r="AH129" s="124"/>
    </row>
    <row r="130" spans="1:34" ht="12" customHeight="1">
      <c r="A130" s="300"/>
      <c r="B130" s="179" t="s">
        <v>434</v>
      </c>
      <c r="C130" s="129"/>
      <c r="D130" s="129"/>
      <c r="E130" s="129"/>
      <c r="F130" s="129"/>
      <c r="G130" s="183" t="e">
        <f t="shared" ref="G130:H130" si="436">G55/G49</f>
        <v>#DIV/0!</v>
      </c>
      <c r="H130" s="183" t="e">
        <f t="shared" si="436"/>
        <v>#DIV/0!</v>
      </c>
      <c r="I130" s="183" t="e">
        <f t="shared" ref="I130:S130" si="437">I55/I49</f>
        <v>#DIV/0!</v>
      </c>
      <c r="J130" s="183" t="e">
        <f t="shared" si="437"/>
        <v>#DIV/0!</v>
      </c>
      <c r="K130" s="183" t="e">
        <f t="shared" si="437"/>
        <v>#DIV/0!</v>
      </c>
      <c r="L130" s="183" t="e">
        <f t="shared" si="437"/>
        <v>#DIV/0!</v>
      </c>
      <c r="M130" s="183" t="e">
        <f t="shared" si="437"/>
        <v>#DIV/0!</v>
      </c>
      <c r="N130" s="183" t="e">
        <f t="shared" si="437"/>
        <v>#DIV/0!</v>
      </c>
      <c r="O130" s="183" t="e">
        <f t="shared" si="437"/>
        <v>#DIV/0!</v>
      </c>
      <c r="P130" s="183" t="e">
        <f t="shared" si="437"/>
        <v>#DIV/0!</v>
      </c>
      <c r="Q130" s="183" t="e">
        <f t="shared" si="437"/>
        <v>#DIV/0!</v>
      </c>
      <c r="R130" s="183" t="e">
        <f t="shared" si="437"/>
        <v>#DIV/0!</v>
      </c>
      <c r="S130" s="183" t="e">
        <f t="shared" si="437"/>
        <v>#DIV/0!</v>
      </c>
      <c r="T130" s="101" t="e">
        <f t="shared" si="240"/>
        <v>#DIV/0!</v>
      </c>
      <c r="U130" s="10"/>
      <c r="V130" s="183" t="e">
        <f t="shared" ref="V130:AE130" si="438">V55/V49</f>
        <v>#DIV/0!</v>
      </c>
      <c r="W130" s="183" t="e">
        <f t="shared" si="438"/>
        <v>#DIV/0!</v>
      </c>
      <c r="X130" s="183" t="e">
        <f t="shared" si="438"/>
        <v>#DIV/0!</v>
      </c>
      <c r="Y130" s="183" t="e">
        <f t="shared" si="438"/>
        <v>#DIV/0!</v>
      </c>
      <c r="Z130" s="183" t="e">
        <f t="shared" si="438"/>
        <v>#DIV/0!</v>
      </c>
      <c r="AA130" s="183" t="e">
        <f t="shared" si="438"/>
        <v>#DIV/0!</v>
      </c>
      <c r="AB130" s="183" t="e">
        <f t="shared" si="438"/>
        <v>#DIV/0!</v>
      </c>
      <c r="AC130" s="183" t="e">
        <f t="shared" si="438"/>
        <v>#DIV/0!</v>
      </c>
      <c r="AD130" s="183" t="e">
        <f t="shared" si="438"/>
        <v>#DIV/0!</v>
      </c>
      <c r="AE130" s="183" t="e">
        <f t="shared" si="438"/>
        <v>#DIV/0!</v>
      </c>
      <c r="AF130" s="116" t="e">
        <f>((AE130/I130)^(1/($AE$3-$J$1) ))-1</f>
        <v>#DIV/0!</v>
      </c>
      <c r="AG130" s="124"/>
      <c r="AH130" s="124"/>
    </row>
    <row r="131" spans="1:34" ht="12" customHeight="1">
      <c r="A131" s="300"/>
      <c r="B131" s="179" t="s">
        <v>428</v>
      </c>
      <c r="C131" s="129"/>
      <c r="D131" s="129"/>
      <c r="E131" s="129"/>
      <c r="F131" s="129"/>
      <c r="G131" s="148" t="e">
        <f t="shared" ref="G131:H131" si="439">G55/G43</f>
        <v>#DIV/0!</v>
      </c>
      <c r="H131" s="148" t="e">
        <f t="shared" si="439"/>
        <v>#DIV/0!</v>
      </c>
      <c r="I131" s="148" t="e">
        <f t="shared" ref="I131:S131" si="440">I55/I43</f>
        <v>#DIV/0!</v>
      </c>
      <c r="J131" s="148" t="e">
        <f t="shared" si="440"/>
        <v>#DIV/0!</v>
      </c>
      <c r="K131" s="148" t="e">
        <f t="shared" si="440"/>
        <v>#DIV/0!</v>
      </c>
      <c r="L131" s="148" t="e">
        <f t="shared" si="440"/>
        <v>#DIV/0!</v>
      </c>
      <c r="M131" s="148" t="e">
        <f t="shared" si="440"/>
        <v>#DIV/0!</v>
      </c>
      <c r="N131" s="148" t="e">
        <f t="shared" si="440"/>
        <v>#DIV/0!</v>
      </c>
      <c r="O131" s="148" t="e">
        <f t="shared" si="440"/>
        <v>#DIV/0!</v>
      </c>
      <c r="P131" s="148" t="e">
        <f t="shared" si="440"/>
        <v>#DIV/0!</v>
      </c>
      <c r="Q131" s="148" t="e">
        <f t="shared" si="440"/>
        <v>#DIV/0!</v>
      </c>
      <c r="R131" s="148" t="e">
        <f t="shared" si="440"/>
        <v>#DIV/0!</v>
      </c>
      <c r="S131" s="148" t="e">
        <f t="shared" si="440"/>
        <v>#DIV/0!</v>
      </c>
      <c r="T131" s="101" t="e">
        <f t="shared" si="240"/>
        <v>#DIV/0!</v>
      </c>
      <c r="U131" s="10"/>
      <c r="V131" s="148" t="e">
        <f t="shared" ref="V131:AE131" si="441">V55/V43</f>
        <v>#DIV/0!</v>
      </c>
      <c r="W131" s="148" t="e">
        <f t="shared" si="441"/>
        <v>#DIV/0!</v>
      </c>
      <c r="X131" s="148" t="e">
        <f t="shared" si="441"/>
        <v>#DIV/0!</v>
      </c>
      <c r="Y131" s="148" t="e">
        <f t="shared" si="441"/>
        <v>#DIV/0!</v>
      </c>
      <c r="Z131" s="148" t="e">
        <f t="shared" si="441"/>
        <v>#DIV/0!</v>
      </c>
      <c r="AA131" s="148" t="e">
        <f t="shared" si="441"/>
        <v>#DIV/0!</v>
      </c>
      <c r="AB131" s="148" t="e">
        <f t="shared" si="441"/>
        <v>#DIV/0!</v>
      </c>
      <c r="AC131" s="148" t="e">
        <f t="shared" si="441"/>
        <v>#DIV/0!</v>
      </c>
      <c r="AD131" s="148" t="e">
        <f t="shared" si="441"/>
        <v>#DIV/0!</v>
      </c>
      <c r="AE131" s="148" t="e">
        <f t="shared" si="441"/>
        <v>#DIV/0!</v>
      </c>
      <c r="AF131" s="116" t="e">
        <f t="shared" si="420"/>
        <v>#DIV/0!</v>
      </c>
      <c r="AG131" s="124"/>
      <c r="AH131" s="124"/>
    </row>
    <row r="132" spans="1:34" ht="12" customHeight="1">
      <c r="A132" s="300"/>
      <c r="B132" s="179" t="s">
        <v>429</v>
      </c>
      <c r="C132" s="129"/>
      <c r="D132" s="129"/>
      <c r="E132" s="129"/>
      <c r="F132" s="129"/>
      <c r="G132" s="148" t="e">
        <f t="shared" ref="G132:H132" si="442">G55/(G36+G38)</f>
        <v>#DIV/0!</v>
      </c>
      <c r="H132" s="148" t="e">
        <f t="shared" si="442"/>
        <v>#DIV/0!</v>
      </c>
      <c r="I132" s="148" t="e">
        <f t="shared" ref="I132:S132" si="443">I55/(I36+I38)</f>
        <v>#DIV/0!</v>
      </c>
      <c r="J132" s="148" t="e">
        <f t="shared" si="443"/>
        <v>#DIV/0!</v>
      </c>
      <c r="K132" s="148" t="e">
        <f t="shared" si="443"/>
        <v>#DIV/0!</v>
      </c>
      <c r="L132" s="148" t="e">
        <f t="shared" si="443"/>
        <v>#DIV/0!</v>
      </c>
      <c r="M132" s="148" t="e">
        <f t="shared" si="443"/>
        <v>#DIV/0!</v>
      </c>
      <c r="N132" s="148" t="e">
        <f t="shared" si="443"/>
        <v>#DIV/0!</v>
      </c>
      <c r="O132" s="148" t="e">
        <f t="shared" si="443"/>
        <v>#DIV/0!</v>
      </c>
      <c r="P132" s="148" t="e">
        <f t="shared" si="443"/>
        <v>#DIV/0!</v>
      </c>
      <c r="Q132" s="148" t="e">
        <f t="shared" si="443"/>
        <v>#DIV/0!</v>
      </c>
      <c r="R132" s="148" t="e">
        <f t="shared" si="443"/>
        <v>#DIV/0!</v>
      </c>
      <c r="S132" s="148" t="e">
        <f t="shared" si="443"/>
        <v>#DIV/0!</v>
      </c>
      <c r="T132" s="101" t="e">
        <f t="shared" si="240"/>
        <v>#DIV/0!</v>
      </c>
      <c r="U132" s="10"/>
      <c r="V132" s="148" t="e">
        <f t="shared" ref="V132:AE132" si="444">V55/(V36+V38)</f>
        <v>#DIV/0!</v>
      </c>
      <c r="W132" s="148" t="e">
        <f t="shared" si="444"/>
        <v>#DIV/0!</v>
      </c>
      <c r="X132" s="148" t="e">
        <f t="shared" si="444"/>
        <v>#DIV/0!</v>
      </c>
      <c r="Y132" s="148" t="e">
        <f t="shared" si="444"/>
        <v>#DIV/0!</v>
      </c>
      <c r="Z132" s="148" t="e">
        <f t="shared" si="444"/>
        <v>#DIV/0!</v>
      </c>
      <c r="AA132" s="148" t="e">
        <f t="shared" si="444"/>
        <v>#DIV/0!</v>
      </c>
      <c r="AB132" s="148" t="e">
        <f t="shared" si="444"/>
        <v>#DIV/0!</v>
      </c>
      <c r="AC132" s="148" t="e">
        <f t="shared" si="444"/>
        <v>#DIV/0!</v>
      </c>
      <c r="AD132" s="148" t="e">
        <f t="shared" si="444"/>
        <v>#DIV/0!</v>
      </c>
      <c r="AE132" s="148" t="e">
        <f t="shared" si="444"/>
        <v>#DIV/0!</v>
      </c>
      <c r="AF132" s="116" t="e">
        <f t="shared" si="420"/>
        <v>#DIV/0!</v>
      </c>
      <c r="AG132" s="124"/>
      <c r="AH132" s="124"/>
    </row>
    <row r="133" spans="1:34" ht="12" customHeight="1">
      <c r="B133" s="10"/>
      <c r="C133" s="129"/>
      <c r="D133" s="129"/>
      <c r="E133" s="129"/>
      <c r="F133" s="129"/>
      <c r="G133" s="148"/>
      <c r="H133" s="148"/>
      <c r="I133" s="148"/>
      <c r="J133" s="148"/>
      <c r="K133" s="148"/>
      <c r="L133" s="148"/>
      <c r="M133" s="148"/>
      <c r="N133" s="148"/>
      <c r="O133" s="148"/>
      <c r="P133" s="148"/>
      <c r="Q133" s="148"/>
      <c r="R133" s="148"/>
      <c r="S133" s="148"/>
      <c r="T133" s="110"/>
      <c r="U133" s="10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81"/>
      <c r="AG133" s="124"/>
      <c r="AH133" s="124"/>
    </row>
    <row r="134" spans="1:34">
      <c r="B134" s="10" t="s">
        <v>271</v>
      </c>
      <c r="C134" s="129"/>
      <c r="D134" s="129"/>
      <c r="E134" s="129"/>
      <c r="F134" s="129"/>
      <c r="G134" s="140">
        <f t="shared" ref="G134:H134" si="445">G10-(G12+G13)</f>
        <v>193</v>
      </c>
      <c r="H134" s="140">
        <f t="shared" si="445"/>
        <v>168</v>
      </c>
      <c r="I134" s="140">
        <f t="shared" ref="I134:S134" si="446">I10-(I12+I13)</f>
        <v>22</v>
      </c>
      <c r="J134" s="140">
        <f t="shared" si="446"/>
        <v>99</v>
      </c>
      <c r="K134" s="140">
        <f t="shared" si="446"/>
        <v>113</v>
      </c>
      <c r="L134" s="140">
        <f t="shared" si="446"/>
        <v>47</v>
      </c>
      <c r="M134" s="140">
        <f t="shared" si="446"/>
        <v>-733</v>
      </c>
      <c r="N134" s="140">
        <f t="shared" si="446"/>
        <v>-780</v>
      </c>
      <c r="O134" s="140">
        <f t="shared" si="446"/>
        <v>-1029</v>
      </c>
      <c r="P134" s="140">
        <f t="shared" si="446"/>
        <v>-6999</v>
      </c>
      <c r="Q134" s="140">
        <f t="shared" si="446"/>
        <v>-8201</v>
      </c>
      <c r="R134" s="140">
        <f t="shared" si="446"/>
        <v>-6501</v>
      </c>
      <c r="S134" s="140">
        <f t="shared" si="446"/>
        <v>-8430</v>
      </c>
      <c r="T134" s="101" t="e">
        <f t="shared" si="240"/>
        <v>#NUM!</v>
      </c>
      <c r="U134" s="10"/>
      <c r="V134" s="140">
        <f t="shared" ref="V134:AE134" si="447">V10-(V12+V13)</f>
        <v>-9694.5</v>
      </c>
      <c r="W134" s="140">
        <f t="shared" si="447"/>
        <v>-11148.674999999997</v>
      </c>
      <c r="X134" s="140">
        <f t="shared" si="447"/>
        <v>-12820.976249999996</v>
      </c>
      <c r="Y134" s="140">
        <f t="shared" si="447"/>
        <v>-14744.122687499996</v>
      </c>
      <c r="Z134" s="140">
        <f t="shared" si="447"/>
        <v>-16955.741090624993</v>
      </c>
      <c r="AA134" s="140">
        <f t="shared" si="447"/>
        <v>-19499.102254218738</v>
      </c>
      <c r="AB134" s="140">
        <f t="shared" si="447"/>
        <v>-22423.967592351553</v>
      </c>
      <c r="AC134" s="140">
        <f t="shared" si="447"/>
        <v>-25787.562731204285</v>
      </c>
      <c r="AD134" s="140">
        <f t="shared" si="447"/>
        <v>-29655.697140884924</v>
      </c>
      <c r="AE134" s="140">
        <f t="shared" si="447"/>
        <v>-34104.051712017652</v>
      </c>
      <c r="AF134" s="116">
        <f t="shared" si="355"/>
        <v>-2.4188059926945082</v>
      </c>
      <c r="AG134" s="124"/>
      <c r="AH134" s="124"/>
    </row>
    <row r="135" spans="1:34" ht="12" customHeight="1">
      <c r="B135" s="10" t="s">
        <v>266</v>
      </c>
      <c r="C135" s="10"/>
      <c r="D135" s="10"/>
      <c r="E135" s="10"/>
      <c r="F135" s="10"/>
      <c r="G135" s="129">
        <f t="shared" ref="G135:H135" si="448">G55/G18</f>
        <v>0.15226337448559671</v>
      </c>
      <c r="H135" s="129">
        <f t="shared" si="448"/>
        <v>0.15831663326653306</v>
      </c>
      <c r="I135" s="129">
        <f t="shared" ref="I135:S135" si="449">I55/I18</f>
        <v>0.21868365180467092</v>
      </c>
      <c r="J135" s="129">
        <f t="shared" si="449"/>
        <v>0.32443531827515398</v>
      </c>
      <c r="K135" s="129">
        <f t="shared" si="449"/>
        <v>0.42880523731587561</v>
      </c>
      <c r="L135" s="129">
        <f t="shared" si="449"/>
        <v>0.38033635187580855</v>
      </c>
      <c r="M135" s="129">
        <f t="shared" si="449"/>
        <v>0.73173803526448367</v>
      </c>
      <c r="N135" s="129">
        <f t="shared" si="449"/>
        <v>0.6814891416752844</v>
      </c>
      <c r="O135" s="129">
        <f t="shared" si="449"/>
        <v>0.42119565217391303</v>
      </c>
      <c r="P135" s="129">
        <f t="shared" si="449"/>
        <v>0.32200357781753131</v>
      </c>
      <c r="Q135" s="129">
        <f t="shared" si="449"/>
        <v>0.32558139534883723</v>
      </c>
      <c r="R135" s="129">
        <f t="shared" si="449"/>
        <v>0.35321100917431192</v>
      </c>
      <c r="S135" s="129">
        <f t="shared" si="449"/>
        <v>0.36888201957753736</v>
      </c>
      <c r="T135" s="101">
        <f t="shared" ref="T135:T167" si="450">((S135/G135)^(1/($J$2-$J$1) ))-1</f>
        <v>7.652553673272533E-2</v>
      </c>
      <c r="U135" s="10"/>
      <c r="V135" s="129">
        <f t="shared" ref="V135:AE135" si="451">V55/V18</f>
        <v>0.36888201957753741</v>
      </c>
      <c r="W135" s="129">
        <f t="shared" si="451"/>
        <v>0.36888201957753736</v>
      </c>
      <c r="X135" s="129">
        <f t="shared" si="451"/>
        <v>0.36888201957753736</v>
      </c>
      <c r="Y135" s="129">
        <f t="shared" si="451"/>
        <v>0.36888201957753736</v>
      </c>
      <c r="Z135" s="129">
        <f t="shared" si="451"/>
        <v>0.36888201957753736</v>
      </c>
      <c r="AA135" s="129">
        <f t="shared" si="451"/>
        <v>0.36888201957753741</v>
      </c>
      <c r="AB135" s="129">
        <f t="shared" si="451"/>
        <v>0.36888201957753736</v>
      </c>
      <c r="AC135" s="129">
        <f t="shared" si="451"/>
        <v>0.36888201957753741</v>
      </c>
      <c r="AD135" s="129">
        <f t="shared" si="451"/>
        <v>0.36888201957753741</v>
      </c>
      <c r="AE135" s="129">
        <f t="shared" si="451"/>
        <v>0.36888201957753741</v>
      </c>
      <c r="AF135" s="116">
        <f t="shared" si="355"/>
        <v>2.5210186824215608E-2</v>
      </c>
      <c r="AG135" s="10"/>
      <c r="AH135" s="10"/>
    </row>
    <row r="136" spans="1:34">
      <c r="B136" s="10" t="s">
        <v>267</v>
      </c>
      <c r="C136" s="10"/>
      <c r="D136" s="10"/>
      <c r="E136" s="10"/>
      <c r="F136" s="10"/>
      <c r="G136" s="129">
        <f t="shared" ref="G136:H136" si="452">G55/G25</f>
        <v>6.7272727272727276E-2</v>
      </c>
      <c r="H136" s="129">
        <f t="shared" si="452"/>
        <v>5.6428571428571425E-2</v>
      </c>
      <c r="I136" s="129">
        <f t="shared" ref="I136:S136" si="453">I55/I25</f>
        <v>6.2123039806996384E-2</v>
      </c>
      <c r="J136" s="129">
        <f t="shared" si="453"/>
        <v>6.872553284036538E-2</v>
      </c>
      <c r="K136" s="129">
        <f t="shared" si="453"/>
        <v>7.6968272620446532E-2</v>
      </c>
      <c r="L136" s="129">
        <f t="shared" si="453"/>
        <v>7.753164556962025E-2</v>
      </c>
      <c r="M136" s="129">
        <f t="shared" si="453"/>
        <v>0.12885340430250611</v>
      </c>
      <c r="N136" s="129">
        <f t="shared" si="453"/>
        <v>0.11850386621111311</v>
      </c>
      <c r="O136" s="129">
        <f t="shared" si="453"/>
        <v>8.5840871330995022E-2</v>
      </c>
      <c r="P136" s="129">
        <f t="shared" si="453"/>
        <v>8.1546360616128064E-2</v>
      </c>
      <c r="Q136" s="129">
        <f t="shared" si="453"/>
        <v>6.5069717554522705E-2</v>
      </c>
      <c r="R136" s="129">
        <f t="shared" si="453"/>
        <v>6.2103034580098804E-2</v>
      </c>
      <c r="S136" s="129">
        <f t="shared" si="453"/>
        <v>7.6381480691273734E-2</v>
      </c>
      <c r="T136" s="101">
        <f t="shared" si="450"/>
        <v>1.0638301417478013E-2</v>
      </c>
      <c r="U136" s="10"/>
      <c r="V136" s="129">
        <f t="shared" ref="V136:AE136" si="454">V55/V25</f>
        <v>7.6381480691273748E-2</v>
      </c>
      <c r="W136" s="129">
        <f t="shared" si="454"/>
        <v>7.6381480691273734E-2</v>
      </c>
      <c r="X136" s="129">
        <f t="shared" si="454"/>
        <v>7.6381480691273748E-2</v>
      </c>
      <c r="Y136" s="129">
        <f t="shared" si="454"/>
        <v>7.6381480691273748E-2</v>
      </c>
      <c r="Z136" s="129">
        <f t="shared" si="454"/>
        <v>7.6381480691273748E-2</v>
      </c>
      <c r="AA136" s="129">
        <f t="shared" si="454"/>
        <v>7.6381480691273762E-2</v>
      </c>
      <c r="AB136" s="129">
        <f t="shared" si="454"/>
        <v>7.6381480691273762E-2</v>
      </c>
      <c r="AC136" s="129">
        <f t="shared" si="454"/>
        <v>7.6381480691273762E-2</v>
      </c>
      <c r="AD136" s="129">
        <f t="shared" si="454"/>
        <v>7.6381480691273762E-2</v>
      </c>
      <c r="AE136" s="129">
        <f t="shared" si="454"/>
        <v>7.6381480691273762E-2</v>
      </c>
      <c r="AF136" s="116">
        <f t="shared" si="355"/>
        <v>9.8877706123661202E-3</v>
      </c>
      <c r="AG136" s="10"/>
      <c r="AH136" s="10"/>
    </row>
    <row r="137" spans="1:34">
      <c r="B137" s="10" t="s">
        <v>293</v>
      </c>
      <c r="C137" s="10"/>
      <c r="D137" s="10"/>
      <c r="E137" s="129"/>
      <c r="F137" s="129"/>
      <c r="G137" s="129">
        <f t="shared" ref="G137:H137" si="455">G25/G18</f>
        <v>2.263374485596708</v>
      </c>
      <c r="H137" s="129">
        <f t="shared" si="455"/>
        <v>2.8056112224448899</v>
      </c>
      <c r="I137" s="129">
        <f t="shared" ref="I137:S137" si="456">I25/I18</f>
        <v>3.5201698513800426</v>
      </c>
      <c r="J137" s="129">
        <f t="shared" si="456"/>
        <v>4.7207392197125255</v>
      </c>
      <c r="K137" s="129">
        <f t="shared" si="456"/>
        <v>5.5711947626841241</v>
      </c>
      <c r="L137" s="129">
        <f t="shared" si="456"/>
        <v>4.9055627425614485</v>
      </c>
      <c r="M137" s="129">
        <f t="shared" si="456"/>
        <v>5.6788413098236772</v>
      </c>
      <c r="N137" s="129">
        <f t="shared" si="456"/>
        <v>5.7507755946225441</v>
      </c>
      <c r="O137" s="129">
        <f t="shared" si="456"/>
        <v>4.9067028985507246</v>
      </c>
      <c r="P137" s="129">
        <f t="shared" si="456"/>
        <v>3.9487179487179489</v>
      </c>
      <c r="Q137" s="129">
        <f t="shared" si="456"/>
        <v>5.0035778175313057</v>
      </c>
      <c r="R137" s="129">
        <f t="shared" si="456"/>
        <v>5.6875</v>
      </c>
      <c r="S137" s="129">
        <f t="shared" si="456"/>
        <v>4.8294693456980937</v>
      </c>
      <c r="T137" s="101">
        <f t="shared" si="450"/>
        <v>6.519368524113589E-2</v>
      </c>
      <c r="U137" s="10"/>
      <c r="V137" s="129">
        <f t="shared" ref="V137:AE137" si="457">V25/V18</f>
        <v>4.8294693456980937</v>
      </c>
      <c r="W137" s="129">
        <f t="shared" si="457"/>
        <v>4.8294693456980937</v>
      </c>
      <c r="X137" s="129">
        <f t="shared" si="457"/>
        <v>4.8294693456980937</v>
      </c>
      <c r="Y137" s="129">
        <f t="shared" si="457"/>
        <v>4.8294693456980928</v>
      </c>
      <c r="Z137" s="129">
        <f t="shared" si="457"/>
        <v>4.8294693456980928</v>
      </c>
      <c r="AA137" s="129">
        <f t="shared" si="457"/>
        <v>4.8294693456980928</v>
      </c>
      <c r="AB137" s="129">
        <f t="shared" si="457"/>
        <v>4.8294693456980928</v>
      </c>
      <c r="AC137" s="129">
        <f t="shared" si="457"/>
        <v>4.8294693456980928</v>
      </c>
      <c r="AD137" s="129">
        <f t="shared" si="457"/>
        <v>4.8294693456980928</v>
      </c>
      <c r="AE137" s="129">
        <f t="shared" si="457"/>
        <v>4.8294693456980928</v>
      </c>
      <c r="AF137" s="116">
        <f t="shared" si="355"/>
        <v>1.5172395049955378E-2</v>
      </c>
      <c r="AG137" s="10"/>
      <c r="AH137" s="10"/>
    </row>
    <row r="138" spans="1:34">
      <c r="B138" s="10"/>
      <c r="C138" s="10"/>
      <c r="D138" s="10"/>
      <c r="E138" s="10"/>
      <c r="F138" s="10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10"/>
      <c r="U138" s="10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10"/>
      <c r="AG138" s="10"/>
      <c r="AH138" s="10"/>
    </row>
    <row r="139" spans="1:34">
      <c r="B139" s="10" t="s">
        <v>279</v>
      </c>
      <c r="C139" s="10"/>
      <c r="D139" s="10"/>
      <c r="E139" s="142"/>
      <c r="F139" s="142"/>
      <c r="G139" s="142">
        <f t="shared" ref="G139:H139" si="458">G88*G57</f>
        <v>28.48</v>
      </c>
      <c r="H139" s="142">
        <f t="shared" si="458"/>
        <v>18.75</v>
      </c>
      <c r="I139" s="142">
        <f t="shared" ref="I139:S139" si="459">I88*I57</f>
        <v>22.5</v>
      </c>
      <c r="J139" s="142">
        <f t="shared" si="459"/>
        <v>26.25</v>
      </c>
      <c r="K139" s="142">
        <f t="shared" si="459"/>
        <v>32</v>
      </c>
      <c r="L139" s="142">
        <f t="shared" si="459"/>
        <v>48</v>
      </c>
      <c r="M139" s="142">
        <f t="shared" si="459"/>
        <v>85</v>
      </c>
      <c r="N139" s="142">
        <f t="shared" si="459"/>
        <v>127.5</v>
      </c>
      <c r="O139" s="142">
        <f t="shared" si="459"/>
        <v>127.5</v>
      </c>
      <c r="P139" s="142">
        <f t="shared" si="459"/>
        <v>136</v>
      </c>
      <c r="Q139" s="142">
        <f t="shared" si="459"/>
        <v>153</v>
      </c>
      <c r="R139" s="142">
        <f t="shared" si="459"/>
        <v>187.00000000000003</v>
      </c>
      <c r="S139" s="142">
        <f t="shared" si="459"/>
        <v>204</v>
      </c>
      <c r="T139" s="101">
        <f t="shared" si="450"/>
        <v>0.17830444283315861</v>
      </c>
      <c r="U139" s="10"/>
      <c r="V139" s="142">
        <f t="shared" ref="V139:AE139" si="460">V88*V57</f>
        <v>218.48400000000001</v>
      </c>
      <c r="W139" s="142">
        <f t="shared" si="460"/>
        <v>233.99636400000003</v>
      </c>
      <c r="X139" s="142">
        <f t="shared" si="460"/>
        <v>250.61010584400006</v>
      </c>
      <c r="Y139" s="142">
        <f t="shared" si="460"/>
        <v>268.4034233589241</v>
      </c>
      <c r="Z139" s="142">
        <f t="shared" si="460"/>
        <v>287.46006641740775</v>
      </c>
      <c r="AA139" s="142">
        <f t="shared" si="460"/>
        <v>307.86973113304373</v>
      </c>
      <c r="AB139" s="142">
        <f t="shared" si="460"/>
        <v>329.72848204348986</v>
      </c>
      <c r="AC139" s="142">
        <f t="shared" si="460"/>
        <v>353.13920426857766</v>
      </c>
      <c r="AD139" s="142">
        <f t="shared" si="460"/>
        <v>378.21208777164668</v>
      </c>
      <c r="AE139" s="142">
        <f t="shared" si="460"/>
        <v>405.0651460034336</v>
      </c>
      <c r="AF139" s="116">
        <f t="shared" si="355"/>
        <v>0.14756741363184589</v>
      </c>
      <c r="AG139" s="10"/>
      <c r="AH139" s="10"/>
    </row>
    <row r="140" spans="1:34">
      <c r="B140" s="10" t="s">
        <v>280</v>
      </c>
      <c r="C140" s="10"/>
      <c r="D140" s="10"/>
      <c r="E140" s="142"/>
      <c r="F140" s="142"/>
      <c r="G140" s="142">
        <f t="shared" ref="G140:H140" si="461">(G139*0.17)+G139</f>
        <v>33.321600000000004</v>
      </c>
      <c r="H140" s="142">
        <f t="shared" si="461"/>
        <v>21.9375</v>
      </c>
      <c r="I140" s="142">
        <f t="shared" ref="I140:R140" si="462">(I139*0.17)+I139</f>
        <v>26.324999999999999</v>
      </c>
      <c r="J140" s="142">
        <f t="shared" si="462"/>
        <v>30.712499999999999</v>
      </c>
      <c r="K140" s="142">
        <f t="shared" si="462"/>
        <v>37.44</v>
      </c>
      <c r="L140" s="142">
        <f t="shared" si="462"/>
        <v>56.16</v>
      </c>
      <c r="M140" s="142">
        <f t="shared" si="462"/>
        <v>99.45</v>
      </c>
      <c r="N140" s="142">
        <f t="shared" si="462"/>
        <v>149.17500000000001</v>
      </c>
      <c r="O140" s="142">
        <f t="shared" si="462"/>
        <v>149.17500000000001</v>
      </c>
      <c r="P140" s="142">
        <f t="shared" si="462"/>
        <v>159.12</v>
      </c>
      <c r="Q140" s="142">
        <f t="shared" si="462"/>
        <v>179.01</v>
      </c>
      <c r="R140" s="142">
        <f t="shared" si="462"/>
        <v>218.79000000000002</v>
      </c>
      <c r="S140" s="142">
        <f t="shared" ref="S140" si="463">(S139*0.17)+S139</f>
        <v>238.68</v>
      </c>
      <c r="T140" s="101">
        <f t="shared" si="450"/>
        <v>0.17830444283315861</v>
      </c>
      <c r="U140" s="10"/>
      <c r="V140" s="142">
        <f t="shared" ref="V140:AE140" si="464">(V139*0.17)+V139</f>
        <v>255.62628000000001</v>
      </c>
      <c r="W140" s="142">
        <f t="shared" si="464"/>
        <v>273.77574588000004</v>
      </c>
      <c r="X140" s="142">
        <f t="shared" si="464"/>
        <v>293.21382383748005</v>
      </c>
      <c r="Y140" s="142">
        <f t="shared" si="464"/>
        <v>314.03200532994117</v>
      </c>
      <c r="Z140" s="142">
        <f t="shared" si="464"/>
        <v>336.32827770836707</v>
      </c>
      <c r="AA140" s="142">
        <f t="shared" si="464"/>
        <v>360.20758542566114</v>
      </c>
      <c r="AB140" s="142">
        <f t="shared" si="464"/>
        <v>385.78232399088313</v>
      </c>
      <c r="AC140" s="142">
        <f t="shared" si="464"/>
        <v>413.17286899423584</v>
      </c>
      <c r="AD140" s="142">
        <f t="shared" si="464"/>
        <v>442.5081426928266</v>
      </c>
      <c r="AE140" s="142">
        <f t="shared" si="464"/>
        <v>473.92622082401732</v>
      </c>
      <c r="AF140" s="116">
        <f t="shared" si="355"/>
        <v>0.14756741363184589</v>
      </c>
      <c r="AG140" s="10"/>
      <c r="AH140" s="10"/>
    </row>
    <row r="141" spans="1:34">
      <c r="B141" s="10" t="s">
        <v>281</v>
      </c>
      <c r="C141" s="10"/>
      <c r="D141" s="10"/>
      <c r="E141" s="10"/>
      <c r="F141" s="10"/>
      <c r="G141" s="129">
        <f t="shared" ref="G141:H141" si="465">G140/G55</f>
        <v>0.45029189189189195</v>
      </c>
      <c r="H141" s="129">
        <f t="shared" si="465"/>
        <v>0.2776898734177215</v>
      </c>
      <c r="I141" s="129">
        <f t="shared" ref="I141:S141" si="466">I140/I55</f>
        <v>0.25558252427184464</v>
      </c>
      <c r="J141" s="129">
        <f t="shared" si="466"/>
        <v>0.19438291139240504</v>
      </c>
      <c r="K141" s="129">
        <f t="shared" si="466"/>
        <v>0.1429007633587786</v>
      </c>
      <c r="L141" s="129">
        <f t="shared" si="466"/>
        <v>0.19102040816326529</v>
      </c>
      <c r="M141" s="129">
        <f t="shared" si="466"/>
        <v>0.17117039586919106</v>
      </c>
      <c r="N141" s="129">
        <f t="shared" si="466"/>
        <v>0.22636570561456754</v>
      </c>
      <c r="O141" s="129">
        <f t="shared" si="466"/>
        <v>0.32080645161290328</v>
      </c>
      <c r="P141" s="129">
        <f t="shared" si="466"/>
        <v>0.29466666666666669</v>
      </c>
      <c r="Q141" s="129">
        <f t="shared" si="466"/>
        <v>0.32785714285714285</v>
      </c>
      <c r="R141" s="129">
        <f t="shared" si="466"/>
        <v>0.35517857142857145</v>
      </c>
      <c r="S141" s="129">
        <f t="shared" si="466"/>
        <v>0.33335195530726258</v>
      </c>
      <c r="T141" s="101">
        <f t="shared" si="450"/>
        <v>-2.4746749105300059E-2</v>
      </c>
      <c r="U141" s="10"/>
      <c r="V141" s="129">
        <f t="shared" ref="V141:AE141" si="467">V140/V55</f>
        <v>0.31045212533398109</v>
      </c>
      <c r="W141" s="129">
        <f t="shared" si="467"/>
        <v>0.28912541411538595</v>
      </c>
      <c r="X141" s="129">
        <f t="shared" si="467"/>
        <v>0.26926375523267682</v>
      </c>
      <c r="Y141" s="129">
        <f t="shared" si="467"/>
        <v>0.25076650596017125</v>
      </c>
      <c r="Z141" s="129">
        <f t="shared" si="467"/>
        <v>0.23353993728986391</v>
      </c>
      <c r="AA141" s="129">
        <f t="shared" si="467"/>
        <v>0.21749675898908197</v>
      </c>
      <c r="AB141" s="129">
        <f t="shared" si="467"/>
        <v>0.20255567728461463</v>
      </c>
      <c r="AC141" s="129">
        <f t="shared" si="467"/>
        <v>0.18864098293201939</v>
      </c>
      <c r="AD141" s="129">
        <f t="shared" si="467"/>
        <v>0.17568216758277633</v>
      </c>
      <c r="AE141" s="129">
        <f t="shared" si="467"/>
        <v>0.16361356650535083</v>
      </c>
      <c r="AF141" s="116">
        <f t="shared" si="355"/>
        <v>-2.1015926695048148E-2</v>
      </c>
      <c r="AG141" s="10"/>
      <c r="AH141" s="10"/>
    </row>
    <row r="142" spans="1:34">
      <c r="B142" s="10" t="s">
        <v>274</v>
      </c>
      <c r="C142" s="10"/>
      <c r="D142" s="10"/>
      <c r="E142" s="10"/>
      <c r="F142" s="10"/>
      <c r="G142" s="129">
        <f t="shared" ref="G142:H142" si="468">1-G141</f>
        <v>0.54970810810810811</v>
      </c>
      <c r="H142" s="129">
        <f t="shared" si="468"/>
        <v>0.72231012658227844</v>
      </c>
      <c r="I142" s="129">
        <f>1-I141</f>
        <v>0.74441747572815542</v>
      </c>
      <c r="J142" s="129">
        <f t="shared" ref="J142:R142" si="469">1-J141</f>
        <v>0.80561708860759496</v>
      </c>
      <c r="K142" s="129">
        <f t="shared" si="469"/>
        <v>0.85709923664122134</v>
      </c>
      <c r="L142" s="129">
        <f t="shared" si="469"/>
        <v>0.80897959183673473</v>
      </c>
      <c r="M142" s="129">
        <f t="shared" si="469"/>
        <v>0.82882960413080897</v>
      </c>
      <c r="N142" s="129">
        <f t="shared" si="469"/>
        <v>0.77363429438543241</v>
      </c>
      <c r="O142" s="129">
        <f t="shared" si="469"/>
        <v>0.67919354838709678</v>
      </c>
      <c r="P142" s="129">
        <f t="shared" si="469"/>
        <v>0.70533333333333337</v>
      </c>
      <c r="Q142" s="129">
        <f t="shared" si="469"/>
        <v>0.67214285714285715</v>
      </c>
      <c r="R142" s="129">
        <f t="shared" si="469"/>
        <v>0.64482142857142855</v>
      </c>
      <c r="S142" s="129">
        <f t="shared" ref="S142" si="470">1-S141</f>
        <v>0.66664804469273742</v>
      </c>
      <c r="T142" s="101">
        <f t="shared" si="450"/>
        <v>1.6202764963283656E-2</v>
      </c>
      <c r="U142" s="10"/>
      <c r="V142" s="129">
        <f t="shared" ref="V142:AE142" si="471">1-V141</f>
        <v>0.68954787466601886</v>
      </c>
      <c r="W142" s="129">
        <f t="shared" si="471"/>
        <v>0.71087458588461405</v>
      </c>
      <c r="X142" s="129">
        <f t="shared" si="471"/>
        <v>0.73073624476732313</v>
      </c>
      <c r="Y142" s="129">
        <f t="shared" si="471"/>
        <v>0.74923349403982875</v>
      </c>
      <c r="Z142" s="129">
        <f t="shared" si="471"/>
        <v>0.76646006271013611</v>
      </c>
      <c r="AA142" s="129">
        <f t="shared" si="471"/>
        <v>0.78250324101091806</v>
      </c>
      <c r="AB142" s="129">
        <f t="shared" si="471"/>
        <v>0.79744432271538535</v>
      </c>
      <c r="AC142" s="129">
        <f t="shared" si="471"/>
        <v>0.81135901706798064</v>
      </c>
      <c r="AD142" s="129">
        <f t="shared" si="471"/>
        <v>0.82431783241722367</v>
      </c>
      <c r="AE142" s="129">
        <f t="shared" si="471"/>
        <v>0.83638643349464914</v>
      </c>
      <c r="AF142" s="116">
        <f t="shared" si="355"/>
        <v>5.5624967219751742E-3</v>
      </c>
      <c r="AG142" s="10"/>
      <c r="AH142" s="10"/>
    </row>
    <row r="143" spans="1:34">
      <c r="B143" s="10" t="s">
        <v>395</v>
      </c>
      <c r="C143" s="10"/>
      <c r="D143" s="10"/>
      <c r="E143" s="10"/>
      <c r="F143" s="10"/>
      <c r="G143" s="129">
        <f t="shared" ref="G143:H143" si="472">G140/G20</f>
        <v>0.20696645962732921</v>
      </c>
      <c r="H143" s="129">
        <f t="shared" si="472"/>
        <v>0.23845108695652173</v>
      </c>
      <c r="I143" s="129">
        <f t="shared" ref="I143:S143" si="473">I140/I20</f>
        <v>0.11752232142857143</v>
      </c>
      <c r="J143" s="129">
        <f t="shared" si="473"/>
        <v>0.16336436170212765</v>
      </c>
      <c r="K143" s="129">
        <f t="shared" si="473"/>
        <v>0.20799999999999999</v>
      </c>
      <c r="L143" s="129">
        <f t="shared" si="473"/>
        <v>0.11142857142857142</v>
      </c>
      <c r="M143" s="129">
        <f t="shared" si="473"/>
        <v>0.18979007633587786</v>
      </c>
      <c r="N143" s="129">
        <f t="shared" si="473"/>
        <v>0.37481155778894476</v>
      </c>
      <c r="O143" s="129">
        <f t="shared" si="473"/>
        <v>0.29250000000000004</v>
      </c>
      <c r="P143" s="129">
        <f t="shared" si="473"/>
        <v>0.44323119777158776</v>
      </c>
      <c r="Q143" s="129">
        <f t="shared" si="473"/>
        <v>0.27667697063369395</v>
      </c>
      <c r="R143" s="129">
        <f t="shared" si="473"/>
        <v>0.67113496932515349</v>
      </c>
      <c r="S143" s="129">
        <f t="shared" si="473"/>
        <v>0.17825242718446602</v>
      </c>
      <c r="T143" s="101">
        <f t="shared" si="450"/>
        <v>-1.2369204116823962E-2</v>
      </c>
      <c r="U143" s="10"/>
      <c r="V143" s="129">
        <f t="shared" ref="V143:AE143" si="474">V140/V20</f>
        <v>0.16600726044744621</v>
      </c>
      <c r="W143" s="129">
        <f t="shared" si="474"/>
        <v>0.15460328342540428</v>
      </c>
      <c r="X143" s="129">
        <f t="shared" si="474"/>
        <v>0.14398271004226781</v>
      </c>
      <c r="Y143" s="129">
        <f t="shared" si="474"/>
        <v>0.13409172387414683</v>
      </c>
      <c r="Z143" s="129">
        <f t="shared" si="474"/>
        <v>0.12488020545148809</v>
      </c>
      <c r="AA143" s="129">
        <f t="shared" si="474"/>
        <v>0.11630147829438588</v>
      </c>
      <c r="AB143" s="129">
        <f t="shared" si="474"/>
        <v>0.10831207239416286</v>
      </c>
      <c r="AC143" s="129">
        <f t="shared" si="474"/>
        <v>0.10087150394273778</v>
      </c>
      <c r="AD143" s="129">
        <f t="shared" si="474"/>
        <v>9.3942070193627977E-2</v>
      </c>
      <c r="AE143" s="129">
        <f t="shared" si="474"/>
        <v>8.7488658415109208E-2</v>
      </c>
      <c r="AF143" s="116" t="s">
        <v>396</v>
      </c>
      <c r="AG143" s="10"/>
      <c r="AH143" s="10"/>
    </row>
    <row r="144" spans="1:34">
      <c r="B144" s="10"/>
      <c r="C144" s="10"/>
      <c r="D144" s="10"/>
      <c r="E144" s="10"/>
      <c r="F144" s="10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10"/>
      <c r="U144" s="10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10"/>
      <c r="AG144" s="10"/>
      <c r="AH144" s="10"/>
    </row>
    <row r="145" spans="2:34">
      <c r="B145" s="10" t="s">
        <v>278</v>
      </c>
      <c r="C145" s="129"/>
      <c r="D145" s="129"/>
      <c r="E145" s="129"/>
      <c r="F145" s="129"/>
      <c r="G145" s="129">
        <f t="shared" ref="G145:H145" si="475">G31/G25</f>
        <v>0</v>
      </c>
      <c r="H145" s="129">
        <f t="shared" si="475"/>
        <v>0</v>
      </c>
      <c r="I145" s="129">
        <f t="shared" ref="I145:S145" si="476">I31/I25</f>
        <v>0</v>
      </c>
      <c r="J145" s="129">
        <f t="shared" si="476"/>
        <v>0</v>
      </c>
      <c r="K145" s="129">
        <f t="shared" si="476"/>
        <v>0</v>
      </c>
      <c r="L145" s="129">
        <f t="shared" si="476"/>
        <v>0</v>
      </c>
      <c r="M145" s="129">
        <f t="shared" si="476"/>
        <v>0</v>
      </c>
      <c r="N145" s="129">
        <f t="shared" si="476"/>
        <v>0</v>
      </c>
      <c r="O145" s="129">
        <f t="shared" si="476"/>
        <v>0</v>
      </c>
      <c r="P145" s="129">
        <f t="shared" si="476"/>
        <v>0</v>
      </c>
      <c r="Q145" s="129">
        <f t="shared" si="476"/>
        <v>0</v>
      </c>
      <c r="R145" s="129">
        <f t="shared" si="476"/>
        <v>0</v>
      </c>
      <c r="S145" s="129">
        <f t="shared" si="476"/>
        <v>0</v>
      </c>
      <c r="T145" s="101" t="e">
        <f t="shared" si="450"/>
        <v>#DIV/0!</v>
      </c>
      <c r="U145" s="10"/>
      <c r="V145" s="129">
        <f t="shared" ref="V145:AE145" si="477">V31/V25</f>
        <v>0</v>
      </c>
      <c r="W145" s="129">
        <f t="shared" si="477"/>
        <v>0</v>
      </c>
      <c r="X145" s="129">
        <f t="shared" si="477"/>
        <v>0</v>
      </c>
      <c r="Y145" s="129">
        <f t="shared" si="477"/>
        <v>0</v>
      </c>
      <c r="Z145" s="129">
        <f t="shared" si="477"/>
        <v>0</v>
      </c>
      <c r="AA145" s="129">
        <f t="shared" si="477"/>
        <v>0</v>
      </c>
      <c r="AB145" s="129">
        <f t="shared" si="477"/>
        <v>0</v>
      </c>
      <c r="AC145" s="129">
        <f t="shared" si="477"/>
        <v>0</v>
      </c>
      <c r="AD145" s="129">
        <f t="shared" si="477"/>
        <v>0</v>
      </c>
      <c r="AE145" s="129">
        <f t="shared" si="477"/>
        <v>0</v>
      </c>
      <c r="AF145" s="116" t="e">
        <f t="shared" si="355"/>
        <v>#DIV/0!</v>
      </c>
      <c r="AG145" s="10"/>
      <c r="AH145" s="10"/>
    </row>
    <row r="146" spans="2:34">
      <c r="B146" s="10" t="s">
        <v>275</v>
      </c>
      <c r="C146" s="129"/>
      <c r="D146" s="129"/>
      <c r="E146" s="129"/>
      <c r="F146" s="129"/>
      <c r="G146" s="129">
        <f t="shared" ref="G146:H146" si="478">G32/G25</f>
        <v>0</v>
      </c>
      <c r="H146" s="129">
        <f t="shared" si="478"/>
        <v>0</v>
      </c>
      <c r="I146" s="129">
        <f t="shared" ref="I146:S146" si="479">I32/I25</f>
        <v>0</v>
      </c>
      <c r="J146" s="129">
        <f t="shared" si="479"/>
        <v>0</v>
      </c>
      <c r="K146" s="129">
        <f t="shared" si="479"/>
        <v>0</v>
      </c>
      <c r="L146" s="129">
        <f t="shared" si="479"/>
        <v>0</v>
      </c>
      <c r="M146" s="129">
        <f t="shared" si="479"/>
        <v>0</v>
      </c>
      <c r="N146" s="129">
        <f t="shared" si="479"/>
        <v>0</v>
      </c>
      <c r="O146" s="129">
        <f t="shared" si="479"/>
        <v>0</v>
      </c>
      <c r="P146" s="129">
        <f t="shared" si="479"/>
        <v>0</v>
      </c>
      <c r="Q146" s="129">
        <f t="shared" si="479"/>
        <v>0</v>
      </c>
      <c r="R146" s="129">
        <f t="shared" si="479"/>
        <v>0</v>
      </c>
      <c r="S146" s="129">
        <f t="shared" si="479"/>
        <v>0</v>
      </c>
      <c r="T146" s="101" t="e">
        <f t="shared" si="450"/>
        <v>#DIV/0!</v>
      </c>
      <c r="U146" s="10"/>
      <c r="V146" s="129">
        <f t="shared" ref="V146:AE146" si="480">V32/V25</f>
        <v>0</v>
      </c>
      <c r="W146" s="129">
        <f t="shared" si="480"/>
        <v>0</v>
      </c>
      <c r="X146" s="129">
        <f t="shared" si="480"/>
        <v>0</v>
      </c>
      <c r="Y146" s="129">
        <f t="shared" si="480"/>
        <v>0</v>
      </c>
      <c r="Z146" s="129">
        <f t="shared" si="480"/>
        <v>0</v>
      </c>
      <c r="AA146" s="129">
        <f t="shared" si="480"/>
        <v>0</v>
      </c>
      <c r="AB146" s="129">
        <f t="shared" si="480"/>
        <v>0</v>
      </c>
      <c r="AC146" s="129">
        <f t="shared" si="480"/>
        <v>0</v>
      </c>
      <c r="AD146" s="129">
        <f t="shared" si="480"/>
        <v>0</v>
      </c>
      <c r="AE146" s="129">
        <f t="shared" si="480"/>
        <v>0</v>
      </c>
      <c r="AF146" s="116" t="e">
        <f t="shared" si="355"/>
        <v>#DIV/0!</v>
      </c>
      <c r="AG146" s="10"/>
      <c r="AH146" s="10"/>
    </row>
    <row r="147" spans="2:34">
      <c r="B147" s="10" t="s">
        <v>403</v>
      </c>
      <c r="C147" s="129"/>
      <c r="D147" s="129"/>
      <c r="E147" s="129"/>
      <c r="F147" s="129"/>
      <c r="G147" s="129">
        <f t="shared" ref="G147:H147" si="481">(G31+G32)/G25</f>
        <v>0</v>
      </c>
      <c r="H147" s="129">
        <f t="shared" si="481"/>
        <v>0</v>
      </c>
      <c r="I147" s="129">
        <f t="shared" ref="I147:S147" si="482">(I31+I32)/I25</f>
        <v>0</v>
      </c>
      <c r="J147" s="129">
        <f t="shared" si="482"/>
        <v>0</v>
      </c>
      <c r="K147" s="129">
        <f t="shared" si="482"/>
        <v>0</v>
      </c>
      <c r="L147" s="129">
        <f t="shared" si="482"/>
        <v>0</v>
      </c>
      <c r="M147" s="129">
        <f t="shared" si="482"/>
        <v>0</v>
      </c>
      <c r="N147" s="129">
        <f t="shared" si="482"/>
        <v>0</v>
      </c>
      <c r="O147" s="129">
        <f t="shared" si="482"/>
        <v>0</v>
      </c>
      <c r="P147" s="129">
        <f t="shared" si="482"/>
        <v>0</v>
      </c>
      <c r="Q147" s="129">
        <f t="shared" si="482"/>
        <v>0</v>
      </c>
      <c r="R147" s="129">
        <f t="shared" si="482"/>
        <v>0</v>
      </c>
      <c r="S147" s="129">
        <f t="shared" si="482"/>
        <v>0</v>
      </c>
      <c r="T147" s="101" t="e">
        <f t="shared" si="450"/>
        <v>#DIV/0!</v>
      </c>
      <c r="U147" s="10"/>
      <c r="V147" s="129">
        <f t="shared" ref="V147:AE147" si="483">(V31+V32)/V25</f>
        <v>0</v>
      </c>
      <c r="W147" s="129">
        <f t="shared" si="483"/>
        <v>0</v>
      </c>
      <c r="X147" s="129">
        <f t="shared" si="483"/>
        <v>0</v>
      </c>
      <c r="Y147" s="129">
        <f t="shared" si="483"/>
        <v>0</v>
      </c>
      <c r="Z147" s="129">
        <f t="shared" si="483"/>
        <v>0</v>
      </c>
      <c r="AA147" s="129">
        <f t="shared" si="483"/>
        <v>0</v>
      </c>
      <c r="AB147" s="129">
        <f t="shared" si="483"/>
        <v>0</v>
      </c>
      <c r="AC147" s="129">
        <f t="shared" si="483"/>
        <v>0</v>
      </c>
      <c r="AD147" s="129">
        <f t="shared" si="483"/>
        <v>0</v>
      </c>
      <c r="AE147" s="129">
        <f t="shared" si="483"/>
        <v>0</v>
      </c>
      <c r="AF147" s="116" t="e">
        <f t="shared" si="355"/>
        <v>#DIV/0!</v>
      </c>
      <c r="AG147" s="10"/>
      <c r="AH147" s="10"/>
    </row>
    <row r="148" spans="2:34">
      <c r="B148" s="10"/>
      <c r="C148" s="10"/>
      <c r="D148" s="10"/>
      <c r="E148" s="10"/>
      <c r="F148" s="10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10"/>
      <c r="U148" s="10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10"/>
      <c r="AG148" s="10"/>
      <c r="AH148" s="10"/>
    </row>
    <row r="149" spans="2:34">
      <c r="B149" s="10" t="s">
        <v>299</v>
      </c>
      <c r="C149" s="10"/>
      <c r="D149" s="10"/>
      <c r="E149" s="10"/>
      <c r="F149" s="10"/>
      <c r="G149" s="129">
        <f t="shared" ref="G149:H149" si="484">G27/G25</f>
        <v>0.83727272727272728</v>
      </c>
      <c r="H149" s="129">
        <f t="shared" si="484"/>
        <v>0.86571428571428577</v>
      </c>
      <c r="I149" s="129">
        <f t="shared" ref="I149:S149" si="485">I27/I25</f>
        <v>0.85585042219541618</v>
      </c>
      <c r="J149" s="129">
        <f t="shared" si="485"/>
        <v>0.85732927359721622</v>
      </c>
      <c r="K149" s="129">
        <f t="shared" si="485"/>
        <v>0.85340775558166859</v>
      </c>
      <c r="L149" s="129">
        <f t="shared" si="485"/>
        <v>0.84414556962025311</v>
      </c>
      <c r="M149" s="129">
        <f t="shared" si="485"/>
        <v>0.78021734309159463</v>
      </c>
      <c r="N149" s="129">
        <f t="shared" si="485"/>
        <v>0.80902715338967812</v>
      </c>
      <c r="O149" s="129">
        <f t="shared" si="485"/>
        <v>0.85490123684696329</v>
      </c>
      <c r="P149" s="129">
        <f t="shared" si="485"/>
        <v>0.86288130474176983</v>
      </c>
      <c r="Q149" s="129">
        <f t="shared" si="485"/>
        <v>0.88857108807055174</v>
      </c>
      <c r="R149" s="129">
        <f t="shared" si="485"/>
        <v>0.8959572537554189</v>
      </c>
      <c r="S149" s="129">
        <f t="shared" si="485"/>
        <v>0.87305312566673776</v>
      </c>
      <c r="T149" s="101">
        <f t="shared" si="450"/>
        <v>3.4933000399579583E-3</v>
      </c>
      <c r="U149" s="10"/>
      <c r="V149" s="129">
        <f t="shared" ref="V149:AE149" si="486">V27/V25</f>
        <v>0.87305312566673776</v>
      </c>
      <c r="W149" s="129">
        <f t="shared" si="486"/>
        <v>0.87305312566673776</v>
      </c>
      <c r="X149" s="129">
        <f t="shared" si="486"/>
        <v>0.87305312566673776</v>
      </c>
      <c r="Y149" s="129">
        <f t="shared" si="486"/>
        <v>0.87305312566673787</v>
      </c>
      <c r="Z149" s="129">
        <f t="shared" si="486"/>
        <v>0.87305312566673787</v>
      </c>
      <c r="AA149" s="129">
        <f t="shared" si="486"/>
        <v>0.87305312566673798</v>
      </c>
      <c r="AB149" s="129">
        <f t="shared" si="486"/>
        <v>0.87305312566673798</v>
      </c>
      <c r="AC149" s="129">
        <f t="shared" si="486"/>
        <v>0.87305312566673798</v>
      </c>
      <c r="AD149" s="129">
        <f t="shared" si="486"/>
        <v>0.87305312566673809</v>
      </c>
      <c r="AE149" s="129">
        <f t="shared" si="486"/>
        <v>0.87305312566673809</v>
      </c>
      <c r="AF149" s="116">
        <f t="shared" si="355"/>
        <v>9.4810572473047472E-4</v>
      </c>
      <c r="AG149" s="10"/>
      <c r="AH149" s="10"/>
    </row>
    <row r="150" spans="2:34">
      <c r="B150" s="10" t="str">
        <f>B33</f>
        <v>Top Expenses ( Raw material )</v>
      </c>
      <c r="C150" s="10"/>
      <c r="D150" s="10"/>
      <c r="E150" s="10"/>
      <c r="F150" s="10"/>
      <c r="G150" s="129">
        <f t="shared" ref="G150:H150" si="487">G33/G25</f>
        <v>0.47454545454545455</v>
      </c>
      <c r="H150" s="129">
        <f t="shared" si="487"/>
        <v>0.54428571428571426</v>
      </c>
      <c r="I150" s="129">
        <f t="shared" ref="I150:S150" si="488">I33/I25</f>
        <v>0.55729794933655008</v>
      </c>
      <c r="J150" s="129">
        <f t="shared" si="488"/>
        <v>0.57851239669421484</v>
      </c>
      <c r="K150" s="129">
        <f t="shared" si="488"/>
        <v>0.61192714453584018</v>
      </c>
      <c r="L150" s="129">
        <f t="shared" si="488"/>
        <v>0.5746308016877637</v>
      </c>
      <c r="M150" s="129">
        <f t="shared" si="488"/>
        <v>0.51208693723663778</v>
      </c>
      <c r="N150" s="129">
        <f t="shared" si="488"/>
        <v>0.55259845351555481</v>
      </c>
      <c r="O150" s="129">
        <f t="shared" si="488"/>
        <v>0.65940557504153585</v>
      </c>
      <c r="P150" s="129">
        <f t="shared" si="488"/>
        <v>0.65644820295983086</v>
      </c>
      <c r="Q150" s="129">
        <f t="shared" si="488"/>
        <v>0.48611607674889762</v>
      </c>
      <c r="R150" s="129">
        <f t="shared" si="488"/>
        <v>0.50509123903619313</v>
      </c>
      <c r="S150" s="129">
        <f t="shared" si="488"/>
        <v>0.45359505013868145</v>
      </c>
      <c r="T150" s="101">
        <f t="shared" si="450"/>
        <v>-3.7556438718050478E-3</v>
      </c>
      <c r="U150" s="10"/>
      <c r="V150" s="129">
        <f t="shared" ref="V150:AE150" si="489">V33/V25</f>
        <v>0.45359505013868145</v>
      </c>
      <c r="W150" s="129">
        <f t="shared" si="489"/>
        <v>0.4535950501386814</v>
      </c>
      <c r="X150" s="129">
        <f t="shared" si="489"/>
        <v>0.4535950501386814</v>
      </c>
      <c r="Y150" s="129">
        <f t="shared" si="489"/>
        <v>0.45359505013868145</v>
      </c>
      <c r="Z150" s="129">
        <f t="shared" si="489"/>
        <v>0.45359505013868145</v>
      </c>
      <c r="AA150" s="129">
        <f t="shared" si="489"/>
        <v>0.45359505013868151</v>
      </c>
      <c r="AB150" s="129">
        <f t="shared" si="489"/>
        <v>0.45359505013868145</v>
      </c>
      <c r="AC150" s="129">
        <f t="shared" si="489"/>
        <v>0.45359505013868145</v>
      </c>
      <c r="AD150" s="129">
        <f t="shared" si="489"/>
        <v>0.45359505013868145</v>
      </c>
      <c r="AE150" s="129">
        <f t="shared" si="489"/>
        <v>0.45359505013868151</v>
      </c>
      <c r="AF150" s="116">
        <f t="shared" si="355"/>
        <v>-9.7566244148328263E-3</v>
      </c>
      <c r="AG150" s="10"/>
      <c r="AH150" s="10"/>
    </row>
    <row r="151" spans="2:34">
      <c r="B151" s="10" t="str">
        <f>B34</f>
        <v>2nd highest Expenses Comp. ( Power and Fuel )</v>
      </c>
      <c r="C151" s="10"/>
      <c r="D151" s="10"/>
      <c r="E151" s="10"/>
      <c r="F151" s="10"/>
      <c r="G151" s="129">
        <f t="shared" ref="G151:H151" si="490">G34/G25</f>
        <v>8.727272727272728E-2</v>
      </c>
      <c r="H151" s="129">
        <f t="shared" si="490"/>
        <v>7.4999999999999997E-2</v>
      </c>
      <c r="I151" s="129">
        <f t="shared" ref="I151:S151" si="491">I34/I25</f>
        <v>6.9963811821471655E-2</v>
      </c>
      <c r="J151" s="129">
        <f t="shared" si="491"/>
        <v>6.1765985210961286E-2</v>
      </c>
      <c r="K151" s="129">
        <f t="shared" si="491"/>
        <v>5.0528789659224443E-2</v>
      </c>
      <c r="L151" s="129">
        <f t="shared" si="491"/>
        <v>5.3006329113924049E-2</v>
      </c>
      <c r="M151" s="129">
        <f t="shared" si="491"/>
        <v>5.7884231536926151E-2</v>
      </c>
      <c r="N151" s="129">
        <f t="shared" si="491"/>
        <v>5.7723431037583171E-2</v>
      </c>
      <c r="O151" s="129">
        <f t="shared" si="491"/>
        <v>6.0919328041351299E-2</v>
      </c>
      <c r="P151" s="129">
        <f t="shared" si="491"/>
        <v>6.0857746904258533E-2</v>
      </c>
      <c r="Q151" s="129">
        <f t="shared" si="491"/>
        <v>3.0747229174115123E-2</v>
      </c>
      <c r="R151" s="129">
        <f t="shared" si="491"/>
        <v>2.6716402863191855E-2</v>
      </c>
      <c r="S151" s="129">
        <f t="shared" si="491"/>
        <v>2.6776189460209088E-2</v>
      </c>
      <c r="T151" s="101">
        <f t="shared" si="450"/>
        <v>-9.3768434317516469E-2</v>
      </c>
      <c r="U151" s="10"/>
      <c r="V151" s="129">
        <f t="shared" ref="V151:AE151" si="492">V34/V25</f>
        <v>2.6776189460209092E-2</v>
      </c>
      <c r="W151" s="129">
        <f t="shared" si="492"/>
        <v>2.6776189460209088E-2</v>
      </c>
      <c r="X151" s="129">
        <f t="shared" si="492"/>
        <v>2.6776189460209088E-2</v>
      </c>
      <c r="Y151" s="129">
        <f t="shared" si="492"/>
        <v>2.6776189460209092E-2</v>
      </c>
      <c r="Z151" s="129">
        <f t="shared" si="492"/>
        <v>2.6776189460209092E-2</v>
      </c>
      <c r="AA151" s="129">
        <f t="shared" si="492"/>
        <v>2.6776189460209092E-2</v>
      </c>
      <c r="AB151" s="129">
        <f t="shared" si="492"/>
        <v>2.6776189460209092E-2</v>
      </c>
      <c r="AC151" s="129">
        <f t="shared" si="492"/>
        <v>2.6776189460209092E-2</v>
      </c>
      <c r="AD151" s="129">
        <f t="shared" si="492"/>
        <v>2.6776189460209095E-2</v>
      </c>
      <c r="AE151" s="129">
        <f t="shared" si="492"/>
        <v>2.6776189460209092E-2</v>
      </c>
      <c r="AF151" s="116">
        <f t="shared" si="355"/>
        <v>-4.4706287169456349E-2</v>
      </c>
      <c r="AG151" s="10"/>
      <c r="AH151" s="10"/>
    </row>
    <row r="152" spans="2:34"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10"/>
      <c r="U152" s="110"/>
      <c r="V152" s="102"/>
      <c r="W152" s="102"/>
      <c r="X152" s="102"/>
      <c r="Y152" s="102"/>
      <c r="Z152" s="102"/>
      <c r="AA152" s="102"/>
      <c r="AB152" s="102"/>
      <c r="AC152" s="102"/>
      <c r="AD152" s="102"/>
      <c r="AE152" s="102"/>
      <c r="AF152" s="117"/>
      <c r="AG152" s="10"/>
      <c r="AH152" s="10"/>
    </row>
    <row r="153" spans="2:34">
      <c r="B153" s="93" t="s">
        <v>307</v>
      </c>
      <c r="C153" s="10"/>
      <c r="D153" s="10"/>
      <c r="E153" s="10"/>
      <c r="F153" s="10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10"/>
      <c r="U153" s="110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16"/>
      <c r="AG153" s="10"/>
      <c r="AH153" s="10"/>
    </row>
    <row r="154" spans="2:34">
      <c r="B154" s="10" t="s">
        <v>310</v>
      </c>
      <c r="C154" s="10"/>
      <c r="D154" s="10"/>
      <c r="E154" s="10"/>
      <c r="F154" s="10"/>
      <c r="G154" s="15">
        <f t="shared" ref="G154:H154" si="493">G15/G9</f>
        <v>1.546218487394958</v>
      </c>
      <c r="H154" s="15">
        <f t="shared" si="493"/>
        <v>1.7410358565737052</v>
      </c>
      <c r="I154" s="15">
        <f t="shared" ref="I154:S154" si="494">I15/I9</f>
        <v>1.5369127516778522</v>
      </c>
      <c r="J154" s="15">
        <f t="shared" si="494"/>
        <v>1.5277777777777777</v>
      </c>
      <c r="K154" s="15">
        <f t="shared" si="494"/>
        <v>1.6416083916083917</v>
      </c>
      <c r="L154" s="15">
        <f t="shared" si="494"/>
        <v>1.6981519507186857</v>
      </c>
      <c r="M154" s="15">
        <f t="shared" si="494"/>
        <v>1.6091954022988506</v>
      </c>
      <c r="N154" s="15">
        <f t="shared" si="494"/>
        <v>1.639871382636656</v>
      </c>
      <c r="O154" s="15">
        <f t="shared" si="494"/>
        <v>1.6081871345029239</v>
      </c>
      <c r="P154" s="15">
        <f t="shared" si="494"/>
        <v>1.3060623896409653</v>
      </c>
      <c r="Q154" s="15">
        <f t="shared" si="494"/>
        <v>1.3774509803921569</v>
      </c>
      <c r="R154" s="15">
        <f t="shared" si="494"/>
        <v>1.5449574726609963</v>
      </c>
      <c r="S154" s="15">
        <f t="shared" si="494"/>
        <v>1.1855345911949686</v>
      </c>
      <c r="T154" s="101">
        <f t="shared" si="450"/>
        <v>-2.1891692928930229E-2</v>
      </c>
      <c r="U154" s="10"/>
      <c r="V154" s="10">
        <f t="shared" ref="V154:AE154" si="495">V15/V9</f>
        <v>1.1855345911949686</v>
      </c>
      <c r="W154" s="10">
        <f t="shared" si="495"/>
        <v>1.1855345911949686</v>
      </c>
      <c r="X154" s="10">
        <f t="shared" si="495"/>
        <v>1.1855345911949686</v>
      </c>
      <c r="Y154" s="10">
        <f t="shared" si="495"/>
        <v>1.1855345911949686</v>
      </c>
      <c r="Z154" s="10">
        <f t="shared" si="495"/>
        <v>1.1855345911949684</v>
      </c>
      <c r="AA154" s="10">
        <f t="shared" si="495"/>
        <v>1.1855345911949684</v>
      </c>
      <c r="AB154" s="10">
        <f t="shared" si="495"/>
        <v>1.1855345911949684</v>
      </c>
      <c r="AC154" s="10">
        <f t="shared" si="495"/>
        <v>1.1855345911949684</v>
      </c>
      <c r="AD154" s="10">
        <f t="shared" si="495"/>
        <v>1.1855345911949686</v>
      </c>
      <c r="AE154" s="10">
        <f t="shared" si="495"/>
        <v>1.1855345911949686</v>
      </c>
      <c r="AF154" s="116">
        <f t="shared" si="355"/>
        <v>-1.2284958649542155E-2</v>
      </c>
      <c r="AG154" s="10"/>
      <c r="AH154" s="10"/>
    </row>
    <row r="155" spans="2:34">
      <c r="B155" s="10" t="s">
        <v>300</v>
      </c>
      <c r="C155" s="10"/>
      <c r="D155" s="10"/>
      <c r="E155" s="10"/>
      <c r="F155" s="10"/>
      <c r="G155" s="15">
        <f t="shared" ref="G155:H155" si="496">G12/G9</f>
        <v>8.4033613445378148E-3</v>
      </c>
      <c r="H155" s="15">
        <f t="shared" si="496"/>
        <v>0.14741035856573706</v>
      </c>
      <c r="I155" s="15">
        <f t="shared" ref="I155:S155" si="497">I12/I9</f>
        <v>0.15771812080536912</v>
      </c>
      <c r="J155" s="15">
        <f t="shared" si="497"/>
        <v>1.0101010101010102E-2</v>
      </c>
      <c r="K155" s="15">
        <f t="shared" si="497"/>
        <v>1.2237762237762238E-2</v>
      </c>
      <c r="L155" s="15">
        <f t="shared" si="497"/>
        <v>8.0082135523613956E-2</v>
      </c>
      <c r="M155" s="15">
        <f t="shared" si="497"/>
        <v>4.3103448275862072E-2</v>
      </c>
      <c r="N155" s="15">
        <f t="shared" si="497"/>
        <v>2.465166130760986E-2</v>
      </c>
      <c r="O155" s="15">
        <f t="shared" si="497"/>
        <v>6.1403508771929821E-2</v>
      </c>
      <c r="P155" s="15">
        <f t="shared" si="497"/>
        <v>0.13007651559741024</v>
      </c>
      <c r="Q155" s="15">
        <f t="shared" si="497"/>
        <v>0.17585784313725492</v>
      </c>
      <c r="R155" s="15">
        <f t="shared" si="497"/>
        <v>0.12575941676792224</v>
      </c>
      <c r="S155" s="15">
        <f t="shared" si="497"/>
        <v>0.1540880503144654</v>
      </c>
      <c r="T155" s="101">
        <f t="shared" si="450"/>
        <v>0.27431362548405502</v>
      </c>
      <c r="U155" s="110"/>
      <c r="V155" s="10">
        <f t="shared" ref="V155:AE155" si="498">V12/V9</f>
        <v>0.1540880503144654</v>
      </c>
      <c r="W155" s="10">
        <f t="shared" si="498"/>
        <v>0.15408805031446543</v>
      </c>
      <c r="X155" s="10">
        <f t="shared" si="498"/>
        <v>0.1540880503144654</v>
      </c>
      <c r="Y155" s="10">
        <f t="shared" si="498"/>
        <v>0.15408805031446543</v>
      </c>
      <c r="Z155" s="10">
        <f t="shared" si="498"/>
        <v>0.15408805031446543</v>
      </c>
      <c r="AA155" s="10">
        <f t="shared" si="498"/>
        <v>0.1540880503144654</v>
      </c>
      <c r="AB155" s="10">
        <f t="shared" si="498"/>
        <v>0.15408805031446543</v>
      </c>
      <c r="AC155" s="10">
        <f t="shared" si="498"/>
        <v>0.15408805031446543</v>
      </c>
      <c r="AD155" s="10">
        <f t="shared" si="498"/>
        <v>0.15408805031446543</v>
      </c>
      <c r="AE155" s="10">
        <f t="shared" si="498"/>
        <v>0.15408805031446546</v>
      </c>
      <c r="AF155" s="101">
        <f t="shared" ref="AF155" si="499">((AE155/V155)^(1/($J$2-$J$1) ))-1</f>
        <v>0</v>
      </c>
      <c r="AG155" s="10"/>
      <c r="AH155" s="10"/>
    </row>
    <row r="156" spans="2:34">
      <c r="B156" s="10" t="s">
        <v>302</v>
      </c>
      <c r="C156" s="10"/>
      <c r="D156" s="10"/>
      <c r="E156" s="10"/>
      <c r="F156" s="10"/>
      <c r="G156" s="15">
        <f t="shared" ref="G156:H156" si="500">G25/360</f>
        <v>3.0555555555555554</v>
      </c>
      <c r="H156" s="15">
        <f t="shared" si="500"/>
        <v>3.8888888888888888</v>
      </c>
      <c r="I156" s="15">
        <f t="shared" ref="I156:S156" si="501">I25/360</f>
        <v>4.6055555555555552</v>
      </c>
      <c r="J156" s="15">
        <f t="shared" si="501"/>
        <v>6.3861111111111111</v>
      </c>
      <c r="K156" s="15">
        <f t="shared" si="501"/>
        <v>9.4555555555555557</v>
      </c>
      <c r="L156" s="15">
        <f t="shared" si="501"/>
        <v>10.533333333333333</v>
      </c>
      <c r="M156" s="15">
        <f t="shared" si="501"/>
        <v>12.525</v>
      </c>
      <c r="N156" s="15">
        <f t="shared" si="501"/>
        <v>15.447222222222223</v>
      </c>
      <c r="O156" s="15">
        <f t="shared" si="501"/>
        <v>15.047222222222222</v>
      </c>
      <c r="P156" s="15">
        <f t="shared" si="501"/>
        <v>18.394444444444446</v>
      </c>
      <c r="Q156" s="15">
        <f t="shared" si="501"/>
        <v>23.308333333333334</v>
      </c>
      <c r="R156" s="15">
        <f t="shared" si="501"/>
        <v>27.552777777777777</v>
      </c>
      <c r="S156" s="15">
        <f t="shared" si="501"/>
        <v>26.038888888888888</v>
      </c>
      <c r="T156" s="101">
        <f t="shared" si="450"/>
        <v>0.19548561669738995</v>
      </c>
      <c r="U156" s="110"/>
      <c r="V156" s="15">
        <f t="shared" ref="V156:AE156" si="502">V25/360</f>
        <v>29.944722222222218</v>
      </c>
      <c r="W156" s="15">
        <f t="shared" si="502"/>
        <v>34.436430555555553</v>
      </c>
      <c r="X156" s="15">
        <f t="shared" si="502"/>
        <v>39.601895138888878</v>
      </c>
      <c r="Y156" s="15">
        <f t="shared" si="502"/>
        <v>45.542179409722202</v>
      </c>
      <c r="Z156" s="15">
        <f t="shared" si="502"/>
        <v>52.373506321180521</v>
      </c>
      <c r="AA156" s="15">
        <f t="shared" si="502"/>
        <v>60.229532269357598</v>
      </c>
      <c r="AB156" s="15">
        <f t="shared" si="502"/>
        <v>69.263962109761223</v>
      </c>
      <c r="AC156" s="15">
        <f t="shared" si="502"/>
        <v>79.653556426225407</v>
      </c>
      <c r="AD156" s="15">
        <f t="shared" si="502"/>
        <v>91.601589890159204</v>
      </c>
      <c r="AE156" s="15">
        <f t="shared" si="502"/>
        <v>105.34182837368309</v>
      </c>
      <c r="AF156" s="101">
        <f t="shared" ref="AF156:AF167" si="503">((AE156/V156)^(1/($J$2-$J$1) ))-1</f>
        <v>0.11051231821075036</v>
      </c>
      <c r="AG156" s="10"/>
      <c r="AH156" s="10"/>
    </row>
    <row r="157" spans="2:34">
      <c r="B157" s="10" t="s">
        <v>301</v>
      </c>
      <c r="C157" s="10"/>
      <c r="D157" s="10"/>
      <c r="E157" s="10"/>
      <c r="F157" s="10"/>
      <c r="G157" s="15">
        <f t="shared" ref="G157:H157" si="504">G27/360</f>
        <v>2.5583333333333331</v>
      </c>
      <c r="H157" s="15">
        <f t="shared" si="504"/>
        <v>3.3666666666666667</v>
      </c>
      <c r="I157" s="15">
        <f t="shared" ref="I157:S157" si="505">I27/360</f>
        <v>3.9416666666666669</v>
      </c>
      <c r="J157" s="15">
        <f t="shared" si="505"/>
        <v>5.4749999999999996</v>
      </c>
      <c r="K157" s="15">
        <f t="shared" si="505"/>
        <v>8.0694444444444446</v>
      </c>
      <c r="L157" s="15">
        <f t="shared" si="505"/>
        <v>8.8916666666666675</v>
      </c>
      <c r="M157" s="15">
        <f t="shared" si="505"/>
        <v>9.7722222222222221</v>
      </c>
      <c r="N157" s="15">
        <f t="shared" si="505"/>
        <v>12.497222222222222</v>
      </c>
      <c r="O157" s="15">
        <f t="shared" si="505"/>
        <v>12.863888888888889</v>
      </c>
      <c r="P157" s="15">
        <f t="shared" si="505"/>
        <v>15.872222222222222</v>
      </c>
      <c r="Q157" s="15">
        <f t="shared" si="505"/>
        <v>20.711111111111112</v>
      </c>
      <c r="R157" s="15">
        <f t="shared" si="505"/>
        <v>24.68611111111111</v>
      </c>
      <c r="S157" s="15">
        <f t="shared" si="505"/>
        <v>22.733333333333334</v>
      </c>
      <c r="T157" s="101">
        <f t="shared" si="450"/>
        <v>0.19966180664996824</v>
      </c>
      <c r="U157" s="110"/>
      <c r="V157" s="15">
        <f t="shared" ref="V157:AE157" si="506">V27/360</f>
        <v>26.143333333333331</v>
      </c>
      <c r="W157" s="15">
        <f t="shared" si="506"/>
        <v>30.064833333333329</v>
      </c>
      <c r="X157" s="15">
        <f t="shared" si="506"/>
        <v>34.574558333333322</v>
      </c>
      <c r="Y157" s="15">
        <f t="shared" si="506"/>
        <v>39.760742083333319</v>
      </c>
      <c r="Z157" s="15">
        <f t="shared" si="506"/>
        <v>45.724853395833307</v>
      </c>
      <c r="AA157" s="15">
        <f t="shared" si="506"/>
        <v>52.583581405208307</v>
      </c>
      <c r="AB157" s="15">
        <f t="shared" si="506"/>
        <v>60.471118615989546</v>
      </c>
      <c r="AC157" s="15">
        <f t="shared" si="506"/>
        <v>69.541786408387978</v>
      </c>
      <c r="AD157" s="15">
        <f t="shared" si="506"/>
        <v>79.973054369646178</v>
      </c>
      <c r="AE157" s="15">
        <f t="shared" si="506"/>
        <v>91.969012525093092</v>
      </c>
      <c r="AF157" s="101">
        <f t="shared" si="503"/>
        <v>0.11051231821075036</v>
      </c>
      <c r="AG157" s="10"/>
      <c r="AH157" s="10"/>
    </row>
    <row r="158" spans="2:34">
      <c r="B158" s="10"/>
      <c r="C158" s="10"/>
      <c r="D158" s="10"/>
      <c r="E158" s="10"/>
      <c r="F158" s="10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10"/>
      <c r="U158" s="110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10"/>
      <c r="AG158" s="10"/>
      <c r="AH158" s="10"/>
    </row>
    <row r="159" spans="2:34">
      <c r="B159" s="10" t="s">
        <v>311</v>
      </c>
      <c r="C159" s="10"/>
      <c r="D159" s="10"/>
      <c r="E159" s="10"/>
      <c r="F159" s="10"/>
      <c r="G159" s="15">
        <f t="shared" ref="G159:H159" si="507">G10/G7</f>
        <v>0.49877149877149879</v>
      </c>
      <c r="H159" s="15">
        <f t="shared" si="507"/>
        <v>0.59839357429718876</v>
      </c>
      <c r="I159" s="15">
        <f t="shared" ref="I159:S159" si="508">I10/I7</f>
        <v>0.54898336414048055</v>
      </c>
      <c r="J159" s="15">
        <f t="shared" si="508"/>
        <v>0.59719789842381787</v>
      </c>
      <c r="K159" s="15">
        <f t="shared" si="508"/>
        <v>0.44444444444444442</v>
      </c>
      <c r="L159" s="15">
        <f t="shared" si="508"/>
        <v>0.36391129032258063</v>
      </c>
      <c r="M159" s="15">
        <f t="shared" si="508"/>
        <v>9.0814196242171186E-2</v>
      </c>
      <c r="N159" s="15">
        <f t="shared" si="508"/>
        <v>4.360587002096436E-2</v>
      </c>
      <c r="O159" s="15">
        <f t="shared" si="508"/>
        <v>1.0048381094157052E-2</v>
      </c>
      <c r="P159" s="15">
        <f t="shared" si="508"/>
        <v>1.6563819421890225E-2</v>
      </c>
      <c r="Q159" s="15">
        <f t="shared" si="508"/>
        <v>4.0474125469788956E-3</v>
      </c>
      <c r="R159" s="15">
        <f t="shared" si="508"/>
        <v>1.4195583596214511E-2</v>
      </c>
      <c r="S159" s="15">
        <f t="shared" si="508"/>
        <v>2.5940640336527227E-2</v>
      </c>
      <c r="T159" s="101">
        <f t="shared" si="450"/>
        <v>-0.21836033733093041</v>
      </c>
      <c r="U159" s="110"/>
      <c r="V159" s="15">
        <f t="shared" ref="V159:AE159" si="509">V10/V7</f>
        <v>2.5940640336527227E-2</v>
      </c>
      <c r="W159" s="15">
        <f t="shared" si="509"/>
        <v>2.5940640336527227E-2</v>
      </c>
      <c r="X159" s="15">
        <f t="shared" si="509"/>
        <v>2.5940640336527231E-2</v>
      </c>
      <c r="Y159" s="15">
        <f t="shared" si="509"/>
        <v>2.5940640336527231E-2</v>
      </c>
      <c r="Z159" s="15">
        <f t="shared" si="509"/>
        <v>2.5940640336527234E-2</v>
      </c>
      <c r="AA159" s="15">
        <f t="shared" si="509"/>
        <v>2.5940640336527231E-2</v>
      </c>
      <c r="AB159" s="15">
        <f t="shared" si="509"/>
        <v>2.5940640336527231E-2</v>
      </c>
      <c r="AC159" s="15">
        <f t="shared" si="509"/>
        <v>2.5940640336527231E-2</v>
      </c>
      <c r="AD159" s="15">
        <f t="shared" si="509"/>
        <v>2.5940640336527231E-2</v>
      </c>
      <c r="AE159" s="15">
        <f t="shared" si="509"/>
        <v>2.5940640336527234E-2</v>
      </c>
      <c r="AF159" s="101">
        <f t="shared" si="503"/>
        <v>0</v>
      </c>
      <c r="AG159" s="10"/>
      <c r="AH159" s="10"/>
    </row>
    <row r="160" spans="2:34">
      <c r="B160" s="10" t="s">
        <v>303</v>
      </c>
      <c r="C160" s="10"/>
      <c r="D160" s="10"/>
      <c r="E160" s="10"/>
      <c r="F160" s="10"/>
      <c r="G160" s="15">
        <f t="shared" ref="G160:H160" si="510">G10/(G10+G7)</f>
        <v>0.33278688524590166</v>
      </c>
      <c r="H160" s="15">
        <f t="shared" si="510"/>
        <v>0.37437185929648242</v>
      </c>
      <c r="I160" s="15">
        <f t="shared" ref="I160:S160" si="511">I10/(I10+I7)</f>
        <v>0.35441527446300713</v>
      </c>
      <c r="J160" s="15">
        <f t="shared" si="511"/>
        <v>0.37390350877192985</v>
      </c>
      <c r="K160" s="15">
        <f t="shared" si="511"/>
        <v>0.30769230769230771</v>
      </c>
      <c r="L160" s="15">
        <f t="shared" si="511"/>
        <v>0.26681448632668142</v>
      </c>
      <c r="M160" s="15">
        <f t="shared" si="511"/>
        <v>8.3253588516746413E-2</v>
      </c>
      <c r="N160" s="15">
        <f t="shared" si="511"/>
        <v>4.1783848935315386E-2</v>
      </c>
      <c r="O160" s="15">
        <f t="shared" si="511"/>
        <v>9.9484156226971251E-3</v>
      </c>
      <c r="P160" s="15">
        <f t="shared" si="511"/>
        <v>1.6293929712460065E-2</v>
      </c>
      <c r="Q160" s="15">
        <f t="shared" si="511"/>
        <v>4.0310970342643249E-3</v>
      </c>
      <c r="R160" s="15">
        <f t="shared" si="511"/>
        <v>1.3996889580093312E-2</v>
      </c>
      <c r="S160" s="15">
        <f t="shared" si="511"/>
        <v>2.5284738041002279E-2</v>
      </c>
      <c r="T160" s="101">
        <f t="shared" si="450"/>
        <v>-0.1932771567668421</v>
      </c>
      <c r="U160" s="110"/>
      <c r="V160" s="15">
        <f t="shared" ref="V160:AE160" si="512">V10/(V10+V7)</f>
        <v>2.5284738041002282E-2</v>
      </c>
      <c r="W160" s="15">
        <f t="shared" si="512"/>
        <v>2.5284738041002282E-2</v>
      </c>
      <c r="X160" s="15">
        <f t="shared" si="512"/>
        <v>2.5284738041002282E-2</v>
      </c>
      <c r="Y160" s="15">
        <f t="shared" si="512"/>
        <v>2.5284738041002279E-2</v>
      </c>
      <c r="Z160" s="15">
        <f t="shared" si="512"/>
        <v>2.5284738041002282E-2</v>
      </c>
      <c r="AA160" s="15">
        <f t="shared" si="512"/>
        <v>2.5284738041002282E-2</v>
      </c>
      <c r="AB160" s="15">
        <f t="shared" si="512"/>
        <v>2.5284738041002279E-2</v>
      </c>
      <c r="AC160" s="15">
        <f t="shared" si="512"/>
        <v>2.5284738041002282E-2</v>
      </c>
      <c r="AD160" s="15">
        <f t="shared" si="512"/>
        <v>2.5284738041002282E-2</v>
      </c>
      <c r="AE160" s="15">
        <f t="shared" si="512"/>
        <v>2.5284738041002286E-2</v>
      </c>
      <c r="AF160" s="101">
        <f t="shared" si="503"/>
        <v>0</v>
      </c>
      <c r="AG160" s="10"/>
      <c r="AH160" s="10"/>
    </row>
    <row r="161" spans="2:34">
      <c r="B161" s="10"/>
      <c r="C161" s="10"/>
      <c r="D161" s="10"/>
      <c r="E161" s="10"/>
      <c r="F161" s="10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10"/>
      <c r="U161" s="110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15"/>
      <c r="AG161" s="10"/>
      <c r="AH161" s="10"/>
    </row>
    <row r="162" spans="2:34">
      <c r="B162" s="10" t="s">
        <v>308</v>
      </c>
      <c r="C162" s="10"/>
      <c r="D162" s="10"/>
      <c r="E162" s="10"/>
      <c r="F162" s="10"/>
      <c r="G162" s="15">
        <f t="shared" ref="G162:H162" si="513">G16</f>
        <v>115</v>
      </c>
      <c r="H162" s="15">
        <f t="shared" si="513"/>
        <v>204</v>
      </c>
      <c r="I162" s="15">
        <f t="shared" ref="I162:S162" si="514">I16</f>
        <v>138</v>
      </c>
      <c r="J162" s="15">
        <f t="shared" si="514"/>
        <v>161</v>
      </c>
      <c r="K162" s="15">
        <f t="shared" si="514"/>
        <v>316</v>
      </c>
      <c r="L162" s="15">
        <f t="shared" si="514"/>
        <v>302</v>
      </c>
      <c r="M162" s="15">
        <f t="shared" si="514"/>
        <v>413</v>
      </c>
      <c r="N162" s="15">
        <f t="shared" si="514"/>
        <v>600</v>
      </c>
      <c r="O162" s="15">
        <f t="shared" si="514"/>
        <v>602</v>
      </c>
      <c r="P162" s="15">
        <f t="shared" si="514"/>
        <v>831</v>
      </c>
      <c r="Q162" s="15">
        <f t="shared" si="514"/>
        <v>959</v>
      </c>
      <c r="R162" s="15">
        <f t="shared" si="514"/>
        <v>3704</v>
      </c>
      <c r="S162" s="15">
        <f t="shared" si="514"/>
        <v>2659</v>
      </c>
      <c r="T162" s="101">
        <f t="shared" si="450"/>
        <v>0.29917715352814422</v>
      </c>
      <c r="U162" s="110"/>
      <c r="V162" s="15">
        <f t="shared" ref="V162:AE162" si="515">V16</f>
        <v>3057.85</v>
      </c>
      <c r="W162" s="15">
        <f t="shared" si="515"/>
        <v>3516.5274999999997</v>
      </c>
      <c r="X162" s="15">
        <f t="shared" si="515"/>
        <v>4044.0066249999995</v>
      </c>
      <c r="Y162" s="15">
        <f t="shared" si="515"/>
        <v>4650.6076187499993</v>
      </c>
      <c r="Z162" s="15">
        <f t="shared" si="515"/>
        <v>5348.1987615624985</v>
      </c>
      <c r="AA162" s="15">
        <f t="shared" si="515"/>
        <v>6150.4285757968728</v>
      </c>
      <c r="AB162" s="15">
        <f t="shared" si="515"/>
        <v>7072.992862166403</v>
      </c>
      <c r="AC162" s="15">
        <f t="shared" si="515"/>
        <v>8133.9417914913629</v>
      </c>
      <c r="AD162" s="15">
        <f t="shared" si="515"/>
        <v>9354.0330602150661</v>
      </c>
      <c r="AE162" s="15">
        <f t="shared" si="515"/>
        <v>10757.138019247324</v>
      </c>
      <c r="AF162" s="101">
        <f t="shared" si="503"/>
        <v>0.11051231821075036</v>
      </c>
      <c r="AG162" s="10"/>
      <c r="AH162" s="10"/>
    </row>
    <row r="163" spans="2:34">
      <c r="B163" s="10" t="s">
        <v>309</v>
      </c>
      <c r="C163" s="10"/>
      <c r="D163" s="10"/>
      <c r="E163" s="10"/>
      <c r="F163" s="10"/>
      <c r="G163" s="102">
        <f t="shared" ref="G163:H163" si="516">G162*365/G25</f>
        <v>38.159090909090907</v>
      </c>
      <c r="H163" s="102">
        <f t="shared" si="516"/>
        <v>53.185714285714283</v>
      </c>
      <c r="I163" s="102">
        <f t="shared" ref="I163:S163" si="517">I162*365/I25</f>
        <v>30.379975874547647</v>
      </c>
      <c r="J163" s="102">
        <f t="shared" si="517"/>
        <v>25.561113527620705</v>
      </c>
      <c r="K163" s="102">
        <f t="shared" si="517"/>
        <v>33.883666274970622</v>
      </c>
      <c r="L163" s="102">
        <f t="shared" si="517"/>
        <v>29.069092827004219</v>
      </c>
      <c r="M163" s="102">
        <f t="shared" si="517"/>
        <v>33.43202483921047</v>
      </c>
      <c r="N163" s="102">
        <f t="shared" si="517"/>
        <v>39.381406221902537</v>
      </c>
      <c r="O163" s="102">
        <f t="shared" si="517"/>
        <v>40.563042274321582</v>
      </c>
      <c r="P163" s="102">
        <f t="shared" si="517"/>
        <v>45.804137722742375</v>
      </c>
      <c r="Q163" s="102">
        <f t="shared" si="517"/>
        <v>41.715528542485998</v>
      </c>
      <c r="R163" s="102">
        <f t="shared" si="517"/>
        <v>136.30003024498438</v>
      </c>
      <c r="S163" s="102">
        <f t="shared" si="517"/>
        <v>103.53477704288457</v>
      </c>
      <c r="T163" s="101">
        <f t="shared" si="450"/>
        <v>8.6735913324669678E-2</v>
      </c>
      <c r="U163" s="110"/>
      <c r="V163" s="102">
        <f t="shared" ref="V163:AE163" si="518">V162*365/V25</f>
        <v>103.53477704288458</v>
      </c>
      <c r="W163" s="102">
        <f t="shared" si="518"/>
        <v>103.53477704288458</v>
      </c>
      <c r="X163" s="102">
        <f t="shared" si="518"/>
        <v>103.53477704288458</v>
      </c>
      <c r="Y163" s="102">
        <f t="shared" si="518"/>
        <v>103.53477704288461</v>
      </c>
      <c r="Z163" s="102">
        <f t="shared" si="518"/>
        <v>103.53477704288461</v>
      </c>
      <c r="AA163" s="102">
        <f t="shared" si="518"/>
        <v>103.53477704288461</v>
      </c>
      <c r="AB163" s="102">
        <f t="shared" si="518"/>
        <v>103.53477704288461</v>
      </c>
      <c r="AC163" s="102">
        <f t="shared" si="518"/>
        <v>103.5347770428846</v>
      </c>
      <c r="AD163" s="102">
        <f t="shared" si="518"/>
        <v>103.53477704288461</v>
      </c>
      <c r="AE163" s="102">
        <f t="shared" si="518"/>
        <v>103.53477704288458</v>
      </c>
      <c r="AF163" s="101">
        <f t="shared" si="503"/>
        <v>0</v>
      </c>
      <c r="AG163" s="10"/>
      <c r="AH163" s="10"/>
    </row>
    <row r="164" spans="2:34">
      <c r="B164" s="10" t="s">
        <v>312</v>
      </c>
      <c r="C164" s="10"/>
      <c r="D164" s="10"/>
      <c r="E164" s="10"/>
      <c r="F164" s="10"/>
      <c r="G164" s="112">
        <f t="shared" ref="G164:H164" si="519">G98/G29</f>
        <v>2.0095073465859983</v>
      </c>
      <c r="H164" s="112">
        <f t="shared" si="519"/>
        <v>1.5583333333333333</v>
      </c>
      <c r="I164" s="112">
        <f t="shared" ref="I164:S164" si="520">I98/I29</f>
        <v>1.0904761904761906</v>
      </c>
      <c r="J164" s="112">
        <f t="shared" si="520"/>
        <v>0.13333333333333333</v>
      </c>
      <c r="K164" s="112">
        <f t="shared" si="520"/>
        <v>0.1361111111111111</v>
      </c>
      <c r="L164" s="112">
        <f t="shared" si="520"/>
        <v>0.11079545454545454</v>
      </c>
      <c r="M164" s="112">
        <f t="shared" si="520"/>
        <v>0.55070028011204486</v>
      </c>
      <c r="N164" s="112">
        <f t="shared" si="520"/>
        <v>0.70661764705882357</v>
      </c>
      <c r="O164" s="112">
        <f t="shared" si="520"/>
        <v>0.58431372549019611</v>
      </c>
      <c r="P164" s="112">
        <f t="shared" si="520"/>
        <v>1.1137254901960785</v>
      </c>
      <c r="Q164" s="112">
        <f t="shared" si="520"/>
        <v>1.2691176470588235</v>
      </c>
      <c r="R164" s="112">
        <f t="shared" si="520"/>
        <v>3.4341213120762322</v>
      </c>
      <c r="S164" s="112">
        <f t="shared" si="520"/>
        <v>7.7573529411764701</v>
      </c>
      <c r="T164" s="101">
        <f t="shared" si="450"/>
        <v>0.1191423474747233</v>
      </c>
      <c r="U164" s="110"/>
      <c r="V164" s="112">
        <f t="shared" ref="V164:AE164" si="521">V98/V29</f>
        <v>7.6052479815455598</v>
      </c>
      <c r="W164" s="112">
        <f t="shared" si="521"/>
        <v>7.4561254721034906</v>
      </c>
      <c r="X164" s="112">
        <f t="shared" si="521"/>
        <v>7.3099269334347952</v>
      </c>
      <c r="Y164" s="112">
        <f t="shared" si="521"/>
        <v>7.1665950327792105</v>
      </c>
      <c r="Z164" s="112">
        <f t="shared" si="521"/>
        <v>7.0260735615482464</v>
      </c>
      <c r="AA164" s="112">
        <f t="shared" si="521"/>
        <v>6.888307413282595</v>
      </c>
      <c r="AB164" s="112">
        <f t="shared" si="521"/>
        <v>6.7532425620417591</v>
      </c>
      <c r="AC164" s="112">
        <f t="shared" si="521"/>
        <v>6.6208260412174109</v>
      </c>
      <c r="AD164" s="112">
        <f t="shared" si="521"/>
        <v>6.4910059227621675</v>
      </c>
      <c r="AE164" s="112">
        <f t="shared" si="521"/>
        <v>6.3637312968256543</v>
      </c>
      <c r="AF164" s="101">
        <f t="shared" si="503"/>
        <v>-1.4742223947839417E-2</v>
      </c>
      <c r="AG164" s="10"/>
      <c r="AH164" s="10"/>
    </row>
    <row r="165" spans="2:34"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10"/>
      <c r="U165" s="1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15"/>
      <c r="AG165" s="10"/>
      <c r="AH165" s="10"/>
    </row>
    <row r="166" spans="2:34">
      <c r="B166" s="10" t="s">
        <v>319</v>
      </c>
      <c r="C166" s="10"/>
      <c r="D166" s="10"/>
      <c r="E166" s="10"/>
      <c r="F166" s="10"/>
      <c r="G166" s="157">
        <f t="shared" ref="G166:H166" si="522">G25/G14</f>
        <v>4.9107142857142856</v>
      </c>
      <c r="H166" s="157">
        <f t="shared" si="522"/>
        <v>5.691056910569106</v>
      </c>
      <c r="I166" s="157">
        <f t="shared" ref="I166:S166" si="523">I25/I14</f>
        <v>6.2803030303030303</v>
      </c>
      <c r="J166" s="157">
        <f t="shared" si="523"/>
        <v>5.4221698113207548</v>
      </c>
      <c r="K166" s="157">
        <f t="shared" si="523"/>
        <v>5.3187499999999996</v>
      </c>
      <c r="L166" s="157">
        <f t="shared" si="523"/>
        <v>7.2366412213740459</v>
      </c>
      <c r="M166" s="157">
        <f t="shared" si="523"/>
        <v>5.6574654956085322</v>
      </c>
      <c r="N166" s="157">
        <f t="shared" si="523"/>
        <v>4.9038800705467374</v>
      </c>
      <c r="O166" s="157">
        <f t="shared" si="523"/>
        <v>4.669827586206897</v>
      </c>
      <c r="P166" s="157">
        <f t="shared" si="523"/>
        <v>4.7064676616915424</v>
      </c>
      <c r="Q166" s="157">
        <f t="shared" si="523"/>
        <v>6.4447004608294929</v>
      </c>
      <c r="R166" s="157">
        <f t="shared" si="523"/>
        <v>6.0261239368165249</v>
      </c>
      <c r="S166" s="157">
        <f t="shared" si="523"/>
        <v>7.5293172690763051</v>
      </c>
      <c r="T166" s="101">
        <f t="shared" si="450"/>
        <v>3.6257239357941895E-2</v>
      </c>
      <c r="U166" s="110"/>
      <c r="V166" s="10">
        <f t="shared" ref="V166:AE166" si="524">V25/V14</f>
        <v>7.5293172690763042</v>
      </c>
      <c r="W166" s="10">
        <f t="shared" si="524"/>
        <v>7.5293172690763051</v>
      </c>
      <c r="X166" s="10">
        <f t="shared" si="524"/>
        <v>7.5293172690763042</v>
      </c>
      <c r="Y166" s="10">
        <f t="shared" si="524"/>
        <v>7.5293172690763033</v>
      </c>
      <c r="Z166" s="10">
        <f t="shared" si="524"/>
        <v>7.5293172690763033</v>
      </c>
      <c r="AA166" s="10">
        <f t="shared" si="524"/>
        <v>7.5293172690763033</v>
      </c>
      <c r="AB166" s="10">
        <f t="shared" si="524"/>
        <v>7.5293172690763042</v>
      </c>
      <c r="AC166" s="10">
        <f t="shared" si="524"/>
        <v>7.5293172690763042</v>
      </c>
      <c r="AD166" s="10">
        <f t="shared" si="524"/>
        <v>7.5293172690763042</v>
      </c>
      <c r="AE166" s="10">
        <f t="shared" si="524"/>
        <v>7.5293172690763051</v>
      </c>
      <c r="AF166" s="101">
        <f t="shared" si="503"/>
        <v>0</v>
      </c>
      <c r="AG166" s="10"/>
      <c r="AH166" s="10"/>
    </row>
    <row r="167" spans="2:34">
      <c r="B167" s="10" t="s">
        <v>320</v>
      </c>
      <c r="C167" s="10"/>
      <c r="D167" s="10"/>
      <c r="E167" s="10"/>
      <c r="F167" s="10"/>
      <c r="G167" s="157">
        <f t="shared" ref="G167:H167" si="525">G27/G14</f>
        <v>4.1116071428571432</v>
      </c>
      <c r="H167" s="157">
        <f t="shared" si="525"/>
        <v>4.9268292682926829</v>
      </c>
      <c r="I167" s="157">
        <f t="shared" ref="I167:S167" si="526">I27/I14</f>
        <v>5.375</v>
      </c>
      <c r="J167" s="157">
        <f t="shared" si="526"/>
        <v>4.6485849056603774</v>
      </c>
      <c r="K167" s="157">
        <f t="shared" si="526"/>
        <v>4.5390625</v>
      </c>
      <c r="L167" s="157">
        <f t="shared" si="526"/>
        <v>6.1087786259541987</v>
      </c>
      <c r="M167" s="157">
        <f t="shared" si="526"/>
        <v>4.4140526976160599</v>
      </c>
      <c r="N167" s="157">
        <f t="shared" si="526"/>
        <v>3.9673721340388006</v>
      </c>
      <c r="O167" s="157">
        <f t="shared" si="526"/>
        <v>3.9922413793103448</v>
      </c>
      <c r="P167" s="157">
        <f t="shared" si="526"/>
        <v>4.0611229566453444</v>
      </c>
      <c r="Q167" s="157">
        <f t="shared" si="526"/>
        <v>5.7265745007680495</v>
      </c>
      <c r="R167" s="157">
        <f t="shared" si="526"/>
        <v>5.3991494532199269</v>
      </c>
      <c r="S167" s="157">
        <f t="shared" si="526"/>
        <v>6.5734939759036148</v>
      </c>
      <c r="T167" s="101">
        <f t="shared" si="450"/>
        <v>3.9877196813597804E-2</v>
      </c>
      <c r="U167" s="110"/>
      <c r="V167" s="10">
        <f t="shared" ref="V167:AE167" si="527">V27/V14</f>
        <v>6.5734939759036131</v>
      </c>
      <c r="W167" s="10">
        <f t="shared" si="527"/>
        <v>6.573493975903614</v>
      </c>
      <c r="X167" s="10">
        <f t="shared" si="527"/>
        <v>6.573493975903614</v>
      </c>
      <c r="Y167" s="10">
        <f t="shared" si="527"/>
        <v>6.5734939759036131</v>
      </c>
      <c r="Z167" s="10">
        <f t="shared" si="527"/>
        <v>6.5734939759036131</v>
      </c>
      <c r="AA167" s="10">
        <f t="shared" si="527"/>
        <v>6.573493975903614</v>
      </c>
      <c r="AB167" s="10">
        <f t="shared" si="527"/>
        <v>6.5734939759036148</v>
      </c>
      <c r="AC167" s="10">
        <f t="shared" si="527"/>
        <v>6.5734939759036148</v>
      </c>
      <c r="AD167" s="10">
        <f t="shared" si="527"/>
        <v>6.5734939759036157</v>
      </c>
      <c r="AE167" s="10">
        <f t="shared" si="527"/>
        <v>6.5734939759036166</v>
      </c>
      <c r="AF167" s="101">
        <f t="shared" si="503"/>
        <v>0</v>
      </c>
      <c r="AG167" s="10"/>
      <c r="AH167" s="10"/>
    </row>
    <row r="168" spans="2:34"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10"/>
      <c r="U168" s="110"/>
      <c r="V168" s="102"/>
      <c r="W168" s="102"/>
      <c r="X168" s="102"/>
      <c r="Y168" s="102"/>
      <c r="Z168" s="102"/>
      <c r="AA168" s="102"/>
      <c r="AB168" s="102"/>
      <c r="AC168" s="102"/>
      <c r="AD168" s="102"/>
      <c r="AE168" s="102"/>
      <c r="AF168" s="115"/>
      <c r="AG168" s="10"/>
      <c r="AH168" s="10"/>
    </row>
    <row r="169" spans="2:34">
      <c r="B169" s="93" t="s">
        <v>202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3" t="s">
        <v>414</v>
      </c>
      <c r="T169" s="13"/>
      <c r="U169" s="13" t="s">
        <v>415</v>
      </c>
      <c r="V169" s="105" t="s">
        <v>54</v>
      </c>
      <c r="W169" s="10"/>
      <c r="X169" s="10"/>
      <c r="Y169" s="10"/>
      <c r="Z169" s="10"/>
      <c r="AA169" s="10"/>
      <c r="AB169" s="10"/>
      <c r="AC169" s="10"/>
      <c r="AD169" s="10"/>
      <c r="AE169" s="10"/>
      <c r="AF169" s="115"/>
      <c r="AG169" s="10"/>
      <c r="AH169" s="10"/>
    </row>
    <row r="170" spans="2:34">
      <c r="B170" s="13" t="s">
        <v>231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5"/>
      <c r="S170" s="112">
        <f>AVERAGE(O102:S102)</f>
        <v>6.7835294117647065</v>
      </c>
      <c r="T170" s="137">
        <f>AVERAGE(I72:S72)</f>
        <v>6.4814438502673797</v>
      </c>
      <c r="U170" s="137">
        <f>AVERAGE(I102:S102)</f>
        <v>5.2834224598930479</v>
      </c>
      <c r="V170" s="171" t="s">
        <v>374</v>
      </c>
      <c r="W170" s="172" t="s">
        <v>375</v>
      </c>
      <c r="X170" s="10"/>
      <c r="Y170" s="10"/>
      <c r="Z170" s="10"/>
      <c r="AA170" s="10"/>
      <c r="AB170" s="10"/>
      <c r="AC170" s="10"/>
      <c r="AD170" s="10"/>
      <c r="AE170" s="10"/>
      <c r="AF170" s="115"/>
      <c r="AG170" s="10"/>
      <c r="AH170" s="10"/>
    </row>
    <row r="171" spans="2:34">
      <c r="B171" s="10" t="s">
        <v>13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18">
        <f>V171+W171</f>
        <v>91.387765721739228</v>
      </c>
      <c r="V171" s="112">
        <f>PV($C$1, ($AE$3-$V$3), 0, -AE72)</f>
        <v>7.9467622366729751</v>
      </c>
      <c r="W171" s="112">
        <f>PV($C$1, ($AE$3-$V$3), 0, -AH72)</f>
        <v>83.441003485066247</v>
      </c>
      <c r="X171" s="10"/>
      <c r="Y171" s="10"/>
      <c r="Z171" s="10"/>
      <c r="AA171" s="10"/>
      <c r="AB171" s="10"/>
      <c r="AC171" s="10"/>
      <c r="AD171" s="10"/>
      <c r="AE171" s="10"/>
      <c r="AF171" s="115"/>
      <c r="AG171" s="10"/>
      <c r="AH171" s="10"/>
    </row>
    <row r="172" spans="2:34">
      <c r="B172" s="10" t="s">
        <v>224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18">
        <f t="shared" ref="U172:U190" si="528">V172+W172</f>
        <v>546.15677307726548</v>
      </c>
      <c r="V172" s="112">
        <f>PV($C$1, ($AE$3-$V$3), 0, -AE74)</f>
        <v>47.491893311066555</v>
      </c>
      <c r="W172" s="112">
        <f>PV($C$1, ($AE$3-$V$3), 0, -AH74)</f>
        <v>498.66487976619896</v>
      </c>
      <c r="X172" s="10"/>
      <c r="Y172" s="10"/>
      <c r="Z172" s="10"/>
      <c r="AA172" s="10"/>
      <c r="AB172" s="10"/>
      <c r="AC172" s="10"/>
      <c r="AD172" s="10"/>
      <c r="AE172" s="10"/>
      <c r="AF172" s="115"/>
      <c r="AG172" s="10"/>
      <c r="AH172" s="10"/>
    </row>
    <row r="173" spans="2:34">
      <c r="B173" s="10" t="s">
        <v>225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18">
        <f t="shared" si="528"/>
        <v>535.43530335572098</v>
      </c>
      <c r="V173" s="112">
        <f>PV($C$1, ($AE$3-$V$3), 0, -AE75)</f>
        <v>46.559591596149637</v>
      </c>
      <c r="W173" s="112">
        <f>PV($C$1, ($AE$3-$V$3), 0, -AH75)</f>
        <v>488.87571175957129</v>
      </c>
      <c r="X173" s="10"/>
      <c r="Y173" s="10"/>
      <c r="Z173" s="10"/>
      <c r="AA173" s="10"/>
      <c r="AB173" s="10"/>
      <c r="AC173" s="10"/>
      <c r="AD173" s="10"/>
      <c r="AE173" s="10"/>
      <c r="AF173" s="115"/>
      <c r="AG173" s="10"/>
      <c r="AH173" s="10"/>
    </row>
    <row r="174" spans="2:34">
      <c r="B174" s="10" t="s">
        <v>226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18">
        <f t="shared" si="528"/>
        <v>14.167656417755664</v>
      </c>
      <c r="V174" s="112">
        <f>PV($C$1, ($AE$3-$V$3), 0, -AE76)</f>
        <v>1.2319701232831011</v>
      </c>
      <c r="W174" s="112">
        <f>PV($C$1, ($AE$3-$V$3), 0, -AH76)</f>
        <v>12.935686294472562</v>
      </c>
      <c r="X174" s="10"/>
      <c r="Y174" s="10"/>
      <c r="Z174" s="10"/>
      <c r="AA174" s="10"/>
      <c r="AB174" s="10"/>
      <c r="AC174" s="10"/>
      <c r="AD174" s="10"/>
      <c r="AE174" s="10"/>
      <c r="AF174" s="115"/>
      <c r="AG174" s="10"/>
      <c r="AH174" s="10"/>
    </row>
    <row r="175" spans="2:34">
      <c r="B175" s="10" t="s">
        <v>227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18">
        <f t="shared" si="528"/>
        <v>37.525144025406888</v>
      </c>
      <c r="V175" s="112">
        <f>PV($C$1, ($AE$3-$V$3), 0, -AE82)</f>
        <v>3.2630560022092943</v>
      </c>
      <c r="W175" s="112">
        <f>PV($C$1, ($AE$3-$V$3), 0, -AH82)</f>
        <v>34.262088023197592</v>
      </c>
      <c r="X175" s="10"/>
      <c r="Y175" s="10"/>
      <c r="Z175" s="10"/>
      <c r="AA175" s="10"/>
      <c r="AB175" s="10"/>
      <c r="AC175" s="10"/>
      <c r="AD175" s="10"/>
      <c r="AE175" s="10"/>
      <c r="AF175" s="115"/>
      <c r="AG175" s="10"/>
      <c r="AH175" s="10"/>
    </row>
    <row r="176" spans="2:34"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18"/>
      <c r="V176" s="112"/>
      <c r="W176" s="10"/>
      <c r="X176" s="10"/>
      <c r="Y176" s="10"/>
      <c r="Z176" s="10"/>
      <c r="AA176" s="10"/>
      <c r="AB176" s="10"/>
      <c r="AC176" s="10"/>
      <c r="AD176" s="10"/>
      <c r="AE176" s="10"/>
      <c r="AF176" s="115"/>
      <c r="AG176" s="10"/>
      <c r="AH176" s="10"/>
    </row>
    <row r="177" spans="2:34">
      <c r="B177" s="10" t="s">
        <v>222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18">
        <f t="shared" si="528"/>
        <v>531.98911665950982</v>
      </c>
      <c r="V177" s="112">
        <f>PV($C$1, ($AE$3-$V$3), 0, -AE78)</f>
        <v>46.259923187783457</v>
      </c>
      <c r="W177" s="112">
        <f>PV($C$1, ($AE$3-$V$3), 0, -$AH$78)</f>
        <v>485.72919347172632</v>
      </c>
      <c r="X177" s="10"/>
      <c r="Y177" s="10"/>
      <c r="Z177" s="10"/>
      <c r="AA177" s="10"/>
      <c r="AB177" s="10"/>
      <c r="AC177" s="10"/>
      <c r="AD177" s="10"/>
      <c r="AE177" s="10"/>
      <c r="AF177" s="115"/>
      <c r="AG177" s="10"/>
      <c r="AH177" s="10"/>
    </row>
    <row r="178" spans="2:34">
      <c r="B178" s="10" t="s">
        <v>223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18">
        <f t="shared" si="528"/>
        <v>288.45859012727738</v>
      </c>
      <c r="V178" s="112">
        <f>PV($C$1, ($AE$3-$V$3), 0, -AE79)</f>
        <v>25.083355663241509</v>
      </c>
      <c r="W178" s="112">
        <f>PV($C$1, ($AE$3-$V$3), 0, -$AH$79)</f>
        <v>263.37523446403588</v>
      </c>
      <c r="X178" s="10"/>
      <c r="Y178" s="10"/>
      <c r="Z178" s="10"/>
      <c r="AA178" s="10"/>
      <c r="AB178" s="10"/>
      <c r="AC178" s="10"/>
      <c r="AD178" s="10"/>
      <c r="AE178" s="10"/>
      <c r="AF178" s="115"/>
      <c r="AG178" s="10"/>
      <c r="AH178" s="10"/>
    </row>
    <row r="179" spans="2:34">
      <c r="B179" s="10" t="s">
        <v>228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18">
        <f t="shared" si="528"/>
        <v>577.17245334316294</v>
      </c>
      <c r="V179" s="112">
        <f>PV($C$1, ($AE$3-$V$3), 0, -AE80)</f>
        <v>50.188908986361987</v>
      </c>
      <c r="W179" s="112">
        <f>PV($C$1, ($AE$3-$V$3), 0, -$AH$80)</f>
        <v>526.98354435680096</v>
      </c>
      <c r="X179" s="10"/>
      <c r="Y179" s="10"/>
      <c r="Z179" s="10"/>
      <c r="AA179" s="10"/>
      <c r="AB179" s="10"/>
      <c r="AC179" s="10"/>
      <c r="AD179" s="10"/>
      <c r="AE179" s="10"/>
      <c r="AF179" s="115"/>
      <c r="AG179" s="10"/>
      <c r="AH179" s="10"/>
    </row>
    <row r="180" spans="2:34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18"/>
      <c r="V180" s="112"/>
      <c r="W180" s="10"/>
      <c r="X180" s="10"/>
      <c r="Y180" s="10"/>
      <c r="Z180" s="10"/>
      <c r="AA180" s="10"/>
      <c r="AB180" s="10"/>
      <c r="AC180" s="10"/>
      <c r="AD180" s="10"/>
      <c r="AE180" s="10"/>
      <c r="AF180" s="115"/>
      <c r="AG180" s="10"/>
      <c r="AH180" s="10"/>
    </row>
    <row r="181" spans="2:34">
      <c r="B181" s="10" t="s">
        <v>207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18">
        <f t="shared" si="528"/>
        <v>288.71386321588562</v>
      </c>
      <c r="V181" s="112">
        <f>PV($C$1, ($AE$3-$V$3), 0, -AE85)</f>
        <v>25.105553323120485</v>
      </c>
      <c r="W181" s="112">
        <f>PV($C$1, ($AE$3-$V$3), 0, -AH85)</f>
        <v>263.60830989276513</v>
      </c>
      <c r="X181" s="10"/>
      <c r="Y181" s="10"/>
      <c r="Z181" s="10"/>
      <c r="AA181" s="10"/>
      <c r="AB181" s="10"/>
      <c r="AC181" s="10"/>
      <c r="AD181" s="10"/>
      <c r="AE181" s="10"/>
      <c r="AF181" s="115"/>
      <c r="AG181" s="10"/>
      <c r="AH181" s="10"/>
    </row>
    <row r="182" spans="2:34">
      <c r="B182" s="10" t="s">
        <v>208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18">
        <f t="shared" si="528"/>
        <v>226.25704753641017</v>
      </c>
      <c r="V182" s="112">
        <f>PV($C$1, ($AE$3-$V$3), 0, -AE86)</f>
        <v>29.511788809096981</v>
      </c>
      <c r="W182" s="112">
        <f>PV($C$1, ($AE$3-$V$3), 0, -AH86)</f>
        <v>196.7452587273132</v>
      </c>
      <c r="X182" s="10"/>
      <c r="Y182" s="10"/>
      <c r="Z182" s="10"/>
      <c r="AA182" s="10"/>
      <c r="AB182" s="10"/>
      <c r="AC182" s="10"/>
      <c r="AD182" s="10"/>
      <c r="AE182" s="10"/>
      <c r="AF182" s="115"/>
      <c r="AG182" s="10"/>
      <c r="AH182" s="10"/>
    </row>
    <row r="183" spans="2:34"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18"/>
      <c r="V183" s="112"/>
      <c r="W183" s="112"/>
      <c r="X183" s="10"/>
      <c r="Y183" s="10"/>
      <c r="Z183" s="10"/>
      <c r="AA183" s="10"/>
      <c r="AB183" s="10"/>
      <c r="AC183" s="10"/>
      <c r="AD183" s="10"/>
      <c r="AE183" s="10"/>
      <c r="AF183" s="115"/>
      <c r="AG183" s="10"/>
      <c r="AH183" s="10"/>
    </row>
    <row r="184" spans="2:34">
      <c r="B184" s="10" t="s">
        <v>243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18">
        <f t="shared" ref="U184" si="529">V184+W184</f>
        <v>3888.1500000000015</v>
      </c>
      <c r="V184" s="112">
        <f>PV($C$1, ($AE$3-$V$3), 0, -AE12)</f>
        <v>338.10000000000008</v>
      </c>
      <c r="W184" s="112">
        <f>PV($C$1, ($AE$3-$V$3), 0, -AH12)</f>
        <v>3550.0500000000015</v>
      </c>
      <c r="X184" s="10"/>
      <c r="Y184" s="10"/>
      <c r="Z184" s="10"/>
      <c r="AA184" s="10"/>
      <c r="AB184" s="10"/>
      <c r="AC184" s="10"/>
      <c r="AD184" s="10"/>
      <c r="AE184" s="10"/>
      <c r="AF184" s="115"/>
      <c r="AG184" s="10"/>
      <c r="AH184" s="10"/>
    </row>
    <row r="185" spans="2:34">
      <c r="B185" s="10" t="s">
        <v>244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18">
        <f>V185+W185</f>
        <v>45.742941176470609</v>
      </c>
      <c r="V185" s="118">
        <f>V184/R57</f>
        <v>3.9776470588235302</v>
      </c>
      <c r="W185" s="118">
        <f>W184/R57</f>
        <v>41.76529411764708</v>
      </c>
      <c r="X185" s="10"/>
      <c r="Y185" s="10"/>
      <c r="Z185" s="10"/>
      <c r="AA185" s="10"/>
      <c r="AB185" s="10"/>
      <c r="AC185" s="10"/>
      <c r="AD185" s="10"/>
      <c r="AE185" s="10"/>
      <c r="AF185" s="115"/>
      <c r="AG185" s="10"/>
      <c r="AH185" s="10"/>
    </row>
    <row r="186" spans="2:34"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18"/>
      <c r="V186" s="118"/>
      <c r="W186" s="118"/>
      <c r="X186" s="10"/>
      <c r="Y186" s="10"/>
      <c r="Z186" s="10"/>
      <c r="AA186" s="10"/>
      <c r="AB186" s="10"/>
      <c r="AC186" s="10"/>
      <c r="AD186" s="10"/>
      <c r="AE186" s="10"/>
      <c r="AF186" s="115"/>
      <c r="AG186" s="10"/>
      <c r="AH186" s="10"/>
    </row>
    <row r="187" spans="2:34">
      <c r="B187" s="93" t="s">
        <v>247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18"/>
      <c r="V187" s="112"/>
      <c r="W187" s="112"/>
      <c r="X187" s="10"/>
      <c r="Y187" s="10"/>
      <c r="Z187" s="10"/>
      <c r="AA187" s="10"/>
      <c r="AB187" s="10"/>
      <c r="AC187" s="10"/>
      <c r="AD187" s="10"/>
      <c r="AE187" s="10"/>
      <c r="AF187" s="115"/>
      <c r="AG187" s="10"/>
      <c r="AH187" s="10"/>
    </row>
    <row r="188" spans="2:34">
      <c r="B188" s="10" t="s">
        <v>233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18">
        <f t="shared" ref="U188" si="530">V188+W188</f>
        <v>34.231569475921248</v>
      </c>
      <c r="V188" s="112">
        <f>PV($C$1, ($AE$3-$V$3), 0, -AE88)+PV($C$1, ($AD$3-$V$3), 0, -AE88)+PV($C$1, ($AC$3-$V$3), 0, -AE88)+PV($C$1, ($AB$3-$V$3), 0, -AE88)+PV($C$1, ($AA$3-$V$3), 0, -AE88)+PV($C$1, ($Z$3-$V$3), 0, -AE88)+PV($C$1, ($Y$3-$V$3), 0, -AE88)+PV($C$1, ($X$3-$V$3), 0, -AE88)+PV($C$1, ($W$3-$V$3), 0, -AE88)+PV($C$1, ($V$3-$V$3), 0, -AE88)</f>
        <v>22.563124883633133</v>
      </c>
      <c r="W188" s="112">
        <f>PV($C$1, ($AE$3-$V$3), 0, -AH88)</f>
        <v>11.668444592288118</v>
      </c>
      <c r="X188" s="10"/>
      <c r="Y188" s="10"/>
      <c r="Z188" s="10"/>
      <c r="AA188" s="10"/>
      <c r="AB188" s="10"/>
      <c r="AC188" s="10"/>
      <c r="AD188" s="10"/>
      <c r="AE188" s="10"/>
      <c r="AF188" s="115"/>
      <c r="AG188" s="10"/>
      <c r="AH188" s="10"/>
    </row>
    <row r="189" spans="2:34">
      <c r="B189" s="13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18"/>
      <c r="V189" s="112"/>
      <c r="W189" s="112"/>
      <c r="X189" s="10"/>
      <c r="Y189" s="10"/>
      <c r="Z189" s="10"/>
      <c r="AA189" s="10"/>
      <c r="AB189" s="10"/>
      <c r="AC189" s="10"/>
      <c r="AD189" s="10"/>
      <c r="AE189" s="10"/>
      <c r="AF189" s="115"/>
      <c r="AG189" s="10"/>
      <c r="AH189" s="10"/>
    </row>
    <row r="190" spans="2:34">
      <c r="B190" s="10" t="s">
        <v>240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18">
        <f t="shared" si="528"/>
        <v>6872.3095389095624</v>
      </c>
      <c r="V190" s="112">
        <f>PV($C$1, ($AE$3-$V$3), 0, -AE90)+PV($C$1, ($AD$3-$V$3), 0, -AE90)+PV($C$1, ($AC$3-$V$3), 0, -AE90)+PV($C$1, ($AB$3-$V$3), 0, -AE90)+PV($C$1, ($AA$3-$V$3), 0, -AE90)+PV($C$1, ($Z$3-$V$3), 0, -AE90)+PV($C$1, ($Y$3-$V$3), 0, -AE90)+PV($C$1, ($X$3-$V$3), 0, -AE90)+PV($C$1, ($W$3-$V$3), 0, -AE90)+PV($C$1, ($V$3-$V$3), 0, -AE90)</f>
        <v>4529.7595389095623</v>
      </c>
      <c r="W190" s="112">
        <f>PV($C$1, ($AE$3-$V$3), 0, -AH90)</f>
        <v>2342.5500000000002</v>
      </c>
      <c r="X190" s="10"/>
      <c r="Y190" s="10"/>
      <c r="Z190" s="10"/>
      <c r="AA190" s="10"/>
      <c r="AB190" s="10"/>
      <c r="AC190" s="10"/>
      <c r="AD190" s="10"/>
      <c r="AE190" s="10"/>
      <c r="AF190" s="115"/>
      <c r="AG190" s="10"/>
      <c r="AH190" s="10"/>
    </row>
    <row r="191" spans="2:34"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18"/>
      <c r="V191" s="112"/>
      <c r="W191" s="112"/>
      <c r="X191" s="10"/>
      <c r="Y191" s="10"/>
      <c r="Z191" s="10"/>
      <c r="AA191" s="10"/>
      <c r="AB191" s="10"/>
      <c r="AC191" s="10"/>
      <c r="AD191" s="10"/>
      <c r="AE191" s="10"/>
      <c r="AF191" s="115"/>
      <c r="AG191" s="10"/>
      <c r="AH191" s="10"/>
    </row>
    <row r="192" spans="2:34">
      <c r="B192" s="10" t="s">
        <v>404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18">
        <f t="shared" ref="U192:U195" si="531">V192+W192</f>
        <v>66.325734664238496</v>
      </c>
      <c r="V192" s="112">
        <f>PV($C$1, ($AE$3-$V$3), 0, -AE92)+PV($C$1, ($AD$3-$V$3), 0, -AE92)+PV($C$1, ($AC$3-$V$3), 0, -AE92)+PV($C$1, ($AB$3-$V$3), 0, -AE92)+PV($C$1, ($AA$3-$V$3), 0, -AE92)+PV($C$1, ($Z$3-$V$3), 0, -AE92)+PV($C$1, ($Y$3-$V$3), 0, -AE92)+PV($C$1, ($X$3-$V$3), 0, -AE92)+PV($C$1, ($W$3-$V$3), 0, -AE92)+PV($C$1, ($V$3-$V$3), 0, -AE92)</f>
        <v>43.717418077502671</v>
      </c>
      <c r="W192" s="112">
        <f>PV($C$1, ($AE$3-$V$3), 0, -AH92)</f>
        <v>22.608316586735825</v>
      </c>
      <c r="X192" s="10"/>
      <c r="Y192" s="10"/>
      <c r="Z192" s="10"/>
      <c r="AA192" s="10"/>
      <c r="AB192" s="10"/>
      <c r="AC192" s="10"/>
      <c r="AD192" s="10"/>
      <c r="AE192" s="10"/>
      <c r="AF192" s="115"/>
      <c r="AG192" s="10"/>
      <c r="AH192" s="10"/>
    </row>
    <row r="193" spans="2:34">
      <c r="B193" s="10" t="s">
        <v>237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18">
        <f t="shared" si="531"/>
        <v>457.78432327533676</v>
      </c>
      <c r="V193" s="112">
        <f>PV($C$1, ($AE$3-$V$3), 0, -AE93)+PV($C$1, ($AD$3-$V$3), 0, -AE93)+PV($C$1, ($AC$3-$V$3), 0, -AE93)+PV($C$1, ($AB$3-$V$3), 0, -AE93)+PV($C$1, ($AA$3-$V$3), 0, -AE93)+PV($C$1, ($Z$3-$V$3), 0, -AE93)+PV($C$1, ($Y$3-$V$3), 0, -AE93)+PV($C$1, ($X$3-$V$3), 0, -AE93)+PV($C$1, ($W$3-$V$3), 0, -AE93)+PV($C$1, ($V$3-$V$3), 0, -AE93)</f>
        <v>301.74032374111374</v>
      </c>
      <c r="W193" s="112">
        <f>PV($C$1, ($AE$3-$V$3), 0, -AH93)</f>
        <v>156.04399953422302</v>
      </c>
      <c r="X193" s="10"/>
      <c r="Y193" s="10"/>
      <c r="Z193" s="10"/>
      <c r="AA193" s="10"/>
      <c r="AB193" s="10"/>
      <c r="AC193" s="10"/>
      <c r="AD193" s="10"/>
      <c r="AE193" s="10"/>
      <c r="AF193" s="115"/>
      <c r="AG193" s="10"/>
      <c r="AH193" s="10"/>
    </row>
    <row r="194" spans="2:34">
      <c r="B194" s="10" t="s">
        <v>238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18">
        <f t="shared" si="531"/>
        <v>-391.45858861109832</v>
      </c>
      <c r="V194" s="112">
        <f>PV($C$1, ($AE$3-$V$3), 0, -AE94)+PV($C$1, ($AD$3-$V$3), 0, -AE94)+PV($C$1, ($AC$3-$V$3), 0, -AE94)+PV($C$1, ($AB$3-$V$3), 0, -AE94)+PV($C$1, ($AA$3-$V$3), 0, -AE94)+PV($C$1, ($Z$3-$V$3), 0, -AE94)+PV($C$1, ($Y$3-$V$3), 0, -AE94)+PV($C$1, ($X$3-$V$3), 0, -AE94)+PV($C$1, ($W$3-$V$3), 0, -AE94)+PV($C$1, ($V$3-$V$3), 0, -AE94)</f>
        <v>-258.02290566361114</v>
      </c>
      <c r="W194" s="112">
        <f>PV($C$1, ($AE$3-$V$3), 0, -AH94)</f>
        <v>-133.43568294748721</v>
      </c>
      <c r="X194" s="10"/>
      <c r="Y194" s="10"/>
      <c r="Z194" s="10"/>
      <c r="AA194" s="10"/>
      <c r="AB194" s="10"/>
      <c r="AC194" s="10"/>
      <c r="AD194" s="10"/>
      <c r="AE194" s="10"/>
      <c r="AF194" s="115"/>
      <c r="AG194" s="10"/>
      <c r="AH194" s="10"/>
    </row>
    <row r="195" spans="2:34">
      <c r="B195" s="10" t="s">
        <v>239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18">
        <f t="shared" si="531"/>
        <v>-51.282784534205021</v>
      </c>
      <c r="V195" s="112">
        <f>PV($C$1, ($AE$3-$V$3), 0, -AE95)+PV($C$1, ($AD$3-$V$3), 0, -AE95)+PV($C$1, ($AC$3-$V$3), 0, -AE95)+PV($C$1, ($AB$3-$V$3), 0, -AE95)+PV($C$1, ($AA$3-$V$3), 0, -AE95)+PV($C$1, ($Z$3-$V$3), 0, -AE95)+PV($C$1, ($Y$3-$V$3), 0, -AE95)+PV($C$1, ($X$3-$V$3), 0, -AE95)+PV($C$1, ($W$3-$V$3), 0, -AE95)+PV($C$1, ($V$3-$V$3), 0, -AE95)</f>
        <v>-33.80212737951237</v>
      </c>
      <c r="W195" s="112">
        <f>PV($C$1, ($AE$3-$V$3), 0, -AH95)</f>
        <v>-17.480657154692651</v>
      </c>
      <c r="X195" s="10"/>
      <c r="Y195" s="10"/>
      <c r="Z195" s="10"/>
      <c r="AA195" s="10"/>
      <c r="AB195" s="10"/>
      <c r="AC195" s="10"/>
      <c r="AD195" s="10"/>
      <c r="AE195" s="10"/>
      <c r="AF195" s="115"/>
      <c r="AG195" s="10"/>
      <c r="AH195" s="10"/>
    </row>
    <row r="196" spans="2:34">
      <c r="B196" s="10" t="s">
        <v>402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95">
        <f>U193+U194+U195</f>
        <v>15.042950130033418</v>
      </c>
      <c r="V196" s="95">
        <f t="shared" ref="V196:W196" si="532">V193+V194+V195</f>
        <v>9.9152906979902298</v>
      </c>
      <c r="W196" s="95">
        <f t="shared" si="532"/>
        <v>5.1276594320431599</v>
      </c>
      <c r="X196" s="10"/>
      <c r="Y196" s="10"/>
      <c r="Z196" s="10"/>
      <c r="AA196" s="10"/>
      <c r="AB196" s="10"/>
      <c r="AC196" s="10"/>
      <c r="AD196" s="10"/>
      <c r="AE196" s="10"/>
      <c r="AF196" s="115"/>
      <c r="AG196" s="10"/>
      <c r="AH196" s="10"/>
    </row>
    <row r="197" spans="2:34"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18"/>
      <c r="V197" s="112"/>
      <c r="W197" s="112"/>
      <c r="X197" s="10"/>
      <c r="Y197" s="10"/>
      <c r="Z197" s="10"/>
      <c r="AA197" s="10"/>
      <c r="AB197" s="10"/>
      <c r="AC197" s="10"/>
      <c r="AD197" s="10"/>
      <c r="AE197" s="10"/>
      <c r="AF197" s="115"/>
      <c r="AG197" s="10"/>
      <c r="AH197" s="10"/>
    </row>
    <row r="198" spans="2:34">
      <c r="B198" s="10" t="s">
        <v>248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18">
        <f>V198+W198</f>
        <v>25.299507036874473</v>
      </c>
      <c r="V198" s="112">
        <f>PV($C$1, ($AE$3-$V$3), 0, -AE96)+PV($C$1, ($AD$3-$V$3), 0, -AE96)+PV($C$1, ($AC$3-$V$3), 0, -AE96)+PV($C$1, ($AB$3-$V$3), 0, -AE96)+PV($C$1, ($AA$3-$V$3), 0, -AE96)+PV($C$1, ($Z$3-$V$3), 0, -AE96)+PV($C$1, ($Y$3-$V$3), 0, -AE96)+PV($C$1, ($X$3-$V$3), 0, -AE96)+PV($C$1, ($W$3-$V$3), 0, -AE96)+PV($C$1, ($V$3-$V$3), 0, -AE96)</f>
        <v>16.67571617389277</v>
      </c>
      <c r="W198" s="112">
        <f>PV($C$1, ($AE$3-$V$3), 0, -AH96)</f>
        <v>8.6237908629817053</v>
      </c>
      <c r="X198" s="10"/>
      <c r="Y198" s="10"/>
      <c r="Z198" s="10"/>
      <c r="AA198" s="10"/>
      <c r="AB198" s="10"/>
      <c r="AC198" s="10"/>
      <c r="AD198" s="10"/>
      <c r="AE198" s="10"/>
      <c r="AF198" s="115"/>
      <c r="AG198" s="10"/>
      <c r="AH198" s="10"/>
    </row>
    <row r="199" spans="2:34"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60">
        <v>41729</v>
      </c>
      <c r="R199" s="10">
        <v>135</v>
      </c>
      <c r="S199" s="10"/>
      <c r="T199" s="10"/>
      <c r="U199" s="10"/>
      <c r="V199" s="104"/>
      <c r="W199" s="10"/>
      <c r="X199" s="10"/>
      <c r="Y199" s="10"/>
      <c r="Z199" s="10"/>
      <c r="AA199" s="10"/>
      <c r="AB199" s="10"/>
      <c r="AC199" s="10"/>
      <c r="AD199" s="10"/>
      <c r="AE199" s="10"/>
      <c r="AF199" s="115"/>
      <c r="AG199" s="10"/>
      <c r="AH199" s="10"/>
    </row>
    <row r="200" spans="2:34">
      <c r="B200" s="93" t="s">
        <v>209</v>
      </c>
      <c r="C200" s="10"/>
      <c r="D200" s="10"/>
      <c r="E200" s="10"/>
      <c r="F200" s="178" t="s">
        <v>413</v>
      </c>
      <c r="G200" s="173">
        <v>0</v>
      </c>
      <c r="H200" s="173">
        <v>0</v>
      </c>
      <c r="I200" s="173">
        <v>0</v>
      </c>
      <c r="J200" s="173">
        <v>0</v>
      </c>
      <c r="K200" s="173">
        <v>0</v>
      </c>
      <c r="L200" s="173">
        <v>0</v>
      </c>
      <c r="M200" s="173">
        <v>0</v>
      </c>
      <c r="N200" s="173">
        <v>0</v>
      </c>
      <c r="O200" s="173">
        <v>0</v>
      </c>
      <c r="P200" s="173">
        <v>0</v>
      </c>
      <c r="Q200" s="13" t="s">
        <v>335</v>
      </c>
      <c r="R200" s="10">
        <v>175</v>
      </c>
      <c r="S200" s="10"/>
      <c r="T200" s="10">
        <v>70</v>
      </c>
      <c r="U200" s="13" t="s">
        <v>336</v>
      </c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15"/>
      <c r="AG200" s="10"/>
      <c r="AH200" s="10"/>
    </row>
    <row r="201" spans="2:34">
      <c r="B201" s="10" t="s">
        <v>183</v>
      </c>
      <c r="C201" s="12">
        <v>0</v>
      </c>
      <c r="D201" s="12">
        <v>0</v>
      </c>
      <c r="E201" s="12">
        <v>0</v>
      </c>
      <c r="F201" s="12">
        <v>0</v>
      </c>
      <c r="G201" s="12">
        <v>130</v>
      </c>
      <c r="H201" s="12">
        <v>150</v>
      </c>
      <c r="I201" s="12">
        <v>241</v>
      </c>
      <c r="J201" s="12">
        <v>38</v>
      </c>
      <c r="K201" s="12">
        <v>51</v>
      </c>
      <c r="L201" s="12">
        <v>35</v>
      </c>
      <c r="M201" s="12">
        <v>108</v>
      </c>
      <c r="N201" s="12">
        <v>129</v>
      </c>
      <c r="O201" s="12">
        <v>128</v>
      </c>
      <c r="P201" s="12">
        <v>115</v>
      </c>
      <c r="Q201" s="12">
        <v>120</v>
      </c>
      <c r="R201" s="12">
        <v>180</v>
      </c>
      <c r="S201" s="12">
        <v>70</v>
      </c>
      <c r="T201" s="101">
        <f t="shared" ref="T201:T227" si="533">((S201/G201)^(1/($J$2-$J$1) ))-1</f>
        <v>-5.0278600137732776E-2</v>
      </c>
      <c r="U201" s="21">
        <v>0</v>
      </c>
      <c r="V201" s="174">
        <v>50</v>
      </c>
      <c r="W201" s="102">
        <f t="shared" ref="W201:AE201" si="534">V201*(1+$U201)</f>
        <v>50</v>
      </c>
      <c r="X201" s="102">
        <f t="shared" si="534"/>
        <v>50</v>
      </c>
      <c r="Y201" s="102">
        <f t="shared" si="534"/>
        <v>50</v>
      </c>
      <c r="Z201" s="102">
        <f t="shared" si="534"/>
        <v>50</v>
      </c>
      <c r="AA201" s="102">
        <f t="shared" si="534"/>
        <v>50</v>
      </c>
      <c r="AB201" s="102">
        <f t="shared" si="534"/>
        <v>50</v>
      </c>
      <c r="AC201" s="102">
        <f t="shared" si="534"/>
        <v>50</v>
      </c>
      <c r="AD201" s="102">
        <f t="shared" si="534"/>
        <v>50</v>
      </c>
      <c r="AE201" s="102">
        <f t="shared" si="534"/>
        <v>50</v>
      </c>
      <c r="AF201" s="116">
        <f t="shared" ref="AF201:AF208" si="535">((AE201/I201)^(1/($AE$3-$J$1) ))-1</f>
        <v>-7.2158164471239017E-2</v>
      </c>
      <c r="AG201" s="21">
        <f t="shared" ref="AG201:AG208" si="536">$N$1</f>
        <v>0.05</v>
      </c>
      <c r="AH201" s="109">
        <f t="shared" ref="AH201:AH212" si="537">(AE201*(1+AF201))/($C$1-AG201)</f>
        <v>463.92091776438053</v>
      </c>
    </row>
    <row r="202" spans="2:34">
      <c r="B202" s="10" t="s">
        <v>306</v>
      </c>
      <c r="C202" s="15"/>
      <c r="D202" s="15"/>
      <c r="E202" s="15"/>
      <c r="F202" s="15"/>
      <c r="G202" s="15">
        <f t="shared" ref="G202:H202" si="538">G201/G66</f>
        <v>0.84145454545454546</v>
      </c>
      <c r="H202" s="15">
        <f t="shared" si="538"/>
        <v>0.8035714285714286</v>
      </c>
      <c r="I202" s="15">
        <f t="shared" ref="I202:S202" si="539">I201/I66</f>
        <v>1.0901688781664656</v>
      </c>
      <c r="J202" s="15">
        <f t="shared" si="539"/>
        <v>1.2396694214876034</v>
      </c>
      <c r="K202" s="15">
        <f t="shared" si="539"/>
        <v>1.1985898942420683</v>
      </c>
      <c r="L202" s="15">
        <f t="shared" si="539"/>
        <v>0.73839662447257381</v>
      </c>
      <c r="M202" s="15">
        <f t="shared" si="539"/>
        <v>2.0359281437125749</v>
      </c>
      <c r="N202" s="15">
        <f t="shared" si="539"/>
        <v>1.9717676676856681</v>
      </c>
      <c r="O202" s="15">
        <f t="shared" si="539"/>
        <v>2.0084917851209156</v>
      </c>
      <c r="P202" s="15">
        <f t="shared" si="539"/>
        <v>1.4761401389308366</v>
      </c>
      <c r="Q202" s="15">
        <f t="shared" si="539"/>
        <v>1.2155881301394351</v>
      </c>
      <c r="R202" s="15">
        <f t="shared" si="539"/>
        <v>1.5424942030446618</v>
      </c>
      <c r="S202" s="15">
        <f t="shared" si="539"/>
        <v>0.63473437166631108</v>
      </c>
      <c r="T202" s="101">
        <f t="shared" si="533"/>
        <v>-2.3219952792806087E-2</v>
      </c>
      <c r="U202" s="110"/>
      <c r="V202" s="15">
        <f t="shared" ref="V202:AE202" si="540">V201/V66</f>
        <v>0.40212985037244559</v>
      </c>
      <c r="W202" s="15">
        <f t="shared" si="540"/>
        <v>0.35667169337382132</v>
      </c>
      <c r="X202" s="15">
        <f t="shared" si="540"/>
        <v>0.31635228455765024</v>
      </c>
      <c r="Y202" s="15">
        <f t="shared" si="540"/>
        <v>0.28059072195548113</v>
      </c>
      <c r="Z202" s="15">
        <f t="shared" si="540"/>
        <v>0.24887177077790507</v>
      </c>
      <c r="AA202" s="15">
        <f t="shared" si="540"/>
        <v>0.22073844016822886</v>
      </c>
      <c r="AB202" s="15">
        <f t="shared" si="540"/>
        <v>0.19578539910573345</v>
      </c>
      <c r="AC202" s="15">
        <f t="shared" si="540"/>
        <v>0.17365313659812878</v>
      </c>
      <c r="AD202" s="15">
        <f t="shared" si="540"/>
        <v>0.15402278202616643</v>
      </c>
      <c r="AE202" s="15">
        <f t="shared" si="540"/>
        <v>0.13661151101451283</v>
      </c>
      <c r="AF202" s="116">
        <f t="shared" ref="AF202" si="541">((AE202/I202)^(1/($AE$3-$J$1) ))-1</f>
        <v>-9.4168726958047233E-2</v>
      </c>
      <c r="AG202" s="21">
        <f t="shared" si="536"/>
        <v>0.05</v>
      </c>
      <c r="AH202" s="109">
        <f t="shared" ref="AH202" si="542">(AE202*(1+AF202))/($C$1-AG202)</f>
        <v>1.2374697893446092</v>
      </c>
    </row>
    <row r="203" spans="2:34">
      <c r="B203" s="10" t="s">
        <v>334</v>
      </c>
      <c r="C203" s="15"/>
      <c r="D203" s="15"/>
      <c r="E203" s="15"/>
      <c r="F203" s="15"/>
      <c r="G203" s="15">
        <f t="shared" ref="G203:H203" si="543">G201/G72</f>
        <v>12.508108108108109</v>
      </c>
      <c r="H203" s="15">
        <f t="shared" si="543"/>
        <v>14.240506329113924</v>
      </c>
      <c r="I203" s="15">
        <f t="shared" ref="I203:S203" si="544">I201/I72</f>
        <v>17.54854368932039</v>
      </c>
      <c r="J203" s="15">
        <f t="shared" si="544"/>
        <v>18.037974683544306</v>
      </c>
      <c r="K203" s="15">
        <f t="shared" si="544"/>
        <v>15.572519083969466</v>
      </c>
      <c r="L203" s="15">
        <f t="shared" si="544"/>
        <v>9.5238095238095237</v>
      </c>
      <c r="M203" s="15">
        <f t="shared" si="544"/>
        <v>15.800344234079175</v>
      </c>
      <c r="N203" s="15">
        <f t="shared" si="544"/>
        <v>16.638846737481032</v>
      </c>
      <c r="O203" s="15">
        <f t="shared" si="544"/>
        <v>23.397849462365592</v>
      </c>
      <c r="P203" s="15">
        <f t="shared" si="544"/>
        <v>18.101851851851851</v>
      </c>
      <c r="Q203" s="15">
        <f t="shared" si="544"/>
        <v>18.681318681318679</v>
      </c>
      <c r="R203" s="15">
        <f t="shared" si="544"/>
        <v>24.837662337662337</v>
      </c>
      <c r="S203" s="15">
        <f t="shared" si="544"/>
        <v>8.3100558659217878</v>
      </c>
      <c r="T203" s="101">
        <f t="shared" si="533"/>
        <v>-3.3501851416867789E-2</v>
      </c>
      <c r="U203" s="110"/>
      <c r="V203" s="102">
        <f t="shared" ref="V203:AE203" si="545">V201/V72</f>
        <v>5.264755890211319</v>
      </c>
      <c r="W203" s="102">
        <f t="shared" si="545"/>
        <v>4.6696095721874311</v>
      </c>
      <c r="X203" s="102">
        <f t="shared" si="545"/>
        <v>4.1417406640271128</v>
      </c>
      <c r="Y203" s="102">
        <f t="shared" si="545"/>
        <v>3.6735438933110052</v>
      </c>
      <c r="Z203" s="102">
        <f t="shared" si="545"/>
        <v>3.2582737140671534</v>
      </c>
      <c r="AA203" s="102">
        <f t="shared" si="545"/>
        <v>2.8899471203030402</v>
      </c>
      <c r="AB203" s="102">
        <f t="shared" si="545"/>
        <v>2.5632574458340009</v>
      </c>
      <c r="AC203" s="102">
        <f t="shared" si="545"/>
        <v>2.2734979084788529</v>
      </c>
      <c r="AD203" s="102">
        <f t="shared" si="545"/>
        <v>2.0164937970855918</v>
      </c>
      <c r="AE203" s="102">
        <f t="shared" si="545"/>
        <v>1.7885423243715683</v>
      </c>
      <c r="AF203" s="116">
        <f t="shared" si="535"/>
        <v>-0.1030376845808485</v>
      </c>
      <c r="AG203" s="21">
        <f t="shared" si="536"/>
        <v>0.05</v>
      </c>
      <c r="AH203" s="109">
        <f t="shared" si="537"/>
        <v>16.042550644934732</v>
      </c>
    </row>
    <row r="204" spans="2:34">
      <c r="B204" s="10" t="s">
        <v>407</v>
      </c>
      <c r="C204" s="15"/>
      <c r="D204" s="15"/>
      <c r="E204" s="15"/>
      <c r="F204" s="15"/>
      <c r="G204" s="15">
        <f t="shared" ref="G204:H204" si="546">G201/G70</f>
        <v>4.9763440860215056</v>
      </c>
      <c r="H204" s="15">
        <f t="shared" si="546"/>
        <v>6.0160427807486627</v>
      </c>
      <c r="I204" s="15">
        <f t="shared" ref="I204:S204" si="547">I201/I70</f>
        <v>7.893013100436681</v>
      </c>
      <c r="J204" s="15">
        <f t="shared" si="547"/>
        <v>8.90625</v>
      </c>
      <c r="K204" s="15">
        <f t="shared" si="547"/>
        <v>8.3265306122448983</v>
      </c>
      <c r="L204" s="15">
        <f t="shared" si="547"/>
        <v>4.7863247863247862</v>
      </c>
      <c r="M204" s="15">
        <f t="shared" si="547"/>
        <v>9.3387589013224819</v>
      </c>
      <c r="N204" s="15">
        <f t="shared" si="547"/>
        <v>11.409989594172735</v>
      </c>
      <c r="O204" s="15">
        <f t="shared" si="547"/>
        <v>14.604026845637582</v>
      </c>
      <c r="P204" s="15">
        <f t="shared" si="547"/>
        <v>11.47300469483568</v>
      </c>
      <c r="Q204" s="15">
        <f t="shared" si="547"/>
        <v>11.819235225955968</v>
      </c>
      <c r="R204" s="15">
        <f t="shared" si="547"/>
        <v>16.328708644610458</v>
      </c>
      <c r="S204" s="15">
        <f t="shared" si="547"/>
        <v>5.6398104265402846</v>
      </c>
      <c r="T204" s="101">
        <f t="shared" si="533"/>
        <v>1.0484156842040848E-2</v>
      </c>
      <c r="U204" s="110"/>
      <c r="V204" s="15">
        <f t="shared" ref="V204:AE204" si="548">V201/V70</f>
        <v>3.5730475994230377</v>
      </c>
      <c r="W204" s="15">
        <f t="shared" si="548"/>
        <v>3.169137870792607</v>
      </c>
      <c r="X204" s="15">
        <f t="shared" si="548"/>
        <v>2.8108875027899649</v>
      </c>
      <c r="Y204" s="15">
        <f t="shared" si="548"/>
        <v>2.4931350024745775</v>
      </c>
      <c r="Z204" s="15">
        <f t="shared" si="548"/>
        <v>2.2113023500209299</v>
      </c>
      <c r="AA204" s="15">
        <f t="shared" si="548"/>
        <v>1.9613290408881292</v>
      </c>
      <c r="AB204" s="15">
        <f t="shared" si="548"/>
        <v>1.7396135840920799</v>
      </c>
      <c r="AC204" s="15">
        <f t="shared" si="548"/>
        <v>1.5429616137164535</v>
      </c>
      <c r="AD204" s="15">
        <f t="shared" si="548"/>
        <v>1.3685398660789414</v>
      </c>
      <c r="AE204" s="15">
        <f t="shared" si="548"/>
        <v>1.2138353594787135</v>
      </c>
      <c r="AF204" s="116">
        <f t="shared" ref="AF204:AF205" si="549">((AE204/I204)^(1/($AE$3-$J$1) ))-1</f>
        <v>-8.5293510944648876E-2</v>
      </c>
      <c r="AG204" s="21">
        <f t="shared" si="536"/>
        <v>0.05</v>
      </c>
      <c r="AH204" s="109">
        <f t="shared" ref="AH204:AH205" si="550">(AE204*(1+AF204))/($C$1-AG204)</f>
        <v>11.103030799600141</v>
      </c>
    </row>
    <row r="205" spans="2:34">
      <c r="B205" s="10" t="s">
        <v>408</v>
      </c>
      <c r="C205" s="15"/>
      <c r="D205" s="15"/>
      <c r="E205" s="15"/>
      <c r="F205" s="15"/>
      <c r="G205" s="15">
        <f t="shared" ref="G205:H205" si="551">G201/G71</f>
        <v>8.3387387387387388</v>
      </c>
      <c r="H205" s="15">
        <f t="shared" si="551"/>
        <v>9.615384615384615</v>
      </c>
      <c r="I205" s="15">
        <f t="shared" ref="I205:S205" si="552">I201/I71</f>
        <v>11.737012987012987</v>
      </c>
      <c r="J205" s="15">
        <f t="shared" si="552"/>
        <v>11.92468619246862</v>
      </c>
      <c r="K205" s="15">
        <f t="shared" si="552"/>
        <v>10.488431876606684</v>
      </c>
      <c r="L205" s="15">
        <f t="shared" si="552"/>
        <v>6.1946902654867255</v>
      </c>
      <c r="M205" s="15">
        <f t="shared" si="552"/>
        <v>10.419977298524403</v>
      </c>
      <c r="N205" s="15">
        <f t="shared" si="552"/>
        <v>11.457680250783698</v>
      </c>
      <c r="O205" s="15">
        <f t="shared" si="552"/>
        <v>16.435045317220546</v>
      </c>
      <c r="P205" s="15">
        <f t="shared" si="552"/>
        <v>12.580437580437581</v>
      </c>
      <c r="Q205" s="15">
        <f t="shared" si="552"/>
        <v>12.977099236641223</v>
      </c>
      <c r="R205" s="15">
        <f t="shared" si="552"/>
        <v>17.505720823798626</v>
      </c>
      <c r="S205" s="15">
        <f t="shared" si="552"/>
        <v>5.9027777777777777</v>
      </c>
      <c r="T205" s="101">
        <f t="shared" si="533"/>
        <v>-2.838023926946176E-2</v>
      </c>
      <c r="U205" s="110"/>
      <c r="V205" s="15">
        <f t="shared" ref="V205:AE205" si="553">V201/V71</f>
        <v>3.7396480331262949</v>
      </c>
      <c r="W205" s="15">
        <f t="shared" si="553"/>
        <v>3.3169052119902789</v>
      </c>
      <c r="X205" s="15">
        <f t="shared" si="553"/>
        <v>2.9419507097652913</v>
      </c>
      <c r="Y205" s="15">
        <f t="shared" si="553"/>
        <v>2.6093823686613886</v>
      </c>
      <c r="Z205" s="15">
        <f t="shared" si="553"/>
        <v>2.3144087095953192</v>
      </c>
      <c r="AA205" s="15">
        <f t="shared" si="553"/>
        <v>2.0527798989454138</v>
      </c>
      <c r="AB205" s="15">
        <f t="shared" si="553"/>
        <v>1.820726519064628</v>
      </c>
      <c r="AC205" s="15">
        <f t="shared" si="553"/>
        <v>1.6149052603877572</v>
      </c>
      <c r="AD205" s="15">
        <f t="shared" si="553"/>
        <v>1.4323507526917501</v>
      </c>
      <c r="AE205" s="15">
        <f t="shared" si="553"/>
        <v>1.2704328415179003</v>
      </c>
      <c r="AF205" s="116">
        <f t="shared" si="549"/>
        <v>-0.10046354602579355</v>
      </c>
      <c r="AG205" s="21">
        <f t="shared" si="536"/>
        <v>0.05</v>
      </c>
      <c r="AH205" s="109">
        <f t="shared" si="550"/>
        <v>11.428006532713871</v>
      </c>
    </row>
    <row r="206" spans="2:34">
      <c r="B206" s="10" t="s">
        <v>216</v>
      </c>
      <c r="C206" s="15"/>
      <c r="D206" s="15"/>
      <c r="E206" s="15"/>
      <c r="F206" s="15"/>
      <c r="G206" s="15">
        <f t="shared" ref="G206:H206" si="554">G201/G75</f>
        <v>3.3904761904761904</v>
      </c>
      <c r="H206" s="15">
        <f t="shared" si="554"/>
        <v>3.0653950953678475</v>
      </c>
      <c r="I206" s="15">
        <f t="shared" ref="I206:S206" si="555">I201/I75</f>
        <v>4.3871359223300974</v>
      </c>
      <c r="J206" s="15">
        <f t="shared" si="555"/>
        <v>6.3474387527839644</v>
      </c>
      <c r="K206" s="15">
        <f t="shared" si="555"/>
        <v>5.6588072122052706</v>
      </c>
      <c r="L206" s="15">
        <f t="shared" si="555"/>
        <v>32.558139534883722</v>
      </c>
      <c r="M206" s="15">
        <f t="shared" si="555"/>
        <v>5.1486259113853059</v>
      </c>
      <c r="N206" s="15">
        <f t="shared" si="555"/>
        <v>4.8625277161862526</v>
      </c>
      <c r="O206" s="15">
        <f t="shared" si="555"/>
        <v>4.1813989239046885</v>
      </c>
      <c r="P206" s="15">
        <f t="shared" si="555"/>
        <v>3.2648630594522374</v>
      </c>
      <c r="Q206" s="15">
        <f t="shared" si="555"/>
        <v>3.0231179608772969</v>
      </c>
      <c r="R206" s="15">
        <f t="shared" si="555"/>
        <v>4.1140091422425389</v>
      </c>
      <c r="S206" s="15">
        <f t="shared" si="555"/>
        <v>1.4183551847437426</v>
      </c>
      <c r="T206" s="101">
        <f t="shared" si="533"/>
        <v>-7.0048373237361683E-2</v>
      </c>
      <c r="U206" s="110"/>
      <c r="V206" s="102">
        <f t="shared" ref="V206:AE206" si="556">V201/V75</f>
        <v>0.89858527232212271</v>
      </c>
      <c r="W206" s="102">
        <f t="shared" si="556"/>
        <v>0.79700606762483917</v>
      </c>
      <c r="X206" s="102">
        <f t="shared" si="556"/>
        <v>0.70690972954550957</v>
      </c>
      <c r="Y206" s="102">
        <f t="shared" si="556"/>
        <v>0.62699819490123465</v>
      </c>
      <c r="Z206" s="102">
        <f t="shared" si="556"/>
        <v>0.55612013808631255</v>
      </c>
      <c r="AA206" s="102">
        <f t="shared" si="556"/>
        <v>0.49325438334612071</v>
      </c>
      <c r="AB206" s="102">
        <f t="shared" si="556"/>
        <v>0.43749519218525496</v>
      </c>
      <c r="AC206" s="102">
        <f t="shared" si="556"/>
        <v>0.38803921393822616</v>
      </c>
      <c r="AD206" s="102">
        <f t="shared" si="556"/>
        <v>0.34417391149303544</v>
      </c>
      <c r="AE206" s="102">
        <f t="shared" si="556"/>
        <v>0.30526729541121395</v>
      </c>
      <c r="AF206" s="116">
        <f t="shared" si="535"/>
        <v>-0.11919268292950602</v>
      </c>
      <c r="AG206" s="21">
        <f t="shared" si="536"/>
        <v>0.05</v>
      </c>
      <c r="AH206" s="109">
        <f t="shared" si="537"/>
        <v>2.6888166746051732</v>
      </c>
    </row>
    <row r="207" spans="2:34">
      <c r="B207" s="10" t="s">
        <v>217</v>
      </c>
      <c r="C207" s="15"/>
      <c r="D207" s="15"/>
      <c r="E207" s="15"/>
      <c r="F207" s="15"/>
      <c r="G207" s="15">
        <f t="shared" ref="G207:H207" si="557">G201/G84</f>
        <v>92.559999999999988</v>
      </c>
      <c r="H207" s="15">
        <f t="shared" si="557"/>
        <v>8.6538461538461533</v>
      </c>
      <c r="I207" s="15">
        <f t="shared" ref="I207:S207" si="558">I201/I84</f>
        <v>6.5727272727272732</v>
      </c>
      <c r="J207" s="15">
        <f t="shared" si="558"/>
        <v>11.776859504132231</v>
      </c>
      <c r="K207" s="15">
        <f t="shared" si="558"/>
        <v>15.513307984790874</v>
      </c>
      <c r="L207" s="15">
        <f t="shared" si="558"/>
        <v>8.9171974522292992</v>
      </c>
      <c r="M207" s="15">
        <f t="shared" si="558"/>
        <v>10.121278941565599</v>
      </c>
      <c r="N207" s="15">
        <f t="shared" si="558"/>
        <v>12.403846153846153</v>
      </c>
      <c r="O207" s="15">
        <f t="shared" si="558"/>
        <v>10.303030303030305</v>
      </c>
      <c r="P207" s="15">
        <f t="shared" si="558"/>
        <v>1.3865248226950355</v>
      </c>
      <c r="Q207" s="15">
        <f t="shared" si="558"/>
        <v>1.2416311625076082</v>
      </c>
      <c r="R207" s="15">
        <f t="shared" si="558"/>
        <v>2.3340961098398165</v>
      </c>
      <c r="S207" s="15">
        <f t="shared" si="558"/>
        <v>0.69663973773562815</v>
      </c>
      <c r="T207" s="101">
        <f t="shared" si="533"/>
        <v>-0.3346521750468453</v>
      </c>
      <c r="U207" s="110"/>
      <c r="V207" s="102">
        <f t="shared" ref="V207:AE207" si="559">V201/V84</f>
        <v>0.44134939906232346</v>
      </c>
      <c r="W207" s="102">
        <f t="shared" si="559"/>
        <v>0.39145772786397393</v>
      </c>
      <c r="X207" s="102">
        <f t="shared" si="559"/>
        <v>0.34720598471413339</v>
      </c>
      <c r="Y207" s="102">
        <f t="shared" si="559"/>
        <v>0.30795661252905748</v>
      </c>
      <c r="Z207" s="102">
        <f t="shared" si="559"/>
        <v>0.27314412589533799</v>
      </c>
      <c r="AA207" s="102">
        <f t="shared" si="559"/>
        <v>0.24226696383760413</v>
      </c>
      <c r="AB207" s="102">
        <f t="shared" si="559"/>
        <v>0.21488026357770107</v>
      </c>
      <c r="AC207" s="102">
        <f t="shared" si="559"/>
        <v>0.19058945117326528</v>
      </c>
      <c r="AD207" s="102">
        <f t="shared" si="559"/>
        <v>0.16904455669280924</v>
      </c>
      <c r="AE207" s="102">
        <f t="shared" si="559"/>
        <v>0.14993517202318735</v>
      </c>
      <c r="AF207" s="116">
        <f t="shared" si="535"/>
        <v>-0.16474892485489356</v>
      </c>
      <c r="AG207" s="21">
        <f t="shared" si="536"/>
        <v>0.05</v>
      </c>
      <c r="AH207" s="109">
        <f t="shared" si="537"/>
        <v>1.2523351363443374</v>
      </c>
    </row>
    <row r="208" spans="2:34">
      <c r="B208" s="10" t="s">
        <v>218</v>
      </c>
      <c r="C208" s="15"/>
      <c r="D208" s="15"/>
      <c r="E208" s="15"/>
      <c r="F208" s="15"/>
      <c r="G208" s="15">
        <f t="shared" ref="G208:H208" si="560">G201/G86</f>
        <v>8.0486956521739135</v>
      </c>
      <c r="H208" s="15">
        <f t="shared" si="560"/>
        <v>5.5147058823529411</v>
      </c>
      <c r="I208" s="15">
        <f t="shared" ref="I208:S208" si="561">I201/I86</f>
        <v>13.097826086956523</v>
      </c>
      <c r="J208" s="15">
        <f t="shared" si="561"/>
        <v>17.701863354037268</v>
      </c>
      <c r="K208" s="15">
        <f t="shared" si="561"/>
        <v>12.911392405063291</v>
      </c>
      <c r="L208" s="15">
        <f t="shared" si="561"/>
        <v>9.2715231788079464</v>
      </c>
      <c r="M208" s="15">
        <f t="shared" si="561"/>
        <v>22.227602905569007</v>
      </c>
      <c r="N208" s="15">
        <f t="shared" si="561"/>
        <v>18.275000000000002</v>
      </c>
      <c r="O208" s="15">
        <f t="shared" si="561"/>
        <v>18.073089700996679</v>
      </c>
      <c r="P208" s="15">
        <f t="shared" si="561"/>
        <v>11.762936221419976</v>
      </c>
      <c r="Q208" s="15">
        <f t="shared" si="561"/>
        <v>10.636079249217934</v>
      </c>
      <c r="R208" s="15">
        <f t="shared" si="561"/>
        <v>4.1306695464362848</v>
      </c>
      <c r="S208" s="15">
        <f t="shared" si="561"/>
        <v>2.2376833396013538</v>
      </c>
      <c r="T208" s="101">
        <f t="shared" si="533"/>
        <v>-0.10117993228095867</v>
      </c>
      <c r="U208" s="110"/>
      <c r="V208" s="102">
        <f t="shared" ref="V208:AE208" si="562">V201/V86</f>
        <v>1.4176627368902988</v>
      </c>
      <c r="W208" s="102">
        <f t="shared" si="562"/>
        <v>1.2574052101113955</v>
      </c>
      <c r="X208" s="102">
        <f t="shared" si="562"/>
        <v>1.115263751577064</v>
      </c>
      <c r="Y208" s="102">
        <f t="shared" si="562"/>
        <v>0.98919045792052629</v>
      </c>
      <c r="Z208" s="102">
        <f t="shared" si="562"/>
        <v>0.87736892789472787</v>
      </c>
      <c r="AA208" s="102">
        <f t="shared" si="562"/>
        <v>0.77818809256749777</v>
      </c>
      <c r="AB208" s="102">
        <f t="shared" si="562"/>
        <v>0.69021900384247636</v>
      </c>
      <c r="AC208" s="102">
        <f t="shared" si="562"/>
        <v>0.61219424688637036</v>
      </c>
      <c r="AD208" s="102">
        <f t="shared" si="562"/>
        <v>0.54298967984704161</v>
      </c>
      <c r="AE208" s="102">
        <f t="shared" si="562"/>
        <v>0.4816082377773761</v>
      </c>
      <c r="AF208" s="116">
        <f t="shared" si="535"/>
        <v>-0.14554297799185789</v>
      </c>
      <c r="AG208" s="21">
        <f t="shared" si="536"/>
        <v>0.05</v>
      </c>
      <c r="AH208" s="109">
        <f t="shared" si="537"/>
        <v>4.1151354062584602</v>
      </c>
    </row>
    <row r="209" spans="2:34">
      <c r="B209" s="10" t="s">
        <v>232</v>
      </c>
      <c r="C209" s="15"/>
      <c r="D209" s="15"/>
      <c r="E209" s="15"/>
      <c r="F209" s="15"/>
      <c r="G209" s="159">
        <f t="shared" ref="G209:H209" si="563">G201/G80</f>
        <v>2.7712574850299401</v>
      </c>
      <c r="H209" s="159">
        <f t="shared" si="563"/>
        <v>2.9145077720207251</v>
      </c>
      <c r="I209" s="159">
        <f t="shared" ref="I209:S209" si="564">I201/I80</f>
        <v>4.4740099009900991</v>
      </c>
      <c r="J209" s="159">
        <f t="shared" si="564"/>
        <v>6.4920273348519357</v>
      </c>
      <c r="K209" s="159">
        <f t="shared" si="564"/>
        <v>4.8745519713261647</v>
      </c>
      <c r="L209" s="159">
        <f t="shared" si="564"/>
        <v>2.8836251287332648</v>
      </c>
      <c r="M209" s="159">
        <f t="shared" si="564"/>
        <v>4.2382271468144044</v>
      </c>
      <c r="N209" s="159">
        <f t="shared" si="564"/>
        <v>3.8099374565670603</v>
      </c>
      <c r="O209" s="159">
        <f t="shared" si="564"/>
        <v>3.3130328867235082</v>
      </c>
      <c r="P209" s="159">
        <f t="shared" si="564"/>
        <v>2.755073280721533</v>
      </c>
      <c r="Q209" s="159">
        <f t="shared" si="564"/>
        <v>2.511696626446688</v>
      </c>
      <c r="R209" s="159">
        <f t="shared" si="564"/>
        <v>3.2924467398321497</v>
      </c>
      <c r="S209" s="159">
        <f t="shared" si="564"/>
        <v>1.3157894736842104</v>
      </c>
      <c r="T209" s="101">
        <f t="shared" si="533"/>
        <v>-6.018480874952814E-2</v>
      </c>
      <c r="U209" s="110"/>
      <c r="V209" s="113">
        <f t="shared" ref="V209:AE209" si="565">V201/V80</f>
        <v>0.83360575351422028</v>
      </c>
      <c r="W209" s="113">
        <f t="shared" si="565"/>
        <v>0.73937205963870012</v>
      </c>
      <c r="X209" s="113">
        <f t="shared" si="565"/>
        <v>0.65579087028823824</v>
      </c>
      <c r="Y209" s="113">
        <f t="shared" si="565"/>
        <v>0.58165798929913315</v>
      </c>
      <c r="Z209" s="113">
        <f t="shared" si="565"/>
        <v>0.51590534703053559</v>
      </c>
      <c r="AA209" s="113">
        <f t="shared" si="565"/>
        <v>0.45758561214882287</v>
      </c>
      <c r="AB209" s="113">
        <f t="shared" si="565"/>
        <v>0.40585854294939072</v>
      </c>
      <c r="AC209" s="113">
        <f t="shared" si="565"/>
        <v>0.35997888157250307</v>
      </c>
      <c r="AD209" s="113">
        <f t="shared" si="565"/>
        <v>0.31928561669908967</v>
      </c>
      <c r="AE209" s="113">
        <f t="shared" si="565"/>
        <v>0.28319246002875792</v>
      </c>
      <c r="AF209" s="116">
        <f t="shared" ref="AF209" si="566">((AE209/I209)^(1/($AE$3-$J$1) ))-1</f>
        <v>-0.12315448869128243</v>
      </c>
      <c r="AG209" s="21">
        <f t="shared" ref="AG209:AG212" si="567">$N$1</f>
        <v>0.05</v>
      </c>
      <c r="AH209" s="109">
        <f t="shared" si="537"/>
        <v>2.4831603741268982</v>
      </c>
    </row>
    <row r="210" spans="2:34">
      <c r="B210" s="10"/>
      <c r="C210" s="15"/>
      <c r="D210" s="15"/>
      <c r="E210" s="15"/>
      <c r="F210" s="15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/>
      <c r="U210" s="110"/>
      <c r="V210" s="113"/>
      <c r="W210" s="113"/>
      <c r="X210" s="113"/>
      <c r="Y210" s="113"/>
      <c r="Z210" s="113"/>
      <c r="AA210" s="113"/>
      <c r="AB210" s="113"/>
      <c r="AC210" s="113"/>
      <c r="AD210" s="113"/>
      <c r="AE210" s="113"/>
      <c r="AF210" s="116"/>
      <c r="AG210" s="21">
        <f t="shared" si="567"/>
        <v>0.05</v>
      </c>
      <c r="AH210" s="109"/>
    </row>
    <row r="211" spans="2:34">
      <c r="B211" s="10" t="s">
        <v>265</v>
      </c>
      <c r="C211" s="129"/>
      <c r="D211" s="129"/>
      <c r="E211" s="129"/>
      <c r="F211" s="129"/>
      <c r="G211" s="129">
        <f t="shared" ref="G211:H211" si="568">G59/G201</f>
        <v>3.0769230769230771E-2</v>
      </c>
      <c r="H211" s="129">
        <f t="shared" si="568"/>
        <v>1.6666666666666666E-2</v>
      </c>
      <c r="I211" s="129">
        <f t="shared" ref="I211:S211" si="569">I59/I201</f>
        <v>1.2448132780082987E-2</v>
      </c>
      <c r="J211" s="129">
        <f t="shared" si="569"/>
        <v>9.2105263157894728E-3</v>
      </c>
      <c r="K211" s="129">
        <f t="shared" si="569"/>
        <v>7.8431372549019607E-3</v>
      </c>
      <c r="L211" s="129">
        <f t="shared" si="569"/>
        <v>1.7142857142857144E-2</v>
      </c>
      <c r="M211" s="129">
        <f t="shared" si="569"/>
        <v>9.2592592592592587E-3</v>
      </c>
      <c r="N211" s="129">
        <f t="shared" si="569"/>
        <v>1.1627906976744186E-2</v>
      </c>
      <c r="O211" s="129">
        <f t="shared" si="569"/>
        <v>1.171875E-2</v>
      </c>
      <c r="P211" s="129">
        <f t="shared" si="569"/>
        <v>1.391304347826087E-2</v>
      </c>
      <c r="Q211" s="129">
        <f t="shared" si="569"/>
        <v>1.5000000000000001E-2</v>
      </c>
      <c r="R211" s="129">
        <f t="shared" si="569"/>
        <v>1.2222222222222223E-2</v>
      </c>
      <c r="S211" s="129">
        <f t="shared" si="569"/>
        <v>3.4285714285714287E-2</v>
      </c>
      <c r="T211" s="101">
        <f t="shared" si="533"/>
        <v>9.0585815652131085E-3</v>
      </c>
      <c r="U211" s="110"/>
      <c r="V211" s="129">
        <f t="shared" ref="V211:AE211" si="570">V59/V201</f>
        <v>5.04E-2</v>
      </c>
      <c r="W211" s="129">
        <f t="shared" si="570"/>
        <v>5.2920000000000009E-2</v>
      </c>
      <c r="X211" s="129">
        <f t="shared" si="570"/>
        <v>5.5566000000000011E-2</v>
      </c>
      <c r="Y211" s="129">
        <f t="shared" si="570"/>
        <v>5.8344300000000023E-2</v>
      </c>
      <c r="Z211" s="129">
        <f t="shared" si="570"/>
        <v>6.1261515000000023E-2</v>
      </c>
      <c r="AA211" s="129">
        <f t="shared" si="570"/>
        <v>6.4324590750000035E-2</v>
      </c>
      <c r="AB211" s="129">
        <f t="shared" si="570"/>
        <v>6.7540820287500039E-2</v>
      </c>
      <c r="AC211" s="129">
        <f t="shared" si="570"/>
        <v>7.0917861301875038E-2</v>
      </c>
      <c r="AD211" s="129">
        <f t="shared" si="570"/>
        <v>7.4463754366968796E-2</v>
      </c>
      <c r="AE211" s="129">
        <f t="shared" si="570"/>
        <v>7.8186942085317235E-2</v>
      </c>
      <c r="AF211" s="116">
        <f t="shared" ref="AF211:AF216" si="571">((AE211/I211)^(1/($AE$3-$J$1) ))-1</f>
        <v>9.1443928552863873E-2</v>
      </c>
      <c r="AG211" s="21">
        <f t="shared" si="567"/>
        <v>0.05</v>
      </c>
      <c r="AH211" s="109">
        <f t="shared" si="537"/>
        <v>0.85336663231133891</v>
      </c>
    </row>
    <row r="212" spans="2:34">
      <c r="B212" s="10" t="s">
        <v>132</v>
      </c>
      <c r="C212" s="129"/>
      <c r="D212" s="129"/>
      <c r="E212" s="129"/>
      <c r="F212" s="129"/>
      <c r="G212" s="142">
        <f t="shared" ref="G212:H212" si="572">G201*G57</f>
        <v>925.6</v>
      </c>
      <c r="H212" s="142">
        <f t="shared" si="572"/>
        <v>1125</v>
      </c>
      <c r="I212" s="142">
        <f t="shared" ref="I212:S212" si="573">I201*I57</f>
        <v>1807.5</v>
      </c>
      <c r="J212" s="142">
        <f t="shared" si="573"/>
        <v>2850</v>
      </c>
      <c r="K212" s="142">
        <f t="shared" si="573"/>
        <v>4080</v>
      </c>
      <c r="L212" s="142">
        <f t="shared" si="573"/>
        <v>2800</v>
      </c>
      <c r="M212" s="142">
        <f t="shared" si="573"/>
        <v>9180</v>
      </c>
      <c r="N212" s="142">
        <f t="shared" si="573"/>
        <v>10965</v>
      </c>
      <c r="O212" s="142">
        <f t="shared" si="573"/>
        <v>10880</v>
      </c>
      <c r="P212" s="142">
        <f t="shared" si="573"/>
        <v>9775</v>
      </c>
      <c r="Q212" s="142">
        <f t="shared" si="573"/>
        <v>10200</v>
      </c>
      <c r="R212" s="142">
        <f t="shared" si="573"/>
        <v>15300</v>
      </c>
      <c r="S212" s="142">
        <f t="shared" si="573"/>
        <v>5950</v>
      </c>
      <c r="T212" s="101">
        <f t="shared" si="533"/>
        <v>0.16772649711319798</v>
      </c>
      <c r="U212" s="110"/>
      <c r="V212" s="142">
        <f t="shared" ref="V212:AE212" si="574">V201*V57</f>
        <v>4335</v>
      </c>
      <c r="W212" s="142">
        <f t="shared" si="574"/>
        <v>4421.7</v>
      </c>
      <c r="X212" s="142">
        <f t="shared" si="574"/>
        <v>4510.134</v>
      </c>
      <c r="Y212" s="142">
        <f t="shared" si="574"/>
        <v>4600.3366800000003</v>
      </c>
      <c r="Z212" s="142">
        <f t="shared" si="574"/>
        <v>4692.3434136000005</v>
      </c>
      <c r="AA212" s="142">
        <f t="shared" si="574"/>
        <v>4786.190281872</v>
      </c>
      <c r="AB212" s="142">
        <f t="shared" si="574"/>
        <v>4881.9140875094408</v>
      </c>
      <c r="AC212" s="142">
        <f t="shared" si="574"/>
        <v>4979.5523692596289</v>
      </c>
      <c r="AD212" s="142">
        <f t="shared" si="574"/>
        <v>5079.1434166448216</v>
      </c>
      <c r="AE212" s="142">
        <f t="shared" si="574"/>
        <v>5180.726284977718</v>
      </c>
      <c r="AF212" s="116">
        <f t="shared" si="571"/>
        <v>5.142131777066683E-2</v>
      </c>
      <c r="AG212" s="21">
        <f t="shared" si="567"/>
        <v>0.05</v>
      </c>
      <c r="AH212" s="109">
        <f t="shared" si="537"/>
        <v>54471.260575604043</v>
      </c>
    </row>
    <row r="213" spans="2:34">
      <c r="B213" s="10"/>
      <c r="C213" s="129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10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29"/>
      <c r="AH213" s="129"/>
    </row>
    <row r="214" spans="2:34">
      <c r="B214" s="10" t="s">
        <v>316</v>
      </c>
      <c r="C214" s="138"/>
      <c r="D214" s="138"/>
      <c r="E214" s="138"/>
      <c r="F214" s="138"/>
      <c r="G214" s="138">
        <f t="shared" ref="G214:H214" si="575">G72/G201</f>
        <v>7.9948141745894541E-2</v>
      </c>
      <c r="H214" s="138">
        <f t="shared" si="575"/>
        <v>7.0222222222222228E-2</v>
      </c>
      <c r="I214" s="138">
        <f t="shared" ref="I214:S214" si="576">I72/I201</f>
        <v>5.6984785615491008E-2</v>
      </c>
      <c r="J214" s="138">
        <f t="shared" si="576"/>
        <v>5.5438596491228065E-2</v>
      </c>
      <c r="K214" s="138">
        <f t="shared" si="576"/>
        <v>6.4215686274509798E-2</v>
      </c>
      <c r="L214" s="138">
        <f t="shared" si="576"/>
        <v>0.105</v>
      </c>
      <c r="M214" s="138">
        <f t="shared" si="576"/>
        <v>6.3289760348583871E-2</v>
      </c>
      <c r="N214" s="138">
        <f t="shared" si="576"/>
        <v>6.010031919744642E-2</v>
      </c>
      <c r="O214" s="138">
        <f t="shared" si="576"/>
        <v>4.2738970588235295E-2</v>
      </c>
      <c r="P214" s="138">
        <f t="shared" si="576"/>
        <v>5.5242966751918157E-2</v>
      </c>
      <c r="Q214" s="138">
        <f t="shared" si="576"/>
        <v>5.3529411764705888E-2</v>
      </c>
      <c r="R214" s="138">
        <f t="shared" si="576"/>
        <v>4.0261437908496733E-2</v>
      </c>
      <c r="S214" s="138">
        <f t="shared" si="576"/>
        <v>0.12033613445378151</v>
      </c>
      <c r="T214" s="101">
        <f t="shared" si="533"/>
        <v>3.4663130463292502E-2</v>
      </c>
      <c r="U214" s="110"/>
      <c r="V214" s="138">
        <f t="shared" ref="V214:AE214" si="577">V72/V201</f>
        <v>0.1899423298731257</v>
      </c>
      <c r="W214" s="138">
        <f t="shared" si="577"/>
        <v>0.21415066603342603</v>
      </c>
      <c r="X214" s="138">
        <f t="shared" si="577"/>
        <v>0.24144437837101954</v>
      </c>
      <c r="Y214" s="138">
        <f t="shared" si="577"/>
        <v>0.27221670110458079</v>
      </c>
      <c r="Z214" s="138">
        <f t="shared" si="577"/>
        <v>0.30691098653947829</v>
      </c>
      <c r="AA214" s="138">
        <f t="shared" si="577"/>
        <v>0.34602709266705889</v>
      </c>
      <c r="AB214" s="138">
        <f t="shared" si="577"/>
        <v>0.39012858486972318</v>
      </c>
      <c r="AC214" s="138">
        <f t="shared" si="577"/>
        <v>0.43985085549037423</v>
      </c>
      <c r="AD214" s="138">
        <f t="shared" si="577"/>
        <v>0.49591027824895123</v>
      </c>
      <c r="AE214" s="138">
        <f t="shared" si="577"/>
        <v>0.5591145293983274</v>
      </c>
      <c r="AF214" s="116">
        <f t="shared" ref="AF214" si="578">((AE214/I214)^(1/($AE$3-$J$1) ))-1</f>
        <v>0.11487403964423959</v>
      </c>
      <c r="AG214" s="21">
        <f t="shared" ref="AG214" si="579">$N$1</f>
        <v>0.05</v>
      </c>
      <c r="AH214" s="109">
        <f t="shared" ref="AH214" si="580">(AE214*(1+AF214))/($C$1-AG214)</f>
        <v>6.2334227401410134</v>
      </c>
    </row>
    <row r="215" spans="2:34">
      <c r="B215" s="10" t="str">
        <f>B203</f>
        <v>P/E (how many years it will take to recover invested amount)</v>
      </c>
      <c r="C215" s="129"/>
      <c r="D215" s="129"/>
      <c r="E215" s="129"/>
      <c r="F215" s="129"/>
      <c r="G215" s="158">
        <f t="shared" ref="G215:H215" si="581">G203</f>
        <v>12.508108108108109</v>
      </c>
      <c r="H215" s="158">
        <f t="shared" si="581"/>
        <v>14.240506329113924</v>
      </c>
      <c r="I215" s="158">
        <f t="shared" ref="I215:S215" si="582">I203</f>
        <v>17.54854368932039</v>
      </c>
      <c r="J215" s="158">
        <f t="shared" si="582"/>
        <v>18.037974683544306</v>
      </c>
      <c r="K215" s="158">
        <f t="shared" si="582"/>
        <v>15.572519083969466</v>
      </c>
      <c r="L215" s="158">
        <f t="shared" si="582"/>
        <v>9.5238095238095237</v>
      </c>
      <c r="M215" s="158">
        <f t="shared" si="582"/>
        <v>15.800344234079175</v>
      </c>
      <c r="N215" s="158">
        <f t="shared" si="582"/>
        <v>16.638846737481032</v>
      </c>
      <c r="O215" s="158">
        <f t="shared" si="582"/>
        <v>23.397849462365592</v>
      </c>
      <c r="P215" s="158">
        <f t="shared" si="582"/>
        <v>18.101851851851851</v>
      </c>
      <c r="Q215" s="158">
        <f t="shared" si="582"/>
        <v>18.681318681318679</v>
      </c>
      <c r="R215" s="158">
        <f t="shared" si="582"/>
        <v>24.837662337662337</v>
      </c>
      <c r="S215" s="158">
        <f t="shared" si="582"/>
        <v>8.3100558659217878</v>
      </c>
      <c r="T215" s="101">
        <f t="shared" si="533"/>
        <v>-3.3501851416867789E-2</v>
      </c>
      <c r="U215" s="110"/>
      <c r="V215" s="129">
        <f t="shared" ref="V215:AE215" si="583">V203</f>
        <v>5.264755890211319</v>
      </c>
      <c r="W215" s="129">
        <f t="shared" si="583"/>
        <v>4.6696095721874311</v>
      </c>
      <c r="X215" s="129">
        <f t="shared" si="583"/>
        <v>4.1417406640271128</v>
      </c>
      <c r="Y215" s="129">
        <f t="shared" si="583"/>
        <v>3.6735438933110052</v>
      </c>
      <c r="Z215" s="129">
        <f t="shared" si="583"/>
        <v>3.2582737140671534</v>
      </c>
      <c r="AA215" s="129">
        <f t="shared" si="583"/>
        <v>2.8899471203030402</v>
      </c>
      <c r="AB215" s="129">
        <f t="shared" si="583"/>
        <v>2.5632574458340009</v>
      </c>
      <c r="AC215" s="129">
        <f t="shared" si="583"/>
        <v>2.2734979084788529</v>
      </c>
      <c r="AD215" s="129">
        <f t="shared" si="583"/>
        <v>2.0164937970855918</v>
      </c>
      <c r="AE215" s="129">
        <f t="shared" si="583"/>
        <v>1.7885423243715683</v>
      </c>
      <c r="AF215" s="116">
        <f t="shared" ref="AF215" si="584">((AE215/I215)^(1/($AE$3-$J$1) ))-1</f>
        <v>-0.1030376845808485</v>
      </c>
      <c r="AG215" s="21">
        <f t="shared" ref="AG215:AG217" si="585">$N$1</f>
        <v>0.05</v>
      </c>
      <c r="AH215" s="158">
        <f>(AH202)/($N$2*100)</f>
        <v>8.2497985956307279E-2</v>
      </c>
    </row>
    <row r="216" spans="2:34">
      <c r="B216" s="10" t="s">
        <v>439</v>
      </c>
      <c r="C216" s="158"/>
      <c r="D216" s="158"/>
      <c r="E216" s="158"/>
      <c r="F216" s="158"/>
      <c r="G216" s="158">
        <f t="shared" ref="G216:H216" si="586">(G203)/($N$2*100)</f>
        <v>0.83387387387387391</v>
      </c>
      <c r="H216" s="158">
        <f t="shared" si="586"/>
        <v>0.94936708860759489</v>
      </c>
      <c r="I216" s="158">
        <f t="shared" ref="I216:S216" si="587">(I203)/($N$2*100)</f>
        <v>1.1699029126213594</v>
      </c>
      <c r="J216" s="158">
        <f t="shared" si="587"/>
        <v>1.2025316455696204</v>
      </c>
      <c r="K216" s="158">
        <f t="shared" si="587"/>
        <v>1.0381679389312977</v>
      </c>
      <c r="L216" s="158">
        <f t="shared" si="587"/>
        <v>0.63492063492063489</v>
      </c>
      <c r="M216" s="158">
        <f t="shared" si="587"/>
        <v>1.0533562822719449</v>
      </c>
      <c r="N216" s="158">
        <f t="shared" si="587"/>
        <v>1.1092564491654022</v>
      </c>
      <c r="O216" s="158">
        <f t="shared" si="587"/>
        <v>1.5598566308243729</v>
      </c>
      <c r="P216" s="158">
        <f t="shared" si="587"/>
        <v>1.2067901234567902</v>
      </c>
      <c r="Q216" s="158">
        <f t="shared" si="587"/>
        <v>1.2454212454212452</v>
      </c>
      <c r="R216" s="158">
        <f t="shared" si="587"/>
        <v>1.6558441558441559</v>
      </c>
      <c r="S216" s="158">
        <f t="shared" si="587"/>
        <v>0.55400372439478585</v>
      </c>
      <c r="T216" s="101">
        <f t="shared" si="533"/>
        <v>-3.3501851416867789E-2</v>
      </c>
      <c r="U216" s="110"/>
      <c r="V216" s="158">
        <f t="shared" ref="V216:AE216" si="588">(V203)/($N$2*100)</f>
        <v>0.35098372601408795</v>
      </c>
      <c r="W216" s="158">
        <f t="shared" si="588"/>
        <v>0.31130730481249541</v>
      </c>
      <c r="X216" s="158">
        <f t="shared" si="588"/>
        <v>0.27611604426847419</v>
      </c>
      <c r="Y216" s="158">
        <f t="shared" si="588"/>
        <v>0.24490292622073367</v>
      </c>
      <c r="Z216" s="158">
        <f t="shared" si="588"/>
        <v>0.21721824760447689</v>
      </c>
      <c r="AA216" s="158">
        <f t="shared" si="588"/>
        <v>0.19266314135353602</v>
      </c>
      <c r="AB216" s="158">
        <f t="shared" si="588"/>
        <v>0.17088382972226673</v>
      </c>
      <c r="AC216" s="158">
        <f t="shared" si="588"/>
        <v>0.15156652723192351</v>
      </c>
      <c r="AD216" s="158">
        <f t="shared" si="588"/>
        <v>0.13443291980570612</v>
      </c>
      <c r="AE216" s="158">
        <f t="shared" si="588"/>
        <v>0.11923615495810455</v>
      </c>
      <c r="AF216" s="116">
        <f t="shared" si="571"/>
        <v>-0.1030376845808485</v>
      </c>
      <c r="AG216" s="21">
        <f t="shared" si="585"/>
        <v>0.05</v>
      </c>
      <c r="AH216" s="158">
        <f>(AH203)/($N$2*100)</f>
        <v>1.0695033763289821</v>
      </c>
    </row>
    <row r="217" spans="2:34">
      <c r="B217" s="10" t="s">
        <v>440</v>
      </c>
      <c r="C217" s="129"/>
      <c r="D217" s="129"/>
      <c r="E217" s="129"/>
      <c r="F217" s="129"/>
      <c r="G217" s="129">
        <f t="shared" ref="G217:H217" si="589">G216-1</f>
        <v>-0.16612612612612609</v>
      </c>
      <c r="H217" s="129">
        <f t="shared" si="589"/>
        <v>-5.0632911392405111E-2</v>
      </c>
      <c r="I217" s="129">
        <f t="shared" ref="I217:R217" si="590">I216-1</f>
        <v>0.16990291262135937</v>
      </c>
      <c r="J217" s="129">
        <f t="shared" si="590"/>
        <v>0.20253164556962044</v>
      </c>
      <c r="K217" s="129">
        <f t="shared" si="590"/>
        <v>3.8167938931297662E-2</v>
      </c>
      <c r="L217" s="129">
        <f t="shared" si="590"/>
        <v>-0.36507936507936511</v>
      </c>
      <c r="M217" s="129">
        <f t="shared" si="590"/>
        <v>5.3356282271944888E-2</v>
      </c>
      <c r="N217" s="129">
        <f t="shared" si="590"/>
        <v>0.10925644916540223</v>
      </c>
      <c r="O217" s="129">
        <f t="shared" si="590"/>
        <v>0.55985663082437287</v>
      </c>
      <c r="P217" s="129">
        <f t="shared" si="590"/>
        <v>0.20679012345679015</v>
      </c>
      <c r="Q217" s="129">
        <f t="shared" si="590"/>
        <v>0.24542124542124522</v>
      </c>
      <c r="R217" s="129">
        <f t="shared" si="590"/>
        <v>0.6558441558441559</v>
      </c>
      <c r="S217" s="129">
        <f>S216-1</f>
        <v>-0.44599627560521415</v>
      </c>
      <c r="T217" s="101">
        <f t="shared" si="533"/>
        <v>8.5778175246232102E-2</v>
      </c>
      <c r="U217" s="110"/>
      <c r="V217" s="129">
        <f t="shared" ref="V217:AE217" si="591">V216-1</f>
        <v>-0.649016273985912</v>
      </c>
      <c r="W217" s="129">
        <f t="shared" si="591"/>
        <v>-0.68869269518750453</v>
      </c>
      <c r="X217" s="129">
        <f t="shared" si="591"/>
        <v>-0.72388395573152575</v>
      </c>
      <c r="Y217" s="129">
        <f t="shared" si="591"/>
        <v>-0.75509707377926638</v>
      </c>
      <c r="Z217" s="129">
        <f t="shared" si="591"/>
        <v>-0.78278175239552317</v>
      </c>
      <c r="AA217" s="129">
        <f t="shared" si="591"/>
        <v>-0.80733685864646398</v>
      </c>
      <c r="AB217" s="129">
        <f t="shared" si="591"/>
        <v>-0.82911617027773321</v>
      </c>
      <c r="AC217" s="129">
        <f t="shared" si="591"/>
        <v>-0.84843347276807646</v>
      </c>
      <c r="AD217" s="129">
        <f t="shared" si="591"/>
        <v>-0.86556708019429385</v>
      </c>
      <c r="AE217" s="129">
        <f t="shared" si="591"/>
        <v>-0.88076384504189542</v>
      </c>
      <c r="AF217" s="116">
        <f t="shared" ref="AF217" si="592">((AE217/I217)^(1/($AE$3-$J$1) ))-1</f>
        <v>-2.0815120546922712</v>
      </c>
      <c r="AG217" s="21">
        <f t="shared" si="585"/>
        <v>0.05</v>
      </c>
      <c r="AH217" s="158">
        <f>(AH204)/($N$2*100)</f>
        <v>0.7402020533066761</v>
      </c>
    </row>
    <row r="218" spans="2:34">
      <c r="B218" s="10"/>
      <c r="C218" s="129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10"/>
      <c r="U218" s="110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13"/>
      <c r="AF218" s="115"/>
      <c r="AG218" s="10"/>
      <c r="AH218" s="109"/>
    </row>
    <row r="219" spans="2:34">
      <c r="B219" s="10" t="s">
        <v>416</v>
      </c>
      <c r="C219" s="129"/>
      <c r="D219" s="129"/>
      <c r="E219" s="129"/>
      <c r="F219" s="129"/>
      <c r="G219" s="129">
        <f t="shared" ref="G219:R219" si="593">1/G220</f>
        <v>4.0641711229946524E-2</v>
      </c>
      <c r="H219" s="129">
        <f t="shared" si="593"/>
        <v>3.5222816399286982E-2</v>
      </c>
      <c r="I219" s="129">
        <f t="shared" si="593"/>
        <v>2.1922914771340448E-2</v>
      </c>
      <c r="J219" s="129">
        <f t="shared" si="593"/>
        <v>0.13903743315508021</v>
      </c>
      <c r="K219" s="129">
        <f t="shared" si="593"/>
        <v>0.10359651882143231</v>
      </c>
      <c r="L219" s="129">
        <f t="shared" si="593"/>
        <v>0.15095492742551567</v>
      </c>
      <c r="M219" s="129">
        <f t="shared" si="593"/>
        <v>4.8920578332343034E-2</v>
      </c>
      <c r="N219" s="129">
        <f t="shared" si="593"/>
        <v>4.0956763254984867E-2</v>
      </c>
      <c r="O219" s="129">
        <f t="shared" si="593"/>
        <v>4.1276737967914437E-2</v>
      </c>
      <c r="P219" s="129">
        <f t="shared" si="593"/>
        <v>4.5942803999069977E-2</v>
      </c>
      <c r="Q219" s="129">
        <f t="shared" si="593"/>
        <v>4.4028520499108735E-2</v>
      </c>
      <c r="R219" s="129">
        <f t="shared" si="593"/>
        <v>2.9352346999405823E-2</v>
      </c>
      <c r="S219" s="129">
        <f>1/S220</f>
        <v>7.5477463712757834E-2</v>
      </c>
      <c r="T219" s="101">
        <f t="shared" si="533"/>
        <v>5.2940367717337233E-2</v>
      </c>
      <c r="U219" s="110"/>
      <c r="V219" s="129">
        <f t="shared" ref="V219:AE219" si="594">1/V220</f>
        <v>0.10566844919786095</v>
      </c>
      <c r="W219" s="129">
        <f t="shared" si="594"/>
        <v>0.10566844919786095</v>
      </c>
      <c r="X219" s="129">
        <f t="shared" si="594"/>
        <v>0.10566844919786095</v>
      </c>
      <c r="Y219" s="129">
        <f t="shared" si="594"/>
        <v>0.10566844919786095</v>
      </c>
      <c r="Z219" s="129">
        <f t="shared" si="594"/>
        <v>0.10566844919786095</v>
      </c>
      <c r="AA219" s="129">
        <f t="shared" si="594"/>
        <v>0.10566844919786095</v>
      </c>
      <c r="AB219" s="129">
        <f t="shared" si="594"/>
        <v>0.10566844919786095</v>
      </c>
      <c r="AC219" s="129">
        <f t="shared" si="594"/>
        <v>0.10566844919786095</v>
      </c>
      <c r="AD219" s="129">
        <f t="shared" si="594"/>
        <v>0.10566844919786095</v>
      </c>
      <c r="AE219" s="129">
        <f t="shared" si="594"/>
        <v>0.10566844919786095</v>
      </c>
      <c r="AF219" s="116">
        <f t="shared" ref="AF219" si="595">((AE219/I219)^(1/($AE$3-$J$1) ))-1</f>
        <v>7.7769897527973919E-2</v>
      </c>
      <c r="AG219" s="21">
        <f t="shared" ref="AG219:AG222" si="596">$N$1</f>
        <v>0.05</v>
      </c>
      <c r="AH219" s="158">
        <f>(AH206)/($N$2*100)</f>
        <v>0.17925444497367821</v>
      </c>
    </row>
    <row r="220" spans="2:34">
      <c r="B220" s="10" t="s">
        <v>417</v>
      </c>
      <c r="C220" s="111"/>
      <c r="D220" s="111"/>
      <c r="E220" s="111"/>
      <c r="F220" s="111"/>
      <c r="G220" s="113">
        <f t="shared" ref="G220:H220" si="597">G201/$U$170</f>
        <v>24.605263157894736</v>
      </c>
      <c r="H220" s="113">
        <f t="shared" si="597"/>
        <v>28.390688259109314</v>
      </c>
      <c r="I220" s="113">
        <f t="shared" ref="I220:S220" si="598">I201/$U$170</f>
        <v>45.614372469635626</v>
      </c>
      <c r="J220" s="113">
        <f t="shared" si="598"/>
        <v>7.1923076923076925</v>
      </c>
      <c r="K220" s="113">
        <f t="shared" si="598"/>
        <v>9.652834008097166</v>
      </c>
      <c r="L220" s="113">
        <f t="shared" si="598"/>
        <v>6.6244939271255063</v>
      </c>
      <c r="M220" s="113">
        <f t="shared" si="598"/>
        <v>20.441295546558706</v>
      </c>
      <c r="N220" s="113">
        <f t="shared" si="598"/>
        <v>24.415991902834008</v>
      </c>
      <c r="O220" s="113">
        <f t="shared" si="598"/>
        <v>24.226720647773281</v>
      </c>
      <c r="P220" s="113">
        <f t="shared" si="598"/>
        <v>21.766194331983808</v>
      </c>
      <c r="Q220" s="113">
        <f t="shared" si="598"/>
        <v>22.712550607287451</v>
      </c>
      <c r="R220" s="113">
        <f t="shared" si="598"/>
        <v>34.068825910931174</v>
      </c>
      <c r="S220" s="113">
        <f t="shared" si="598"/>
        <v>13.248987854251013</v>
      </c>
      <c r="T220" s="101">
        <f t="shared" si="533"/>
        <v>-5.0278600137732776E-2</v>
      </c>
      <c r="U220" s="110"/>
      <c r="V220" s="113">
        <f t="shared" ref="V220:AE220" si="599">V201/$U$170</f>
        <v>9.4635627530364381</v>
      </c>
      <c r="W220" s="113">
        <f t="shared" si="599"/>
        <v>9.4635627530364381</v>
      </c>
      <c r="X220" s="113">
        <f t="shared" si="599"/>
        <v>9.4635627530364381</v>
      </c>
      <c r="Y220" s="113">
        <f t="shared" si="599"/>
        <v>9.4635627530364381</v>
      </c>
      <c r="Z220" s="113">
        <f t="shared" si="599"/>
        <v>9.4635627530364381</v>
      </c>
      <c r="AA220" s="113">
        <f t="shared" si="599"/>
        <v>9.4635627530364381</v>
      </c>
      <c r="AB220" s="113">
        <f t="shared" si="599"/>
        <v>9.4635627530364381</v>
      </c>
      <c r="AC220" s="113">
        <f t="shared" si="599"/>
        <v>9.4635627530364381</v>
      </c>
      <c r="AD220" s="113">
        <f t="shared" si="599"/>
        <v>9.4635627530364381</v>
      </c>
      <c r="AE220" s="113">
        <f t="shared" si="599"/>
        <v>9.4635627530364381</v>
      </c>
      <c r="AF220" s="116">
        <f t="shared" ref="AF220:AF222" si="600">((AE220/I220)^(1/($AE$3-$J$1) ))-1</f>
        <v>-7.2158164471239017E-2</v>
      </c>
      <c r="AG220" s="21">
        <f t="shared" si="596"/>
        <v>0.05</v>
      </c>
      <c r="AH220" s="158">
        <f>(AH206)/($N$2*100)</f>
        <v>0.17925444497367821</v>
      </c>
    </row>
    <row r="221" spans="2:34">
      <c r="B221" s="10" t="s">
        <v>439</v>
      </c>
      <c r="C221" s="111"/>
      <c r="D221" s="111"/>
      <c r="E221" s="111"/>
      <c r="F221" s="111"/>
      <c r="G221" s="158">
        <f t="shared" ref="G221:H221" si="601">(G220)/($N$2*100)</f>
        <v>1.6403508771929824</v>
      </c>
      <c r="H221" s="158">
        <f t="shared" si="601"/>
        <v>1.8927125506072877</v>
      </c>
      <c r="I221" s="158">
        <f t="shared" ref="I221:S221" si="602">(I220)/($N$2*100)</f>
        <v>3.0409581646423751</v>
      </c>
      <c r="J221" s="158">
        <f t="shared" si="602"/>
        <v>0.4794871794871795</v>
      </c>
      <c r="K221" s="158">
        <f t="shared" si="602"/>
        <v>0.64352226720647776</v>
      </c>
      <c r="L221" s="158">
        <f t="shared" si="602"/>
        <v>0.44163292847503377</v>
      </c>
      <c r="M221" s="158">
        <f t="shared" si="602"/>
        <v>1.3627530364372471</v>
      </c>
      <c r="N221" s="158">
        <f t="shared" si="602"/>
        <v>1.6277327935222672</v>
      </c>
      <c r="O221" s="158">
        <f t="shared" si="602"/>
        <v>1.6151147098515521</v>
      </c>
      <c r="P221" s="158">
        <f t="shared" si="602"/>
        <v>1.4510796221322539</v>
      </c>
      <c r="Q221" s="158">
        <f t="shared" si="602"/>
        <v>1.51417004048583</v>
      </c>
      <c r="R221" s="158">
        <f t="shared" si="602"/>
        <v>2.2712550607287452</v>
      </c>
      <c r="S221" s="158">
        <f t="shared" si="602"/>
        <v>0.88326585695006754</v>
      </c>
      <c r="T221" s="101">
        <f t="shared" si="533"/>
        <v>-5.0278600137732776E-2</v>
      </c>
      <c r="U221" s="110"/>
      <c r="V221" s="158">
        <f t="shared" ref="V221:AE221" si="603">(V220)/($N$2*100)</f>
        <v>0.6309041835357625</v>
      </c>
      <c r="W221" s="158">
        <f t="shared" si="603"/>
        <v>0.6309041835357625</v>
      </c>
      <c r="X221" s="158">
        <f t="shared" si="603"/>
        <v>0.6309041835357625</v>
      </c>
      <c r="Y221" s="158">
        <f t="shared" si="603"/>
        <v>0.6309041835357625</v>
      </c>
      <c r="Z221" s="158">
        <f t="shared" si="603"/>
        <v>0.6309041835357625</v>
      </c>
      <c r="AA221" s="158">
        <f t="shared" si="603"/>
        <v>0.6309041835357625</v>
      </c>
      <c r="AB221" s="158">
        <f t="shared" si="603"/>
        <v>0.6309041835357625</v>
      </c>
      <c r="AC221" s="158">
        <f t="shared" si="603"/>
        <v>0.6309041835357625</v>
      </c>
      <c r="AD221" s="158">
        <f t="shared" si="603"/>
        <v>0.6309041835357625</v>
      </c>
      <c r="AE221" s="158">
        <f t="shared" si="603"/>
        <v>0.6309041835357625</v>
      </c>
      <c r="AF221" s="116">
        <f t="shared" si="600"/>
        <v>-7.2158164471239017E-2</v>
      </c>
      <c r="AG221" s="21">
        <f t="shared" si="596"/>
        <v>0.05</v>
      </c>
      <c r="AH221" s="158">
        <f>(AH207)/($N$2*100)</f>
        <v>8.3489009089622493E-2</v>
      </c>
    </row>
    <row r="222" spans="2:34">
      <c r="B222" s="10" t="s">
        <v>441</v>
      </c>
      <c r="C222" s="111"/>
      <c r="D222" s="111"/>
      <c r="E222" s="111"/>
      <c r="F222" s="111"/>
      <c r="G222" s="129">
        <f t="shared" ref="G222:H222" si="604">G221-1</f>
        <v>0.64035087719298245</v>
      </c>
      <c r="H222" s="129">
        <f t="shared" si="604"/>
        <v>0.89271255060728771</v>
      </c>
      <c r="I222" s="129">
        <f t="shared" ref="I222:S222" si="605">I221-1</f>
        <v>2.0409581646423751</v>
      </c>
      <c r="J222" s="129">
        <f t="shared" si="605"/>
        <v>-0.52051282051282044</v>
      </c>
      <c r="K222" s="129">
        <f t="shared" si="605"/>
        <v>-0.35647773279352224</v>
      </c>
      <c r="L222" s="129">
        <f t="shared" si="605"/>
        <v>-0.55836707152496623</v>
      </c>
      <c r="M222" s="129">
        <f t="shared" si="605"/>
        <v>0.3627530364372471</v>
      </c>
      <c r="N222" s="129">
        <f t="shared" si="605"/>
        <v>0.62773279352226719</v>
      </c>
      <c r="O222" s="129">
        <f t="shared" si="605"/>
        <v>0.61511470985155214</v>
      </c>
      <c r="P222" s="129">
        <f t="shared" si="605"/>
        <v>0.45107962213225394</v>
      </c>
      <c r="Q222" s="129">
        <f t="shared" si="605"/>
        <v>0.51417004048583004</v>
      </c>
      <c r="R222" s="129">
        <f t="shared" si="605"/>
        <v>1.2712550607287452</v>
      </c>
      <c r="S222" s="129">
        <f t="shared" si="605"/>
        <v>-0.11673414304993246</v>
      </c>
      <c r="T222" s="101" t="e">
        <f t="shared" si="533"/>
        <v>#NUM!</v>
      </c>
      <c r="U222" s="110"/>
      <c r="V222" s="129">
        <f t="shared" ref="V222:AE222" si="606">V221-1</f>
        <v>-0.3690958164642375</v>
      </c>
      <c r="W222" s="129">
        <f t="shared" si="606"/>
        <v>-0.3690958164642375</v>
      </c>
      <c r="X222" s="129">
        <f t="shared" si="606"/>
        <v>-0.3690958164642375</v>
      </c>
      <c r="Y222" s="129">
        <f t="shared" si="606"/>
        <v>-0.3690958164642375</v>
      </c>
      <c r="Z222" s="129">
        <f t="shared" si="606"/>
        <v>-0.3690958164642375</v>
      </c>
      <c r="AA222" s="129">
        <f t="shared" si="606"/>
        <v>-0.3690958164642375</v>
      </c>
      <c r="AB222" s="129">
        <f t="shared" si="606"/>
        <v>-0.3690958164642375</v>
      </c>
      <c r="AC222" s="129">
        <f t="shared" si="606"/>
        <v>-0.3690958164642375</v>
      </c>
      <c r="AD222" s="129">
        <f t="shared" si="606"/>
        <v>-0.3690958164642375</v>
      </c>
      <c r="AE222" s="129">
        <f t="shared" si="606"/>
        <v>-0.3690958164642375</v>
      </c>
      <c r="AF222" s="116">
        <f t="shared" si="600"/>
        <v>-1.9217933535404108</v>
      </c>
      <c r="AG222" s="21">
        <f t="shared" si="596"/>
        <v>0.05</v>
      </c>
      <c r="AH222" s="158">
        <f>(AH208)/($N$2*100)</f>
        <v>0.2743423604172307</v>
      </c>
    </row>
    <row r="223" spans="2:34">
      <c r="B223" s="10"/>
      <c r="C223" s="111"/>
      <c r="D223" s="111"/>
      <c r="E223" s="111"/>
      <c r="F223" s="111"/>
      <c r="G223" s="113"/>
      <c r="H223" s="113"/>
      <c r="I223" s="113"/>
      <c r="J223" s="113"/>
      <c r="K223" s="113"/>
      <c r="L223" s="113"/>
      <c r="M223" s="176"/>
      <c r="N223" s="177"/>
      <c r="O223" s="113"/>
      <c r="P223" s="113"/>
      <c r="Q223" s="113"/>
      <c r="R223" s="113"/>
      <c r="S223" s="113"/>
      <c r="T223" s="110"/>
      <c r="U223" s="110"/>
      <c r="V223" s="113"/>
      <c r="W223" s="113"/>
      <c r="X223" s="113"/>
      <c r="Y223" s="113"/>
      <c r="Z223" s="113"/>
      <c r="AA223" s="113"/>
      <c r="AB223" s="113"/>
      <c r="AC223" s="113"/>
      <c r="AD223" s="113"/>
      <c r="AE223" s="113"/>
      <c r="AF223" s="115"/>
      <c r="AG223" s="10"/>
      <c r="AH223" s="10"/>
    </row>
    <row r="224" spans="2:34">
      <c r="B224" s="10" t="s">
        <v>416</v>
      </c>
      <c r="C224" s="111"/>
      <c r="D224" s="111"/>
      <c r="E224" s="111"/>
      <c r="F224" s="111"/>
      <c r="G224" s="129">
        <f t="shared" ref="G224:S224" si="607">1/G225</f>
        <v>5.218099547511313E-2</v>
      </c>
      <c r="H224" s="129">
        <f t="shared" si="607"/>
        <v>4.5223529411764711E-2</v>
      </c>
      <c r="I224" s="129">
        <f t="shared" si="607"/>
        <v>2.8147424945081767E-2</v>
      </c>
      <c r="J224" s="129">
        <f t="shared" si="607"/>
        <v>0.17851393188854492</v>
      </c>
      <c r="K224" s="129">
        <f t="shared" si="607"/>
        <v>0.13301038062283738</v>
      </c>
      <c r="L224" s="129">
        <f t="shared" si="607"/>
        <v>0.19381512605042017</v>
      </c>
      <c r="M224" s="129">
        <f t="shared" si="607"/>
        <v>6.2810457516339874E-2</v>
      </c>
      <c r="N224" s="129">
        <f t="shared" si="607"/>
        <v>5.2585499316005473E-2</v>
      </c>
      <c r="O224" s="129">
        <f t="shared" si="607"/>
        <v>5.2996323529411769E-2</v>
      </c>
      <c r="P224" s="129">
        <f t="shared" si="607"/>
        <v>5.898721227621484E-2</v>
      </c>
      <c r="Q224" s="129">
        <f t="shared" si="607"/>
        <v>5.6529411764705884E-2</v>
      </c>
      <c r="R224" s="129">
        <f t="shared" si="607"/>
        <v>3.7686274509803927E-2</v>
      </c>
      <c r="S224" s="129">
        <f t="shared" si="607"/>
        <v>9.6907563025210086E-2</v>
      </c>
      <c r="T224" s="101">
        <f t="shared" si="533"/>
        <v>5.2940367717337233E-2</v>
      </c>
      <c r="U224" s="110"/>
      <c r="V224" s="129">
        <f t="shared" ref="V224:AE224" si="608">1/V225</f>
        <v>0.13567058823529413</v>
      </c>
      <c r="W224" s="129">
        <f t="shared" si="608"/>
        <v>0.13567058823529413</v>
      </c>
      <c r="X224" s="129">
        <f t="shared" si="608"/>
        <v>0.13567058823529413</v>
      </c>
      <c r="Y224" s="129">
        <f t="shared" si="608"/>
        <v>0.13567058823529413</v>
      </c>
      <c r="Z224" s="129">
        <f t="shared" si="608"/>
        <v>0.13567058823529413</v>
      </c>
      <c r="AA224" s="129">
        <f t="shared" si="608"/>
        <v>0.13567058823529413</v>
      </c>
      <c r="AB224" s="129">
        <f t="shared" si="608"/>
        <v>0.13567058823529413</v>
      </c>
      <c r="AC224" s="129">
        <f t="shared" si="608"/>
        <v>0.13567058823529413</v>
      </c>
      <c r="AD224" s="129">
        <f t="shared" si="608"/>
        <v>0.13567058823529413</v>
      </c>
      <c r="AE224" s="129">
        <f t="shared" si="608"/>
        <v>0.13567058823529413</v>
      </c>
      <c r="AF224" s="116">
        <f t="shared" ref="AF224" si="609">((AE224/I224)^(1/($AE$3-$J$1) ))-1</f>
        <v>7.7769897527973919E-2</v>
      </c>
      <c r="AG224" s="21">
        <f t="shared" ref="AG224" si="610">$N$1</f>
        <v>0.05</v>
      </c>
      <c r="AH224" s="158">
        <f>(AH210)/($N$2*100)</f>
        <v>0</v>
      </c>
    </row>
    <row r="225" spans="2:34">
      <c r="B225" s="10" t="s">
        <v>418</v>
      </c>
      <c r="C225" s="111"/>
      <c r="D225" s="111"/>
      <c r="E225" s="111"/>
      <c r="F225" s="111"/>
      <c r="G225" s="113">
        <f t="shared" ref="G225:H225" si="611">G201/$S$170</f>
        <v>19.164065209850847</v>
      </c>
      <c r="H225" s="113">
        <f t="shared" si="611"/>
        <v>22.112382934443286</v>
      </c>
      <c r="I225" s="113">
        <f t="shared" ref="I225:R225" si="612">I201/$S$170</f>
        <v>35.527228581338882</v>
      </c>
      <c r="J225" s="113">
        <f t="shared" si="612"/>
        <v>5.6018036767256323</v>
      </c>
      <c r="K225" s="113">
        <f t="shared" si="612"/>
        <v>7.518210197710717</v>
      </c>
      <c r="L225" s="113">
        <f t="shared" si="612"/>
        <v>5.159556018036767</v>
      </c>
      <c r="M225" s="113">
        <f t="shared" si="612"/>
        <v>15.920915712799166</v>
      </c>
      <c r="N225" s="113">
        <f t="shared" si="612"/>
        <v>19.016649323621227</v>
      </c>
      <c r="O225" s="113">
        <f t="shared" si="612"/>
        <v>18.869233437391603</v>
      </c>
      <c r="P225" s="113">
        <f t="shared" si="612"/>
        <v>16.952826916406519</v>
      </c>
      <c r="Q225" s="113">
        <f t="shared" si="612"/>
        <v>17.689906347554629</v>
      </c>
      <c r="R225" s="113">
        <f t="shared" si="612"/>
        <v>26.534859521331942</v>
      </c>
      <c r="S225" s="113">
        <f>S201/$S$170</f>
        <v>10.319112036073534</v>
      </c>
      <c r="T225" s="101">
        <f t="shared" si="533"/>
        <v>-5.0278600137732776E-2</v>
      </c>
      <c r="U225" s="110"/>
      <c r="V225" s="113">
        <f t="shared" ref="V225:AE225" si="613">V201/$S$170</f>
        <v>7.3707943114810952</v>
      </c>
      <c r="W225" s="113">
        <f t="shared" si="613"/>
        <v>7.3707943114810952</v>
      </c>
      <c r="X225" s="113">
        <f t="shared" si="613"/>
        <v>7.3707943114810952</v>
      </c>
      <c r="Y225" s="113">
        <f t="shared" si="613"/>
        <v>7.3707943114810952</v>
      </c>
      <c r="Z225" s="113">
        <f t="shared" si="613"/>
        <v>7.3707943114810952</v>
      </c>
      <c r="AA225" s="113">
        <f t="shared" si="613"/>
        <v>7.3707943114810952</v>
      </c>
      <c r="AB225" s="113">
        <f t="shared" si="613"/>
        <v>7.3707943114810952</v>
      </c>
      <c r="AC225" s="113">
        <f t="shared" si="613"/>
        <v>7.3707943114810952</v>
      </c>
      <c r="AD225" s="113">
        <f t="shared" si="613"/>
        <v>7.3707943114810952</v>
      </c>
      <c r="AE225" s="113">
        <f t="shared" si="613"/>
        <v>7.3707943114810952</v>
      </c>
      <c r="AF225" s="116">
        <f t="shared" ref="AF225:AF227" si="614">((AE225/I225)^(1/($AE$3-$J$1) ))-1</f>
        <v>-7.2158164471239017E-2</v>
      </c>
      <c r="AG225" s="21">
        <f t="shared" ref="AG225:AG227" si="615">$N$1</f>
        <v>0.05</v>
      </c>
      <c r="AH225" s="158">
        <f>(AH210)/($N$2*100)</f>
        <v>0</v>
      </c>
    </row>
    <row r="226" spans="2:34">
      <c r="B226" s="10" t="s">
        <v>439</v>
      </c>
      <c r="C226" s="111"/>
      <c r="D226" s="111"/>
      <c r="E226" s="111"/>
      <c r="F226" s="111"/>
      <c r="G226" s="158">
        <f t="shared" ref="G226:H226" si="616">(G225)/($N$2*100)</f>
        <v>1.2776043473233898</v>
      </c>
      <c r="H226" s="158">
        <f t="shared" si="616"/>
        <v>1.474158862296219</v>
      </c>
      <c r="I226" s="158">
        <f t="shared" ref="I226:S226" si="617">(I225)/($N$2*100)</f>
        <v>2.3684819054225921</v>
      </c>
      <c r="J226" s="158">
        <f t="shared" si="617"/>
        <v>0.37345357844837551</v>
      </c>
      <c r="K226" s="158">
        <f t="shared" si="617"/>
        <v>0.50121401318071446</v>
      </c>
      <c r="L226" s="158">
        <f t="shared" si="617"/>
        <v>0.34397040120245115</v>
      </c>
      <c r="M226" s="158">
        <f t="shared" si="617"/>
        <v>1.0613943808532778</v>
      </c>
      <c r="N226" s="158">
        <f t="shared" si="617"/>
        <v>1.2677766215747484</v>
      </c>
      <c r="O226" s="158">
        <f t="shared" si="617"/>
        <v>1.2579488958261069</v>
      </c>
      <c r="P226" s="158">
        <f t="shared" si="617"/>
        <v>1.1301884610937678</v>
      </c>
      <c r="Q226" s="158">
        <f t="shared" si="617"/>
        <v>1.1793270898369752</v>
      </c>
      <c r="R226" s="158">
        <f t="shared" si="617"/>
        <v>1.7689906347554627</v>
      </c>
      <c r="S226" s="158">
        <f t="shared" si="617"/>
        <v>0.6879408024049023</v>
      </c>
      <c r="T226" s="101">
        <f t="shared" si="533"/>
        <v>-5.0278600137732776E-2</v>
      </c>
      <c r="U226" s="110"/>
      <c r="V226" s="158">
        <f t="shared" ref="V226:AE226" si="618">(V225)/($N$2*100)</f>
        <v>0.49138628743207302</v>
      </c>
      <c r="W226" s="158">
        <f t="shared" si="618"/>
        <v>0.49138628743207302</v>
      </c>
      <c r="X226" s="158">
        <f t="shared" si="618"/>
        <v>0.49138628743207302</v>
      </c>
      <c r="Y226" s="158">
        <f t="shared" si="618"/>
        <v>0.49138628743207302</v>
      </c>
      <c r="Z226" s="158">
        <f t="shared" si="618"/>
        <v>0.49138628743207302</v>
      </c>
      <c r="AA226" s="158">
        <f t="shared" si="618"/>
        <v>0.49138628743207302</v>
      </c>
      <c r="AB226" s="158">
        <f t="shared" si="618"/>
        <v>0.49138628743207302</v>
      </c>
      <c r="AC226" s="158">
        <f t="shared" si="618"/>
        <v>0.49138628743207302</v>
      </c>
      <c r="AD226" s="158">
        <f t="shared" si="618"/>
        <v>0.49138628743207302</v>
      </c>
      <c r="AE226" s="158">
        <f t="shared" si="618"/>
        <v>0.49138628743207302</v>
      </c>
      <c r="AF226" s="116">
        <f t="shared" si="614"/>
        <v>-7.2158164471239017E-2</v>
      </c>
      <c r="AG226" s="21">
        <f t="shared" si="615"/>
        <v>0.05</v>
      </c>
      <c r="AH226" s="158" t="e">
        <f>(#REF!)/($N$2*100)</f>
        <v>#REF!</v>
      </c>
    </row>
    <row r="227" spans="2:34">
      <c r="B227" s="10" t="s">
        <v>441</v>
      </c>
      <c r="C227" s="111"/>
      <c r="D227" s="111"/>
      <c r="E227" s="111"/>
      <c r="F227" s="111"/>
      <c r="G227" s="129">
        <f t="shared" ref="G227:H227" si="619">G226-1</f>
        <v>0.27760434732338979</v>
      </c>
      <c r="H227" s="129">
        <f t="shared" si="619"/>
        <v>0.47415886229621895</v>
      </c>
      <c r="I227" s="129">
        <f t="shared" ref="I227:S227" si="620">I226-1</f>
        <v>1.3684819054225921</v>
      </c>
      <c r="J227" s="129">
        <f t="shared" si="620"/>
        <v>-0.62654642155162454</v>
      </c>
      <c r="K227" s="129">
        <f t="shared" si="620"/>
        <v>-0.49878598681928554</v>
      </c>
      <c r="L227" s="129">
        <f t="shared" si="620"/>
        <v>-0.65602959879754885</v>
      </c>
      <c r="M227" s="129">
        <f t="shared" si="620"/>
        <v>6.1394380853277752E-2</v>
      </c>
      <c r="N227" s="129">
        <f t="shared" si="620"/>
        <v>0.26777662157474835</v>
      </c>
      <c r="O227" s="129">
        <f t="shared" si="620"/>
        <v>0.25794889582610692</v>
      </c>
      <c r="P227" s="129">
        <f t="shared" si="620"/>
        <v>0.1301884610937678</v>
      </c>
      <c r="Q227" s="129">
        <f t="shared" si="620"/>
        <v>0.17932708983697521</v>
      </c>
      <c r="R227" s="129">
        <f t="shared" si="620"/>
        <v>0.7689906347554627</v>
      </c>
      <c r="S227" s="129">
        <f t="shared" si="620"/>
        <v>-0.3120591975950977</v>
      </c>
      <c r="T227" s="101" t="e">
        <f t="shared" si="533"/>
        <v>#NUM!</v>
      </c>
      <c r="U227" s="110"/>
      <c r="V227" s="129">
        <f t="shared" ref="V227:AE227" si="621">V226-1</f>
        <v>-0.50861371256792698</v>
      </c>
      <c r="W227" s="129">
        <f t="shared" si="621"/>
        <v>-0.50861371256792698</v>
      </c>
      <c r="X227" s="129">
        <f t="shared" si="621"/>
        <v>-0.50861371256792698</v>
      </c>
      <c r="Y227" s="129">
        <f t="shared" si="621"/>
        <v>-0.50861371256792698</v>
      </c>
      <c r="Z227" s="129">
        <f t="shared" si="621"/>
        <v>-0.50861371256792698</v>
      </c>
      <c r="AA227" s="129">
        <f t="shared" si="621"/>
        <v>-0.50861371256792698</v>
      </c>
      <c r="AB227" s="129">
        <f t="shared" si="621"/>
        <v>-0.50861371256792698</v>
      </c>
      <c r="AC227" s="129">
        <f t="shared" si="621"/>
        <v>-0.50861371256792698</v>
      </c>
      <c r="AD227" s="129">
        <f t="shared" si="621"/>
        <v>-0.50861371256792698</v>
      </c>
      <c r="AE227" s="129">
        <f t="shared" si="621"/>
        <v>-0.50861371256792698</v>
      </c>
      <c r="AF227" s="116">
        <f t="shared" si="614"/>
        <v>-1.9539616257147525</v>
      </c>
      <c r="AG227" s="21">
        <f t="shared" si="615"/>
        <v>0.05</v>
      </c>
      <c r="AH227" s="158">
        <f>(AH211)/($N$2*100)</f>
        <v>5.6891108820755924E-2</v>
      </c>
    </row>
    <row r="228" spans="2:34">
      <c r="B228" s="10"/>
      <c r="C228" s="111"/>
      <c r="D228" s="111"/>
      <c r="E228" s="111"/>
      <c r="F228" s="111"/>
      <c r="G228" s="111"/>
      <c r="H228" s="111"/>
      <c r="I228" s="113"/>
      <c r="J228" s="113"/>
      <c r="K228" s="113"/>
      <c r="L228" s="113"/>
      <c r="M228" s="176"/>
      <c r="N228" s="177"/>
      <c r="O228" s="113"/>
      <c r="P228" s="113"/>
      <c r="Q228" s="113"/>
      <c r="R228" s="113"/>
      <c r="S228" s="113"/>
      <c r="T228" s="110"/>
      <c r="U228" s="110"/>
      <c r="V228" s="113"/>
      <c r="W228" s="113"/>
      <c r="X228" s="113"/>
      <c r="Y228" s="113"/>
      <c r="Z228" s="113"/>
      <c r="AA228" s="113"/>
      <c r="AB228" s="113"/>
      <c r="AC228" s="113"/>
      <c r="AD228" s="113"/>
      <c r="AE228" s="113"/>
      <c r="AF228" s="115"/>
      <c r="AG228" s="10"/>
      <c r="AH228" s="10"/>
    </row>
    <row r="229" spans="2:34">
      <c r="B229" s="10" t="s">
        <v>416</v>
      </c>
      <c r="C229" s="111"/>
      <c r="D229" s="111"/>
      <c r="E229" s="111"/>
      <c r="F229" s="111"/>
      <c r="G229" s="129">
        <f t="shared" ref="G229:R229" si="622">1/G230</f>
        <v>6.1128940282099815E-2</v>
      </c>
      <c r="H229" s="129">
        <f t="shared" si="622"/>
        <v>5.2978414911153168E-2</v>
      </c>
      <c r="I229" s="129">
        <f t="shared" si="622"/>
        <v>3.297411716461815E-2</v>
      </c>
      <c r="J229" s="129">
        <f t="shared" si="622"/>
        <v>0.20912532201770986</v>
      </c>
      <c r="K229" s="129">
        <f t="shared" si="622"/>
        <v>0.15581886738574463</v>
      </c>
      <c r="L229" s="129">
        <f t="shared" si="622"/>
        <v>0.22705034961922785</v>
      </c>
      <c r="M229" s="129">
        <f t="shared" si="622"/>
        <v>7.3581131821046059E-2</v>
      </c>
      <c r="N229" s="129">
        <f t="shared" si="622"/>
        <v>6.1602808036224616E-2</v>
      </c>
      <c r="O229" s="129">
        <f t="shared" si="622"/>
        <v>6.2084079974007625E-2</v>
      </c>
      <c r="P229" s="129">
        <f t="shared" si="622"/>
        <v>6.910228031889544E-2</v>
      </c>
      <c r="Q229" s="129">
        <f t="shared" si="622"/>
        <v>6.622301863894145E-2</v>
      </c>
      <c r="R229" s="129">
        <f t="shared" si="622"/>
        <v>4.4148679092627638E-2</v>
      </c>
      <c r="S229" s="129">
        <f>1/S230</f>
        <v>0.11352517480961392</v>
      </c>
      <c r="T229" s="101">
        <f t="shared" ref="T229:T232" si="623">((S229/G229)^(1/($J$2-$J$1) ))-1</f>
        <v>5.2940367717337233E-2</v>
      </c>
      <c r="U229" s="110"/>
      <c r="V229" s="129">
        <f t="shared" ref="V229:AE229" si="624">1/V230</f>
        <v>7.549121514349685</v>
      </c>
      <c r="W229" s="129">
        <f t="shared" si="624"/>
        <v>8.5112644524530765</v>
      </c>
      <c r="X229" s="129">
        <f t="shared" si="624"/>
        <v>9.5960334512951349</v>
      </c>
      <c r="Y229" s="129">
        <f t="shared" si="624"/>
        <v>10.819057322538631</v>
      </c>
      <c r="Z229" s="129">
        <f t="shared" si="624"/>
        <v>12.197956785215121</v>
      </c>
      <c r="AA229" s="129">
        <f t="shared" si="624"/>
        <v>13.752598336271951</v>
      </c>
      <c r="AB229" s="129">
        <f t="shared" si="624"/>
        <v>15.505380477169354</v>
      </c>
      <c r="AC229" s="129">
        <f t="shared" si="624"/>
        <v>17.481556420337995</v>
      </c>
      <c r="AD229" s="129">
        <f t="shared" si="624"/>
        <v>19.709597924890872</v>
      </c>
      <c r="AE229" s="129">
        <f t="shared" si="624"/>
        <v>22.221605503553445</v>
      </c>
      <c r="AF229" s="116">
        <f t="shared" ref="AF229:AF232" si="625">((AE229/I229)^(1/($AE$3-$J$1) ))-1</f>
        <v>0.36362622703202319</v>
      </c>
      <c r="AG229" s="21">
        <f t="shared" ref="AG229:AG232" si="626">$N$1</f>
        <v>0.05</v>
      </c>
      <c r="AH229" s="158">
        <f>(AH215)/($N$2*100)</f>
        <v>5.499865730420485E-3</v>
      </c>
    </row>
    <row r="230" spans="2:34">
      <c r="B230" s="10" t="s">
        <v>516</v>
      </c>
      <c r="C230" s="111"/>
      <c r="D230" s="111"/>
      <c r="E230" s="111"/>
      <c r="F230" s="111"/>
      <c r="G230" s="113">
        <f t="shared" ref="G230:R230" si="627">G201/$V$171</f>
        <v>16.358863664005423</v>
      </c>
      <c r="H230" s="113">
        <f t="shared" si="627"/>
        <v>18.875611920006257</v>
      </c>
      <c r="I230" s="113">
        <f t="shared" si="627"/>
        <v>30.326816484810056</v>
      </c>
      <c r="J230" s="113">
        <f t="shared" si="627"/>
        <v>4.7818216864015852</v>
      </c>
      <c r="K230" s="113">
        <f t="shared" si="627"/>
        <v>6.4177080528021273</v>
      </c>
      <c r="L230" s="113">
        <f t="shared" si="627"/>
        <v>4.4043094480014604</v>
      </c>
      <c r="M230" s="113">
        <f t="shared" si="627"/>
        <v>13.590440582404506</v>
      </c>
      <c r="N230" s="113">
        <f t="shared" si="627"/>
        <v>16.233026251205381</v>
      </c>
      <c r="O230" s="113">
        <f t="shared" si="627"/>
        <v>16.107188838405339</v>
      </c>
      <c r="P230" s="113">
        <f t="shared" si="627"/>
        <v>14.471302472004798</v>
      </c>
      <c r="Q230" s="113">
        <f t="shared" si="627"/>
        <v>15.100489536005007</v>
      </c>
      <c r="R230" s="113">
        <f t="shared" si="627"/>
        <v>22.650734304007511</v>
      </c>
      <c r="S230" s="113">
        <f>S201/$V$171</f>
        <v>8.8086188960029208</v>
      </c>
      <c r="T230" s="101">
        <f t="shared" si="623"/>
        <v>-5.0278600137732776E-2</v>
      </c>
      <c r="U230" s="110"/>
      <c r="V230" s="113">
        <f t="shared" ref="V230:AE230" si="628">V206/$S$170</f>
        <v>0.13246574427225186</v>
      </c>
      <c r="W230" s="113">
        <f t="shared" si="628"/>
        <v>0.11749135578930163</v>
      </c>
      <c r="X230" s="113">
        <f t="shared" si="628"/>
        <v>0.10420972426529364</v>
      </c>
      <c r="Y230" s="113">
        <f t="shared" si="628"/>
        <v>9.2429494565738707E-2</v>
      </c>
      <c r="Z230" s="113">
        <f t="shared" si="628"/>
        <v>8.1980943006133483E-2</v>
      </c>
      <c r="AA230" s="113">
        <f t="shared" si="628"/>
        <v>7.2713532057614036E-2</v>
      </c>
      <c r="AB230" s="113">
        <f t="shared" si="628"/>
        <v>6.4493741477188116E-2</v>
      </c>
      <c r="AC230" s="113">
        <f t="shared" si="628"/>
        <v>5.7203144614549464E-2</v>
      </c>
      <c r="AD230" s="113">
        <f t="shared" si="628"/>
        <v>5.0736702179861273E-2</v>
      </c>
      <c r="AE230" s="113">
        <f t="shared" si="628"/>
        <v>4.5001248889963895E-2</v>
      </c>
      <c r="AF230" s="116">
        <f t="shared" si="625"/>
        <v>-0.26666121538558807</v>
      </c>
      <c r="AG230" s="21">
        <f t="shared" si="626"/>
        <v>0.05</v>
      </c>
      <c r="AH230" s="158">
        <f>(AH215)/($N$2*100)</f>
        <v>5.499865730420485E-3</v>
      </c>
    </row>
    <row r="231" spans="2:34">
      <c r="B231" s="10" t="s">
        <v>439</v>
      </c>
      <c r="C231" s="111"/>
      <c r="D231" s="111"/>
      <c r="E231" s="111"/>
      <c r="F231" s="111"/>
      <c r="G231" s="158">
        <f t="shared" ref="G231:S231" si="629">(G230)/($N$2*100)</f>
        <v>1.0905909109336949</v>
      </c>
      <c r="H231" s="158">
        <f t="shared" si="629"/>
        <v>1.258374128000417</v>
      </c>
      <c r="I231" s="158">
        <f t="shared" si="629"/>
        <v>2.0217877656540035</v>
      </c>
      <c r="J231" s="158">
        <f t="shared" si="629"/>
        <v>0.31878811242677235</v>
      </c>
      <c r="K231" s="158">
        <f t="shared" si="629"/>
        <v>0.42784720352014183</v>
      </c>
      <c r="L231" s="158">
        <f t="shared" si="629"/>
        <v>0.29362062986676402</v>
      </c>
      <c r="M231" s="158">
        <f t="shared" si="629"/>
        <v>0.90602937216030044</v>
      </c>
      <c r="N231" s="158">
        <f t="shared" si="629"/>
        <v>1.0822017500803587</v>
      </c>
      <c r="O231" s="158">
        <f t="shared" si="629"/>
        <v>1.0738125892270225</v>
      </c>
      <c r="P231" s="158">
        <f t="shared" si="629"/>
        <v>0.96475349813365319</v>
      </c>
      <c r="Q231" s="158">
        <f t="shared" si="629"/>
        <v>1.0066993024003339</v>
      </c>
      <c r="R231" s="158">
        <f t="shared" si="629"/>
        <v>1.5100489536005006</v>
      </c>
      <c r="S231" s="158">
        <f t="shared" si="629"/>
        <v>0.58724125973352803</v>
      </c>
      <c r="T231" s="101">
        <f t="shared" si="623"/>
        <v>-5.0278600137732776E-2</v>
      </c>
      <c r="U231" s="110"/>
      <c r="V231" s="158">
        <f t="shared" ref="V231:AE231" si="630">(V230)/($N$2*100)</f>
        <v>8.8310496181501236E-3</v>
      </c>
      <c r="W231" s="158">
        <f t="shared" si="630"/>
        <v>7.8327570526201089E-3</v>
      </c>
      <c r="X231" s="158">
        <f t="shared" si="630"/>
        <v>6.947314951019576E-3</v>
      </c>
      <c r="Y231" s="158">
        <f t="shared" si="630"/>
        <v>6.1619663043825804E-3</v>
      </c>
      <c r="Z231" s="158">
        <f t="shared" si="630"/>
        <v>5.4653962004088986E-3</v>
      </c>
      <c r="AA231" s="158">
        <f t="shared" si="630"/>
        <v>4.8475688038409357E-3</v>
      </c>
      <c r="AB231" s="158">
        <f t="shared" si="630"/>
        <v>4.2995827651458743E-3</v>
      </c>
      <c r="AC231" s="158">
        <f t="shared" si="630"/>
        <v>3.8135429743032978E-3</v>
      </c>
      <c r="AD231" s="158">
        <f t="shared" si="630"/>
        <v>3.3824468119907514E-3</v>
      </c>
      <c r="AE231" s="158">
        <f t="shared" si="630"/>
        <v>3.0000832593309263E-3</v>
      </c>
      <c r="AF231" s="116">
        <f t="shared" si="625"/>
        <v>-0.26666121538558807</v>
      </c>
      <c r="AG231" s="21">
        <f t="shared" si="626"/>
        <v>0.05</v>
      </c>
      <c r="AH231" s="158" t="e">
        <f>(#REF!)/($N$2*100)</f>
        <v>#REF!</v>
      </c>
    </row>
    <row r="232" spans="2:34">
      <c r="B232" s="10" t="s">
        <v>441</v>
      </c>
      <c r="C232" s="111"/>
      <c r="D232" s="111"/>
      <c r="E232" s="111"/>
      <c r="F232" s="111"/>
      <c r="G232" s="129">
        <f t="shared" ref="G232:S232" si="631">G231-1</f>
        <v>9.0590910933694868E-2</v>
      </c>
      <c r="H232" s="129">
        <f t="shared" si="631"/>
        <v>0.25837412800041704</v>
      </c>
      <c r="I232" s="129">
        <f t="shared" si="631"/>
        <v>1.0217877656540035</v>
      </c>
      <c r="J232" s="129">
        <f t="shared" si="631"/>
        <v>-0.68121188757322759</v>
      </c>
      <c r="K232" s="129">
        <f t="shared" si="631"/>
        <v>-0.57215279647985817</v>
      </c>
      <c r="L232" s="129">
        <f t="shared" si="631"/>
        <v>-0.70637937013323593</v>
      </c>
      <c r="M232" s="129">
        <f t="shared" si="631"/>
        <v>-9.3970627839699561E-2</v>
      </c>
      <c r="N232" s="129">
        <f t="shared" si="631"/>
        <v>8.2201750080358682E-2</v>
      </c>
      <c r="O232" s="129">
        <f t="shared" si="631"/>
        <v>7.3812589227022496E-2</v>
      </c>
      <c r="P232" s="129">
        <f t="shared" si="631"/>
        <v>-3.5246501866346813E-2</v>
      </c>
      <c r="Q232" s="129">
        <f t="shared" si="631"/>
        <v>6.6993024003338952E-3</v>
      </c>
      <c r="R232" s="129">
        <f t="shared" si="631"/>
        <v>0.51004895360050062</v>
      </c>
      <c r="S232" s="129">
        <f t="shared" si="631"/>
        <v>-0.41275874026647197</v>
      </c>
      <c r="T232" s="101" t="e">
        <f t="shared" si="623"/>
        <v>#NUM!</v>
      </c>
      <c r="U232" s="110"/>
      <c r="V232" s="129">
        <f t="shared" ref="V232:AE232" si="632">V231-1</f>
        <v>-0.99116895038184982</v>
      </c>
      <c r="W232" s="129">
        <f t="shared" si="632"/>
        <v>-0.9921672429473799</v>
      </c>
      <c r="X232" s="129">
        <f t="shared" si="632"/>
        <v>-0.99305268504898048</v>
      </c>
      <c r="Y232" s="129">
        <f t="shared" si="632"/>
        <v>-0.99383803369561741</v>
      </c>
      <c r="Z232" s="129">
        <f t="shared" si="632"/>
        <v>-0.99453460379959113</v>
      </c>
      <c r="AA232" s="129">
        <f t="shared" si="632"/>
        <v>-0.99515243119615904</v>
      </c>
      <c r="AB232" s="129">
        <f t="shared" si="632"/>
        <v>-0.99570041723485414</v>
      </c>
      <c r="AC232" s="129">
        <f t="shared" si="632"/>
        <v>-0.99618645702569675</v>
      </c>
      <c r="AD232" s="129">
        <f t="shared" si="632"/>
        <v>-0.99661755318800926</v>
      </c>
      <c r="AE232" s="129">
        <f t="shared" si="632"/>
        <v>-0.99699991674066912</v>
      </c>
      <c r="AF232" s="116">
        <f t="shared" si="625"/>
        <v>-1.9988312360588616</v>
      </c>
      <c r="AG232" s="21">
        <f t="shared" si="626"/>
        <v>0.05</v>
      </c>
      <c r="AH232" s="158">
        <f>(AH216)/($N$2*100)</f>
        <v>7.1300225088598804E-2</v>
      </c>
    </row>
    <row r="233" spans="2:34">
      <c r="B233" s="10"/>
      <c r="C233" s="111"/>
      <c r="D233" s="111"/>
      <c r="E233" s="111"/>
      <c r="F233" s="111"/>
      <c r="G233" s="111"/>
      <c r="H233" s="111"/>
      <c r="I233" s="113"/>
      <c r="J233" s="113"/>
      <c r="K233" s="113"/>
      <c r="L233" s="113"/>
      <c r="M233" s="176"/>
      <c r="N233" s="177"/>
      <c r="O233" s="113"/>
      <c r="P233" s="113"/>
      <c r="Q233" s="113"/>
      <c r="R233" s="113"/>
      <c r="S233" s="113"/>
      <c r="T233" s="110"/>
      <c r="U233" s="110"/>
      <c r="V233" s="113"/>
      <c r="W233" s="113"/>
      <c r="X233" s="113"/>
      <c r="Y233" s="113"/>
      <c r="Z233" s="113"/>
      <c r="AA233" s="113"/>
      <c r="AB233" s="113"/>
      <c r="AC233" s="113"/>
      <c r="AD233" s="113"/>
      <c r="AE233" s="113"/>
      <c r="AF233" s="115"/>
      <c r="AG233" s="10"/>
      <c r="AH233" s="10"/>
    </row>
    <row r="234" spans="2:34">
      <c r="B234" s="10"/>
      <c r="C234" s="111"/>
      <c r="D234" s="111"/>
      <c r="E234" s="111"/>
      <c r="F234" s="111"/>
      <c r="G234" s="111"/>
      <c r="H234" s="111"/>
      <c r="I234" s="113"/>
      <c r="J234" s="113"/>
      <c r="K234" s="113"/>
      <c r="L234" s="113"/>
      <c r="M234" s="176"/>
      <c r="N234" s="177"/>
      <c r="O234" s="113"/>
      <c r="P234" s="113"/>
      <c r="Q234" s="113"/>
      <c r="R234" s="113"/>
      <c r="S234" s="113"/>
      <c r="T234" s="110"/>
      <c r="U234" s="110"/>
      <c r="V234" s="113"/>
      <c r="W234" s="113"/>
      <c r="X234" s="113"/>
      <c r="Y234" s="113"/>
      <c r="Z234" s="113"/>
      <c r="AA234" s="113"/>
      <c r="AB234" s="113"/>
      <c r="AC234" s="113"/>
      <c r="AD234" s="113"/>
      <c r="AE234" s="113"/>
      <c r="AF234" s="115"/>
      <c r="AG234" s="10"/>
      <c r="AH234" s="10"/>
    </row>
    <row r="235" spans="2:34">
      <c r="B235" s="10"/>
      <c r="C235" s="111"/>
      <c r="D235" s="111"/>
      <c r="E235" s="111"/>
      <c r="F235" s="111"/>
      <c r="G235" s="111"/>
      <c r="H235" s="111"/>
      <c r="I235" s="113"/>
      <c r="J235" s="113"/>
      <c r="K235" s="113"/>
      <c r="L235" s="113"/>
      <c r="M235" s="176"/>
      <c r="N235" s="177"/>
      <c r="O235" s="113"/>
      <c r="P235" s="113"/>
      <c r="Q235" s="113"/>
      <c r="R235" s="113"/>
      <c r="S235" s="113"/>
      <c r="T235" s="110"/>
      <c r="U235" s="110"/>
      <c r="V235" s="113"/>
      <c r="W235" s="113"/>
      <c r="X235" s="113"/>
      <c r="Y235" s="113"/>
      <c r="Z235" s="113"/>
      <c r="AA235" s="113"/>
      <c r="AB235" s="113"/>
      <c r="AC235" s="113"/>
      <c r="AD235" s="113"/>
      <c r="AE235" s="113"/>
      <c r="AF235" s="115"/>
      <c r="AG235" s="10"/>
      <c r="AH235" s="10"/>
    </row>
    <row r="236" spans="2:34">
      <c r="B236" s="93" t="s">
        <v>251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311" t="s">
        <v>296</v>
      </c>
      <c r="N236" s="312"/>
      <c r="O236" s="10"/>
      <c r="P236" s="10"/>
      <c r="Q236" s="10"/>
      <c r="R236" s="93" t="s">
        <v>375</v>
      </c>
      <c r="S236" s="93" t="s">
        <v>374</v>
      </c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15"/>
      <c r="AG236" s="10"/>
      <c r="AH236" s="10"/>
    </row>
    <row r="237" spans="2:34">
      <c r="B237" s="10" t="s">
        <v>249</v>
      </c>
      <c r="C237" s="10" t="s">
        <v>261</v>
      </c>
      <c r="D237" s="10"/>
      <c r="E237" s="10"/>
      <c r="F237" s="10"/>
      <c r="G237" s="10"/>
      <c r="H237" s="10"/>
      <c r="I237" s="10"/>
      <c r="J237" s="10"/>
      <c r="K237" s="10"/>
      <c r="L237" s="10"/>
      <c r="M237" s="10" t="s">
        <v>297</v>
      </c>
      <c r="N237" s="12">
        <v>1</v>
      </c>
      <c r="O237" s="10"/>
      <c r="P237" s="10"/>
      <c r="Q237" s="10"/>
      <c r="R237" s="110">
        <f>(S201-U188)/S201</f>
        <v>0.51097757891541074</v>
      </c>
      <c r="S237" s="110">
        <f>(S201-V188)/S201</f>
        <v>0.6776696445195266</v>
      </c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15"/>
      <c r="AG237" s="10"/>
      <c r="AH237" s="10"/>
    </row>
    <row r="238" spans="2:34">
      <c r="B238" s="10" t="s">
        <v>294</v>
      </c>
      <c r="C238" s="10" t="s">
        <v>261</v>
      </c>
      <c r="D238" s="10"/>
      <c r="E238" s="10"/>
      <c r="F238" s="10"/>
      <c r="G238" s="10"/>
      <c r="H238" s="10"/>
      <c r="I238" s="10"/>
      <c r="J238" s="10"/>
      <c r="K238" s="10"/>
      <c r="L238" s="10"/>
      <c r="M238" s="149">
        <f>$N$237</f>
        <v>1</v>
      </c>
      <c r="N238" s="10"/>
      <c r="O238" s="110">
        <f>(R201-(M238*U179))/R201</f>
        <v>-2.2065136296842387</v>
      </c>
      <c r="P238" s="10"/>
      <c r="Q238" s="10"/>
      <c r="R238" s="110">
        <f>(S201-U179)/S201</f>
        <v>-7.2453207620451847</v>
      </c>
      <c r="S238" s="110">
        <f>(S201-V179)/S201</f>
        <v>0.28301558590911446</v>
      </c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15"/>
      <c r="AG238" s="10"/>
      <c r="AH238" s="10"/>
    </row>
    <row r="239" spans="2:34">
      <c r="B239" s="10" t="s">
        <v>295</v>
      </c>
      <c r="C239" s="10" t="s">
        <v>261</v>
      </c>
      <c r="D239" s="10"/>
      <c r="E239" s="10"/>
      <c r="F239" s="10"/>
      <c r="G239" s="10"/>
      <c r="H239" s="10"/>
      <c r="I239" s="10"/>
      <c r="J239" s="10"/>
      <c r="K239" s="10"/>
      <c r="L239" s="10"/>
      <c r="M239" s="149">
        <f>$N$237</f>
        <v>1</v>
      </c>
      <c r="N239" s="10"/>
      <c r="O239" s="110">
        <f>(R201-(M239*U172))/R201</f>
        <v>-2.0342042948736969</v>
      </c>
      <c r="P239" s="10"/>
      <c r="Q239" s="10"/>
      <c r="R239" s="110">
        <f>(S201-U172)/S201</f>
        <v>-6.8022396153895066</v>
      </c>
      <c r="S239" s="110">
        <f>(S201-V172)/S201</f>
        <v>0.3215443812704778</v>
      </c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15"/>
      <c r="AG239" s="10"/>
      <c r="AH239" s="10"/>
    </row>
    <row r="240" spans="2:34">
      <c r="B240" s="10" t="s">
        <v>298</v>
      </c>
      <c r="C240" s="10" t="s">
        <v>261</v>
      </c>
      <c r="D240" s="10"/>
      <c r="E240" s="10"/>
      <c r="F240" s="10"/>
      <c r="G240" s="10"/>
      <c r="H240" s="10"/>
      <c r="I240" s="10"/>
      <c r="J240" s="10"/>
      <c r="K240" s="10"/>
      <c r="L240" s="10"/>
      <c r="M240" s="149">
        <f>$N$237</f>
        <v>1</v>
      </c>
      <c r="N240" s="10"/>
      <c r="O240" s="110">
        <f>(R201-(M240*U185))/R201</f>
        <v>0.74587254901960776</v>
      </c>
      <c r="P240" s="10"/>
      <c r="Q240" s="10"/>
      <c r="R240" s="110">
        <f>(S201-U185)/S201</f>
        <v>0.34652941176470559</v>
      </c>
      <c r="S240" s="110">
        <f>(S201-V185)/S201</f>
        <v>0.94317647058823517</v>
      </c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15"/>
      <c r="AG240" s="10"/>
      <c r="AH240" s="10"/>
    </row>
    <row r="241" spans="2:48">
      <c r="B241" s="10" t="s">
        <v>344</v>
      </c>
      <c r="C241" s="10" t="s">
        <v>261</v>
      </c>
      <c r="D241" s="10"/>
      <c r="E241" s="10"/>
      <c r="F241" s="10"/>
      <c r="G241" s="10"/>
      <c r="H241" s="10"/>
      <c r="I241" s="10"/>
      <c r="J241" s="10"/>
      <c r="K241" s="10"/>
      <c r="L241" s="10"/>
      <c r="M241" s="149">
        <f>$N$237</f>
        <v>1</v>
      </c>
      <c r="N241" s="10"/>
      <c r="O241" s="110">
        <f>(R201-(M241*U198))/R201</f>
        <v>0.85944718312847512</v>
      </c>
      <c r="P241" s="10"/>
      <c r="Q241" s="10"/>
      <c r="R241" s="110">
        <f>(S201-U198)/S201</f>
        <v>0.6385784709017932</v>
      </c>
      <c r="S241" s="110">
        <f>(S201-V198)/S201</f>
        <v>0.76177548323010336</v>
      </c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15"/>
      <c r="AG241" s="10"/>
      <c r="AH241" s="10"/>
    </row>
    <row r="242" spans="2:48">
      <c r="B242" s="10" t="s">
        <v>250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5">
        <f>S201/U171</f>
        <v>0.76596686052199292</v>
      </c>
      <c r="S242" s="15">
        <f>S201/V171</f>
        <v>8.8086188960029208</v>
      </c>
      <c r="T242" s="10"/>
      <c r="U242" s="10"/>
      <c r="V242" s="98" t="s">
        <v>5</v>
      </c>
      <c r="W242" s="98" t="s">
        <v>6</v>
      </c>
      <c r="X242" s="98" t="s">
        <v>7</v>
      </c>
      <c r="Y242" s="98" t="s">
        <v>8</v>
      </c>
      <c r="Z242" s="98" t="s">
        <v>9</v>
      </c>
      <c r="AA242" s="98" t="s">
        <v>192</v>
      </c>
      <c r="AB242" s="98" t="s">
        <v>193</v>
      </c>
      <c r="AC242" s="98" t="s">
        <v>194</v>
      </c>
      <c r="AD242" s="98" t="s">
        <v>195</v>
      </c>
      <c r="AE242" s="98" t="s">
        <v>196</v>
      </c>
      <c r="AF242" s="98" t="s">
        <v>352</v>
      </c>
      <c r="AG242" s="98" t="s">
        <v>353</v>
      </c>
      <c r="AH242" s="98" t="s">
        <v>354</v>
      </c>
      <c r="AI242" s="98" t="s">
        <v>355</v>
      </c>
      <c r="AJ242" s="98" t="s">
        <v>356</v>
      </c>
      <c r="AK242" s="98" t="s">
        <v>357</v>
      </c>
      <c r="AL242" s="98" t="s">
        <v>358</v>
      </c>
      <c r="AM242" s="98" t="s">
        <v>359</v>
      </c>
      <c r="AN242" s="98" t="s">
        <v>360</v>
      </c>
      <c r="AO242" s="98" t="s">
        <v>361</v>
      </c>
      <c r="AP242" s="98" t="s">
        <v>362</v>
      </c>
      <c r="AQ242" s="98" t="s">
        <v>363</v>
      </c>
      <c r="AR242" s="98" t="s">
        <v>364</v>
      </c>
      <c r="AS242" s="98" t="s">
        <v>365</v>
      </c>
      <c r="AT242" s="98" t="s">
        <v>366</v>
      </c>
      <c r="AU242" s="98" t="s">
        <v>367</v>
      </c>
      <c r="AV242" s="98" t="s">
        <v>368</v>
      </c>
    </row>
    <row r="243" spans="2:48">
      <c r="B243" s="10" t="s">
        <v>316</v>
      </c>
      <c r="C243" s="10"/>
      <c r="D243" s="10"/>
      <c r="E243" s="10"/>
      <c r="F243" s="10"/>
      <c r="G243" s="10"/>
      <c r="H243" s="10"/>
      <c r="I243" s="166" t="s">
        <v>391</v>
      </c>
      <c r="J243" s="167"/>
      <c r="K243" s="166" t="s">
        <v>392</v>
      </c>
      <c r="L243" s="167"/>
      <c r="M243" s="10"/>
      <c r="N243" s="166" t="s">
        <v>393</v>
      </c>
      <c r="O243" s="167"/>
      <c r="P243" s="166" t="s">
        <v>394</v>
      </c>
      <c r="Q243" s="167"/>
      <c r="R243" s="129">
        <f>1/R242</f>
        <v>1.3055395103105605</v>
      </c>
      <c r="S243" s="129">
        <f>1/S242</f>
        <v>0.11352517480961392</v>
      </c>
      <c r="T243" s="10"/>
      <c r="U243" s="10"/>
      <c r="V243" s="111">
        <f>S201-V244</f>
        <v>62.222267379679145</v>
      </c>
      <c r="W243" s="162">
        <f>V243-W244</f>
        <v>52.888988235294121</v>
      </c>
      <c r="X243" s="162">
        <f t="shared" ref="X243:Z243" si="633">W243-X244</f>
        <v>41.68905326203209</v>
      </c>
      <c r="Y243" s="162">
        <f t="shared" si="633"/>
        <v>28.249131294117653</v>
      </c>
      <c r="Z243" s="162">
        <f t="shared" si="633"/>
        <v>12.121224932620333</v>
      </c>
      <c r="AA243" s="162">
        <f>Z243-AA244</f>
        <v>-7.2322627011764524</v>
      </c>
      <c r="AB243" s="162">
        <f t="shared" ref="AB243:AE243" si="634">AA243-AB244</f>
        <v>-30.456447861732595</v>
      </c>
      <c r="AC243" s="162">
        <f t="shared" si="634"/>
        <v>-58.325470054399965</v>
      </c>
      <c r="AD243" s="162">
        <f t="shared" si="634"/>
        <v>-91.768296685600802</v>
      </c>
      <c r="AE243" s="162">
        <f t="shared" si="634"/>
        <v>-131.89968864304183</v>
      </c>
      <c r="AF243" s="162">
        <f t="shared" ref="AF243" si="635">AE243-AF244</f>
        <v>-180.05735899197103</v>
      </c>
      <c r="AG243" s="162">
        <f t="shared" ref="AG243" si="636">AF243-AG244</f>
        <v>-237.84656341068609</v>
      </c>
      <c r="AH243" s="162">
        <f t="shared" ref="AH243" si="637">AG243-AH244</f>
        <v>-307.19360871314416</v>
      </c>
      <c r="AI243" s="162">
        <f t="shared" ref="AI243" si="638">AH243-AI244</f>
        <v>-390.41006307609382</v>
      </c>
      <c r="AJ243" s="162">
        <f t="shared" ref="AJ243" si="639">AI243-AJ244</f>
        <v>-490.26980831163343</v>
      </c>
      <c r="AK243" s="162">
        <f t="shared" ref="AK243" si="640">AJ243-AK244</f>
        <v>-610.10150259428087</v>
      </c>
      <c r="AL243" s="162">
        <f t="shared" ref="AL243" si="641">AK243-AL244</f>
        <v>-753.89953573345792</v>
      </c>
      <c r="AM243" s="162">
        <f t="shared" ref="AM243" si="642">AL243-AM244</f>
        <v>-926.45717550047027</v>
      </c>
      <c r="AN243" s="162">
        <f t="shared" ref="AN243" si="643">AM243-AN244</f>
        <v>-1133.5263432208851</v>
      </c>
      <c r="AO243" s="162">
        <f t="shared" ref="AO243" si="644">AN243-AO244</f>
        <v>-1382.0093444853828</v>
      </c>
      <c r="AP243" s="162">
        <f t="shared" ref="AP243" si="645">AO243-AP244</f>
        <v>-1680.1889460027801</v>
      </c>
      <c r="AQ243" s="162">
        <f t="shared" ref="AQ243" si="646">AP243-AQ244</f>
        <v>-2038.0044678236568</v>
      </c>
      <c r="AR243" s="162">
        <f t="shared" ref="AR243" si="647">AQ243-AR244</f>
        <v>-2467.3830940087091</v>
      </c>
      <c r="AS243" s="162">
        <f t="shared" ref="AS243" si="648">AR243-AS244</f>
        <v>-2982.6374454307715</v>
      </c>
      <c r="AT243" s="162">
        <f t="shared" ref="AT243" si="649">AS243-AT244</f>
        <v>-3600.9426671372466</v>
      </c>
      <c r="AU243" s="162">
        <f t="shared" ref="AU243" si="650">AT243-AU244</f>
        <v>-4342.9089331850164</v>
      </c>
      <c r="AV243" s="162">
        <f t="shared" ref="AV243" si="651">AU243-AV244</f>
        <v>-5233.2684524423403</v>
      </c>
    </row>
    <row r="244" spans="2:48">
      <c r="B244" s="10" t="s">
        <v>341</v>
      </c>
      <c r="C244" s="10"/>
      <c r="D244" s="10"/>
      <c r="E244" s="10"/>
      <c r="F244" s="10"/>
      <c r="G244" s="10"/>
      <c r="H244" s="10"/>
      <c r="I244" s="168">
        <v>0</v>
      </c>
      <c r="J244" s="167"/>
      <c r="K244" s="168">
        <v>0.05</v>
      </c>
      <c r="L244" s="167">
        <v>7</v>
      </c>
      <c r="M244" s="161">
        <v>0.2</v>
      </c>
      <c r="N244" s="168">
        <v>0.12</v>
      </c>
      <c r="O244" s="167">
        <v>6</v>
      </c>
      <c r="P244" s="168">
        <v>0.2</v>
      </c>
      <c r="Q244" s="175" t="s">
        <v>231</v>
      </c>
      <c r="R244" s="158">
        <f>S201/U170</f>
        <v>13.248987854251013</v>
      </c>
      <c r="S244" s="158" t="s">
        <v>412</v>
      </c>
      <c r="T244" s="10"/>
      <c r="U244" s="10"/>
      <c r="V244" s="163">
        <f>T170*(1+$M$244)</f>
        <v>7.7777326203208554</v>
      </c>
      <c r="W244" s="163">
        <f>V244*(1+$M$244)</f>
        <v>9.3332791443850258</v>
      </c>
      <c r="X244" s="163">
        <f t="shared" ref="X244:AE244" si="652">W244*(1+$M$244)</f>
        <v>11.19993497326203</v>
      </c>
      <c r="Y244" s="163">
        <f t="shared" si="652"/>
        <v>13.439921967914435</v>
      </c>
      <c r="Z244" s="163">
        <f t="shared" si="652"/>
        <v>16.12790636149732</v>
      </c>
      <c r="AA244" s="163">
        <f t="shared" si="652"/>
        <v>19.353487633796785</v>
      </c>
      <c r="AB244" s="163">
        <f t="shared" si="652"/>
        <v>23.224185160556143</v>
      </c>
      <c r="AC244" s="163">
        <f t="shared" si="652"/>
        <v>27.869022192667369</v>
      </c>
      <c r="AD244" s="163">
        <f t="shared" si="652"/>
        <v>33.442826631200845</v>
      </c>
      <c r="AE244" s="163">
        <f t="shared" si="652"/>
        <v>40.131391957441011</v>
      </c>
      <c r="AF244" s="163">
        <f t="shared" ref="AF244" si="653">AE244*(1+$M$244)</f>
        <v>48.157670348929209</v>
      </c>
      <c r="AG244" s="163">
        <f t="shared" ref="AG244" si="654">AF244*(1+$M$244)</f>
        <v>57.789204418715045</v>
      </c>
      <c r="AH244" s="163">
        <f t="shared" ref="AH244" si="655">AG244*(1+$M$244)</f>
        <v>69.347045302458056</v>
      </c>
      <c r="AI244" s="163">
        <f t="shared" ref="AI244" si="656">AH244*(1+$M$244)</f>
        <v>83.216454362949662</v>
      </c>
      <c r="AJ244" s="163">
        <f t="shared" ref="AJ244" si="657">AI244*(1+$M$244)</f>
        <v>99.859745235539592</v>
      </c>
      <c r="AK244" s="163">
        <f t="shared" ref="AK244" si="658">AJ244*(1+$M$244)</f>
        <v>119.8316942826475</v>
      </c>
      <c r="AL244" s="163">
        <f t="shared" ref="AL244" si="659">AK244*(1+$M$244)</f>
        <v>143.79803313917699</v>
      </c>
      <c r="AM244" s="163">
        <f t="shared" ref="AM244" si="660">AL244*(1+$M$244)</f>
        <v>172.55763976701238</v>
      </c>
      <c r="AN244" s="163">
        <f t="shared" ref="AN244" si="661">AM244*(1+$M$244)</f>
        <v>207.06916772041484</v>
      </c>
      <c r="AO244" s="163">
        <f t="shared" ref="AO244" si="662">AN244*(1+$M$244)</f>
        <v>248.4830012644978</v>
      </c>
      <c r="AP244" s="163">
        <f t="shared" ref="AP244" si="663">AO244*(1+$M$244)</f>
        <v>298.17960151739737</v>
      </c>
      <c r="AQ244" s="163">
        <f t="shared" ref="AQ244" si="664">AP244*(1+$M$244)</f>
        <v>357.81552182087682</v>
      </c>
      <c r="AR244" s="163">
        <f t="shared" ref="AR244" si="665">AQ244*(1+$M$244)</f>
        <v>429.37862618505216</v>
      </c>
      <c r="AS244" s="163">
        <f t="shared" ref="AS244" si="666">AR244*(1+$M$244)</f>
        <v>515.25435142206254</v>
      </c>
      <c r="AT244" s="163">
        <f t="shared" ref="AT244" si="667">AS244*(1+$M$244)</f>
        <v>618.30522170647498</v>
      </c>
      <c r="AU244" s="163">
        <f t="shared" ref="AU244" si="668">AT244*(1+$M$244)</f>
        <v>741.96626604776998</v>
      </c>
      <c r="AV244" s="163">
        <f t="shared" ref="AV244" si="669">AU244*(1+$M$244)</f>
        <v>890.359519257324</v>
      </c>
    </row>
    <row r="245" spans="2:48">
      <c r="B245" s="10" t="s">
        <v>340</v>
      </c>
      <c r="C245" s="10"/>
      <c r="D245" s="10"/>
      <c r="E245" s="13" t="s">
        <v>336</v>
      </c>
      <c r="F245" s="13"/>
      <c r="G245" s="13"/>
      <c r="H245" s="12"/>
      <c r="I245" s="168">
        <v>0</v>
      </c>
      <c r="J245" s="169">
        <f>S203</f>
        <v>8.3100558659217878</v>
      </c>
      <c r="K245" s="168">
        <v>0.05</v>
      </c>
      <c r="L245" s="167">
        <v>9</v>
      </c>
      <c r="M245" s="161">
        <v>0.2</v>
      </c>
      <c r="N245" s="168">
        <v>0.12</v>
      </c>
      <c r="O245" s="167">
        <v>7</v>
      </c>
      <c r="P245" s="168">
        <v>0.2</v>
      </c>
      <c r="Q245" s="175" t="s">
        <v>411</v>
      </c>
      <c r="R245" s="158">
        <f>S201/S72</f>
        <v>8.3100558659217878</v>
      </c>
      <c r="S245" s="158" t="s">
        <v>412</v>
      </c>
      <c r="T245" s="10"/>
      <c r="U245" s="10"/>
      <c r="V245" s="163">
        <f>S72*(1+$M$245)</f>
        <v>10.108235294117646</v>
      </c>
      <c r="W245" s="163">
        <f>V245*(1+$M$245)</f>
        <v>12.129882352941175</v>
      </c>
      <c r="X245" s="163">
        <f t="shared" ref="X245:AE245" si="670">W245*(1+$M$245)</f>
        <v>14.555858823529409</v>
      </c>
      <c r="Y245" s="163">
        <f t="shared" si="670"/>
        <v>17.467030588235289</v>
      </c>
      <c r="Z245" s="163">
        <f t="shared" si="670"/>
        <v>20.960436705882348</v>
      </c>
      <c r="AA245" s="163">
        <f t="shared" si="670"/>
        <v>25.152524047058815</v>
      </c>
      <c r="AB245" s="163">
        <f t="shared" si="670"/>
        <v>30.183028856470578</v>
      </c>
      <c r="AC245" s="163">
        <f t="shared" si="670"/>
        <v>36.219634627764691</v>
      </c>
      <c r="AD245" s="163">
        <f t="shared" si="670"/>
        <v>43.463561553317625</v>
      </c>
      <c r="AE245" s="163">
        <f t="shared" si="670"/>
        <v>52.156273863981149</v>
      </c>
      <c r="AF245" s="163">
        <f t="shared" ref="AF245" si="671">AE245*(1+$M$245)</f>
        <v>62.587528636777378</v>
      </c>
      <c r="AG245" s="163">
        <f t="shared" ref="AG245" si="672">AF245*(1+$M$245)</f>
        <v>75.105034364132848</v>
      </c>
      <c r="AH245" s="163">
        <f t="shared" ref="AH245" si="673">AG245*(1+$M$245)</f>
        <v>90.126041236959409</v>
      </c>
      <c r="AI245" s="163">
        <f t="shared" ref="AI245" si="674">AH245*(1+$M$245)</f>
        <v>108.15124948435128</v>
      </c>
      <c r="AJ245" s="163">
        <f t="shared" ref="AJ245" si="675">AI245*(1+$M$245)</f>
        <v>129.78149938122152</v>
      </c>
      <c r="AK245" s="163">
        <f t="shared" ref="AK245" si="676">AJ245*(1+$M$245)</f>
        <v>155.73779925746581</v>
      </c>
      <c r="AL245" s="163">
        <f t="shared" ref="AL245" si="677">AK245*(1+$M$245)</f>
        <v>186.88535910895897</v>
      </c>
      <c r="AM245" s="163">
        <f t="shared" ref="AM245" si="678">AL245*(1+$M$245)</f>
        <v>224.26243093075075</v>
      </c>
      <c r="AN245" s="163">
        <f t="shared" ref="AN245" si="679">AM245*(1+$M$245)</f>
        <v>269.11491711690087</v>
      </c>
      <c r="AO245" s="163">
        <f t="shared" ref="AO245" si="680">AN245*(1+$M$245)</f>
        <v>322.93790054028102</v>
      </c>
      <c r="AP245" s="163">
        <f t="shared" ref="AP245" si="681">AO245*(1+$M$245)</f>
        <v>387.52548064833724</v>
      </c>
      <c r="AQ245" s="163">
        <f t="shared" ref="AQ245" si="682">AP245*(1+$M$245)</f>
        <v>465.03057677800467</v>
      </c>
      <c r="AR245" s="163">
        <f t="shared" ref="AR245" si="683">AQ245*(1+$M$245)</f>
        <v>558.03669213360558</v>
      </c>
      <c r="AS245" s="163">
        <f t="shared" ref="AS245" si="684">AR245*(1+$M$245)</f>
        <v>669.64403056032666</v>
      </c>
      <c r="AT245" s="163">
        <f t="shared" ref="AT245" si="685">AS245*(1+$M$245)</f>
        <v>803.57283667239199</v>
      </c>
      <c r="AU245" s="163">
        <f t="shared" ref="AU245" si="686">AT245*(1+$M$245)</f>
        <v>964.28740400687036</v>
      </c>
      <c r="AV245" s="163">
        <f t="shared" ref="AV245" si="687">AU245*(1+$M$245)</f>
        <v>1157.1448848082443</v>
      </c>
    </row>
    <row r="246" spans="2:48">
      <c r="B246" s="10"/>
      <c r="C246" s="10"/>
      <c r="D246" s="10"/>
      <c r="E246" s="13" t="s">
        <v>397</v>
      </c>
      <c r="F246" s="13"/>
      <c r="G246" s="13"/>
      <c r="H246" s="12"/>
      <c r="I246" s="168">
        <v>0</v>
      </c>
      <c r="J246" s="169"/>
      <c r="K246" s="168">
        <v>0.05</v>
      </c>
      <c r="L246" s="167"/>
      <c r="M246" s="167"/>
      <c r="N246" s="168">
        <v>0.12</v>
      </c>
      <c r="O246" s="167"/>
      <c r="P246" s="168">
        <v>0.2</v>
      </c>
      <c r="Q246" s="10"/>
      <c r="R246" s="10"/>
      <c r="S246" s="10"/>
      <c r="T246" s="10"/>
      <c r="U246" s="10"/>
      <c r="V246" s="111">
        <f>S201-V245</f>
        <v>59.891764705882352</v>
      </c>
      <c r="W246" s="162">
        <f>V246-W245</f>
        <v>47.761882352941178</v>
      </c>
      <c r="X246" s="162">
        <f t="shared" ref="X246:AC246" si="688">W246-X245</f>
        <v>33.206023529411766</v>
      </c>
      <c r="Y246" s="162">
        <f t="shared" si="688"/>
        <v>15.738992941176477</v>
      </c>
      <c r="Z246" s="162">
        <f t="shared" si="688"/>
        <v>-5.2214437647058709</v>
      </c>
      <c r="AA246" s="162">
        <f t="shared" si="688"/>
        <v>-30.373967811764686</v>
      </c>
      <c r="AB246" s="162">
        <f t="shared" si="688"/>
        <v>-60.556996668235264</v>
      </c>
      <c r="AC246" s="162">
        <f t="shared" si="688"/>
        <v>-96.776631295999948</v>
      </c>
      <c r="AD246" s="162">
        <f>AC246-AD245</f>
        <v>-140.24019284931757</v>
      </c>
      <c r="AE246" s="162">
        <f t="shared" ref="AE246" si="689">AD246-AE245</f>
        <v>-192.39646671329871</v>
      </c>
      <c r="AF246" s="162">
        <f t="shared" ref="AF246" si="690">AE246-AF245</f>
        <v>-254.9839953500761</v>
      </c>
      <c r="AG246" s="162">
        <f t="shared" ref="AG246" si="691">AF246-AG245</f>
        <v>-330.08902971420895</v>
      </c>
      <c r="AH246" s="162">
        <f t="shared" ref="AH246" si="692">AG246-AH245</f>
        <v>-420.21507095116834</v>
      </c>
      <c r="AI246" s="162">
        <f t="shared" ref="AI246" si="693">AH246-AI245</f>
        <v>-528.36632043551958</v>
      </c>
      <c r="AJ246" s="162">
        <f t="shared" ref="AJ246" si="694">AI246-AJ245</f>
        <v>-658.14781981674105</v>
      </c>
      <c r="AK246" s="162">
        <f t="shared" ref="AK246" si="695">AJ246-AK245</f>
        <v>-813.88561907420683</v>
      </c>
      <c r="AL246" s="162">
        <f t="shared" ref="AL246" si="696">AK246-AL245</f>
        <v>-1000.7709781831658</v>
      </c>
      <c r="AM246" s="162">
        <f t="shared" ref="AM246" si="697">AL246-AM245</f>
        <v>-1225.0334091139166</v>
      </c>
      <c r="AN246" s="162">
        <f t="shared" ref="AN246" si="698">AM246-AN245</f>
        <v>-1494.1483262308175</v>
      </c>
      <c r="AO246" s="162">
        <f t="shared" ref="AO246" si="699">AN246-AO245</f>
        <v>-1817.0862267710986</v>
      </c>
      <c r="AP246" s="162">
        <f t="shared" ref="AP246" si="700">AO246-AP245</f>
        <v>-2204.6117074194358</v>
      </c>
      <c r="AQ246" s="162">
        <f t="shared" ref="AQ246" si="701">AP246-AQ245</f>
        <v>-2669.6422841974404</v>
      </c>
      <c r="AR246" s="162">
        <f t="shared" ref="AR246" si="702">AQ246-AR245</f>
        <v>-3227.6789763310462</v>
      </c>
      <c r="AS246" s="162">
        <f t="shared" ref="AS246" si="703">AR246-AS245</f>
        <v>-3897.3230068913726</v>
      </c>
      <c r="AT246" s="162">
        <f t="shared" ref="AT246" si="704">AS246-AT245</f>
        <v>-4700.8958435637651</v>
      </c>
      <c r="AU246" s="162">
        <f t="shared" ref="AU246" si="705">AT246-AU245</f>
        <v>-5665.1832475706351</v>
      </c>
      <c r="AV246" s="162">
        <f t="shared" ref="AV246" si="706">AU246-AV245</f>
        <v>-6822.3281323788797</v>
      </c>
    </row>
    <row r="247" spans="2:48">
      <c r="B247" s="93" t="s">
        <v>252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</row>
    <row r="248" spans="2:48">
      <c r="B248" s="10" t="s">
        <v>255</v>
      </c>
      <c r="C248" s="15"/>
      <c r="D248" s="15"/>
      <c r="E248" s="15"/>
      <c r="F248" s="15"/>
      <c r="G248" s="15">
        <f t="shared" ref="G248:H248" si="707">G10/G7</f>
        <v>0.49877149877149879</v>
      </c>
      <c r="H248" s="15">
        <f t="shared" si="707"/>
        <v>0.59839357429718876</v>
      </c>
      <c r="I248" s="15">
        <f t="shared" ref="I248:S248" si="708">I10/I7</f>
        <v>0.54898336414048055</v>
      </c>
      <c r="J248" s="15">
        <f t="shared" si="708"/>
        <v>0.59719789842381787</v>
      </c>
      <c r="K248" s="15">
        <f t="shared" si="708"/>
        <v>0.44444444444444442</v>
      </c>
      <c r="L248" s="15">
        <f t="shared" si="708"/>
        <v>0.36391129032258063</v>
      </c>
      <c r="M248" s="15">
        <f t="shared" si="708"/>
        <v>9.0814196242171186E-2</v>
      </c>
      <c r="N248" s="15">
        <f t="shared" si="708"/>
        <v>4.360587002096436E-2</v>
      </c>
      <c r="O248" s="15">
        <f t="shared" si="708"/>
        <v>1.0048381094157052E-2</v>
      </c>
      <c r="P248" s="15">
        <f t="shared" si="708"/>
        <v>1.6563819421890225E-2</v>
      </c>
      <c r="Q248" s="15">
        <f t="shared" si="708"/>
        <v>4.0474125469788956E-3</v>
      </c>
      <c r="R248" s="15">
        <f t="shared" si="708"/>
        <v>1.4195583596214511E-2</v>
      </c>
      <c r="S248" s="15">
        <f t="shared" si="708"/>
        <v>2.5940640336527227E-2</v>
      </c>
      <c r="T248" s="101">
        <f t="shared" ref="T248:T250" si="709">((R248/I248)^(1/($J$2-$J$1) ))-1</f>
        <v>-0.26257786039233932</v>
      </c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</row>
    <row r="249" spans="2:48">
      <c r="B249" s="10" t="s">
        <v>256</v>
      </c>
      <c r="C249" s="96"/>
      <c r="D249" s="96"/>
      <c r="E249" s="96"/>
      <c r="F249" s="96"/>
      <c r="G249" s="96">
        <f t="shared" ref="G249:H249" si="710">G10/G12</f>
        <v>101.5</v>
      </c>
      <c r="H249" s="96">
        <f t="shared" si="710"/>
        <v>8.0540540540540544</v>
      </c>
      <c r="I249" s="96">
        <f t="shared" ref="I249:S249" si="711">I10/I12</f>
        <v>6.3191489361702127</v>
      </c>
      <c r="J249" s="96">
        <f t="shared" si="711"/>
        <v>85.25</v>
      </c>
      <c r="K249" s="96">
        <f t="shared" si="711"/>
        <v>53.714285714285715</v>
      </c>
      <c r="L249" s="96">
        <f t="shared" si="711"/>
        <v>9.2564102564102573</v>
      </c>
      <c r="M249" s="96">
        <f t="shared" si="711"/>
        <v>5.8</v>
      </c>
      <c r="N249" s="96">
        <f t="shared" si="711"/>
        <v>4.5217391304347823</v>
      </c>
      <c r="O249" s="96">
        <f t="shared" si="711"/>
        <v>0.42857142857142855</v>
      </c>
      <c r="P249" s="96">
        <f t="shared" si="711"/>
        <v>0.23076923076923078</v>
      </c>
      <c r="Q249" s="96">
        <f t="shared" si="711"/>
        <v>4.878048780487805E-2</v>
      </c>
      <c r="R249" s="96">
        <f t="shared" si="711"/>
        <v>0.2608695652173913</v>
      </c>
      <c r="S249" s="96">
        <f t="shared" si="711"/>
        <v>0.37755102040816324</v>
      </c>
      <c r="T249" s="101">
        <f t="shared" si="709"/>
        <v>-0.23326185718209458</v>
      </c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</row>
    <row r="250" spans="2:48">
      <c r="B250" s="10" t="s">
        <v>257</v>
      </c>
      <c r="C250" s="15"/>
      <c r="D250" s="15"/>
      <c r="E250" s="15"/>
      <c r="F250" s="15"/>
      <c r="G250" s="15">
        <f t="shared" ref="G250:H250" si="712">G10/(G12+G13)</f>
        <v>20.3</v>
      </c>
      <c r="H250" s="15">
        <f t="shared" si="712"/>
        <v>2.2923076923076922</v>
      </c>
      <c r="I250" s="15">
        <f t="shared" ref="I250:S250" si="713">I10/(I12+I13)</f>
        <v>1.08</v>
      </c>
      <c r="J250" s="15">
        <f t="shared" si="713"/>
        <v>1.4090909090909092</v>
      </c>
      <c r="K250" s="15">
        <f t="shared" si="713"/>
        <v>1.4296577946768061</v>
      </c>
      <c r="L250" s="15">
        <f t="shared" si="713"/>
        <v>1.1496815286624205</v>
      </c>
      <c r="M250" s="15">
        <f t="shared" si="713"/>
        <v>0.1918412348401323</v>
      </c>
      <c r="N250" s="15">
        <f t="shared" si="713"/>
        <v>0.11764705882352941</v>
      </c>
      <c r="O250" s="15">
        <f t="shared" si="713"/>
        <v>2.556818181818182E-2</v>
      </c>
      <c r="P250" s="15">
        <f t="shared" si="713"/>
        <v>7.2340425531914896E-3</v>
      </c>
      <c r="Q250" s="15">
        <f t="shared" si="713"/>
        <v>1.704199634814364E-3</v>
      </c>
      <c r="R250" s="15">
        <f t="shared" si="713"/>
        <v>8.2379862700228835E-3</v>
      </c>
      <c r="S250" s="15">
        <f t="shared" si="713"/>
        <v>1.2996136283807516E-2</v>
      </c>
      <c r="T250" s="101">
        <f t="shared" si="709"/>
        <v>-0.33390970034442247</v>
      </c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</row>
    <row r="251" spans="2:48"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</row>
    <row r="252" spans="2:48"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</row>
    <row r="253" spans="2:48">
      <c r="B253" s="10"/>
      <c r="C253" s="151" t="s">
        <v>322</v>
      </c>
      <c r="D253" s="152"/>
      <c r="E253" s="152"/>
      <c r="F253" s="152"/>
      <c r="G253" s="152"/>
      <c r="H253" s="152"/>
      <c r="I253" s="152"/>
      <c r="J253" s="152"/>
      <c r="K253" s="152"/>
      <c r="L253" s="152"/>
      <c r="M253" s="10"/>
      <c r="N253" s="308" t="s">
        <v>282</v>
      </c>
      <c r="O253" s="309"/>
      <c r="P253" s="310"/>
      <c r="Q253" s="13" t="s">
        <v>285</v>
      </c>
      <c r="R253" s="10"/>
      <c r="S253" s="115"/>
      <c r="T253" s="308" t="s">
        <v>283</v>
      </c>
      <c r="U253" s="309"/>
      <c r="V253" s="310"/>
      <c r="W253" s="13" t="s">
        <v>285</v>
      </c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</row>
    <row r="254" spans="2:48">
      <c r="B254" s="10"/>
      <c r="C254" s="143" t="s">
        <v>284</v>
      </c>
      <c r="D254" s="143" t="s">
        <v>0</v>
      </c>
      <c r="E254" s="143" t="s">
        <v>323</v>
      </c>
      <c r="F254" s="143"/>
      <c r="G254" s="143"/>
      <c r="H254" s="143" t="s">
        <v>324</v>
      </c>
      <c r="I254" s="143" t="s">
        <v>325</v>
      </c>
      <c r="J254" s="143" t="s">
        <v>326</v>
      </c>
      <c r="K254" s="143" t="s">
        <v>327</v>
      </c>
      <c r="L254" s="143" t="s">
        <v>328</v>
      </c>
      <c r="M254" s="10"/>
      <c r="N254" s="143" t="s">
        <v>284</v>
      </c>
      <c r="O254" s="143"/>
      <c r="P254" s="143" t="s">
        <v>0</v>
      </c>
      <c r="Q254" s="143" t="s">
        <v>317</v>
      </c>
      <c r="R254" s="10"/>
      <c r="S254" s="10"/>
      <c r="T254" s="143" t="s">
        <v>284</v>
      </c>
      <c r="U254" s="143"/>
      <c r="V254" s="143" t="s">
        <v>0</v>
      </c>
      <c r="W254" s="143" t="s">
        <v>317</v>
      </c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</row>
    <row r="255" spans="2:48">
      <c r="B255" s="10"/>
      <c r="C255" s="144" t="s">
        <v>286</v>
      </c>
      <c r="D255" s="11">
        <v>130</v>
      </c>
      <c r="E255" s="153" t="s">
        <v>329</v>
      </c>
      <c r="F255" s="153"/>
      <c r="G255" s="153"/>
      <c r="H255" s="12">
        <v>1</v>
      </c>
      <c r="I255" s="12">
        <v>1</v>
      </c>
      <c r="J255" s="144">
        <f>H255/I255</f>
        <v>1</v>
      </c>
      <c r="K255" s="144">
        <f>J255*D256</f>
        <v>1</v>
      </c>
      <c r="L255" s="154">
        <f>K255+D256</f>
        <v>2</v>
      </c>
      <c r="M255" s="10"/>
      <c r="N255" s="144" t="s">
        <v>286</v>
      </c>
      <c r="O255" s="144"/>
      <c r="P255" s="11">
        <v>10</v>
      </c>
      <c r="Q255" s="150">
        <f>P255</f>
        <v>10</v>
      </c>
      <c r="R255" s="10"/>
      <c r="S255" s="10"/>
      <c r="T255" s="144" t="s">
        <v>286</v>
      </c>
      <c r="U255" s="144"/>
      <c r="V255" s="11">
        <v>1</v>
      </c>
      <c r="W255" s="150">
        <f>V255</f>
        <v>1</v>
      </c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</row>
    <row r="256" spans="2:48">
      <c r="B256" s="10"/>
      <c r="C256" s="144" t="s">
        <v>287</v>
      </c>
      <c r="D256" s="11">
        <v>1</v>
      </c>
      <c r="E256" s="153" t="s">
        <v>330</v>
      </c>
      <c r="F256" s="153"/>
      <c r="G256" s="153"/>
      <c r="H256" s="12">
        <v>0</v>
      </c>
      <c r="I256" s="12">
        <v>1</v>
      </c>
      <c r="J256" s="144">
        <f>H256/I256</f>
        <v>0</v>
      </c>
      <c r="K256" s="144">
        <f>J256*L255</f>
        <v>0</v>
      </c>
      <c r="L256" s="144">
        <f>K256+L255</f>
        <v>2</v>
      </c>
      <c r="M256" s="10"/>
      <c r="N256" s="144" t="s">
        <v>287</v>
      </c>
      <c r="O256" s="144"/>
      <c r="P256" s="11">
        <v>1</v>
      </c>
      <c r="Q256" s="150">
        <f>P256</f>
        <v>1</v>
      </c>
      <c r="R256" s="10"/>
      <c r="S256" s="10"/>
      <c r="T256" s="144" t="s">
        <v>287</v>
      </c>
      <c r="U256" s="144"/>
      <c r="V256" s="11">
        <v>1</v>
      </c>
      <c r="W256" s="150">
        <f>V256</f>
        <v>1</v>
      </c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</row>
    <row r="257" spans="2:34">
      <c r="B257" s="10"/>
      <c r="C257" s="144" t="s">
        <v>289</v>
      </c>
      <c r="D257" s="145">
        <f>D255*D256</f>
        <v>130</v>
      </c>
      <c r="E257" s="153" t="s">
        <v>342</v>
      </c>
      <c r="F257" s="153"/>
      <c r="G257" s="153"/>
      <c r="H257" s="12">
        <v>0</v>
      </c>
      <c r="I257" s="12">
        <v>1</v>
      </c>
      <c r="J257" s="144">
        <f>H257/I257</f>
        <v>0</v>
      </c>
      <c r="K257" s="144">
        <f>J257*L256</f>
        <v>0</v>
      </c>
      <c r="L257" s="144">
        <f>K257+L256</f>
        <v>2</v>
      </c>
      <c r="M257" s="10"/>
      <c r="N257" s="144" t="s">
        <v>288</v>
      </c>
      <c r="O257" s="144"/>
      <c r="P257" s="145">
        <f>P255*P256</f>
        <v>10</v>
      </c>
      <c r="Q257" s="150">
        <f>P257</f>
        <v>10</v>
      </c>
      <c r="R257" s="10"/>
      <c r="S257" s="10"/>
      <c r="T257" s="144" t="s">
        <v>289</v>
      </c>
      <c r="U257" s="144"/>
      <c r="V257" s="145">
        <f>V255*V256</f>
        <v>1</v>
      </c>
      <c r="W257" s="150">
        <f>V257</f>
        <v>1</v>
      </c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</row>
    <row r="258" spans="2:34">
      <c r="B258" s="10"/>
      <c r="C258" s="144"/>
      <c r="D258" s="145"/>
      <c r="E258" s="153" t="s">
        <v>398</v>
      </c>
      <c r="F258" s="153"/>
      <c r="G258" s="153"/>
      <c r="H258" s="12">
        <v>0</v>
      </c>
      <c r="I258" s="12">
        <v>1</v>
      </c>
      <c r="J258" s="144">
        <f t="shared" ref="J258:J261" si="714">H258/I258</f>
        <v>0</v>
      </c>
      <c r="K258" s="144">
        <f t="shared" ref="K258:K260" si="715">J258*L257</f>
        <v>0</v>
      </c>
      <c r="L258" s="144">
        <f t="shared" ref="L258:L260" si="716">K258+L257</f>
        <v>2</v>
      </c>
      <c r="M258" s="10"/>
      <c r="N258" s="144" t="s">
        <v>290</v>
      </c>
      <c r="O258" s="144"/>
      <c r="P258" s="11">
        <v>175</v>
      </c>
      <c r="Q258" s="11">
        <v>208</v>
      </c>
      <c r="R258" s="10"/>
      <c r="S258" s="10"/>
      <c r="T258" s="144" t="s">
        <v>290</v>
      </c>
      <c r="U258" s="144"/>
      <c r="V258" s="11">
        <v>1</v>
      </c>
      <c r="W258" s="11">
        <v>1</v>
      </c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</row>
    <row r="259" spans="2:34">
      <c r="B259" s="10"/>
      <c r="C259" s="144"/>
      <c r="D259" s="145"/>
      <c r="E259" s="153" t="s">
        <v>399</v>
      </c>
      <c r="F259" s="153"/>
      <c r="G259" s="153"/>
      <c r="H259" s="12">
        <v>0</v>
      </c>
      <c r="I259" s="12">
        <v>1</v>
      </c>
      <c r="J259" s="144">
        <f t="shared" si="714"/>
        <v>0</v>
      </c>
      <c r="K259" s="144">
        <f t="shared" si="715"/>
        <v>0</v>
      </c>
      <c r="L259" s="144">
        <f t="shared" si="716"/>
        <v>2</v>
      </c>
      <c r="M259" s="10"/>
      <c r="N259" s="144" t="s">
        <v>291</v>
      </c>
      <c r="O259" s="144"/>
      <c r="P259" s="145">
        <f>P258*P256</f>
        <v>175</v>
      </c>
      <c r="Q259" s="145">
        <f>Q258*Q256</f>
        <v>208</v>
      </c>
      <c r="R259" s="10"/>
      <c r="S259" s="10"/>
      <c r="T259" s="144" t="s">
        <v>287</v>
      </c>
      <c r="U259" s="144"/>
      <c r="V259" s="11">
        <v>1</v>
      </c>
      <c r="W259" s="109">
        <f>V259</f>
        <v>1</v>
      </c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</row>
    <row r="260" spans="2:34">
      <c r="B260" s="10"/>
      <c r="C260" s="144"/>
      <c r="D260" s="145"/>
      <c r="E260" s="153" t="s">
        <v>400</v>
      </c>
      <c r="F260" s="153"/>
      <c r="G260" s="153"/>
      <c r="H260" s="12">
        <v>0</v>
      </c>
      <c r="I260" s="12">
        <v>1</v>
      </c>
      <c r="J260" s="144">
        <f t="shared" si="714"/>
        <v>0</v>
      </c>
      <c r="K260" s="144">
        <f t="shared" si="715"/>
        <v>0</v>
      </c>
      <c r="L260" s="144">
        <f t="shared" si="716"/>
        <v>2</v>
      </c>
      <c r="M260" s="10"/>
      <c r="N260" s="144"/>
      <c r="O260" s="144"/>
      <c r="P260" s="145"/>
      <c r="Q260" s="145"/>
      <c r="R260" s="10"/>
      <c r="S260" s="10"/>
      <c r="T260" s="144" t="s">
        <v>289</v>
      </c>
      <c r="U260" s="144"/>
      <c r="V260" s="145">
        <f>V259*V258</f>
        <v>1</v>
      </c>
      <c r="W260" s="145">
        <f>W259*W258</f>
        <v>1</v>
      </c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</row>
    <row r="261" spans="2:34">
      <c r="B261" s="10"/>
      <c r="C261" s="144"/>
      <c r="D261" s="145"/>
      <c r="E261" s="153" t="s">
        <v>331</v>
      </c>
      <c r="F261" s="153"/>
      <c r="G261" s="153"/>
      <c r="H261" s="12">
        <v>10</v>
      </c>
      <c r="I261" s="12">
        <v>1</v>
      </c>
      <c r="J261" s="144">
        <f t="shared" si="714"/>
        <v>10</v>
      </c>
      <c r="K261" s="144">
        <f>J261*L260</f>
        <v>20</v>
      </c>
      <c r="L261" s="144">
        <f>K261</f>
        <v>20</v>
      </c>
      <c r="M261" s="10"/>
      <c r="N261" s="144"/>
      <c r="O261" s="144"/>
      <c r="P261" s="145"/>
      <c r="Q261" s="145"/>
      <c r="R261" s="10"/>
      <c r="S261" s="10"/>
      <c r="T261" s="144"/>
      <c r="U261" s="144"/>
      <c r="V261" s="145"/>
      <c r="W261" s="145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</row>
    <row r="262" spans="2:34">
      <c r="B262" s="10"/>
      <c r="C262" s="144"/>
      <c r="D262" s="145"/>
      <c r="E262" s="153" t="s">
        <v>401</v>
      </c>
      <c r="F262" s="153"/>
      <c r="G262" s="153"/>
      <c r="H262" s="12">
        <v>0</v>
      </c>
      <c r="I262" s="12">
        <v>1</v>
      </c>
      <c r="J262" s="144">
        <f>H262/I262</f>
        <v>0</v>
      </c>
      <c r="K262" s="144">
        <f>J262*L261</f>
        <v>0</v>
      </c>
      <c r="L262" s="144">
        <f>K262</f>
        <v>0</v>
      </c>
      <c r="M262" s="10"/>
      <c r="N262" s="146" t="s">
        <v>292</v>
      </c>
      <c r="O262" s="146"/>
      <c r="P262" s="147">
        <f>P259/P257</f>
        <v>17.5</v>
      </c>
      <c r="Q262" s="147">
        <f>Q259/Q257</f>
        <v>20.8</v>
      </c>
      <c r="R262" s="10"/>
      <c r="S262" s="10"/>
      <c r="T262" s="146" t="s">
        <v>292</v>
      </c>
      <c r="U262" s="146"/>
      <c r="V262" s="147">
        <f>V260/V257</f>
        <v>1</v>
      </c>
      <c r="W262" s="147">
        <f>W260/W257</f>
        <v>1</v>
      </c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spans="2:34">
      <c r="B263" s="10"/>
      <c r="C263" s="144" t="s">
        <v>290</v>
      </c>
      <c r="D263" s="11">
        <v>175</v>
      </c>
      <c r="E263" s="153"/>
      <c r="F263" s="153"/>
      <c r="G263" s="153"/>
      <c r="H263" s="144"/>
      <c r="I263" s="144"/>
      <c r="J263" s="146" t="s">
        <v>332</v>
      </c>
      <c r="K263" s="144"/>
      <c r="L263" s="144">
        <f>L262</f>
        <v>0</v>
      </c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</row>
    <row r="264" spans="2:34">
      <c r="B264" s="10"/>
      <c r="C264" s="144" t="s">
        <v>287</v>
      </c>
      <c r="D264" s="11">
        <v>20</v>
      </c>
      <c r="E264" s="153" t="s">
        <v>331</v>
      </c>
      <c r="F264" s="153"/>
      <c r="G264" s="153"/>
      <c r="H264" s="12">
        <v>10</v>
      </c>
      <c r="I264" s="12">
        <v>2</v>
      </c>
      <c r="J264" s="144">
        <f>H264/I264</f>
        <v>5</v>
      </c>
      <c r="K264" s="154">
        <f>J264*D256</f>
        <v>5</v>
      </c>
      <c r="L264" s="154">
        <f>K264</f>
        <v>5</v>
      </c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2:34">
      <c r="B265" s="10"/>
      <c r="C265" s="144" t="s">
        <v>289</v>
      </c>
      <c r="D265" s="145">
        <f>D264*D263</f>
        <v>3500</v>
      </c>
      <c r="E265" s="144"/>
      <c r="F265" s="144"/>
      <c r="G265" s="144"/>
      <c r="H265" s="144"/>
      <c r="I265" s="144"/>
      <c r="J265" s="146" t="s">
        <v>332</v>
      </c>
      <c r="K265" s="144"/>
      <c r="L265" s="144">
        <f>L264</f>
        <v>5</v>
      </c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</row>
    <row r="266" spans="2:34">
      <c r="B266" s="10"/>
      <c r="C266" s="144"/>
      <c r="D266" s="145"/>
      <c r="E266" s="153" t="s">
        <v>331</v>
      </c>
      <c r="F266" s="153"/>
      <c r="G266" s="153"/>
      <c r="H266" s="12">
        <v>10</v>
      </c>
      <c r="I266" s="12">
        <v>2</v>
      </c>
      <c r="J266" s="144">
        <f>H266/I266</f>
        <v>5</v>
      </c>
      <c r="K266" s="144">
        <f>J266*L265</f>
        <v>25</v>
      </c>
      <c r="L266" s="144">
        <f>K266</f>
        <v>25</v>
      </c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</row>
    <row r="267" spans="2:34">
      <c r="B267" s="10"/>
      <c r="C267" s="146" t="s">
        <v>292</v>
      </c>
      <c r="D267" s="147">
        <f>D265/D257</f>
        <v>26.923076923076923</v>
      </c>
      <c r="E267" s="153"/>
      <c r="F267" s="153"/>
      <c r="G267" s="153"/>
      <c r="H267" s="144"/>
      <c r="I267" s="144"/>
      <c r="J267" s="146" t="s">
        <v>332</v>
      </c>
      <c r="K267" s="144"/>
      <c r="L267" s="144">
        <f>L266</f>
        <v>25</v>
      </c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</row>
    <row r="268" spans="2:34"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</row>
    <row r="269" spans="2:34">
      <c r="B269" s="10"/>
      <c r="C269" s="10"/>
      <c r="D269" s="115"/>
      <c r="E269" s="155"/>
      <c r="F269" s="155"/>
      <c r="G269" s="155"/>
      <c r="H269" s="155"/>
      <c r="I269" s="156"/>
      <c r="J269" s="10"/>
      <c r="K269" s="115"/>
      <c r="L269" s="155"/>
      <c r="M269" s="156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</row>
    <row r="270" spans="2:34" ht="14.25">
      <c r="B270" s="10"/>
      <c r="C270" s="10"/>
      <c r="D270" s="301" t="s">
        <v>15</v>
      </c>
      <c r="E270" s="302"/>
      <c r="F270" s="302"/>
      <c r="G270" s="302"/>
      <c r="H270" s="302"/>
      <c r="I270" s="303"/>
      <c r="J270" s="10"/>
      <c r="K270" s="301" t="s">
        <v>337</v>
      </c>
      <c r="L270" s="302"/>
      <c r="M270" s="303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</row>
    <row r="271" spans="2:34">
      <c r="B271" s="10"/>
      <c r="C271" s="10"/>
      <c r="D271" s="10" t="s">
        <v>16</v>
      </c>
      <c r="E271" s="109"/>
      <c r="F271" s="109"/>
      <c r="G271" s="109"/>
      <c r="H271" s="109">
        <f>D257</f>
        <v>130</v>
      </c>
      <c r="I271" s="11">
        <f>D257</f>
        <v>130</v>
      </c>
      <c r="J271" s="10"/>
      <c r="K271" s="10" t="s">
        <v>16</v>
      </c>
      <c r="L271" s="109"/>
      <c r="M271" s="11">
        <f>I271</f>
        <v>130</v>
      </c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</row>
    <row r="272" spans="2:34">
      <c r="B272" s="10"/>
      <c r="C272" s="10"/>
      <c r="D272" s="10" t="s">
        <v>17</v>
      </c>
      <c r="E272" s="109"/>
      <c r="F272" s="109"/>
      <c r="G272" s="109"/>
      <c r="H272" s="109">
        <f>D265</f>
        <v>3500</v>
      </c>
      <c r="I272" s="11">
        <f>D265</f>
        <v>3500</v>
      </c>
      <c r="J272" s="10"/>
      <c r="K272" s="10" t="s">
        <v>17</v>
      </c>
      <c r="L272" s="10"/>
      <c r="M272" s="11">
        <f>I272</f>
        <v>3500</v>
      </c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</row>
    <row r="273" spans="2:34">
      <c r="B273" s="10"/>
      <c r="C273" s="10"/>
      <c r="D273" s="10" t="s">
        <v>18</v>
      </c>
      <c r="E273" s="10"/>
      <c r="F273" s="10"/>
      <c r="G273" s="10"/>
      <c r="H273" s="12">
        <f>I273</f>
        <v>10</v>
      </c>
      <c r="I273" s="12">
        <v>10</v>
      </c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</row>
    <row r="274" spans="2:34">
      <c r="B274" s="10"/>
      <c r="C274" s="10"/>
      <c r="D274" s="13" t="s">
        <v>19</v>
      </c>
      <c r="E274" s="3"/>
      <c r="F274" s="3"/>
      <c r="G274" s="3"/>
      <c r="H274" s="3">
        <f>((H272/H271)^(1/H273))-1</f>
        <v>0.38999253927785515</v>
      </c>
      <c r="I274" s="3">
        <f>((I272/I271)^(1/I273))-1</f>
        <v>0.38999253927785515</v>
      </c>
      <c r="J274" s="10"/>
      <c r="K274" s="13" t="s">
        <v>338</v>
      </c>
      <c r="L274" s="13"/>
      <c r="M274" s="170">
        <f>(M272-M271)/M271</f>
        <v>25.923076923076923</v>
      </c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spans="2:34">
      <c r="B275" s="10"/>
      <c r="C275" s="10"/>
      <c r="D275" s="13" t="s">
        <v>20</v>
      </c>
      <c r="E275" s="142"/>
      <c r="F275" s="142"/>
      <c r="G275" s="142"/>
      <c r="H275" s="142">
        <f>H273*12</f>
        <v>120</v>
      </c>
      <c r="I275" s="14">
        <f>I273*12</f>
        <v>120</v>
      </c>
      <c r="J275" s="10"/>
      <c r="K275" s="13" t="s">
        <v>339</v>
      </c>
      <c r="L275" s="13"/>
      <c r="M275" s="273">
        <f>M272/M271</f>
        <v>26.923076923076923</v>
      </c>
    </row>
    <row r="276" spans="2:34">
      <c r="B276" s="10"/>
      <c r="C276" s="10"/>
      <c r="D276" s="10" t="s">
        <v>18</v>
      </c>
      <c r="E276" s="15"/>
      <c r="F276" s="15"/>
      <c r="G276" s="15"/>
      <c r="H276" s="15">
        <f>H275/12</f>
        <v>10</v>
      </c>
      <c r="I276" s="15">
        <f>I275/12</f>
        <v>10</v>
      </c>
      <c r="J276" s="10"/>
      <c r="K276" s="10"/>
      <c r="L276" s="10"/>
      <c r="M276" s="10"/>
    </row>
    <row r="277" spans="2:34">
      <c r="B277" s="10"/>
      <c r="C277" s="10"/>
      <c r="D277" s="13" t="s">
        <v>21</v>
      </c>
      <c r="E277" s="3"/>
      <c r="F277" s="3"/>
      <c r="G277" s="3"/>
      <c r="H277" s="3">
        <f>((H272/H271)^(1/H276))-1</f>
        <v>0.38999253927785515</v>
      </c>
      <c r="I277" s="3">
        <f>((I272/I271)^(1/I276))-1</f>
        <v>0.38999253927785515</v>
      </c>
      <c r="J277" s="10"/>
      <c r="K277" s="10"/>
      <c r="L277" s="10"/>
      <c r="M277" s="10"/>
    </row>
    <row r="278" spans="2:34"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</row>
    <row r="279" spans="2:34"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</row>
  </sheetData>
  <mergeCells count="9">
    <mergeCell ref="A36:A45"/>
    <mergeCell ref="A124:A132"/>
    <mergeCell ref="D270:I270"/>
    <mergeCell ref="K270:M270"/>
    <mergeCell ref="AG2:AH2"/>
    <mergeCell ref="AG3:AH3"/>
    <mergeCell ref="N253:P253"/>
    <mergeCell ref="T253:V253"/>
    <mergeCell ref="M236:N236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52</v>
      </c>
    </row>
    <row r="3" spans="2:14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87" t="s">
        <v>15</v>
      </c>
      <c r="K5" s="287"/>
      <c r="M5" s="287" t="s">
        <v>53</v>
      </c>
      <c r="N5" s="287"/>
    </row>
    <row r="6" spans="2:14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87" t="s">
        <v>24</v>
      </c>
      <c r="K14" s="287"/>
      <c r="L14" s="287"/>
    </row>
    <row r="15" spans="2:14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8" t="s">
        <v>34</v>
      </c>
      <c r="C23" s="1"/>
      <c r="D23" s="4">
        <v>0.1125</v>
      </c>
      <c r="E23" s="4"/>
      <c r="F23" s="1"/>
      <c r="G23" s="1"/>
    </row>
    <row r="27" spans="1:17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35</v>
      </c>
    </row>
    <row r="3" spans="2:20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8">
        <v>1</v>
      </c>
      <c r="C5" s="1">
        <v>2001</v>
      </c>
      <c r="D5" s="1"/>
      <c r="E5" s="1"/>
      <c r="F5" s="1"/>
      <c r="G5" s="1">
        <v>115.93</v>
      </c>
      <c r="R5" s="287" t="s">
        <v>15</v>
      </c>
      <c r="S5" s="287"/>
    </row>
    <row r="6" spans="2:20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87" t="s">
        <v>24</v>
      </c>
      <c r="S14" s="287"/>
      <c r="T14" s="287"/>
    </row>
    <row r="15" spans="2:20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8" t="s">
        <v>34</v>
      </c>
      <c r="C23" s="1"/>
      <c r="D23" s="4">
        <v>0.1125</v>
      </c>
      <c r="E23" s="4"/>
      <c r="F23" s="1"/>
      <c r="G23" s="1"/>
    </row>
    <row r="27" spans="1:20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46"/>
    <col min="2" max="2" width="16.7109375" style="46" bestFit="1" customWidth="1"/>
    <col min="3" max="3" width="11.5703125" style="46" customWidth="1"/>
    <col min="4" max="4" width="12.85546875" style="46" customWidth="1"/>
    <col min="5" max="5" width="12.85546875" style="46" bestFit="1" customWidth="1"/>
    <col min="6" max="6" width="13" style="46" customWidth="1"/>
    <col min="7" max="7" width="11.7109375" style="46" customWidth="1"/>
    <col min="8" max="8" width="12.28515625" style="46" customWidth="1"/>
    <col min="9" max="9" width="12.140625" style="46" bestFit="1" customWidth="1"/>
    <col min="10" max="10" width="11.5703125" style="46" bestFit="1" customWidth="1"/>
    <col min="11" max="11" width="11.28515625" style="46" customWidth="1"/>
    <col min="12" max="16384" width="9.140625" style="46"/>
  </cols>
  <sheetData>
    <row r="2" spans="2:12">
      <c r="B2" s="287" t="s">
        <v>15</v>
      </c>
      <c r="C2" s="287"/>
      <c r="E2" s="287" t="s">
        <v>53</v>
      </c>
      <c r="F2" s="287"/>
      <c r="H2" s="316" t="s">
        <v>24</v>
      </c>
      <c r="I2" s="317"/>
    </row>
    <row r="3" spans="2:12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5.75" thickBot="1"/>
    <row r="10" spans="2:12" ht="16.5" thickBot="1">
      <c r="B10" s="76"/>
      <c r="C10" s="77"/>
      <c r="D10" s="313" t="s">
        <v>56</v>
      </c>
      <c r="E10" s="314"/>
      <c r="F10" s="314"/>
      <c r="G10" s="314"/>
      <c r="H10" s="315"/>
      <c r="I10" s="313" t="s">
        <v>60</v>
      </c>
      <c r="J10" s="314"/>
      <c r="K10" s="314"/>
      <c r="L10" s="315"/>
    </row>
    <row r="11" spans="2:12" ht="45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ht="15.75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ht="15.75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ht="15.75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ht="15.75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ht="15.75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ht="15.75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ht="15.75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ht="15.75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ht="15.75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ht="15.75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ht="15.75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ht="15.75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ht="15.75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ht="15.75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ht="15.75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ht="15.75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ht="15.75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ht="15.75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ht="15.75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ht="15.75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ht="15.75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ht="15.75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ht="15.75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ht="15.75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ht="15.75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ht="15.75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ht="15.75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ht="15.75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5.75" thickBot="1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D19" sqref="D19"/>
    </sheetView>
  </sheetViews>
  <sheetFormatPr defaultRowHeight="14.25"/>
  <cols>
    <col min="1" max="1" width="9.140625" style="164"/>
    <col min="2" max="2" width="16.5703125" style="164" customWidth="1"/>
    <col min="3" max="3" width="39.7109375" style="164" customWidth="1"/>
    <col min="4" max="5" width="9.140625" style="164"/>
    <col min="6" max="6" width="19" style="164" bestFit="1" customWidth="1"/>
    <col min="7" max="7" width="49" style="164" customWidth="1"/>
    <col min="8" max="16384" width="9.140625" style="164"/>
  </cols>
  <sheetData>
    <row r="3" spans="2:7">
      <c r="B3" s="318" t="s">
        <v>376</v>
      </c>
      <c r="C3" s="319"/>
      <c r="F3" s="318" t="s">
        <v>377</v>
      </c>
      <c r="G3" s="319"/>
    </row>
    <row r="4" spans="2:7">
      <c r="B4" s="165" t="s">
        <v>378</v>
      </c>
      <c r="C4" s="165"/>
      <c r="F4" s="165" t="s">
        <v>379</v>
      </c>
      <c r="G4" s="165"/>
    </row>
    <row r="5" spans="2:7">
      <c r="B5" s="165" t="s">
        <v>380</v>
      </c>
      <c r="C5" s="165"/>
      <c r="F5" s="165" t="s">
        <v>242</v>
      </c>
      <c r="G5" s="165"/>
    </row>
    <row r="6" spans="2:7">
      <c r="B6" s="165" t="s">
        <v>381</v>
      </c>
      <c r="C6" s="165"/>
      <c r="F6" s="165" t="s">
        <v>382</v>
      </c>
      <c r="G6" s="165"/>
    </row>
    <row r="7" spans="2:7">
      <c r="B7" s="165" t="s">
        <v>383</v>
      </c>
      <c r="C7" s="165"/>
      <c r="F7" s="165" t="s">
        <v>384</v>
      </c>
      <c r="G7" s="165"/>
    </row>
    <row r="8" spans="2:7">
      <c r="B8" s="165" t="s">
        <v>385</v>
      </c>
      <c r="C8" s="165"/>
      <c r="F8" s="165" t="s">
        <v>386</v>
      </c>
      <c r="G8" s="165"/>
    </row>
    <row r="9" spans="2:7">
      <c r="B9" s="165" t="s">
        <v>387</v>
      </c>
      <c r="C9" s="165"/>
      <c r="F9" s="165" t="s">
        <v>388</v>
      </c>
      <c r="G9" s="165"/>
    </row>
    <row r="10" spans="2:7">
      <c r="B10" s="165" t="s">
        <v>386</v>
      </c>
      <c r="C10" s="165"/>
      <c r="F10" s="165"/>
      <c r="G10" s="165"/>
    </row>
    <row r="11" spans="2:7">
      <c r="B11" s="165" t="s">
        <v>389</v>
      </c>
      <c r="C11" s="165"/>
      <c r="F11" s="165"/>
      <c r="G11" s="165"/>
    </row>
    <row r="12" spans="2:7">
      <c r="B12" s="165" t="s">
        <v>390</v>
      </c>
      <c r="C12" s="165"/>
      <c r="F12" s="165"/>
      <c r="G12" s="165"/>
    </row>
    <row r="13" spans="2:7">
      <c r="B13" s="165"/>
      <c r="C13" s="165"/>
      <c r="F13" s="165"/>
      <c r="G13" s="165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2016-12-01T12:13:29Z</dcterms:modified>
</cp:coreProperties>
</file>
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Q18" i="18"/>
  <c r="Q42"/>
  <c r="Q44"/>
  <c r="F115" l="1"/>
  <c r="F180" l="1"/>
  <c r="E180"/>
  <c r="D180"/>
  <c r="C180"/>
  <c r="Q197" l="1"/>
  <c r="Q196"/>
  <c r="Q195"/>
  <c r="Q179"/>
  <c r="Q50"/>
  <c r="Q172" s="1"/>
  <c r="Q51"/>
  <c r="Q52"/>
  <c r="Q91" s="1"/>
  <c r="Q54"/>
  <c r="P192" s="1"/>
  <c r="Q55"/>
  <c r="Q56"/>
  <c r="Q57"/>
  <c r="Q174" s="1"/>
  <c r="Q58"/>
  <c r="Q60"/>
  <c r="Q61"/>
  <c r="Q62"/>
  <c r="Q177" s="1"/>
  <c r="Q64"/>
  <c r="Q65"/>
  <c r="Q67"/>
  <c r="Q68"/>
  <c r="Q176" s="1"/>
  <c r="Q70"/>
  <c r="Q72"/>
  <c r="Q74" s="1"/>
  <c r="Q75"/>
  <c r="Q76"/>
  <c r="Q77"/>
  <c r="Q78"/>
  <c r="Q80"/>
  <c r="Q135" s="1"/>
  <c r="Q81"/>
  <c r="Q82"/>
  <c r="Q86"/>
  <c r="Q87"/>
  <c r="Q88"/>
  <c r="Q89"/>
  <c r="Q90"/>
  <c r="Q93"/>
  <c r="Q99" s="1"/>
  <c r="Q94"/>
  <c r="Q100" s="1"/>
  <c r="Q95"/>
  <c r="Q101" s="1"/>
  <c r="Q96"/>
  <c r="Q97"/>
  <c r="Q103" s="1"/>
  <c r="Q102"/>
  <c r="Q106"/>
  <c r="Q107"/>
  <c r="Q108"/>
  <c r="Q109"/>
  <c r="Q111"/>
  <c r="Q112" s="1"/>
  <c r="Q117"/>
  <c r="Q118"/>
  <c r="Q120"/>
  <c r="Q121"/>
  <c r="Q122"/>
  <c r="Q125"/>
  <c r="Q126"/>
  <c r="Q127"/>
  <c r="Q128"/>
  <c r="Q130"/>
  <c r="Q131"/>
  <c r="Q133"/>
  <c r="Q134" s="1"/>
  <c r="Q137"/>
  <c r="Q138"/>
  <c r="T17"/>
  <c r="T19"/>
  <c r="T24"/>
  <c r="T35"/>
  <c r="T42"/>
  <c r="T44"/>
  <c r="R44"/>
  <c r="R42"/>
  <c r="R40"/>
  <c r="R38"/>
  <c r="R36"/>
  <c r="R34"/>
  <c r="R33"/>
  <c r="R32"/>
  <c r="R31"/>
  <c r="R29"/>
  <c r="R27"/>
  <c r="R25"/>
  <c r="R23"/>
  <c r="R22"/>
  <c r="R21"/>
  <c r="R20"/>
  <c r="R18"/>
  <c r="R16"/>
  <c r="R15"/>
  <c r="R14"/>
  <c r="R13"/>
  <c r="R12"/>
  <c r="R10"/>
  <c r="R9"/>
  <c r="R7"/>
  <c r="R6"/>
  <c r="Q8"/>
  <c r="Q11"/>
  <c r="Q26"/>
  <c r="Q28"/>
  <c r="Q30"/>
  <c r="Q37"/>
  <c r="Q39"/>
  <c r="Q41"/>
  <c r="Q43"/>
  <c r="Q66" l="1"/>
  <c r="Q175" s="1"/>
  <c r="Q178"/>
  <c r="Q173"/>
  <c r="T192"/>
  <c r="T193" s="1"/>
  <c r="Q192"/>
  <c r="Q113"/>
  <c r="Q114" s="1"/>
  <c r="Q115"/>
  <c r="AE52"/>
  <c r="H52"/>
  <c r="H91" s="1"/>
  <c r="I52"/>
  <c r="I91" s="1"/>
  <c r="J52"/>
  <c r="J91" s="1"/>
  <c r="K52"/>
  <c r="K91" s="1"/>
  <c r="L52"/>
  <c r="L91" s="1"/>
  <c r="M52"/>
  <c r="M91" s="1"/>
  <c r="N52"/>
  <c r="N91" s="1"/>
  <c r="O52"/>
  <c r="O91" s="1"/>
  <c r="P52"/>
  <c r="G52"/>
  <c r="G91" s="1"/>
  <c r="P43"/>
  <c r="O43"/>
  <c r="N43"/>
  <c r="M43"/>
  <c r="L43"/>
  <c r="K43"/>
  <c r="J43"/>
  <c r="I43"/>
  <c r="H43"/>
  <c r="G43"/>
  <c r="R52" l="1"/>
  <c r="H192"/>
  <c r="Q180"/>
  <c r="Q181" s="1"/>
  <c r="P91"/>
  <c r="R91" s="1"/>
  <c r="S44"/>
  <c r="K188" l="1"/>
  <c r="K187"/>
  <c r="K186"/>
  <c r="K185"/>
  <c r="AE38" l="1"/>
  <c r="S38"/>
  <c r="P39"/>
  <c r="O39"/>
  <c r="N39"/>
  <c r="M39"/>
  <c r="L39"/>
  <c r="K39"/>
  <c r="J39"/>
  <c r="I39"/>
  <c r="H39"/>
  <c r="G39"/>
  <c r="T38" l="1"/>
  <c r="U38" l="1"/>
  <c r="V38" s="1"/>
  <c r="W38" s="1"/>
  <c r="K192"/>
  <c r="K191"/>
  <c r="X38" l="1"/>
  <c r="U206"/>
  <c r="U207" s="1"/>
  <c r="D204"/>
  <c r="G214" s="1"/>
  <c r="H204"/>
  <c r="L26"/>
  <c r="L106"/>
  <c r="J106"/>
  <c r="H106"/>
  <c r="F106"/>
  <c r="G106"/>
  <c r="I106"/>
  <c r="K106"/>
  <c r="M106"/>
  <c r="N106"/>
  <c r="O106"/>
  <c r="P106"/>
  <c r="H138"/>
  <c r="I138"/>
  <c r="J138"/>
  <c r="K138"/>
  <c r="L138"/>
  <c r="M138"/>
  <c r="N138"/>
  <c r="O138"/>
  <c r="P138"/>
  <c r="H137"/>
  <c r="I137"/>
  <c r="J137"/>
  <c r="K137"/>
  <c r="L137"/>
  <c r="M137"/>
  <c r="N137"/>
  <c r="O137"/>
  <c r="P137"/>
  <c r="G218"/>
  <c r="G219" s="1"/>
  <c r="AE55"/>
  <c r="C55"/>
  <c r="D55"/>
  <c r="E55"/>
  <c r="F55"/>
  <c r="H55"/>
  <c r="I55"/>
  <c r="J55"/>
  <c r="K55"/>
  <c r="L55"/>
  <c r="M55"/>
  <c r="N55"/>
  <c r="O55"/>
  <c r="P55"/>
  <c r="G55"/>
  <c r="H209"/>
  <c r="D208"/>
  <c r="G215" s="1"/>
  <c r="K215" s="1"/>
  <c r="H207"/>
  <c r="I207" s="1"/>
  <c r="J207" s="1"/>
  <c r="J208" s="1"/>
  <c r="H205"/>
  <c r="H203"/>
  <c r="H202"/>
  <c r="I202" s="1"/>
  <c r="J202" s="1"/>
  <c r="G217" l="1"/>
  <c r="G220"/>
  <c r="K214"/>
  <c r="Y38"/>
  <c r="D210"/>
  <c r="K218"/>
  <c r="R55"/>
  <c r="K217"/>
  <c r="I203"/>
  <c r="J203" s="1"/>
  <c r="I209"/>
  <c r="J209" s="1"/>
  <c r="J210" s="1"/>
  <c r="H90"/>
  <c r="I90"/>
  <c r="J90"/>
  <c r="K90"/>
  <c r="L90"/>
  <c r="M90"/>
  <c r="N90"/>
  <c r="O90"/>
  <c r="P90"/>
  <c r="G90"/>
  <c r="H41"/>
  <c r="I41"/>
  <c r="J41"/>
  <c r="K41"/>
  <c r="L41"/>
  <c r="M41"/>
  <c r="N41"/>
  <c r="O41"/>
  <c r="P41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G138"/>
  <c r="G137"/>
  <c r="AE14"/>
  <c r="S14"/>
  <c r="U203"/>
  <c r="U202"/>
  <c r="O203"/>
  <c r="O206" s="1"/>
  <c r="O202"/>
  <c r="H97"/>
  <c r="H103" s="1"/>
  <c r="I97"/>
  <c r="I103" s="1"/>
  <c r="J97"/>
  <c r="J103" s="1"/>
  <c r="K97"/>
  <c r="K103" s="1"/>
  <c r="L97"/>
  <c r="L103" s="1"/>
  <c r="M97"/>
  <c r="M103" s="1"/>
  <c r="N97"/>
  <c r="N103" s="1"/>
  <c r="O97"/>
  <c r="O103" s="1"/>
  <c r="P97"/>
  <c r="P103" s="1"/>
  <c r="G97"/>
  <c r="G103" s="1"/>
  <c r="H94"/>
  <c r="H100" s="1"/>
  <c r="I94"/>
  <c r="I100" s="1"/>
  <c r="J94"/>
  <c r="J100" s="1"/>
  <c r="K94"/>
  <c r="K100" s="1"/>
  <c r="L94"/>
  <c r="L100" s="1"/>
  <c r="M94"/>
  <c r="M100" s="1"/>
  <c r="N94"/>
  <c r="N100" s="1"/>
  <c r="O94"/>
  <c r="O100" s="1"/>
  <c r="P94"/>
  <c r="P100" s="1"/>
  <c r="G94"/>
  <c r="G100" s="1"/>
  <c r="H95"/>
  <c r="H101" s="1"/>
  <c r="I95"/>
  <c r="I101" s="1"/>
  <c r="J95"/>
  <c r="J101" s="1"/>
  <c r="K95"/>
  <c r="K101" s="1"/>
  <c r="L95"/>
  <c r="L101" s="1"/>
  <c r="M95"/>
  <c r="M101" s="1"/>
  <c r="N95"/>
  <c r="N101" s="1"/>
  <c r="O95"/>
  <c r="O101" s="1"/>
  <c r="P95"/>
  <c r="P101" s="1"/>
  <c r="G95"/>
  <c r="G101" s="1"/>
  <c r="H133"/>
  <c r="H134" s="1"/>
  <c r="I133"/>
  <c r="I134" s="1"/>
  <c r="J133"/>
  <c r="J134" s="1"/>
  <c r="K133"/>
  <c r="K134" s="1"/>
  <c r="L133"/>
  <c r="L134" s="1"/>
  <c r="M133"/>
  <c r="M134" s="1"/>
  <c r="N133"/>
  <c r="N134" s="1"/>
  <c r="O133"/>
  <c r="O134" s="1"/>
  <c r="P133"/>
  <c r="P134" s="1"/>
  <c r="G133"/>
  <c r="G134" s="1"/>
  <c r="R103" l="1"/>
  <c r="R100"/>
  <c r="T14"/>
  <c r="U14" s="1"/>
  <c r="V14" s="1"/>
  <c r="W14" s="1"/>
  <c r="X14" s="1"/>
  <c r="Y14" s="1"/>
  <c r="Z14" s="1"/>
  <c r="AA14" s="1"/>
  <c r="AB14" s="1"/>
  <c r="AC14" s="1"/>
  <c r="Z38"/>
  <c r="R101"/>
  <c r="I204"/>
  <c r="J204" s="1"/>
  <c r="I205" s="1"/>
  <c r="J205" s="1"/>
  <c r="J206" s="1"/>
  <c r="R137"/>
  <c r="R138"/>
  <c r="R90"/>
  <c r="R97"/>
  <c r="R94"/>
  <c r="R134"/>
  <c r="R133"/>
  <c r="R95"/>
  <c r="P89"/>
  <c r="P88"/>
  <c r="E89"/>
  <c r="F89"/>
  <c r="H89"/>
  <c r="I89"/>
  <c r="J89"/>
  <c r="K89"/>
  <c r="L89"/>
  <c r="M89"/>
  <c r="N89"/>
  <c r="O89"/>
  <c r="G89"/>
  <c r="G88"/>
  <c r="H131"/>
  <c r="I131"/>
  <c r="J131"/>
  <c r="K131"/>
  <c r="L131"/>
  <c r="M131"/>
  <c r="N131"/>
  <c r="O131"/>
  <c r="P131"/>
  <c r="G131"/>
  <c r="H130"/>
  <c r="I130"/>
  <c r="J130"/>
  <c r="K130"/>
  <c r="L130"/>
  <c r="M130"/>
  <c r="N130"/>
  <c r="O130"/>
  <c r="P130"/>
  <c r="G130"/>
  <c r="H127"/>
  <c r="I127"/>
  <c r="J127"/>
  <c r="K127"/>
  <c r="L127"/>
  <c r="M127"/>
  <c r="N127"/>
  <c r="O127"/>
  <c r="P127"/>
  <c r="G127"/>
  <c r="H128"/>
  <c r="I128"/>
  <c r="J128"/>
  <c r="K128"/>
  <c r="L128"/>
  <c r="M128"/>
  <c r="N128"/>
  <c r="O128"/>
  <c r="P128"/>
  <c r="G128"/>
  <c r="H126"/>
  <c r="I126"/>
  <c r="J126"/>
  <c r="K126"/>
  <c r="L126"/>
  <c r="M126"/>
  <c r="N126"/>
  <c r="O126"/>
  <c r="P126"/>
  <c r="G126"/>
  <c r="H125"/>
  <c r="I125"/>
  <c r="J125"/>
  <c r="K125"/>
  <c r="L125"/>
  <c r="M125"/>
  <c r="N125"/>
  <c r="O125"/>
  <c r="P125"/>
  <c r="G125"/>
  <c r="S171"/>
  <c r="H122"/>
  <c r="I122"/>
  <c r="J122"/>
  <c r="K122"/>
  <c r="L122"/>
  <c r="M122"/>
  <c r="N122"/>
  <c r="O122"/>
  <c r="P122"/>
  <c r="G122"/>
  <c r="H121"/>
  <c r="I121"/>
  <c r="J121"/>
  <c r="K121"/>
  <c r="L121"/>
  <c r="M121"/>
  <c r="N121"/>
  <c r="O121"/>
  <c r="P121"/>
  <c r="G121"/>
  <c r="H120"/>
  <c r="I120"/>
  <c r="J120"/>
  <c r="K120"/>
  <c r="L120"/>
  <c r="M120"/>
  <c r="N120"/>
  <c r="O120"/>
  <c r="P120"/>
  <c r="G120"/>
  <c r="B122"/>
  <c r="B121"/>
  <c r="AE32"/>
  <c r="S32"/>
  <c r="G109"/>
  <c r="H109"/>
  <c r="I109"/>
  <c r="J109"/>
  <c r="K109"/>
  <c r="L109"/>
  <c r="M109"/>
  <c r="N109"/>
  <c r="O109"/>
  <c r="P109"/>
  <c r="T207"/>
  <c r="N206"/>
  <c r="T204"/>
  <c r="U204" s="1"/>
  <c r="U209" s="1"/>
  <c r="N204"/>
  <c r="O204" s="1"/>
  <c r="O209" s="1"/>
  <c r="F118"/>
  <c r="H118"/>
  <c r="I118"/>
  <c r="J118"/>
  <c r="K118"/>
  <c r="L118"/>
  <c r="M118"/>
  <c r="N118"/>
  <c r="O118"/>
  <c r="P118"/>
  <c r="G118"/>
  <c r="F117"/>
  <c r="H117"/>
  <c r="I117"/>
  <c r="J117"/>
  <c r="K117"/>
  <c r="L117"/>
  <c r="M117"/>
  <c r="N117"/>
  <c r="O117"/>
  <c r="P117"/>
  <c r="G117"/>
  <c r="AD14" l="1"/>
  <c r="AF14"/>
  <c r="U32"/>
  <c r="V32" s="1"/>
  <c r="W32" s="1"/>
  <c r="X32" s="1"/>
  <c r="Y32" s="1"/>
  <c r="Z32" s="1"/>
  <c r="AA32" s="1"/>
  <c r="AB32" s="1"/>
  <c r="AC32" s="1"/>
  <c r="AD32" s="1"/>
  <c r="T32"/>
  <c r="AA38"/>
  <c r="R128"/>
  <c r="R89"/>
  <c r="R125"/>
  <c r="R131"/>
  <c r="R130"/>
  <c r="R126"/>
  <c r="R127"/>
  <c r="R120"/>
  <c r="R121"/>
  <c r="R122"/>
  <c r="R109"/>
  <c r="N209"/>
  <c r="T209"/>
  <c r="R118"/>
  <c r="R117"/>
  <c r="S9"/>
  <c r="T9" s="1"/>
  <c r="S10"/>
  <c r="T10" s="1"/>
  <c r="S12"/>
  <c r="T12" s="1"/>
  <c r="S13"/>
  <c r="T13" s="1"/>
  <c r="S15"/>
  <c r="T15" s="1"/>
  <c r="S16"/>
  <c r="T16" s="1"/>
  <c r="S18"/>
  <c r="T18" s="1"/>
  <c r="S20"/>
  <c r="T20" s="1"/>
  <c r="S21"/>
  <c r="T21" s="1"/>
  <c r="S22"/>
  <c r="T22" s="1"/>
  <c r="S23"/>
  <c r="T23" s="1"/>
  <c r="S25"/>
  <c r="T25" s="1"/>
  <c r="S27"/>
  <c r="T27" s="1"/>
  <c r="S29"/>
  <c r="T29" s="1"/>
  <c r="S31"/>
  <c r="S33"/>
  <c r="T33" s="1"/>
  <c r="S34"/>
  <c r="T34" s="1"/>
  <c r="S36"/>
  <c r="T36" s="1"/>
  <c r="S40"/>
  <c r="T40" s="1"/>
  <c r="T52" s="1"/>
  <c r="S7"/>
  <c r="T7" s="1"/>
  <c r="S6"/>
  <c r="T6" s="1"/>
  <c r="AE9"/>
  <c r="AE10"/>
  <c r="AE11"/>
  <c r="AE12"/>
  <c r="AE13"/>
  <c r="AE15"/>
  <c r="AE16"/>
  <c r="AE18"/>
  <c r="AE20"/>
  <c r="AE21"/>
  <c r="AE22"/>
  <c r="AE23"/>
  <c r="AE25"/>
  <c r="AE27"/>
  <c r="AE29"/>
  <c r="AE31"/>
  <c r="AE33"/>
  <c r="AE34"/>
  <c r="AE36"/>
  <c r="AE40"/>
  <c r="AE42"/>
  <c r="AE44"/>
  <c r="AE50"/>
  <c r="AE51"/>
  <c r="AE54"/>
  <c r="AE56"/>
  <c r="AE57"/>
  <c r="AE58"/>
  <c r="AE60"/>
  <c r="AE61"/>
  <c r="AE62"/>
  <c r="AE64"/>
  <c r="AE65"/>
  <c r="AE66"/>
  <c r="AE67"/>
  <c r="AE69"/>
  <c r="AE70"/>
  <c r="AE72"/>
  <c r="AE74"/>
  <c r="AE75"/>
  <c r="AE76"/>
  <c r="AE77"/>
  <c r="AE78"/>
  <c r="AE80"/>
  <c r="AE81"/>
  <c r="AE82"/>
  <c r="AE7"/>
  <c r="AE6"/>
  <c r="AF32" l="1"/>
  <c r="T91"/>
  <c r="T31"/>
  <c r="U31" s="1"/>
  <c r="V31" s="1"/>
  <c r="W31" s="1"/>
  <c r="X31" s="1"/>
  <c r="Y31" s="1"/>
  <c r="Z31" s="1"/>
  <c r="AA31" s="1"/>
  <c r="AB31" s="1"/>
  <c r="AC31" s="1"/>
  <c r="AB38"/>
  <c r="R106"/>
  <c r="H93"/>
  <c r="H99" s="1"/>
  <c r="I93"/>
  <c r="I99" s="1"/>
  <c r="J93"/>
  <c r="J99" s="1"/>
  <c r="K93"/>
  <c r="K99" s="1"/>
  <c r="L93"/>
  <c r="L99" s="1"/>
  <c r="M93"/>
  <c r="M99" s="1"/>
  <c r="N93"/>
  <c r="N99" s="1"/>
  <c r="O93"/>
  <c r="O99" s="1"/>
  <c r="P93"/>
  <c r="P99" s="1"/>
  <c r="H96"/>
  <c r="H102" s="1"/>
  <c r="I96"/>
  <c r="I102" s="1"/>
  <c r="J96"/>
  <c r="J102" s="1"/>
  <c r="K96"/>
  <c r="K102" s="1"/>
  <c r="L96"/>
  <c r="L102" s="1"/>
  <c r="M96"/>
  <c r="M102" s="1"/>
  <c r="N96"/>
  <c r="N102" s="1"/>
  <c r="O96"/>
  <c r="O102" s="1"/>
  <c r="P96"/>
  <c r="P102" s="1"/>
  <c r="G96"/>
  <c r="G102" s="1"/>
  <c r="G93"/>
  <c r="G99" s="1"/>
  <c r="L30"/>
  <c r="K30"/>
  <c r="J30"/>
  <c r="I30"/>
  <c r="H30"/>
  <c r="G30"/>
  <c r="R99" l="1"/>
  <c r="AC38"/>
  <c r="R102"/>
  <c r="U29"/>
  <c r="R96"/>
  <c r="R93"/>
  <c r="H108"/>
  <c r="I108"/>
  <c r="J108"/>
  <c r="K108"/>
  <c r="L108"/>
  <c r="M108"/>
  <c r="N108"/>
  <c r="O108"/>
  <c r="P108"/>
  <c r="G108"/>
  <c r="H107"/>
  <c r="I107"/>
  <c r="J107"/>
  <c r="K107"/>
  <c r="L107"/>
  <c r="M107"/>
  <c r="N107"/>
  <c r="O107"/>
  <c r="P107"/>
  <c r="G107"/>
  <c r="AF38" l="1"/>
  <c r="AD38"/>
  <c r="V29"/>
  <c r="R107"/>
  <c r="R108"/>
  <c r="AF69"/>
  <c r="W29" l="1"/>
  <c r="C179"/>
  <c r="D179"/>
  <c r="E179"/>
  <c r="F179"/>
  <c r="G179"/>
  <c r="H179"/>
  <c r="I179"/>
  <c r="J179"/>
  <c r="K179"/>
  <c r="L179"/>
  <c r="M179"/>
  <c r="N179"/>
  <c r="O179"/>
  <c r="P179"/>
  <c r="C9" i="15"/>
  <c r="D70" i="18"/>
  <c r="E70"/>
  <c r="E111" s="1"/>
  <c r="E112" s="1"/>
  <c r="F70"/>
  <c r="F111" s="1"/>
  <c r="F112" s="1"/>
  <c r="G70"/>
  <c r="G111" s="1"/>
  <c r="G112" s="1"/>
  <c r="G115" s="1"/>
  <c r="H70"/>
  <c r="H111" s="1"/>
  <c r="H112" s="1"/>
  <c r="H115" s="1"/>
  <c r="I70"/>
  <c r="I111" s="1"/>
  <c r="I112" s="1"/>
  <c r="I115" s="1"/>
  <c r="J70"/>
  <c r="J111" s="1"/>
  <c r="J112" s="1"/>
  <c r="J115" s="1"/>
  <c r="K70"/>
  <c r="K111" s="1"/>
  <c r="K112" s="1"/>
  <c r="K115" s="1"/>
  <c r="L70"/>
  <c r="L111" s="1"/>
  <c r="L112" s="1"/>
  <c r="L115" s="1"/>
  <c r="M70"/>
  <c r="M111" s="1"/>
  <c r="M112" s="1"/>
  <c r="M115" s="1"/>
  <c r="N70"/>
  <c r="N111" s="1"/>
  <c r="N112" s="1"/>
  <c r="N115" s="1"/>
  <c r="O70"/>
  <c r="O111" s="1"/>
  <c r="O112" s="1"/>
  <c r="O115" s="1"/>
  <c r="P70"/>
  <c r="P111" s="1"/>
  <c r="C70"/>
  <c r="T70" l="1"/>
  <c r="T111" s="1"/>
  <c r="T112" s="1"/>
  <c r="T115" s="1"/>
  <c r="X29"/>
  <c r="R179"/>
  <c r="N113"/>
  <c r="N114" s="1"/>
  <c r="J113"/>
  <c r="J114" s="1"/>
  <c r="L113"/>
  <c r="L114" s="1"/>
  <c r="H113"/>
  <c r="H114" s="1"/>
  <c r="M113"/>
  <c r="M114" s="1"/>
  <c r="I113"/>
  <c r="I114" s="1"/>
  <c r="F113"/>
  <c r="F114" s="1"/>
  <c r="O113"/>
  <c r="O114" s="1"/>
  <c r="K113"/>
  <c r="K114" s="1"/>
  <c r="G113"/>
  <c r="G114" s="1"/>
  <c r="P112"/>
  <c r="P115" s="1"/>
  <c r="R115" s="1"/>
  <c r="R111"/>
  <c r="U44"/>
  <c r="V44" l="1"/>
  <c r="Y29"/>
  <c r="P113"/>
  <c r="R112"/>
  <c r="U70"/>
  <c r="C80"/>
  <c r="D80"/>
  <c r="E80"/>
  <c r="F80"/>
  <c r="G80"/>
  <c r="G135" s="1"/>
  <c r="H80"/>
  <c r="H135" s="1"/>
  <c r="I80"/>
  <c r="I135" s="1"/>
  <c r="J80"/>
  <c r="J135" s="1"/>
  <c r="K80"/>
  <c r="K135" s="1"/>
  <c r="L80"/>
  <c r="L135" s="1"/>
  <c r="M80"/>
  <c r="M135" s="1"/>
  <c r="N80"/>
  <c r="N135" s="1"/>
  <c r="O80"/>
  <c r="O135" s="1"/>
  <c r="C81"/>
  <c r="D81"/>
  <c r="E81"/>
  <c r="F81"/>
  <c r="G81"/>
  <c r="H81"/>
  <c r="I81"/>
  <c r="J81"/>
  <c r="K81"/>
  <c r="L81"/>
  <c r="M81"/>
  <c r="N81"/>
  <c r="O81"/>
  <c r="C82"/>
  <c r="D82"/>
  <c r="E82"/>
  <c r="F82"/>
  <c r="G82"/>
  <c r="H82"/>
  <c r="I82"/>
  <c r="J82"/>
  <c r="K82"/>
  <c r="L82"/>
  <c r="M82"/>
  <c r="N82"/>
  <c r="O82"/>
  <c r="P82"/>
  <c r="P81"/>
  <c r="P80"/>
  <c r="P135" s="1"/>
  <c r="E88"/>
  <c r="F88"/>
  <c r="H88"/>
  <c r="I88"/>
  <c r="J88"/>
  <c r="K88"/>
  <c r="L88"/>
  <c r="M88"/>
  <c r="N88"/>
  <c r="O88"/>
  <c r="E86"/>
  <c r="E87"/>
  <c r="F87"/>
  <c r="G87"/>
  <c r="H87"/>
  <c r="I87"/>
  <c r="J87"/>
  <c r="K87"/>
  <c r="L87"/>
  <c r="M87"/>
  <c r="N87"/>
  <c r="O87"/>
  <c r="F86"/>
  <c r="G86"/>
  <c r="H86"/>
  <c r="I86"/>
  <c r="J86"/>
  <c r="K86"/>
  <c r="L86"/>
  <c r="M86"/>
  <c r="N86"/>
  <c r="O86"/>
  <c r="P87"/>
  <c r="G41"/>
  <c r="G28"/>
  <c r="G11"/>
  <c r="G8"/>
  <c r="G26"/>
  <c r="W44" l="1"/>
  <c r="V70"/>
  <c r="R135"/>
  <c r="Z29"/>
  <c r="R82"/>
  <c r="R80"/>
  <c r="R81"/>
  <c r="R87"/>
  <c r="R88"/>
  <c r="P86"/>
  <c r="R86" s="1"/>
  <c r="C195"/>
  <c r="D195"/>
  <c r="E195"/>
  <c r="F195"/>
  <c r="C196"/>
  <c r="D196"/>
  <c r="E196"/>
  <c r="F196"/>
  <c r="C197"/>
  <c r="D197"/>
  <c r="E197"/>
  <c r="F197"/>
  <c r="H197"/>
  <c r="I197"/>
  <c r="J197"/>
  <c r="K197"/>
  <c r="L197"/>
  <c r="M197"/>
  <c r="N197"/>
  <c r="O197"/>
  <c r="P197"/>
  <c r="G197"/>
  <c r="H196"/>
  <c r="I196"/>
  <c r="J196"/>
  <c r="K196"/>
  <c r="L196"/>
  <c r="M196"/>
  <c r="N196"/>
  <c r="O196"/>
  <c r="P196"/>
  <c r="G196"/>
  <c r="H195"/>
  <c r="I195"/>
  <c r="J195"/>
  <c r="K195"/>
  <c r="L195"/>
  <c r="M195"/>
  <c r="N195"/>
  <c r="O195"/>
  <c r="P195"/>
  <c r="G195"/>
  <c r="H51"/>
  <c r="I51"/>
  <c r="J51"/>
  <c r="K51"/>
  <c r="L51"/>
  <c r="M51"/>
  <c r="N51"/>
  <c r="O51"/>
  <c r="P51"/>
  <c r="C51"/>
  <c r="D51"/>
  <c r="E51"/>
  <c r="F51"/>
  <c r="G51"/>
  <c r="G54"/>
  <c r="H50"/>
  <c r="H172" s="1"/>
  <c r="I50"/>
  <c r="I172" s="1"/>
  <c r="J50"/>
  <c r="J172" s="1"/>
  <c r="K50"/>
  <c r="K172" s="1"/>
  <c r="L50"/>
  <c r="L172" s="1"/>
  <c r="M50"/>
  <c r="M172" s="1"/>
  <c r="N50"/>
  <c r="N172" s="1"/>
  <c r="O50"/>
  <c r="O172" s="1"/>
  <c r="P50"/>
  <c r="P172" s="1"/>
  <c r="C50"/>
  <c r="C172" s="1"/>
  <c r="D50"/>
  <c r="D172" s="1"/>
  <c r="E50"/>
  <c r="E172" s="1"/>
  <c r="F50"/>
  <c r="F172" s="1"/>
  <c r="G50"/>
  <c r="G172" s="1"/>
  <c r="M28"/>
  <c r="L28"/>
  <c r="K28"/>
  <c r="J28"/>
  <c r="I28"/>
  <c r="H28"/>
  <c r="M26"/>
  <c r="K26"/>
  <c r="J26"/>
  <c r="I26"/>
  <c r="H26"/>
  <c r="I8"/>
  <c r="J8"/>
  <c r="K8"/>
  <c r="L8"/>
  <c r="M8"/>
  <c r="N8"/>
  <c r="O8"/>
  <c r="P8"/>
  <c r="H8"/>
  <c r="T94"/>
  <c r="T100" s="1"/>
  <c r="G178" l="1"/>
  <c r="X44"/>
  <c r="W70"/>
  <c r="R172"/>
  <c r="AA29"/>
  <c r="U36"/>
  <c r="U94" s="1"/>
  <c r="U100" s="1"/>
  <c r="R197"/>
  <c r="R51"/>
  <c r="R50"/>
  <c r="R196"/>
  <c r="R195"/>
  <c r="Y44" l="1"/>
  <c r="X70"/>
  <c r="AB29"/>
  <c r="V36"/>
  <c r="V94" s="1"/>
  <c r="V100" s="1"/>
  <c r="I77"/>
  <c r="J77"/>
  <c r="K77"/>
  <c r="L77"/>
  <c r="M77"/>
  <c r="N77"/>
  <c r="O77"/>
  <c r="P77"/>
  <c r="I78"/>
  <c r="J78"/>
  <c r="K78"/>
  <c r="L78"/>
  <c r="M78"/>
  <c r="N78"/>
  <c r="O78"/>
  <c r="P78"/>
  <c r="I72"/>
  <c r="I74" s="1"/>
  <c r="J72"/>
  <c r="J74" s="1"/>
  <c r="K72"/>
  <c r="K74" s="1"/>
  <c r="L72"/>
  <c r="L74" s="1"/>
  <c r="M72"/>
  <c r="M74" s="1"/>
  <c r="N72"/>
  <c r="N74" s="1"/>
  <c r="O72"/>
  <c r="O74" s="1"/>
  <c r="P72"/>
  <c r="P74" s="1"/>
  <c r="I75"/>
  <c r="J75"/>
  <c r="K75"/>
  <c r="L75"/>
  <c r="M75"/>
  <c r="N75"/>
  <c r="O75"/>
  <c r="P75"/>
  <c r="I76"/>
  <c r="J76"/>
  <c r="K76"/>
  <c r="L76"/>
  <c r="M76"/>
  <c r="N76"/>
  <c r="O76"/>
  <c r="P76"/>
  <c r="C75"/>
  <c r="D75"/>
  <c r="E75"/>
  <c r="F75"/>
  <c r="G75"/>
  <c r="C76"/>
  <c r="D76"/>
  <c r="E76"/>
  <c r="F76"/>
  <c r="G76"/>
  <c r="C77"/>
  <c r="D77"/>
  <c r="E77"/>
  <c r="F77"/>
  <c r="G77"/>
  <c r="C78"/>
  <c r="D78"/>
  <c r="E78"/>
  <c r="F78"/>
  <c r="G78"/>
  <c r="H78"/>
  <c r="H77"/>
  <c r="U22"/>
  <c r="V22" s="1"/>
  <c r="W22" s="1"/>
  <c r="X22" s="1"/>
  <c r="Y22" s="1"/>
  <c r="Z22" s="1"/>
  <c r="AA22" s="1"/>
  <c r="AB22" s="1"/>
  <c r="AC22" s="1"/>
  <c r="C72"/>
  <c r="C74" s="1"/>
  <c r="D72"/>
  <c r="D74" s="1"/>
  <c r="E72"/>
  <c r="E74" s="1"/>
  <c r="F72"/>
  <c r="F74" s="1"/>
  <c r="G72"/>
  <c r="G74" s="1"/>
  <c r="H72"/>
  <c r="H74" s="1"/>
  <c r="H76"/>
  <c r="H75"/>
  <c r="Z44" l="1"/>
  <c r="Y70"/>
  <c r="U23"/>
  <c r="T97"/>
  <c r="T103" s="1"/>
  <c r="AC29"/>
  <c r="AF31"/>
  <c r="AD31"/>
  <c r="AD22"/>
  <c r="AF22"/>
  <c r="W36"/>
  <c r="W94" s="1"/>
  <c r="W100" s="1"/>
  <c r="R77"/>
  <c r="R78"/>
  <c r="R76"/>
  <c r="R74"/>
  <c r="R75"/>
  <c r="R72"/>
  <c r="T55"/>
  <c r="U21"/>
  <c r="R70"/>
  <c r="R171"/>
  <c r="Z70" l="1"/>
  <c r="AA44"/>
  <c r="V23"/>
  <c r="U97"/>
  <c r="U103" s="1"/>
  <c r="AF29"/>
  <c r="AD29"/>
  <c r="U20"/>
  <c r="T72"/>
  <c r="V21"/>
  <c r="C19" i="15"/>
  <c r="U9" i="18"/>
  <c r="V9" s="1"/>
  <c r="W9" s="1"/>
  <c r="X9" s="1"/>
  <c r="Y9" s="1"/>
  <c r="Z9" s="1"/>
  <c r="AA9" s="1"/>
  <c r="AB9" s="1"/>
  <c r="AC9" s="1"/>
  <c r="AF9" s="1"/>
  <c r="T90"/>
  <c r="U33"/>
  <c r="V33" s="1"/>
  <c r="W33" s="1"/>
  <c r="X33" s="1"/>
  <c r="Y33" s="1"/>
  <c r="Z33" s="1"/>
  <c r="AA33" s="1"/>
  <c r="AB33" s="1"/>
  <c r="AC33" s="1"/>
  <c r="AF33" s="1"/>
  <c r="U34"/>
  <c r="V34" s="1"/>
  <c r="W34" s="1"/>
  <c r="X34" s="1"/>
  <c r="Y34" s="1"/>
  <c r="Z34" s="1"/>
  <c r="AA34" s="1"/>
  <c r="AB34" s="1"/>
  <c r="AC34" s="1"/>
  <c r="AF34" s="1"/>
  <c r="X36"/>
  <c r="X94" s="1"/>
  <c r="X100" s="1"/>
  <c r="O68"/>
  <c r="O176" s="1"/>
  <c r="O67"/>
  <c r="O65"/>
  <c r="O64"/>
  <c r="O62"/>
  <c r="O177" s="1"/>
  <c r="O61"/>
  <c r="O60"/>
  <c r="O58"/>
  <c r="O57"/>
  <c r="O174" s="1"/>
  <c r="O56"/>
  <c r="O54"/>
  <c r="AA70" l="1"/>
  <c r="AB44"/>
  <c r="U72"/>
  <c r="T127"/>
  <c r="T137"/>
  <c r="T128"/>
  <c r="T138"/>
  <c r="W23"/>
  <c r="V97"/>
  <c r="V103" s="1"/>
  <c r="T121"/>
  <c r="T122"/>
  <c r="T120"/>
  <c r="T109"/>
  <c r="P114"/>
  <c r="R114" s="1"/>
  <c r="R113"/>
  <c r="T93"/>
  <c r="T99" s="1"/>
  <c r="T118"/>
  <c r="T117"/>
  <c r="U18"/>
  <c r="O173"/>
  <c r="O180" s="1"/>
  <c r="O181" s="1"/>
  <c r="O178"/>
  <c r="V20"/>
  <c r="U27"/>
  <c r="Y36"/>
  <c r="Y94" s="1"/>
  <c r="Y100" s="1"/>
  <c r="U25"/>
  <c r="U90" s="1"/>
  <c r="T86"/>
  <c r="W21"/>
  <c r="AD33"/>
  <c r="AD34"/>
  <c r="AD9"/>
  <c r="O66"/>
  <c r="O175" s="1"/>
  <c r="D62"/>
  <c r="E62"/>
  <c r="F62"/>
  <c r="G62"/>
  <c r="G177" s="1"/>
  <c r="H62"/>
  <c r="H177" s="1"/>
  <c r="I62"/>
  <c r="I177" s="1"/>
  <c r="J62"/>
  <c r="J177" s="1"/>
  <c r="K62"/>
  <c r="K177" s="1"/>
  <c r="L62"/>
  <c r="L177" s="1"/>
  <c r="M62"/>
  <c r="M177" s="1"/>
  <c r="N62"/>
  <c r="N177" s="1"/>
  <c r="P62"/>
  <c r="C62"/>
  <c r="C61"/>
  <c r="AC44" l="1"/>
  <c r="AB70"/>
  <c r="U128"/>
  <c r="U138"/>
  <c r="U127"/>
  <c r="U137"/>
  <c r="X23"/>
  <c r="W97"/>
  <c r="W103" s="1"/>
  <c r="U120"/>
  <c r="U122"/>
  <c r="U121"/>
  <c r="U109"/>
  <c r="U93"/>
  <c r="U99" s="1"/>
  <c r="U118"/>
  <c r="U117"/>
  <c r="V18"/>
  <c r="W20"/>
  <c r="V72"/>
  <c r="V27"/>
  <c r="V25"/>
  <c r="U86"/>
  <c r="Z36"/>
  <c r="Z94" s="1"/>
  <c r="Z100" s="1"/>
  <c r="X21"/>
  <c r="P177"/>
  <c r="R177" s="1"/>
  <c r="R62"/>
  <c r="D61"/>
  <c r="E61"/>
  <c r="F61"/>
  <c r="G61"/>
  <c r="H61"/>
  <c r="I61"/>
  <c r="J61"/>
  <c r="K61"/>
  <c r="L61"/>
  <c r="M61"/>
  <c r="N61"/>
  <c r="P61"/>
  <c r="D60"/>
  <c r="E60"/>
  <c r="F60"/>
  <c r="G60"/>
  <c r="H60"/>
  <c r="I60"/>
  <c r="J60"/>
  <c r="K60"/>
  <c r="L60"/>
  <c r="M60"/>
  <c r="N60"/>
  <c r="P60"/>
  <c r="C60"/>
  <c r="AF44" l="1"/>
  <c r="AC70"/>
  <c r="AD44"/>
  <c r="V127"/>
  <c r="V137"/>
  <c r="V128"/>
  <c r="V138"/>
  <c r="V90"/>
  <c r="Y23"/>
  <c r="X97"/>
  <c r="X103" s="1"/>
  <c r="V122"/>
  <c r="V121"/>
  <c r="V120"/>
  <c r="V109"/>
  <c r="V93"/>
  <c r="V99" s="1"/>
  <c r="V118"/>
  <c r="V117"/>
  <c r="W18"/>
  <c r="X20"/>
  <c r="W72"/>
  <c r="W27"/>
  <c r="W25"/>
  <c r="W90" s="1"/>
  <c r="V86"/>
  <c r="AA36"/>
  <c r="AA94" s="1"/>
  <c r="AA100" s="1"/>
  <c r="Y21"/>
  <c r="R60"/>
  <c r="R61"/>
  <c r="C46" i="15"/>
  <c r="T159" i="18" l="1"/>
  <c r="Q184" s="1"/>
  <c r="AF70"/>
  <c r="U159" s="1"/>
  <c r="AD70"/>
  <c r="W128"/>
  <c r="W138"/>
  <c r="W127"/>
  <c r="W137"/>
  <c r="Z23"/>
  <c r="Y97"/>
  <c r="Y103" s="1"/>
  <c r="W109"/>
  <c r="W122"/>
  <c r="W121"/>
  <c r="W120"/>
  <c r="W93"/>
  <c r="W99" s="1"/>
  <c r="W118"/>
  <c r="W117"/>
  <c r="X18"/>
  <c r="Y20"/>
  <c r="X72"/>
  <c r="X27"/>
  <c r="X25"/>
  <c r="W86"/>
  <c r="AB36"/>
  <c r="AB94" s="1"/>
  <c r="AB100" s="1"/>
  <c r="Z21"/>
  <c r="T171"/>
  <c r="T179" s="1"/>
  <c r="C54"/>
  <c r="D54"/>
  <c r="E54"/>
  <c r="F54"/>
  <c r="H54"/>
  <c r="I54"/>
  <c r="J54"/>
  <c r="K54"/>
  <c r="L54"/>
  <c r="L178" s="1"/>
  <c r="M54"/>
  <c r="N54"/>
  <c r="N178" s="1"/>
  <c r="P54"/>
  <c r="D68"/>
  <c r="D176" s="1"/>
  <c r="E68"/>
  <c r="E176" s="1"/>
  <c r="F68"/>
  <c r="F176" s="1"/>
  <c r="G68"/>
  <c r="H68"/>
  <c r="H176" s="1"/>
  <c r="I68"/>
  <c r="I176" s="1"/>
  <c r="J68"/>
  <c r="J176" s="1"/>
  <c r="K68"/>
  <c r="K176" s="1"/>
  <c r="L68"/>
  <c r="L176" s="1"/>
  <c r="M68"/>
  <c r="M176" s="1"/>
  <c r="N68"/>
  <c r="P68"/>
  <c r="D67"/>
  <c r="E67"/>
  <c r="F67"/>
  <c r="G67"/>
  <c r="H67"/>
  <c r="I67"/>
  <c r="J67"/>
  <c r="K67"/>
  <c r="L67"/>
  <c r="M67"/>
  <c r="N67"/>
  <c r="P67"/>
  <c r="D65"/>
  <c r="E65"/>
  <c r="F65"/>
  <c r="G65"/>
  <c r="H65"/>
  <c r="I65"/>
  <c r="J65"/>
  <c r="K65"/>
  <c r="L65"/>
  <c r="M65"/>
  <c r="N65"/>
  <c r="P65"/>
  <c r="D64"/>
  <c r="D66" s="1"/>
  <c r="D175" s="1"/>
  <c r="E64"/>
  <c r="E66" s="1"/>
  <c r="E175" s="1"/>
  <c r="F64"/>
  <c r="G64"/>
  <c r="H64"/>
  <c r="I64"/>
  <c r="J64"/>
  <c r="K64"/>
  <c r="L64"/>
  <c r="M64"/>
  <c r="N64"/>
  <c r="P64"/>
  <c r="D58"/>
  <c r="E58"/>
  <c r="F58"/>
  <c r="G58"/>
  <c r="H58"/>
  <c r="I58"/>
  <c r="J58"/>
  <c r="K58"/>
  <c r="L58"/>
  <c r="M58"/>
  <c r="N58"/>
  <c r="P58"/>
  <c r="D57"/>
  <c r="D174" s="1"/>
  <c r="E57"/>
  <c r="E174" s="1"/>
  <c r="F57"/>
  <c r="F174" s="1"/>
  <c r="G57"/>
  <c r="H57"/>
  <c r="H174" s="1"/>
  <c r="I57"/>
  <c r="I174" s="1"/>
  <c r="J57"/>
  <c r="J174" s="1"/>
  <c r="K57"/>
  <c r="K174" s="1"/>
  <c r="L57"/>
  <c r="L174" s="1"/>
  <c r="M57"/>
  <c r="M174" s="1"/>
  <c r="N57"/>
  <c r="P57"/>
  <c r="C68"/>
  <c r="C176" s="1"/>
  <c r="C67"/>
  <c r="C65"/>
  <c r="C64"/>
  <c r="C58"/>
  <c r="C57"/>
  <c r="C174" s="1"/>
  <c r="D56"/>
  <c r="E56"/>
  <c r="F56"/>
  <c r="G56"/>
  <c r="H56"/>
  <c r="I56"/>
  <c r="J56"/>
  <c r="K56"/>
  <c r="L56"/>
  <c r="M56"/>
  <c r="N56"/>
  <c r="P56"/>
  <c r="C56"/>
  <c r="T125"/>
  <c r="T133"/>
  <c r="T134" s="1"/>
  <c r="T95"/>
  <c r="T101" s="1"/>
  <c r="R141" l="1"/>
  <c r="Q191" s="1"/>
  <c r="T106"/>
  <c r="S159"/>
  <c r="P184" s="1"/>
  <c r="X127"/>
  <c r="X137"/>
  <c r="X90"/>
  <c r="X128"/>
  <c r="X138"/>
  <c r="AA23"/>
  <c r="Z97"/>
  <c r="Z103" s="1"/>
  <c r="T88"/>
  <c r="T89"/>
  <c r="T131"/>
  <c r="T130"/>
  <c r="T96"/>
  <c r="T102" s="1"/>
  <c r="T126"/>
  <c r="H178"/>
  <c r="H173"/>
  <c r="H180" s="1"/>
  <c r="H181" s="1"/>
  <c r="X109"/>
  <c r="X121"/>
  <c r="X120"/>
  <c r="X122"/>
  <c r="T108"/>
  <c r="T113"/>
  <c r="T114" s="1"/>
  <c r="X93"/>
  <c r="X99" s="1"/>
  <c r="X118"/>
  <c r="X117"/>
  <c r="T107"/>
  <c r="Y18"/>
  <c r="D173"/>
  <c r="D177" s="1"/>
  <c r="D178"/>
  <c r="E173"/>
  <c r="E177" s="1"/>
  <c r="E178"/>
  <c r="C173"/>
  <c r="C177" s="1"/>
  <c r="C178"/>
  <c r="P173"/>
  <c r="P180" s="1"/>
  <c r="P178"/>
  <c r="R178" s="1"/>
  <c r="K173"/>
  <c r="K180" s="1"/>
  <c r="K181" s="1"/>
  <c r="K178"/>
  <c r="F173"/>
  <c r="F177" s="1"/>
  <c r="F178"/>
  <c r="J173"/>
  <c r="J180" s="1"/>
  <c r="J181" s="1"/>
  <c r="J178"/>
  <c r="M173"/>
  <c r="M180" s="1"/>
  <c r="M181" s="1"/>
  <c r="M178"/>
  <c r="I173"/>
  <c r="I180" s="1"/>
  <c r="I181" s="1"/>
  <c r="I178"/>
  <c r="Z20"/>
  <c r="Y72"/>
  <c r="H66"/>
  <c r="H175" s="1"/>
  <c r="Y27"/>
  <c r="U12"/>
  <c r="U15"/>
  <c r="U125" s="1"/>
  <c r="U13"/>
  <c r="U10"/>
  <c r="U16"/>
  <c r="U133" s="1"/>
  <c r="U134" s="1"/>
  <c r="U6"/>
  <c r="U7"/>
  <c r="Y25"/>
  <c r="Y90" s="1"/>
  <c r="X86"/>
  <c r="U40"/>
  <c r="T87"/>
  <c r="AC36"/>
  <c r="F66"/>
  <c r="F175" s="1"/>
  <c r="L66"/>
  <c r="L175" s="1"/>
  <c r="K66"/>
  <c r="K175" s="1"/>
  <c r="J66"/>
  <c r="J175" s="1"/>
  <c r="AA21"/>
  <c r="C66"/>
  <c r="C175" s="1"/>
  <c r="U171"/>
  <c r="U179" s="1"/>
  <c r="I66"/>
  <c r="I175" s="1"/>
  <c r="R56"/>
  <c r="G174"/>
  <c r="R57"/>
  <c r="R58"/>
  <c r="R65"/>
  <c r="R67"/>
  <c r="G173"/>
  <c r="G180" s="1"/>
  <c r="G181" s="1"/>
  <c r="R54"/>
  <c r="G176"/>
  <c r="R68"/>
  <c r="G66"/>
  <c r="R64"/>
  <c r="N174"/>
  <c r="N173"/>
  <c r="N180" s="1"/>
  <c r="N181" s="1"/>
  <c r="N176"/>
  <c r="P174"/>
  <c r="L173"/>
  <c r="L180" s="1"/>
  <c r="L181" s="1"/>
  <c r="N66"/>
  <c r="M66"/>
  <c r="M175" s="1"/>
  <c r="P176"/>
  <c r="P66"/>
  <c r="T65"/>
  <c r="C6" i="12"/>
  <c r="C26" i="15"/>
  <c r="C58"/>
  <c r="C57"/>
  <c r="C54"/>
  <c r="C53"/>
  <c r="C50"/>
  <c r="C49"/>
  <c r="C45"/>
  <c r="T191" i="18" l="1"/>
  <c r="T190" s="1"/>
  <c r="P191"/>
  <c r="P181"/>
  <c r="R180"/>
  <c r="U95"/>
  <c r="U101" s="1"/>
  <c r="U52"/>
  <c r="U91" s="1"/>
  <c r="U192"/>
  <c r="V192" s="1"/>
  <c r="W192" s="1"/>
  <c r="X192" s="1"/>
  <c r="Y192" s="1"/>
  <c r="Z192" s="1"/>
  <c r="AA192" s="1"/>
  <c r="AB192" s="1"/>
  <c r="AC192" s="1"/>
  <c r="AD192" s="1"/>
  <c r="AE192" s="1"/>
  <c r="AF192" s="1"/>
  <c r="AG192" s="1"/>
  <c r="AH192" s="1"/>
  <c r="AI192" s="1"/>
  <c r="AJ192" s="1"/>
  <c r="AK192" s="1"/>
  <c r="AL192" s="1"/>
  <c r="AM192" s="1"/>
  <c r="AN192" s="1"/>
  <c r="AO192" s="1"/>
  <c r="AP192" s="1"/>
  <c r="AQ192" s="1"/>
  <c r="AR192" s="1"/>
  <c r="AS192" s="1"/>
  <c r="AT192" s="1"/>
  <c r="U106"/>
  <c r="Y127"/>
  <c r="Y137"/>
  <c r="Y128"/>
  <c r="Y138"/>
  <c r="AF36"/>
  <c r="AC94"/>
  <c r="AB23"/>
  <c r="AA97"/>
  <c r="AA103" s="1"/>
  <c r="U131"/>
  <c r="U130"/>
  <c r="U96"/>
  <c r="U102" s="1"/>
  <c r="U126"/>
  <c r="U89"/>
  <c r="Y120"/>
  <c r="Y121"/>
  <c r="Y122"/>
  <c r="Y109"/>
  <c r="Y93"/>
  <c r="Y99" s="1"/>
  <c r="Y118"/>
  <c r="Y117"/>
  <c r="U107"/>
  <c r="U108"/>
  <c r="Z18"/>
  <c r="AA20"/>
  <c r="Z72"/>
  <c r="T64"/>
  <c r="T66" s="1"/>
  <c r="T81"/>
  <c r="T60"/>
  <c r="T62"/>
  <c r="T177" s="1"/>
  <c r="T68"/>
  <c r="T176" s="1"/>
  <c r="T78"/>
  <c r="T80"/>
  <c r="T135" s="1"/>
  <c r="T51"/>
  <c r="T50"/>
  <c r="T172" s="1"/>
  <c r="T61"/>
  <c r="T57"/>
  <c r="T58"/>
  <c r="T67"/>
  <c r="T56"/>
  <c r="T82"/>
  <c r="T54"/>
  <c r="T178" s="1"/>
  <c r="Z27"/>
  <c r="V15"/>
  <c r="V125" s="1"/>
  <c r="V13"/>
  <c r="V12"/>
  <c r="V16"/>
  <c r="V133" s="1"/>
  <c r="V134" s="1"/>
  <c r="V10"/>
  <c r="V7"/>
  <c r="V6"/>
  <c r="AD36"/>
  <c r="Z25"/>
  <c r="Z90" s="1"/>
  <c r="Y86"/>
  <c r="V40"/>
  <c r="U88"/>
  <c r="U87"/>
  <c r="U42"/>
  <c r="T75"/>
  <c r="T76"/>
  <c r="T77"/>
  <c r="T74"/>
  <c r="AB21"/>
  <c r="V171"/>
  <c r="V179" s="1"/>
  <c r="R174"/>
  <c r="R173"/>
  <c r="R176"/>
  <c r="G175"/>
  <c r="R66"/>
  <c r="N175"/>
  <c r="P175"/>
  <c r="C16" i="15"/>
  <c r="C21"/>
  <c r="C10"/>
  <c r="V95" i="18" l="1"/>
  <c r="V101" s="1"/>
  <c r="V52"/>
  <c r="V91" s="1"/>
  <c r="U193"/>
  <c r="V193" s="1"/>
  <c r="W193" s="1"/>
  <c r="X193" s="1"/>
  <c r="Y193" s="1"/>
  <c r="Z193" s="1"/>
  <c r="AA193" s="1"/>
  <c r="AB193" s="1"/>
  <c r="AC193" s="1"/>
  <c r="AD193" s="1"/>
  <c r="AE193" s="1"/>
  <c r="AF193" s="1"/>
  <c r="AG193" s="1"/>
  <c r="AH193" s="1"/>
  <c r="AI193" s="1"/>
  <c r="AJ193" s="1"/>
  <c r="AK193" s="1"/>
  <c r="AL193" s="1"/>
  <c r="AM193" s="1"/>
  <c r="AN193" s="1"/>
  <c r="AO193" s="1"/>
  <c r="AP193" s="1"/>
  <c r="AQ193" s="1"/>
  <c r="AR193" s="1"/>
  <c r="AS193" s="1"/>
  <c r="AT193" s="1"/>
  <c r="AD94"/>
  <c r="AC100"/>
  <c r="AD100" s="1"/>
  <c r="U191"/>
  <c r="V191" s="1"/>
  <c r="W191" s="1"/>
  <c r="X191" s="1"/>
  <c r="Y191" s="1"/>
  <c r="Z191" s="1"/>
  <c r="AA191" s="1"/>
  <c r="AB191" s="1"/>
  <c r="AC191" s="1"/>
  <c r="AD191" s="1"/>
  <c r="V106"/>
  <c r="U111"/>
  <c r="U112" s="1"/>
  <c r="U55"/>
  <c r="Z127"/>
  <c r="Z137"/>
  <c r="Z128"/>
  <c r="Z138"/>
  <c r="AC23"/>
  <c r="AB97"/>
  <c r="AB103" s="1"/>
  <c r="V96"/>
  <c r="V102" s="1"/>
  <c r="V126"/>
  <c r="V131"/>
  <c r="V130"/>
  <c r="V89"/>
  <c r="Z122"/>
  <c r="Z121"/>
  <c r="Z120"/>
  <c r="Z109"/>
  <c r="U64"/>
  <c r="Z93"/>
  <c r="Z99" s="1"/>
  <c r="Z118"/>
  <c r="Z117"/>
  <c r="V107"/>
  <c r="V108"/>
  <c r="U60"/>
  <c r="AA18"/>
  <c r="AB20"/>
  <c r="AA72"/>
  <c r="U62"/>
  <c r="U177" s="1"/>
  <c r="U68"/>
  <c r="U176" s="1"/>
  <c r="U78"/>
  <c r="U80"/>
  <c r="U135" s="1"/>
  <c r="U50"/>
  <c r="U172" s="1"/>
  <c r="U51"/>
  <c r="U57"/>
  <c r="U56"/>
  <c r="U67"/>
  <c r="U82"/>
  <c r="U61"/>
  <c r="U58"/>
  <c r="U54"/>
  <c r="U178" s="1"/>
  <c r="U65"/>
  <c r="U81"/>
  <c r="AA27"/>
  <c r="W13"/>
  <c r="W12"/>
  <c r="W15"/>
  <c r="W125" s="1"/>
  <c r="W10"/>
  <c r="W16"/>
  <c r="W133" s="1"/>
  <c r="W134" s="1"/>
  <c r="W6"/>
  <c r="W7"/>
  <c r="W40"/>
  <c r="V88"/>
  <c r="V87"/>
  <c r="AA25"/>
  <c r="AA90" s="1"/>
  <c r="Z86"/>
  <c r="V42"/>
  <c r="U77"/>
  <c r="U76"/>
  <c r="U75"/>
  <c r="U74"/>
  <c r="AC21"/>
  <c r="AF21" s="1"/>
  <c r="T175"/>
  <c r="W171"/>
  <c r="W179" s="1"/>
  <c r="T173"/>
  <c r="T180" s="1"/>
  <c r="T174"/>
  <c r="R175"/>
  <c r="D31" i="8"/>
  <c r="D29"/>
  <c r="D28"/>
  <c r="D13"/>
  <c r="D30" s="1"/>
  <c r="E14"/>
  <c r="F14" s="1"/>
  <c r="G14" s="1"/>
  <c r="H14" s="1"/>
  <c r="I14" s="1"/>
  <c r="U113" i="18" l="1"/>
  <c r="U114" s="1"/>
  <c r="U115"/>
  <c r="W95"/>
  <c r="W101" s="1"/>
  <c r="W52"/>
  <c r="W91" s="1"/>
  <c r="U190"/>
  <c r="V190" s="1"/>
  <c r="W190" s="1"/>
  <c r="X190" s="1"/>
  <c r="Y190" s="1"/>
  <c r="Z190" s="1"/>
  <c r="AA190" s="1"/>
  <c r="AB190" s="1"/>
  <c r="AC190" s="1"/>
  <c r="AD190" s="1"/>
  <c r="AE191"/>
  <c r="AF191" s="1"/>
  <c r="AG191" s="1"/>
  <c r="AH191" s="1"/>
  <c r="AI191" s="1"/>
  <c r="AJ191" s="1"/>
  <c r="AK191" s="1"/>
  <c r="AL191" s="1"/>
  <c r="AM191" s="1"/>
  <c r="AN191" s="1"/>
  <c r="AO191" s="1"/>
  <c r="AP191" s="1"/>
  <c r="AQ191" s="1"/>
  <c r="AR191" s="1"/>
  <c r="AS191" s="1"/>
  <c r="AT191" s="1"/>
  <c r="W106"/>
  <c r="V111"/>
  <c r="V112" s="1"/>
  <c r="V55"/>
  <c r="AA127"/>
  <c r="AA137"/>
  <c r="AA128"/>
  <c r="AA138"/>
  <c r="AF23"/>
  <c r="AC97"/>
  <c r="AD23"/>
  <c r="W89"/>
  <c r="W130"/>
  <c r="W131"/>
  <c r="W96"/>
  <c r="W102" s="1"/>
  <c r="W126"/>
  <c r="AA122"/>
  <c r="AA121"/>
  <c r="AA120"/>
  <c r="AA109"/>
  <c r="V64"/>
  <c r="U66"/>
  <c r="U175" s="1"/>
  <c r="AA93"/>
  <c r="AA99" s="1"/>
  <c r="AA118"/>
  <c r="AA117"/>
  <c r="W108"/>
  <c r="W107"/>
  <c r="AB18"/>
  <c r="AC20"/>
  <c r="AB72"/>
  <c r="V82"/>
  <c r="V81"/>
  <c r="V60"/>
  <c r="V68"/>
  <c r="V176" s="1"/>
  <c r="V67"/>
  <c r="V62"/>
  <c r="V177" s="1"/>
  <c r="V65"/>
  <c r="V56"/>
  <c r="V78"/>
  <c r="V80"/>
  <c r="V135" s="1"/>
  <c r="V51"/>
  <c r="V50"/>
  <c r="V172" s="1"/>
  <c r="V61"/>
  <c r="V57"/>
  <c r="V58"/>
  <c r="V54"/>
  <c r="V178" s="1"/>
  <c r="AB27"/>
  <c r="X12"/>
  <c r="X15"/>
  <c r="X125" s="1"/>
  <c r="X13"/>
  <c r="X16"/>
  <c r="X133" s="1"/>
  <c r="X134" s="1"/>
  <c r="X10"/>
  <c r="X7"/>
  <c r="X6"/>
  <c r="AB25"/>
  <c r="AA86"/>
  <c r="X40"/>
  <c r="W87"/>
  <c r="W88"/>
  <c r="W42"/>
  <c r="V77"/>
  <c r="V75"/>
  <c r="V76"/>
  <c r="V74"/>
  <c r="AD21"/>
  <c r="X171"/>
  <c r="X179" s="1"/>
  <c r="U173"/>
  <c r="U180" s="1"/>
  <c r="U174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V113" i="18" l="1"/>
  <c r="V114" s="1"/>
  <c r="V115"/>
  <c r="X95"/>
  <c r="X101" s="1"/>
  <c r="X52"/>
  <c r="X91" s="1"/>
  <c r="AE190"/>
  <c r="AF190" s="1"/>
  <c r="AG190" s="1"/>
  <c r="AH190" s="1"/>
  <c r="AI190" s="1"/>
  <c r="AJ190" s="1"/>
  <c r="AK190" s="1"/>
  <c r="AL190" s="1"/>
  <c r="AM190" s="1"/>
  <c r="AN190" s="1"/>
  <c r="AO190" s="1"/>
  <c r="AP190" s="1"/>
  <c r="AQ190" s="1"/>
  <c r="AR190" s="1"/>
  <c r="AS190" s="1"/>
  <c r="AT190" s="1"/>
  <c r="AD97"/>
  <c r="AC103"/>
  <c r="AD103" s="1"/>
  <c r="X106"/>
  <c r="W111"/>
  <c r="W112" s="1"/>
  <c r="W55"/>
  <c r="AB127"/>
  <c r="AB137"/>
  <c r="AB128"/>
  <c r="AB138"/>
  <c r="AF20"/>
  <c r="AB90"/>
  <c r="X131"/>
  <c r="X130"/>
  <c r="X96"/>
  <c r="X102" s="1"/>
  <c r="X126"/>
  <c r="X89"/>
  <c r="AB121"/>
  <c r="AB120"/>
  <c r="AB122"/>
  <c r="AB109"/>
  <c r="V66"/>
  <c r="V175" s="1"/>
  <c r="AB93"/>
  <c r="AB99" s="1"/>
  <c r="AB118"/>
  <c r="AB117"/>
  <c r="W67"/>
  <c r="X108"/>
  <c r="X107"/>
  <c r="AC18"/>
  <c r="W82"/>
  <c r="W58"/>
  <c r="W65"/>
  <c r="AD20"/>
  <c r="AC72"/>
  <c r="W56"/>
  <c r="W64"/>
  <c r="W61"/>
  <c r="W81"/>
  <c r="W57"/>
  <c r="W62"/>
  <c r="W177" s="1"/>
  <c r="W78"/>
  <c r="W80"/>
  <c r="W135" s="1"/>
  <c r="W50"/>
  <c r="W172" s="1"/>
  <c r="W51"/>
  <c r="W60"/>
  <c r="W68"/>
  <c r="W176" s="1"/>
  <c r="W54"/>
  <c r="W178" s="1"/>
  <c r="AC27"/>
  <c r="AC138" s="1"/>
  <c r="AD138" s="1"/>
  <c r="Y15"/>
  <c r="Y125" s="1"/>
  <c r="Y13"/>
  <c r="Y12"/>
  <c r="Y10"/>
  <c r="Y16"/>
  <c r="Y133" s="1"/>
  <c r="Y134" s="1"/>
  <c r="Y6"/>
  <c r="Y7"/>
  <c r="Y40"/>
  <c r="X88"/>
  <c r="X87"/>
  <c r="AC25"/>
  <c r="AC90" s="1"/>
  <c r="AD90" s="1"/>
  <c r="AB86"/>
  <c r="X42"/>
  <c r="W77"/>
  <c r="W75"/>
  <c r="W76"/>
  <c r="W74"/>
  <c r="Y171"/>
  <c r="Y179" s="1"/>
  <c r="V173"/>
  <c r="V180" s="1"/>
  <c r="V174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W113" i="18" l="1"/>
  <c r="W114" s="1"/>
  <c r="W115"/>
  <c r="Y95"/>
  <c r="Y101" s="1"/>
  <c r="Y52"/>
  <c r="Y91" s="1"/>
  <c r="Y106"/>
  <c r="X111"/>
  <c r="X112" s="1"/>
  <c r="X55"/>
  <c r="AC127"/>
  <c r="AD127" s="1"/>
  <c r="AC137"/>
  <c r="AD137" s="1"/>
  <c r="Y96"/>
  <c r="Y102" s="1"/>
  <c r="Y126"/>
  <c r="Y131"/>
  <c r="Y130"/>
  <c r="AF27"/>
  <c r="AC128"/>
  <c r="AD128" s="1"/>
  <c r="Y89"/>
  <c r="AC120"/>
  <c r="AD120" s="1"/>
  <c r="AC122"/>
  <c r="AD122" s="1"/>
  <c r="AC121"/>
  <c r="AD121" s="1"/>
  <c r="N32" i="9"/>
  <c r="N33" s="1"/>
  <c r="N34" s="1"/>
  <c r="N35" s="1"/>
  <c r="N36" s="1"/>
  <c r="N37" s="1"/>
  <c r="N38" s="1"/>
  <c r="N39" s="1"/>
  <c r="N40" s="1"/>
  <c r="N41" s="1"/>
  <c r="N42" s="1"/>
  <c r="M45"/>
  <c r="AC109" i="18"/>
  <c r="AD109" s="1"/>
  <c r="W66"/>
  <c r="W175" s="1"/>
  <c r="X65"/>
  <c r="AC93"/>
  <c r="AC118"/>
  <c r="AD118" s="1"/>
  <c r="AC117"/>
  <c r="AD117" s="1"/>
  <c r="Y108"/>
  <c r="Y107"/>
  <c r="AF25"/>
  <c r="AF18"/>
  <c r="AD18"/>
  <c r="T161"/>
  <c r="AF72"/>
  <c r="AD72"/>
  <c r="M32" i="9"/>
  <c r="M33" s="1"/>
  <c r="M34" s="1"/>
  <c r="M35" s="1"/>
  <c r="M36" s="1"/>
  <c r="M37" s="1"/>
  <c r="M38" s="1"/>
  <c r="M39" s="1"/>
  <c r="M40" s="1"/>
  <c r="M41" s="1"/>
  <c r="P32"/>
  <c r="X68" i="18"/>
  <c r="X176" s="1"/>
  <c r="X67"/>
  <c r="X62"/>
  <c r="X177" s="1"/>
  <c r="X64"/>
  <c r="X61"/>
  <c r="X81"/>
  <c r="X60"/>
  <c r="X82"/>
  <c r="X78"/>
  <c r="X80"/>
  <c r="X135" s="1"/>
  <c r="X51"/>
  <c r="X50"/>
  <c r="X172" s="1"/>
  <c r="X56"/>
  <c r="X57"/>
  <c r="X58"/>
  <c r="X54"/>
  <c r="X178" s="1"/>
  <c r="AD27"/>
  <c r="Z12"/>
  <c r="Z15"/>
  <c r="Z125" s="1"/>
  <c r="Z13"/>
  <c r="Z10"/>
  <c r="Z16"/>
  <c r="Z133" s="1"/>
  <c r="Z134" s="1"/>
  <c r="Z7"/>
  <c r="Z6"/>
  <c r="AD25"/>
  <c r="AC86"/>
  <c r="AD86" s="1"/>
  <c r="Z40"/>
  <c r="Y88"/>
  <c r="Y87"/>
  <c r="O31" i="9"/>
  <c r="O32" s="1"/>
  <c r="Y42" i="18"/>
  <c r="X77"/>
  <c r="X75"/>
  <c r="X76"/>
  <c r="X74"/>
  <c r="Z171"/>
  <c r="Z179" s="1"/>
  <c r="W173"/>
  <c r="W180" s="1"/>
  <c r="W174"/>
  <c r="P31" i="11"/>
  <c r="N32"/>
  <c r="T19" i="9"/>
  <c r="D22"/>
  <c r="X113" i="18" l="1"/>
  <c r="X114" s="1"/>
  <c r="X115"/>
  <c r="Z95"/>
  <c r="Z101" s="1"/>
  <c r="Z52"/>
  <c r="Z91" s="1"/>
  <c r="AD93"/>
  <c r="AC99"/>
  <c r="AD99" s="1"/>
  <c r="Z106"/>
  <c r="Y111"/>
  <c r="Y112" s="1"/>
  <c r="Y55"/>
  <c r="Z131"/>
  <c r="Z130"/>
  <c r="Z96"/>
  <c r="Z102" s="1"/>
  <c r="Z126"/>
  <c r="Z89"/>
  <c r="X66"/>
  <c r="X175" s="1"/>
  <c r="Y58"/>
  <c r="Z107"/>
  <c r="Z108"/>
  <c r="U161"/>
  <c r="S161" s="1"/>
  <c r="Y60"/>
  <c r="Y67"/>
  <c r="Y54"/>
  <c r="Y178" s="1"/>
  <c r="Y62"/>
  <c r="Y177" s="1"/>
  <c r="Y57"/>
  <c r="Y56"/>
  <c r="Y78"/>
  <c r="Y80"/>
  <c r="Y135" s="1"/>
  <c r="Y51"/>
  <c r="Y50"/>
  <c r="Y172" s="1"/>
  <c r="Y82"/>
  <c r="Y61"/>
  <c r="Y68"/>
  <c r="Y176" s="1"/>
  <c r="Y65"/>
  <c r="Y64"/>
  <c r="Y81"/>
  <c r="AA13"/>
  <c r="AA12"/>
  <c r="AA15"/>
  <c r="AA125" s="1"/>
  <c r="AA10"/>
  <c r="AA16"/>
  <c r="AA133" s="1"/>
  <c r="AA134" s="1"/>
  <c r="AA6"/>
  <c r="AA7"/>
  <c r="AA40"/>
  <c r="Z88"/>
  <c r="Z87"/>
  <c r="Z42"/>
  <c r="Y77"/>
  <c r="Y75"/>
  <c r="Y76"/>
  <c r="Y74"/>
  <c r="AA171"/>
  <c r="AA179" s="1"/>
  <c r="X173"/>
  <c r="X180" s="1"/>
  <c r="X174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Y113" i="18" l="1"/>
  <c r="Y114" s="1"/>
  <c r="Y115"/>
  <c r="AA95"/>
  <c r="AA101" s="1"/>
  <c r="AA52"/>
  <c r="AA91" s="1"/>
  <c r="AA106"/>
  <c r="Z111"/>
  <c r="Z112" s="1"/>
  <c r="Z55"/>
  <c r="AA96"/>
  <c r="AA102" s="1"/>
  <c r="AA126"/>
  <c r="AA130"/>
  <c r="AA131"/>
  <c r="AA89"/>
  <c r="AA107"/>
  <c r="AA108"/>
  <c r="Y66"/>
  <c r="Y175" s="1"/>
  <c r="Z78"/>
  <c r="Z80"/>
  <c r="Z135" s="1"/>
  <c r="Z50"/>
  <c r="Z172" s="1"/>
  <c r="Z51"/>
  <c r="Z62"/>
  <c r="Z177" s="1"/>
  <c r="Z68"/>
  <c r="Z176" s="1"/>
  <c r="Z67"/>
  <c r="Z65"/>
  <c r="Z56"/>
  <c r="Z54"/>
  <c r="Z178" s="1"/>
  <c r="Z61"/>
  <c r="Z57"/>
  <c r="Z58"/>
  <c r="Z64"/>
  <c r="Z81"/>
  <c r="Z60"/>
  <c r="Z82"/>
  <c r="AB12"/>
  <c r="AB15"/>
  <c r="AB125" s="1"/>
  <c r="AB13"/>
  <c r="AB10"/>
  <c r="AB16"/>
  <c r="AB133" s="1"/>
  <c r="AB134" s="1"/>
  <c r="AB7"/>
  <c r="AB6"/>
  <c r="AB40"/>
  <c r="AA87"/>
  <c r="AA88"/>
  <c r="AA42"/>
  <c r="Z77"/>
  <c r="Z75"/>
  <c r="Z76"/>
  <c r="Z74"/>
  <c r="AB171"/>
  <c r="AB179" s="1"/>
  <c r="Y173"/>
  <c r="Y180" s="1"/>
  <c r="Y174"/>
  <c r="N34" i="11"/>
  <c r="O33"/>
  <c r="D25" i="8"/>
  <c r="D23"/>
  <c r="Z113" i="18" l="1"/>
  <c r="Z114" s="1"/>
  <c r="Z115"/>
  <c r="AB95"/>
  <c r="AB101" s="1"/>
  <c r="AB52"/>
  <c r="AB91" s="1"/>
  <c r="AB106"/>
  <c r="AA111"/>
  <c r="AA112" s="1"/>
  <c r="AA55"/>
  <c r="AB89"/>
  <c r="AB130"/>
  <c r="AB131"/>
  <c r="AB96"/>
  <c r="AB102" s="1"/>
  <c r="AB126"/>
  <c r="AB107"/>
  <c r="AB108"/>
  <c r="Z66"/>
  <c r="Z175" s="1"/>
  <c r="AA78"/>
  <c r="AA80"/>
  <c r="AA135" s="1"/>
  <c r="AA51"/>
  <c r="AA50"/>
  <c r="AA172" s="1"/>
  <c r="AA56"/>
  <c r="AA67"/>
  <c r="AA57"/>
  <c r="AA62"/>
  <c r="AA177" s="1"/>
  <c r="AA65"/>
  <c r="AA64"/>
  <c r="AA82"/>
  <c r="AA68"/>
  <c r="AA176" s="1"/>
  <c r="AA54"/>
  <c r="AA178" s="1"/>
  <c r="AA61"/>
  <c r="AA81"/>
  <c r="AA60"/>
  <c r="AA58"/>
  <c r="AC15"/>
  <c r="AC13"/>
  <c r="AF13" s="1"/>
  <c r="AC12"/>
  <c r="AC126" s="1"/>
  <c r="AD126" s="1"/>
  <c r="AC10"/>
  <c r="AC16"/>
  <c r="AC6"/>
  <c r="AF6" s="1"/>
  <c r="AC7"/>
  <c r="AF7" s="1"/>
  <c r="AC40"/>
  <c r="AB88"/>
  <c r="AB87"/>
  <c r="AB42"/>
  <c r="AA77"/>
  <c r="AA75"/>
  <c r="AA76"/>
  <c r="AA74"/>
  <c r="AC171"/>
  <c r="AC179" s="1"/>
  <c r="Z173"/>
  <c r="Z180" s="1"/>
  <c r="Z174"/>
  <c r="N35" i="11"/>
  <c r="O34"/>
  <c r="D35" i="8"/>
  <c r="E5"/>
  <c r="E18" s="1"/>
  <c r="D18"/>
  <c r="D19"/>
  <c r="D21"/>
  <c r="D20"/>
  <c r="AA113" i="18" l="1"/>
  <c r="AA114" s="1"/>
  <c r="AA115"/>
  <c r="AC95"/>
  <c r="AC101" s="1"/>
  <c r="AD101" s="1"/>
  <c r="AC52"/>
  <c r="AC106"/>
  <c r="AD179"/>
  <c r="AF179" s="1"/>
  <c r="AB111"/>
  <c r="AB112" s="1"/>
  <c r="AB55"/>
  <c r="AF16"/>
  <c r="AC133"/>
  <c r="AC131"/>
  <c r="AD131" s="1"/>
  <c r="AC130"/>
  <c r="AD130" s="1"/>
  <c r="AF15"/>
  <c r="AC125"/>
  <c r="AD125" s="1"/>
  <c r="AC89"/>
  <c r="AD89" s="1"/>
  <c r="AF10"/>
  <c r="AD106"/>
  <c r="AF12"/>
  <c r="AC96"/>
  <c r="AF40"/>
  <c r="AC107"/>
  <c r="AD107" s="1"/>
  <c r="AC108"/>
  <c r="AD108" s="1"/>
  <c r="AA66"/>
  <c r="AA175" s="1"/>
  <c r="AB78"/>
  <c r="AB80"/>
  <c r="AB135" s="1"/>
  <c r="AB50"/>
  <c r="AB172" s="1"/>
  <c r="AB51"/>
  <c r="AB60"/>
  <c r="AB68"/>
  <c r="AB176" s="1"/>
  <c r="AB54"/>
  <c r="AB178" s="1"/>
  <c r="AB62"/>
  <c r="AB177" s="1"/>
  <c r="AB65"/>
  <c r="AB81"/>
  <c r="AB56"/>
  <c r="AB57"/>
  <c r="AB58"/>
  <c r="AB61"/>
  <c r="AB82"/>
  <c r="AB64"/>
  <c r="AB67"/>
  <c r="AD15"/>
  <c r="AD13"/>
  <c r="T155"/>
  <c r="AD12"/>
  <c r="AD10"/>
  <c r="AD16"/>
  <c r="AD7"/>
  <c r="AD6"/>
  <c r="AC88"/>
  <c r="AD88" s="1"/>
  <c r="AC87"/>
  <c r="AD87" s="1"/>
  <c r="AD40"/>
  <c r="AC42"/>
  <c r="AB77"/>
  <c r="AB75"/>
  <c r="AB76"/>
  <c r="AB74"/>
  <c r="AD171"/>
  <c r="AF171" s="1"/>
  <c r="AA173"/>
  <c r="AA180" s="1"/>
  <c r="AA174"/>
  <c r="N36" i="11"/>
  <c r="O35"/>
  <c r="F5" i="8"/>
  <c r="G5" s="1"/>
  <c r="H5" s="1"/>
  <c r="I5" s="1"/>
  <c r="AD95" i="18" l="1"/>
  <c r="AB113"/>
  <c r="AB114" s="1"/>
  <c r="AB115"/>
  <c r="AC91"/>
  <c r="AD91" s="1"/>
  <c r="AD52"/>
  <c r="AF52"/>
  <c r="AD96"/>
  <c r="AC102"/>
  <c r="AD102" s="1"/>
  <c r="AC111"/>
  <c r="AC112" s="1"/>
  <c r="AC55"/>
  <c r="AD133"/>
  <c r="AC134"/>
  <c r="AD134" s="1"/>
  <c r="AF42"/>
  <c r="U155"/>
  <c r="U156" s="1"/>
  <c r="AB66"/>
  <c r="AB175" s="1"/>
  <c r="AC78"/>
  <c r="AC80"/>
  <c r="AC50"/>
  <c r="AC172" s="1"/>
  <c r="AD172" s="1"/>
  <c r="AF172" s="1"/>
  <c r="AC51"/>
  <c r="AC60"/>
  <c r="AC65"/>
  <c r="AC54"/>
  <c r="AC62"/>
  <c r="AC58"/>
  <c r="AC81"/>
  <c r="AC57"/>
  <c r="AF57" s="1"/>
  <c r="AC56"/>
  <c r="AC67"/>
  <c r="AC82"/>
  <c r="AC61"/>
  <c r="AC68"/>
  <c r="AC64"/>
  <c r="T156"/>
  <c r="Q187" s="1"/>
  <c r="AC77"/>
  <c r="AC75"/>
  <c r="AD42"/>
  <c r="AC76"/>
  <c r="AC74"/>
  <c r="AB173"/>
  <c r="AB180" s="1"/>
  <c r="AB174"/>
  <c r="N37" i="11"/>
  <c r="O36"/>
  <c r="F18" i="8"/>
  <c r="G18"/>
  <c r="AC113" i="18" l="1"/>
  <c r="AC114" s="1"/>
  <c r="AC115"/>
  <c r="AF54"/>
  <c r="AC178"/>
  <c r="AF55"/>
  <c r="AD55"/>
  <c r="AF80"/>
  <c r="AC135"/>
  <c r="AD135" s="1"/>
  <c r="AD111"/>
  <c r="S155"/>
  <c r="S156"/>
  <c r="AD81"/>
  <c r="AF81"/>
  <c r="AD51"/>
  <c r="AF51"/>
  <c r="T152"/>
  <c r="AF67"/>
  <c r="AC176"/>
  <c r="AD176" s="1"/>
  <c r="AF176" s="1"/>
  <c r="AF68"/>
  <c r="AD50"/>
  <c r="AF50"/>
  <c r="AD65"/>
  <c r="AF65"/>
  <c r="T146"/>
  <c r="AF64"/>
  <c r="T145"/>
  <c r="AF58"/>
  <c r="AC177"/>
  <c r="AD177" s="1"/>
  <c r="AF177" s="1"/>
  <c r="AF62"/>
  <c r="AD61"/>
  <c r="AF61"/>
  <c r="T143"/>
  <c r="Q186" s="1"/>
  <c r="AF56"/>
  <c r="T148"/>
  <c r="AF60"/>
  <c r="AD82"/>
  <c r="AF82"/>
  <c r="T168"/>
  <c r="Q188" s="1"/>
  <c r="AF78"/>
  <c r="T166"/>
  <c r="AF77"/>
  <c r="T165"/>
  <c r="AF76"/>
  <c r="T163"/>
  <c r="AF74"/>
  <c r="T164"/>
  <c r="AF75"/>
  <c r="AD67"/>
  <c r="T149"/>
  <c r="AD56"/>
  <c r="AD58"/>
  <c r="U145" s="1"/>
  <c r="AD60"/>
  <c r="T150"/>
  <c r="Q185" s="1"/>
  <c r="AD78"/>
  <c r="AD64"/>
  <c r="T153"/>
  <c r="AC66"/>
  <c r="AD62"/>
  <c r="AD68"/>
  <c r="AD80"/>
  <c r="AD76"/>
  <c r="AD75"/>
  <c r="AD74"/>
  <c r="AD77"/>
  <c r="T142"/>
  <c r="Q189" s="1"/>
  <c r="Q190" s="1"/>
  <c r="AD54"/>
  <c r="AC173"/>
  <c r="AC180" s="1"/>
  <c r="AD180" s="1"/>
  <c r="AD57"/>
  <c r="U144" s="1"/>
  <c r="AC174"/>
  <c r="T144"/>
  <c r="N38" i="11"/>
  <c r="O37"/>
  <c r="H18" i="8"/>
  <c r="M187" i="18" l="1"/>
  <c r="P187"/>
  <c r="AD178"/>
  <c r="AF178" s="1"/>
  <c r="U142"/>
  <c r="S142" s="1"/>
  <c r="AD112"/>
  <c r="U153"/>
  <c r="S153" s="1"/>
  <c r="U143"/>
  <c r="S143" s="1"/>
  <c r="U152"/>
  <c r="S152" s="1"/>
  <c r="U148"/>
  <c r="S148" s="1"/>
  <c r="U150"/>
  <c r="S150" s="1"/>
  <c r="P185" s="1"/>
  <c r="U168"/>
  <c r="S168" s="1"/>
  <c r="P188" s="1"/>
  <c r="U165"/>
  <c r="S165" s="1"/>
  <c r="AD66"/>
  <c r="AF66"/>
  <c r="U146"/>
  <c r="S146" s="1"/>
  <c r="S145"/>
  <c r="U149"/>
  <c r="S149" s="1"/>
  <c r="U163"/>
  <c r="S163" s="1"/>
  <c r="AC175"/>
  <c r="AD175" s="1"/>
  <c r="AF175" s="1"/>
  <c r="U166"/>
  <c r="S166" s="1"/>
  <c r="U164"/>
  <c r="S164" s="1"/>
  <c r="AD174"/>
  <c r="AF174" s="1"/>
  <c r="AD173"/>
  <c r="AF173" s="1"/>
  <c r="AF180" s="1"/>
  <c r="S144"/>
  <c r="N39" i="11"/>
  <c r="O38"/>
  <c r="I18" i="8"/>
  <c r="M186" i="18" l="1"/>
  <c r="P186"/>
  <c r="P189"/>
  <c r="P190" s="1"/>
  <c r="M188"/>
  <c r="M185"/>
  <c r="AD114"/>
  <c r="AD113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<sst xmlns="http://schemas.openxmlformats.org/spreadsheetml/2006/main" count="651" uniqueCount="459">
  <si>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</si>
  <si>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</si>
  <si>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</si>
  <si>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</si>
  <si>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</si>
  <si>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</si>
  <si>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</si>
  <si>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</si>
  <si>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</si>
  <si>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</si>
  <si>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</si>
  <si>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</si>
  <si>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</si>
  <si>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</si>
  <si>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</si>
  <si>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</si>
  <si>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</si>
  <si>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</si>
  <si>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</si>
  <si>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</si>
  <si>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</si>
  <si>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</si>
  <si>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</si>
  <si>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</si>
  <si>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</si>
  <si>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</si>
  <si>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</si>
  <si>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</si>
  <si>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</si>
  <si>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</si>
  <si>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</si>
  <si>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</si>
  <si>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</si>
  <si>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</si>
  <si>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</si>
  <si>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</si>
  <si>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</si>
  <si>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</si>
  <si>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</si>
  <si>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</si>
  <si>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</si>
  <si>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</si>
  <si>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</si>
  <si>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</si>
  <si>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</si>
  <si>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</si>
  <si>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</si>
  <si>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</si>
  <si>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</si>
  <si>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</si>
  <si>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</si>
  <si>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</si>
  <si>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</si>
  <si>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</si>
  <si>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</si>
  <si>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</si>
  <si>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</si>
  <si>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</si>
  <si>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</si>
  <si>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</si>
  <si>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</si>
  <si>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</si>
  <si>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</si>
  <si>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</si>
  <si>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</si>
  <si>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</si>
  <si>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</si>
  <si>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</si>
  <si>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</si>
  <si>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</si>
  <si>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</si>
  <si>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</si>
  <si>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</si>
  <si>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</si>
  <si>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</si>
  <si>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</si>
  <si>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</si>
  <si>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</si>
  <si>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</si>
  <si>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</si>
  <si>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</si>
  <si>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</si>
  <si>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</si>
  <si>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</si>
  <si>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</si>
  <si>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</si>
  <si>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</si>
  <si>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</si>
  <si>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</si>
  <si>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</si>
  <si>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</si>
  <si>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</si>
  <si>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</si>
  <si>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</si>
  <si>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</si>
  <si>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</si>
  <si>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</si>
  <si>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</si>
  <si>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</si>
  <si>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</si>
  <si>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</si>
  <si>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</si>
  <si>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</si>
  <si>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</si>
  <si>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</si>
  <si>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</si>
  <si>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</si>
  <si>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</si>
  <si>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</si>
  <si>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</si>
  <si>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</si>
  <si>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</si>
  <si>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</si>
  <si>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</si>
  <si>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</si>
  <si>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</si>
  <si>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</si>
  <si>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</si>
  <si>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</si>
  <si>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</si>
  <si>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</si>
  <si>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</si>
  <si>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</si>
  <si>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</si>
  <si>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</si>
  <si>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</si>
  <si>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</si>
  <si>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</si>
  <si>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</si>
  <si>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</si>
  <si>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</si>
  <si>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</si>
  <si>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</si>
  <si>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</si>
  <si>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</si>
  <si>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</si>
  <si>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</si>
  <si>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</si>
  <si>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</si>
  <si>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</si>
  <si>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</si>
  <si>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</si>
  <si>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</si>
  <si>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</si>
  <si>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</si>
  <si>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</si>
  <si>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</si>
  <si>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</si>
  <si>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</si>
  <si>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</si>
  <si>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</si>
  <si>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</si>
  <si>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</si>
  <si>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</si>
  <si>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</si>
  <si>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</si>
  <si>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</si>
  <si>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</si>
  <si>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</si>
  <si>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</si>
  <si>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</si>
  <si>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</si>
  <si>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</si>
  <si>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</si>
  <si>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</si>
  <si>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</si>
  <si>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</si>
  <si>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</si>
  <si>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</si>
  <si>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</si>
  <si>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</si>
  <si>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</si>
  <si>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</si>
  <si>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</si>
  <si>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</si>
  <si>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</si>
  <si>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</si>
  <si>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</si>
  <si>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</si>
  <si>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</si>
  <si>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</si>
  <si>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</si>
  <si>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</si>
  <si>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</si>
  <si>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</si>
  <si>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</si>
  <si>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</si>
  <si>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</si>
  <si>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</si>
  <si>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</si>
  <si>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</si>
  <si>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</si>
  <si>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</si>
  <si>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</si>
  <si>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</si>
  <si>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</si>
  <si>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</si>
  <si>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</si>
  <si>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</si>
  <si>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</si>
  <si>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</si>
  <si>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</si>
  <si>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</si>
  <si>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</si>
  <si>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</si>
  <si>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</si>
  <si>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</si>
  <si>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</si>
  <si>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</si>
  <si>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</si>
  <si>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</si>
  <si>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</si>
  <si>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</si>
  <si>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</si>
  <si>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</si>
  <si>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</si>
  <si>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</si>
  <si>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</si>
  <si>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</si>
  <si>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</si>
  <si>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</si>
  <si>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</si>
  <si>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</si>
  <si>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</si>
  <si>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</si>
  <si>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</si>
  <si>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</si>
  <si>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</si>
  <si>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</si>
  <si>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</si>
  <si>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</si>
  <si>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</si>
  <si>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</si>
  <si>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</si>
  <si>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</si>
  <si>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</si>
  <si>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</si>
  <si>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</si>
  <si>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</si>
  <si>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</si>
  <si>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</si>
  <si>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</si>
  <si>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</si>
  <si>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</si>
  <si>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</si>
  <si>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</si>
  <si>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</si>
  <si>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</si>
  <si>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</si>
  <si>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</si>
  <si>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</si>
  <si>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</si>
  <si>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</si>
  <si>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</si>
  <si>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</si>
  <si>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</si>
  <si>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</si>
  <si>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</si>
  <si>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</si>
  <si>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</si>
  <si>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</si>
  <si>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</si>
  <si>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</si>
  <si>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</si>
  <si>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</si>
  <si>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</si>
  <si>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</si>
  <si>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</si>
  <si>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</si>
  <si>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</si>
  <si>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</si>
  <si>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</si>
  <si>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</si>
  <si>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</si>
  <si>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</si>
  <si>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</si>
  <si>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</si>
  <si>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</si>
  <si>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</si>
  <si>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</si>
  <si>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</si>
  <si>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</si>
  <si>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</si>
  <si>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</si>
  <si>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</si>
  <si>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</si>
  <si>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</si>
  <si>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</si>
  <si>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</si>
  <si>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</si>
  <si>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</si>
  <si>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</si>
  <si>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</si>
  <si>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</si>
  <si>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</si>
  <si>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</si>
  <si>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</si>
  <si>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</si>
  <si>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</si>
  <si>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</si>
  <si>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</si>
  <si>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</si>
  <si>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</si>
  <si>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</si>
  <si>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</si>
  <si>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</si>
  <si>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</si>
  <si>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</si>
  <si>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</si>
  <si>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</si>
  <si>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</si>
  <si>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</si>
  <si>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</si>
  <si>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</si>
  <si>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</si>
  <si>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</si>
  <si>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</si>
  <si>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</si>
  <si>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</si>
  <si>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</si>
  <si>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</si>
  <si>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</si>
  <si>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</si>
  <si>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</si>
  <si>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</si>
  <si>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</si>
  <si>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</si>
  <si>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</si>
  <si>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</si>
  <si>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</si>
  <si>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</si>
  <si>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</si>
  <si>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</si>
  <si>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</si>
  <si>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</si>
  <si>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</si>
  <si>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</si>
  <si>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</si>
  <si>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</si>
  <si>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</si>
  <si>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</si>
  <si>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</si>
  <si>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</si>
  <si>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</si>
  <si>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</si>
  <si>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</si>
  <si>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</si>
  <si>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</si>
  <si>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</si>
  <si>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</si>
  <si>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</si>
  <si>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</si>
  <si>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</si>
  <si>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</si>
  <si>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</si>
  <si>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</si>
  <si>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</si>
  <si>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</si>
  <si>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</si>
  <si>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</si>
  <si>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</si>
  <si>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</si>
  <si>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</si>
  <si>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</si>
  <si>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</si>
  <si>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</si>
  <si>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</si>
  <si>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</si>
  <si>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</si>
  <si>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</si>
  <si>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</si>
  <si>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</si>
  <si>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</si>
  <si>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</si>
  <si>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</si>
  <si>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</si>
  <si>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</si>
  <si>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</si>
  <si>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</si>
  <si>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</si>
  <si>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</si>
  <si>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</si>
  <si>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</si>
  <si>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</si>
  <si>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</si>
  <si>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</si>
  <si>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</si>
  <si>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</si>
  <si>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</si>
  <si>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</si>
  <si>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</si>
  <si>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</si>
  <si>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</si>
  <si>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</si>
  <si>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</si>
  <si>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</si>
  <si>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</si>
  <si>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</si>
  <si>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</si>
  <si>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</si>
  <si>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</si>
  <si>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</si>
  <si>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</si>
  <si>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</si>
  <si>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</si>
  <si>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</si>
  <si>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</si>
  <si>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</si>
  <si>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</si>
  <si>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</si>
  <si>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</si>
  <si>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</si>
  <si>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</si>
  <si>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</si>
  <si>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</si>
  <si>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</si>
  <si>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</si>
  <si>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</si>
  <si>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</si>
  <si>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</si>
  <si>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</si>
  <si>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</si>
  <si>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</si>
  <si>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</si>
  <si>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</si>
  <si>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</si>
  <si>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</si>
  <si>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</si>
  <si>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</si>
  <si>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</si>
  <si>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</si>
  <si>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</si>
  <si>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</si>
  <si>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</si>
  <si>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</si>
  <si>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</si>
  <si>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</si>
  <si>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</si>
  <si>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</si>
  <si>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</si>
  <si>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</si>
  <si>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</si>
  <si>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</si>
  <si>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</si>
  <si>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</si>
  <si>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</si>
  <si>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</si>
  <si>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</si>
  <si>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</si>
  <si>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</si>
  <si>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</si>
  <si>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</si>
  <si>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</si>
  <si>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</si>
  <si>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</si>
  <si>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</si>
  <si>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1x1</t>
  </si>
  <si>
    <t>1x15</t>
  </si>
  <si>
    <t>10x1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</si>
</sst>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0" fontId="16" fillId="5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77541376"/>
        <c:axId val="77542912"/>
      </c:lineChart>
      <c:catAx>
        <c:axId val="77541376"/>
        <c:scaling>
          <c:orientation val="minMax"/>
        </c:scaling>
        <c:axPos val="b"/>
        <c:tickLblPos val="nextTo"/>
        <c:crossAx val="77542912"/>
        <c:crosses val="autoZero"/>
        <c:auto val="1"/>
        <c:lblAlgn val="ctr"/>
        <c:lblOffset val="100"/>
      </c:catAx>
      <c:valAx>
        <c:axId val="77542912"/>
        <c:scaling>
          <c:orientation val="minMax"/>
        </c:scaling>
        <c:axPos val="l"/>
        <c:majorGridlines/>
        <c:numFmt formatCode="General" sourceLinked="1"/>
        <c:tickLblPos val="nextTo"/>
        <c:crossAx val="7754137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T222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G18" sqref="G18"/>
    </sheetView>
  </sheetViews>
  <sheetFormatPr defaultRowHeight="12.75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8" t="s">
        <v>291</v>
      </c>
      <c r="AF2" s="199"/>
    </row>
    <row r="3" spans="2:3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0" t="s">
        <v>292</v>
      </c>
      <c r="AF3" s="201"/>
    </row>
    <row r="4" spans="2:3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93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>
      <c r="B6" s="20" t="s">
        <v>16</v>
      </c>
      <c r="C6" s="141"/>
      <c r="D6" s="141"/>
      <c r="E6" s="147"/>
      <c r="F6" s="147"/>
      <c r="G6" s="147">
        <v>273</v>
      </c>
      <c r="H6" s="147">
        <v>367</v>
      </c>
      <c r="I6" s="147">
        <v>412</v>
      </c>
      <c r="J6" s="147">
        <v>449</v>
      </c>
      <c r="K6" s="147">
        <v>721</v>
      </c>
      <c r="L6" s="147">
        <v>86</v>
      </c>
      <c r="M6" s="147">
        <v>1783</v>
      </c>
      <c r="N6" s="147">
        <v>2255</v>
      </c>
      <c r="O6" s="147">
        <v>2602</v>
      </c>
      <c r="P6" s="147">
        <v>2994</v>
      </c>
      <c r="Q6" s="147">
        <v>3374</v>
      </c>
      <c r="R6" s="118">
        <f>((Q6/G6)^(1/($H$2-$H$1) ))-1</f>
        <v>0.32230421178126911</v>
      </c>
      <c r="S6" s="31">
        <f>$L$2</f>
        <v>0.12</v>
      </c>
      <c r="T6" s="154">
        <f>Q6*(1+$S6)</f>
        <v>3778.8800000000006</v>
      </c>
      <c r="U6" s="154">
        <f>T6*(1+$S6)</f>
        <v>4232.3456000000015</v>
      </c>
      <c r="V6" s="154">
        <f t="shared" ref="V6:AC6" si="0">U6*(1+$S6)</f>
        <v>4740.2270720000024</v>
      </c>
      <c r="W6" s="154">
        <f t="shared" si="0"/>
        <v>5309.0543206400034</v>
      </c>
      <c r="X6" s="154">
        <f t="shared" si="0"/>
        <v>5946.1408391168043</v>
      </c>
      <c r="Y6" s="154">
        <f t="shared" si="0"/>
        <v>6659.6777398108215</v>
      </c>
      <c r="Z6" s="154">
        <f t="shared" si="0"/>
        <v>7458.8390685881204</v>
      </c>
      <c r="AA6" s="154">
        <f t="shared" si="0"/>
        <v>8353.8997568186951</v>
      </c>
      <c r="AB6" s="154">
        <f t="shared" si="0"/>
        <v>9356.3677276369399</v>
      </c>
      <c r="AC6" s="154">
        <f t="shared" si="0"/>
        <v>10479.131854953373</v>
      </c>
      <c r="AD6" s="138">
        <f>((AC6/G6)^(1/($AC$3-$H$1) ))-1</f>
        <v>0.20007429340641458</v>
      </c>
      <c r="AE6" s="31">
        <f>$L$1</f>
        <v>0.05</v>
      </c>
      <c r="AF6" s="146">
        <f t="shared" ref="AF6:AF44" si="1">(AC6*(1+AE6))/($C$1-AE6)</f>
        <v>64724.049692359076</v>
      </c>
    </row>
    <row r="7" spans="2:32">
      <c r="B7" s="20" t="s">
        <v>240</v>
      </c>
      <c r="C7" s="141"/>
      <c r="D7" s="141"/>
      <c r="E7" s="147"/>
      <c r="F7" s="147"/>
      <c r="G7" s="147">
        <v>407</v>
      </c>
      <c r="H7" s="147">
        <v>498</v>
      </c>
      <c r="I7" s="147">
        <v>541</v>
      </c>
      <c r="J7" s="147">
        <v>571</v>
      </c>
      <c r="K7" s="147">
        <v>846</v>
      </c>
      <c r="L7" s="147">
        <v>992</v>
      </c>
      <c r="M7" s="147">
        <v>1916</v>
      </c>
      <c r="N7" s="147">
        <v>2385</v>
      </c>
      <c r="O7" s="147">
        <v>2687</v>
      </c>
      <c r="P7" s="147">
        <v>3079</v>
      </c>
      <c r="Q7" s="147">
        <v>3459</v>
      </c>
      <c r="R7" s="118">
        <f>((Q7/G7)^(1/($H$2-$H$1) ))-1</f>
        <v>0.2684162427208483</v>
      </c>
      <c r="S7" s="31">
        <f>$L$2</f>
        <v>0.12</v>
      </c>
      <c r="T7" s="154">
        <f t="shared" ref="T7:T44" si="2">Q7*(1+$S7)</f>
        <v>3874.0800000000004</v>
      </c>
      <c r="U7" s="154">
        <f t="shared" ref="U7:AC7" si="3">T7*(1+$S7)</f>
        <v>4338.9696000000013</v>
      </c>
      <c r="V7" s="154">
        <f t="shared" si="3"/>
        <v>4859.6459520000017</v>
      </c>
      <c r="W7" s="154">
        <f t="shared" si="3"/>
        <v>5442.8034662400023</v>
      </c>
      <c r="X7" s="154">
        <f t="shared" si="3"/>
        <v>6095.9398821888035</v>
      </c>
      <c r="Y7" s="154">
        <f t="shared" si="3"/>
        <v>6827.4526680514609</v>
      </c>
      <c r="Z7" s="154">
        <f t="shared" si="3"/>
        <v>7646.7469882176374</v>
      </c>
      <c r="AA7" s="154">
        <f t="shared" si="3"/>
        <v>8564.3566268037539</v>
      </c>
      <c r="AB7" s="154">
        <f t="shared" si="3"/>
        <v>9592.079422020206</v>
      </c>
      <c r="AC7" s="154">
        <f t="shared" si="3"/>
        <v>10743.128952662631</v>
      </c>
      <c r="AD7" s="138">
        <f>((AC7/G7)^(1/($AC$3-$H$1) ))-1</f>
        <v>0.17781428950950073</v>
      </c>
      <c r="AE7" s="31">
        <f>$L$1</f>
        <v>0.05</v>
      </c>
      <c r="AF7" s="146">
        <f t="shared" si="1"/>
        <v>66354.620001739793</v>
      </c>
    </row>
    <row r="8" spans="2:32">
      <c r="B8" s="20"/>
      <c r="C8" s="141"/>
      <c r="D8" s="141"/>
      <c r="E8" s="147"/>
      <c r="F8" s="147"/>
      <c r="G8" s="148">
        <f>(G7-F7)/G7</f>
        <v>1</v>
      </c>
      <c r="H8" s="151">
        <f>(H7-G7)/H7</f>
        <v>0.18273092369477911</v>
      </c>
      <c r="I8" s="151">
        <f t="shared" ref="I8:Q8" si="4">(I7-H7)/I7</f>
        <v>7.9482439926062853E-2</v>
      </c>
      <c r="J8" s="151">
        <f t="shared" si="4"/>
        <v>5.2539404553415062E-2</v>
      </c>
      <c r="K8" s="151">
        <f t="shared" si="4"/>
        <v>0.32505910165484636</v>
      </c>
      <c r="L8" s="151">
        <f t="shared" si="4"/>
        <v>0.14717741935483872</v>
      </c>
      <c r="M8" s="151">
        <f t="shared" si="4"/>
        <v>0.4822546972860125</v>
      </c>
      <c r="N8" s="151">
        <f t="shared" si="4"/>
        <v>0.19664570230607967</v>
      </c>
      <c r="O8" s="151">
        <f t="shared" si="4"/>
        <v>0.11239300334946037</v>
      </c>
      <c r="P8" s="151">
        <f t="shared" si="4"/>
        <v>0.12731406300746995</v>
      </c>
      <c r="Q8" s="151">
        <f t="shared" si="4"/>
        <v>0.10985834056085574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>
      <c r="B9" s="20" t="s">
        <v>269</v>
      </c>
      <c r="C9" s="141"/>
      <c r="D9" s="141"/>
      <c r="E9" s="147"/>
      <c r="F9" s="147"/>
      <c r="G9" s="147">
        <v>238</v>
      </c>
      <c r="H9" s="147">
        <v>251</v>
      </c>
      <c r="I9" s="147">
        <v>298</v>
      </c>
      <c r="J9" s="147">
        <v>396</v>
      </c>
      <c r="K9" s="147">
        <v>572</v>
      </c>
      <c r="L9" s="147">
        <v>487</v>
      </c>
      <c r="M9" s="147">
        <v>696</v>
      </c>
      <c r="N9" s="147">
        <v>933</v>
      </c>
      <c r="O9" s="147">
        <v>1026</v>
      </c>
      <c r="P9" s="147">
        <v>1699</v>
      </c>
      <c r="Q9" s="147">
        <v>1632</v>
      </c>
      <c r="R9" s="118">
        <f>((Q9/G9)^(1/($H$2-$H$1) ))-1</f>
        <v>0.2385250636855043</v>
      </c>
      <c r="S9" s="31">
        <f t="shared" ref="S9:S40" si="5">$L$2</f>
        <v>0.12</v>
      </c>
      <c r="T9" s="154">
        <f t="shared" si="2"/>
        <v>1827.8400000000001</v>
      </c>
      <c r="U9" s="154">
        <f t="shared" ref="U9" si="6">T9*(1+$S9)</f>
        <v>2047.1808000000003</v>
      </c>
      <c r="V9" s="154">
        <f t="shared" ref="V9" si="7">U9*(1+$S9)</f>
        <v>2292.8424960000007</v>
      </c>
      <c r="W9" s="154">
        <f t="shared" ref="W9" si="8">V9*(1+$S9)</f>
        <v>2567.983595520001</v>
      </c>
      <c r="X9" s="154">
        <f t="shared" ref="X9" si="9">W9*(1+$S9)</f>
        <v>2876.1416269824012</v>
      </c>
      <c r="Y9" s="154">
        <f t="shared" ref="Y9" si="10">X9*(1+$S9)</f>
        <v>3221.2786222202899</v>
      </c>
      <c r="Z9" s="154">
        <f t="shared" ref="Z9" si="11">Y9*(1+$S9)</f>
        <v>3607.8320568867252</v>
      </c>
      <c r="AA9" s="154">
        <f t="shared" ref="AA9" si="12">Z9*(1+$S9)</f>
        <v>4040.7719037131328</v>
      </c>
      <c r="AB9" s="154">
        <f t="shared" ref="AB9" si="13">AA9*(1+$S9)</f>
        <v>4525.6645321587093</v>
      </c>
      <c r="AC9" s="154">
        <f t="shared" ref="AC9" si="14">AB9*(1+$S9)</f>
        <v>5068.7442760177546</v>
      </c>
      <c r="AD9" s="138">
        <f>((AC9/G9)^(1/($AC$3-$H$1) ))-1</f>
        <v>0.16524211067293737</v>
      </c>
      <c r="AE9" s="31">
        <f t="shared" ref="AE9:AE81" si="15">$L$1</f>
        <v>0.05</v>
      </c>
      <c r="AF9" s="146">
        <f t="shared" si="1"/>
        <v>31306.949940109662</v>
      </c>
    </row>
    <row r="10" spans="2:32">
      <c r="B10" s="20" t="s">
        <v>4</v>
      </c>
      <c r="C10" s="141"/>
      <c r="D10" s="141"/>
      <c r="E10" s="147"/>
      <c r="F10" s="147"/>
      <c r="G10" s="147">
        <v>203</v>
      </c>
      <c r="H10" s="147">
        <v>298</v>
      </c>
      <c r="I10" s="147">
        <v>297</v>
      </c>
      <c r="J10" s="147">
        <v>341</v>
      </c>
      <c r="K10" s="147">
        <v>376</v>
      </c>
      <c r="L10" s="147">
        <v>361</v>
      </c>
      <c r="M10" s="147">
        <v>174</v>
      </c>
      <c r="N10" s="147">
        <v>104</v>
      </c>
      <c r="O10" s="147">
        <v>27</v>
      </c>
      <c r="P10" s="147">
        <v>51</v>
      </c>
      <c r="Q10" s="147">
        <v>14</v>
      </c>
      <c r="R10" s="118">
        <f>((Q10/G10)^(1/($H$2-$H$1) ))-1</f>
        <v>-0.25705081459540036</v>
      </c>
      <c r="S10" s="31">
        <f t="shared" si="5"/>
        <v>0.12</v>
      </c>
      <c r="T10" s="154">
        <f t="shared" si="2"/>
        <v>15.680000000000001</v>
      </c>
      <c r="U10" s="154">
        <f t="shared" ref="U10:AC10" si="16">T10*(1+$S10)</f>
        <v>17.561600000000002</v>
      </c>
      <c r="V10" s="154">
        <f t="shared" si="16"/>
        <v>19.668992000000003</v>
      </c>
      <c r="W10" s="154">
        <f t="shared" si="16"/>
        <v>22.029271040000005</v>
      </c>
      <c r="X10" s="154">
        <f t="shared" si="16"/>
        <v>24.672783564800007</v>
      </c>
      <c r="Y10" s="154">
        <f t="shared" si="16"/>
        <v>27.633517592576009</v>
      </c>
      <c r="Z10" s="154">
        <f t="shared" si="16"/>
        <v>30.949539703685133</v>
      </c>
      <c r="AA10" s="154">
        <f t="shared" si="16"/>
        <v>34.663484468127351</v>
      </c>
      <c r="AB10" s="154">
        <f t="shared" si="16"/>
        <v>38.823102604302633</v>
      </c>
      <c r="AC10" s="154">
        <f t="shared" si="16"/>
        <v>43.481874916818953</v>
      </c>
      <c r="AD10" s="138">
        <f t="shared" ref="AD10:AD42" si="17">((AC10/G10)^(1/($AC$3-$H$1) ))-1</f>
        <v>-7.4150041959069823E-2</v>
      </c>
      <c r="AE10" s="31">
        <f t="shared" si="15"/>
        <v>0.05</v>
      </c>
      <c r="AF10" s="146">
        <f t="shared" si="1"/>
        <v>268.56452154505826</v>
      </c>
    </row>
    <row r="11" spans="2:3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0.31879194630872482</v>
      </c>
      <c r="I11" s="148">
        <f t="shared" si="18"/>
        <v>-3.3670033670033669E-3</v>
      </c>
      <c r="J11" s="148">
        <f t="shared" si="18"/>
        <v>0.12903225806451613</v>
      </c>
      <c r="K11" s="148">
        <f t="shared" si="18"/>
        <v>9.3085106382978719E-2</v>
      </c>
      <c r="L11" s="148">
        <f t="shared" si="18"/>
        <v>-4.1551246537396121E-2</v>
      </c>
      <c r="M11" s="148">
        <f t="shared" si="18"/>
        <v>-1.0747126436781609</v>
      </c>
      <c r="N11" s="148">
        <f t="shared" si="18"/>
        <v>-0.67307692307692313</v>
      </c>
      <c r="O11" s="148">
        <f t="shared" si="18"/>
        <v>-2.8518518518518516</v>
      </c>
      <c r="P11" s="148">
        <f t="shared" si="18"/>
        <v>0.47058823529411764</v>
      </c>
      <c r="Q11" s="148">
        <f t="shared" si="18"/>
        <v>-2.6428571428571428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>
      <c r="B12" s="20" t="s">
        <v>2</v>
      </c>
      <c r="C12" s="141"/>
      <c r="D12" s="141"/>
      <c r="E12" s="147"/>
      <c r="F12" s="147"/>
      <c r="G12" s="147">
        <v>2</v>
      </c>
      <c r="H12" s="147">
        <v>37</v>
      </c>
      <c r="I12" s="147">
        <v>47</v>
      </c>
      <c r="J12" s="147">
        <v>4</v>
      </c>
      <c r="K12" s="147">
        <v>7</v>
      </c>
      <c r="L12" s="147">
        <v>39</v>
      </c>
      <c r="M12" s="147">
        <v>30</v>
      </c>
      <c r="N12" s="147">
        <v>23</v>
      </c>
      <c r="O12" s="147">
        <v>63</v>
      </c>
      <c r="P12" s="147">
        <v>221</v>
      </c>
      <c r="Q12" s="147">
        <v>287</v>
      </c>
      <c r="R12" s="118">
        <f>((Q12/G12)^(1/($H$2-$H$1) ))-1</f>
        <v>0.7364017354767094</v>
      </c>
      <c r="S12" s="31">
        <f t="shared" si="5"/>
        <v>0.12</v>
      </c>
      <c r="T12" s="154">
        <f t="shared" si="2"/>
        <v>321.44000000000005</v>
      </c>
      <c r="U12" s="154">
        <f t="shared" ref="U12:AC12" si="19">T12*(1+$S12)</f>
        <v>360.01280000000008</v>
      </c>
      <c r="V12" s="154">
        <f t="shared" si="19"/>
        <v>403.21433600000012</v>
      </c>
      <c r="W12" s="154">
        <f t="shared" si="19"/>
        <v>451.60005632000019</v>
      </c>
      <c r="X12" s="154">
        <f t="shared" si="19"/>
        <v>505.79206307840025</v>
      </c>
      <c r="Y12" s="154">
        <f t="shared" si="19"/>
        <v>566.48711064780832</v>
      </c>
      <c r="Z12" s="154">
        <f t="shared" si="19"/>
        <v>634.46556392554533</v>
      </c>
      <c r="AA12" s="154">
        <f t="shared" si="19"/>
        <v>710.60143159661084</v>
      </c>
      <c r="AB12" s="154">
        <f t="shared" si="19"/>
        <v>795.87360338820417</v>
      </c>
      <c r="AC12" s="154">
        <f t="shared" si="19"/>
        <v>891.37843579478874</v>
      </c>
      <c r="AD12" s="138">
        <f t="shared" si="17"/>
        <v>0.3565993554573037</v>
      </c>
      <c r="AE12" s="31">
        <f t="shared" si="15"/>
        <v>0.05</v>
      </c>
      <c r="AF12" s="146">
        <f t="shared" si="1"/>
        <v>5505.5726916736958</v>
      </c>
    </row>
    <row r="13" spans="2:32">
      <c r="B13" s="20" t="s">
        <v>218</v>
      </c>
      <c r="C13" s="141"/>
      <c r="D13" s="141"/>
      <c r="E13" s="147"/>
      <c r="F13" s="147"/>
      <c r="G13" s="147">
        <v>8</v>
      </c>
      <c r="H13" s="147">
        <v>93</v>
      </c>
      <c r="I13" s="147">
        <v>228</v>
      </c>
      <c r="J13" s="147">
        <v>238</v>
      </c>
      <c r="K13" s="147">
        <v>256</v>
      </c>
      <c r="L13" s="147">
        <v>275</v>
      </c>
      <c r="M13" s="147">
        <v>877</v>
      </c>
      <c r="N13" s="147">
        <v>861</v>
      </c>
      <c r="O13" s="147">
        <v>993</v>
      </c>
      <c r="P13" s="147">
        <v>6829</v>
      </c>
      <c r="Q13" s="147">
        <v>7928</v>
      </c>
      <c r="R13" s="118">
        <f>((Q13/G13)^(1/($H$2-$H$1) ))-1</f>
        <v>1.15227158844958</v>
      </c>
      <c r="S13" s="31">
        <f t="shared" si="5"/>
        <v>0.12</v>
      </c>
      <c r="T13" s="154">
        <f t="shared" si="2"/>
        <v>8879.36</v>
      </c>
      <c r="U13" s="154">
        <f t="shared" ref="U13:AC13" si="20">T13*(1+$S13)</f>
        <v>9944.883200000002</v>
      </c>
      <c r="V13" s="154">
        <f t="shared" si="20"/>
        <v>11138.269184000002</v>
      </c>
      <c r="W13" s="154">
        <f t="shared" si="20"/>
        <v>12474.861486080004</v>
      </c>
      <c r="X13" s="154">
        <f t="shared" si="20"/>
        <v>13971.844864409606</v>
      </c>
      <c r="Y13" s="154">
        <f t="shared" si="20"/>
        <v>15648.46624813876</v>
      </c>
      <c r="Z13" s="154">
        <f t="shared" si="20"/>
        <v>17526.282197915414</v>
      </c>
      <c r="AA13" s="154">
        <f t="shared" si="20"/>
        <v>19629.436061665267</v>
      </c>
      <c r="AB13" s="154">
        <f t="shared" si="20"/>
        <v>21984.968389065099</v>
      </c>
      <c r="AC13" s="154">
        <f t="shared" si="20"/>
        <v>24623.164595752914</v>
      </c>
      <c r="AD13" s="138">
        <f t="shared" si="17"/>
        <v>0.49421363136553342</v>
      </c>
      <c r="AE13" s="31">
        <f t="shared" si="15"/>
        <v>0.05</v>
      </c>
      <c r="AF13" s="146">
        <f t="shared" si="1"/>
        <v>152084.2519149445</v>
      </c>
    </row>
    <row r="14" spans="2:32">
      <c r="B14" s="20" t="s">
        <v>373</v>
      </c>
      <c r="C14" s="141"/>
      <c r="D14" s="141"/>
      <c r="E14" s="147"/>
      <c r="F14" s="147"/>
      <c r="G14" s="147">
        <v>224</v>
      </c>
      <c r="H14" s="147">
        <v>246</v>
      </c>
      <c r="I14" s="147">
        <v>264</v>
      </c>
      <c r="J14" s="147">
        <v>424</v>
      </c>
      <c r="K14" s="147">
        <v>640</v>
      </c>
      <c r="L14" s="147">
        <v>524</v>
      </c>
      <c r="M14" s="147">
        <v>797</v>
      </c>
      <c r="N14" s="147">
        <v>1134</v>
      </c>
      <c r="O14" s="147">
        <v>1160</v>
      </c>
      <c r="P14" s="147">
        <v>1407</v>
      </c>
      <c r="Q14" s="147">
        <v>1302</v>
      </c>
      <c r="R14" s="118">
        <f>((Q14/G14)^(1/($H$2-$H$1) ))-1</f>
        <v>0.21598780209734891</v>
      </c>
      <c r="S14" s="31">
        <f t="shared" si="5"/>
        <v>0.12</v>
      </c>
      <c r="T14" s="154">
        <f t="shared" si="2"/>
        <v>1458.2400000000002</v>
      </c>
      <c r="U14" s="154">
        <f t="shared" ref="U14" si="21">T14*(1+$S14)</f>
        <v>1633.2288000000003</v>
      </c>
      <c r="V14" s="154">
        <f t="shared" ref="V14" si="22">U14*(1+$S14)</f>
        <v>1829.2162560000006</v>
      </c>
      <c r="W14" s="154">
        <f t="shared" ref="W14" si="23">V14*(1+$S14)</f>
        <v>2048.7222067200009</v>
      </c>
      <c r="X14" s="154">
        <f t="shared" ref="X14" si="24">W14*(1+$S14)</f>
        <v>2294.5688715264014</v>
      </c>
      <c r="Y14" s="154">
        <f t="shared" ref="Y14" si="25">X14*(1+$S14)</f>
        <v>2569.9171361095696</v>
      </c>
      <c r="Z14" s="154">
        <f t="shared" ref="Z14" si="26">Y14*(1+$S14)</f>
        <v>2878.3071924427181</v>
      </c>
      <c r="AA14" s="154">
        <f t="shared" ref="AA14" si="27">Z14*(1+$S14)</f>
        <v>3223.7040555358444</v>
      </c>
      <c r="AB14" s="154">
        <f t="shared" ref="AB14" si="28">AA14*(1+$S14)</f>
        <v>3610.5485422001461</v>
      </c>
      <c r="AC14" s="154">
        <f t="shared" ref="AC14" si="29">AB14*(1+$S14)</f>
        <v>4043.814367264164</v>
      </c>
      <c r="AD14" s="138">
        <f t="shared" ref="AD14" si="30">((AC14/G14)^(1/($AC$3-$H$1) ))-1</f>
        <v>0.15565222458056382</v>
      </c>
      <c r="AE14" s="31">
        <f t="shared" si="15"/>
        <v>0.05</v>
      </c>
      <c r="AF14" s="146">
        <f t="shared" ref="AF14" si="31">(AC14*(1+AE14))/($C$1-AE14)</f>
        <v>24976.500503690429</v>
      </c>
    </row>
    <row r="15" spans="2:32">
      <c r="B15" s="20" t="s">
        <v>19</v>
      </c>
      <c r="C15" s="141"/>
      <c r="D15" s="141"/>
      <c r="E15" s="147"/>
      <c r="F15" s="147"/>
      <c r="G15" s="147">
        <v>368</v>
      </c>
      <c r="H15" s="147">
        <v>437</v>
      </c>
      <c r="I15" s="147">
        <v>458</v>
      </c>
      <c r="J15" s="147">
        <v>605</v>
      </c>
      <c r="K15" s="147">
        <v>939</v>
      </c>
      <c r="L15" s="147">
        <v>827</v>
      </c>
      <c r="M15" s="147">
        <v>1120</v>
      </c>
      <c r="N15" s="147">
        <v>1530</v>
      </c>
      <c r="O15" s="147">
        <v>1650</v>
      </c>
      <c r="P15" s="147">
        <v>2219</v>
      </c>
      <c r="Q15" s="147">
        <v>2248</v>
      </c>
      <c r="R15" s="118">
        <f>((Q15/G15)^(1/($H$2-$H$1) ))-1</f>
        <v>0.22272167177960878</v>
      </c>
      <c r="S15" s="31">
        <f t="shared" si="5"/>
        <v>0.12</v>
      </c>
      <c r="T15" s="154">
        <f t="shared" si="2"/>
        <v>2517.7600000000002</v>
      </c>
      <c r="U15" s="154">
        <f t="shared" ref="U15:AC15" si="32">T15*(1+$S15)</f>
        <v>2819.8912000000005</v>
      </c>
      <c r="V15" s="154">
        <f t="shared" si="32"/>
        <v>3158.2781440000008</v>
      </c>
      <c r="W15" s="154">
        <f t="shared" si="32"/>
        <v>3537.2715212800013</v>
      </c>
      <c r="X15" s="154">
        <f t="shared" si="32"/>
        <v>3961.7441038336019</v>
      </c>
      <c r="Y15" s="154">
        <f t="shared" si="32"/>
        <v>4437.1533962936346</v>
      </c>
      <c r="Z15" s="154">
        <f t="shared" si="32"/>
        <v>4969.6118038488712</v>
      </c>
      <c r="AA15" s="154">
        <f t="shared" si="32"/>
        <v>5565.9652203107362</v>
      </c>
      <c r="AB15" s="154">
        <f t="shared" si="32"/>
        <v>6233.8810467480253</v>
      </c>
      <c r="AC15" s="154">
        <f t="shared" si="32"/>
        <v>6981.9467723577891</v>
      </c>
      <c r="AD15" s="138">
        <f t="shared" si="17"/>
        <v>0.15852773645022622</v>
      </c>
      <c r="AE15" s="31">
        <f t="shared" si="15"/>
        <v>0.05</v>
      </c>
      <c r="AF15" s="146">
        <f t="shared" si="1"/>
        <v>43123.788888092233</v>
      </c>
    </row>
    <row r="16" spans="2:32">
      <c r="B16" s="20" t="s">
        <v>23</v>
      </c>
      <c r="C16" s="141"/>
      <c r="D16" s="141"/>
      <c r="E16" s="147"/>
      <c r="F16" s="147"/>
      <c r="G16" s="147">
        <v>115</v>
      </c>
      <c r="H16" s="147">
        <v>204</v>
      </c>
      <c r="I16" s="147">
        <v>138</v>
      </c>
      <c r="J16" s="147">
        <v>161</v>
      </c>
      <c r="K16" s="147">
        <v>316</v>
      </c>
      <c r="L16" s="147">
        <v>302</v>
      </c>
      <c r="M16" s="147">
        <v>413</v>
      </c>
      <c r="N16" s="147">
        <v>600</v>
      </c>
      <c r="O16" s="147">
        <v>602</v>
      </c>
      <c r="P16" s="147">
        <v>831</v>
      </c>
      <c r="Q16" s="147">
        <v>959</v>
      </c>
      <c r="R16" s="118">
        <f>((Q16/G16)^(1/($H$2-$H$1) ))-1</f>
        <v>0.26574654868548198</v>
      </c>
      <c r="S16" s="31">
        <f t="shared" si="5"/>
        <v>0.12</v>
      </c>
      <c r="T16" s="154">
        <f t="shared" si="2"/>
        <v>1074.0800000000002</v>
      </c>
      <c r="U16" s="154">
        <f t="shared" ref="U16:AC16" si="33">T16*(1+$S16)</f>
        <v>1202.9696000000004</v>
      </c>
      <c r="V16" s="154">
        <f t="shared" si="33"/>
        <v>1347.3259520000006</v>
      </c>
      <c r="W16" s="154">
        <f t="shared" si="33"/>
        <v>1509.0050662400008</v>
      </c>
      <c r="X16" s="154">
        <f t="shared" si="33"/>
        <v>1690.085674188801</v>
      </c>
      <c r="Y16" s="154">
        <f t="shared" si="33"/>
        <v>1892.8959550914574</v>
      </c>
      <c r="Z16" s="154">
        <f t="shared" si="33"/>
        <v>2120.0434697024325</v>
      </c>
      <c r="AA16" s="154">
        <f t="shared" si="33"/>
        <v>2374.4486860667248</v>
      </c>
      <c r="AB16" s="154">
        <f t="shared" si="33"/>
        <v>2659.3825283947322</v>
      </c>
      <c r="AC16" s="154">
        <f t="shared" si="33"/>
        <v>2978.5084318021004</v>
      </c>
      <c r="AD16" s="138">
        <f t="shared" si="17"/>
        <v>0.1766980931495048</v>
      </c>
      <c r="AE16" s="31">
        <f t="shared" si="15"/>
        <v>0.05</v>
      </c>
      <c r="AF16" s="146">
        <f t="shared" si="1"/>
        <v>18396.669725836506</v>
      </c>
    </row>
    <row r="17" spans="2:3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>
      <c r="B18" s="20" t="s">
        <v>277</v>
      </c>
      <c r="C18" s="141"/>
      <c r="D18" s="141"/>
      <c r="E18" s="147"/>
      <c r="F18" s="147"/>
      <c r="G18" s="147">
        <v>486</v>
      </c>
      <c r="H18" s="147">
        <v>499</v>
      </c>
      <c r="I18" s="147">
        <v>471</v>
      </c>
      <c r="J18" s="147">
        <v>487</v>
      </c>
      <c r="K18" s="147">
        <v>611</v>
      </c>
      <c r="L18" s="147">
        <v>773</v>
      </c>
      <c r="M18" s="147">
        <v>794</v>
      </c>
      <c r="N18" s="147">
        <v>967</v>
      </c>
      <c r="O18" s="147">
        <v>1104</v>
      </c>
      <c r="P18" s="147">
        <v>1677</v>
      </c>
      <c r="Q18" s="147">
        <f>P18</f>
        <v>1677</v>
      </c>
      <c r="R18" s="118">
        <f>((Q18/G18)^(1/($H$2-$H$1) ))-1</f>
        <v>0.14753597741106561</v>
      </c>
      <c r="S18" s="31">
        <f t="shared" si="5"/>
        <v>0.12</v>
      </c>
      <c r="T18" s="154">
        <f t="shared" si="2"/>
        <v>1878.2400000000002</v>
      </c>
      <c r="U18" s="154">
        <f t="shared" ref="U18:U34" si="34">T18*(1+$S18)</f>
        <v>2103.6288000000004</v>
      </c>
      <c r="V18" s="154">
        <f t="shared" ref="V18:V34" si="35">U18*(1+$S18)</f>
        <v>2356.0642560000006</v>
      </c>
      <c r="W18" s="154">
        <f t="shared" ref="W18:W34" si="36">V18*(1+$S18)</f>
        <v>2638.7919667200008</v>
      </c>
      <c r="X18" s="154">
        <f t="shared" ref="X18:X36" si="37">W18*(1+$S18)</f>
        <v>2955.447002726401</v>
      </c>
      <c r="Y18" s="154">
        <f t="shared" ref="Y18:Y36" si="38">X18*(1+$S18)</f>
        <v>3310.1006430535695</v>
      </c>
      <c r="Z18" s="154">
        <f t="shared" ref="Z18:Z36" si="39">Y18*(1+$S18)</f>
        <v>3707.312720219998</v>
      </c>
      <c r="AA18" s="154">
        <f t="shared" ref="AA18:AA36" si="40">Z18*(1+$S18)</f>
        <v>4152.190246646398</v>
      </c>
      <c r="AB18" s="154">
        <f t="shared" ref="AB18:AB36" si="41">AA18*(1+$S18)</f>
        <v>4650.4530762439663</v>
      </c>
      <c r="AC18" s="154">
        <f t="shared" ref="AC18:AC36" si="42">AB18*(1+$S18)</f>
        <v>5208.507445393243</v>
      </c>
      <c r="AD18" s="138">
        <f t="shared" si="17"/>
        <v>0.12591045259189571</v>
      </c>
      <c r="AE18" s="31">
        <f t="shared" si="15"/>
        <v>0.05</v>
      </c>
      <c r="AF18" s="146">
        <f t="shared" si="1"/>
        <v>32170.193045075914</v>
      </c>
    </row>
    <row r="19" spans="2:3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>
      <c r="B20" s="20" t="s">
        <v>283</v>
      </c>
      <c r="C20" s="141"/>
      <c r="D20" s="141"/>
      <c r="E20" s="147"/>
      <c r="F20" s="147"/>
      <c r="G20" s="147">
        <v>161</v>
      </c>
      <c r="H20" s="147">
        <v>92</v>
      </c>
      <c r="I20" s="147">
        <v>224</v>
      </c>
      <c r="J20" s="147">
        <v>188</v>
      </c>
      <c r="K20" s="147">
        <v>180</v>
      </c>
      <c r="L20" s="147">
        <v>504</v>
      </c>
      <c r="M20" s="147">
        <v>524</v>
      </c>
      <c r="N20" s="147">
        <v>398</v>
      </c>
      <c r="O20" s="147">
        <v>510</v>
      </c>
      <c r="P20" s="147">
        <v>359</v>
      </c>
      <c r="Q20" s="147">
        <v>647</v>
      </c>
      <c r="R20" s="118">
        <f>((Q20/G20)^(1/($H$2-$H$1) ))-1</f>
        <v>0.167131586639097</v>
      </c>
      <c r="S20" s="31">
        <f t="shared" si="5"/>
        <v>0.12</v>
      </c>
      <c r="T20" s="154">
        <f t="shared" si="2"/>
        <v>724.6400000000001</v>
      </c>
      <c r="U20" s="154">
        <f t="shared" ref="U20:U22" si="43">T20*(1+$S20)</f>
        <v>811.59680000000014</v>
      </c>
      <c r="V20" s="154">
        <f t="shared" ref="V20:V22" si="44">U20*(1+$S20)</f>
        <v>908.98841600000026</v>
      </c>
      <c r="W20" s="154">
        <f t="shared" ref="W20:W22" si="45">V20*(1+$S20)</f>
        <v>1018.0670259200003</v>
      </c>
      <c r="X20" s="154">
        <f t="shared" ref="X20:X22" si="46">W20*(1+$S20)</f>
        <v>1140.2350690304004</v>
      </c>
      <c r="Y20" s="154">
        <f t="shared" ref="Y20:Y22" si="47">X20*(1+$S20)</f>
        <v>1277.0632773140485</v>
      </c>
      <c r="Z20" s="154">
        <f t="shared" ref="Z20:Z22" si="48">Y20*(1+$S20)</f>
        <v>1430.3108705917346</v>
      </c>
      <c r="AA20" s="154">
        <f t="shared" ref="AA20:AA22" si="49">Z20*(1+$S20)</f>
        <v>1601.9481750627428</v>
      </c>
      <c r="AB20" s="154">
        <f t="shared" ref="AB20:AB22" si="50">AA20*(1+$S20)</f>
        <v>1794.1819560702722</v>
      </c>
      <c r="AC20" s="154">
        <f t="shared" ref="AC20:AC22" si="51">AB20*(1+$S20)</f>
        <v>2009.4837907987051</v>
      </c>
      <c r="AD20" s="138">
        <f t="shared" ref="AD20:AD22" si="52">((AC20/G20)^(1/($AC$3-$H$1) ))-1</f>
        <v>0.13452202527377688</v>
      </c>
      <c r="AE20" s="31">
        <f t="shared" si="15"/>
        <v>0.05</v>
      </c>
      <c r="AF20" s="146">
        <f t="shared" si="1"/>
        <v>12411.517531403768</v>
      </c>
    </row>
    <row r="21" spans="2:32">
      <c r="B21" s="20" t="s">
        <v>284</v>
      </c>
      <c r="C21" s="141"/>
      <c r="D21" s="141"/>
      <c r="E21" s="147"/>
      <c r="F21" s="147"/>
      <c r="G21" s="147">
        <v>-54</v>
      </c>
      <c r="H21" s="147">
        <v>-158</v>
      </c>
      <c r="I21" s="147">
        <v>-193</v>
      </c>
      <c r="J21" s="147">
        <v>-189</v>
      </c>
      <c r="K21" s="147">
        <v>-292</v>
      </c>
      <c r="L21" s="147">
        <v>-319</v>
      </c>
      <c r="M21" s="147">
        <v>-770</v>
      </c>
      <c r="N21" s="147">
        <v>-184</v>
      </c>
      <c r="O21" s="147">
        <v>-323</v>
      </c>
      <c r="P21" s="147">
        <v>-180</v>
      </c>
      <c r="Q21" s="147">
        <v>-434</v>
      </c>
      <c r="R21" s="118">
        <f>((Q21/G21)^(1/($H$2-$H$1) ))-1</f>
        <v>0.26056782775052345</v>
      </c>
      <c r="S21" s="31">
        <f t="shared" si="5"/>
        <v>0.12</v>
      </c>
      <c r="T21" s="154">
        <f t="shared" si="2"/>
        <v>-486.08000000000004</v>
      </c>
      <c r="U21" s="154">
        <f t="shared" si="43"/>
        <v>-544.40960000000007</v>
      </c>
      <c r="V21" s="154">
        <f t="shared" si="44"/>
        <v>-609.73875200000009</v>
      </c>
      <c r="W21" s="154">
        <f t="shared" si="45"/>
        <v>-682.90740224000012</v>
      </c>
      <c r="X21" s="154">
        <f t="shared" si="46"/>
        <v>-764.85629050880016</v>
      </c>
      <c r="Y21" s="154">
        <f t="shared" si="47"/>
        <v>-856.63904536985626</v>
      </c>
      <c r="Z21" s="154">
        <f t="shared" si="48"/>
        <v>-959.43573081423915</v>
      </c>
      <c r="AA21" s="154">
        <f t="shared" si="49"/>
        <v>-1074.5680185119479</v>
      </c>
      <c r="AB21" s="154">
        <f t="shared" si="50"/>
        <v>-1203.5161807333818</v>
      </c>
      <c r="AC21" s="154">
        <f t="shared" si="51"/>
        <v>-1347.9381224213878</v>
      </c>
      <c r="AD21" s="138">
        <f t="shared" si="52"/>
        <v>0.17452917718978678</v>
      </c>
      <c r="AE21" s="31">
        <f t="shared" si="15"/>
        <v>0.05</v>
      </c>
      <c r="AF21" s="146">
        <f t="shared" si="1"/>
        <v>-8325.5001678968074</v>
      </c>
    </row>
    <row r="22" spans="2:32">
      <c r="B22" s="20" t="s">
        <v>285</v>
      </c>
      <c r="C22" s="141"/>
      <c r="D22" s="141"/>
      <c r="E22" s="147"/>
      <c r="F22" s="147"/>
      <c r="G22" s="147">
        <v>-108</v>
      </c>
      <c r="H22" s="147">
        <v>102</v>
      </c>
      <c r="I22" s="147">
        <v>-49</v>
      </c>
      <c r="J22" s="147">
        <v>-15</v>
      </c>
      <c r="K22" s="147">
        <v>111</v>
      </c>
      <c r="L22" s="147">
        <v>154</v>
      </c>
      <c r="M22" s="147">
        <v>214</v>
      </c>
      <c r="N22" s="147">
        <v>-201</v>
      </c>
      <c r="O22" s="147">
        <v>-144</v>
      </c>
      <c r="P22" s="147">
        <v>-162</v>
      </c>
      <c r="Q22" s="147">
        <v>-168</v>
      </c>
      <c r="R22" s="118">
        <f>((Q22/G22)^(1/($H$2-$H$1) ))-1</f>
        <v>5.0317530057038873E-2</v>
      </c>
      <c r="S22" s="31">
        <f t="shared" si="5"/>
        <v>0.12</v>
      </c>
      <c r="T22" s="154">
        <f t="shared" si="2"/>
        <v>-188.16000000000003</v>
      </c>
      <c r="U22" s="154">
        <f t="shared" si="43"/>
        <v>-210.73920000000004</v>
      </c>
      <c r="V22" s="154">
        <f t="shared" si="44"/>
        <v>-236.02790400000006</v>
      </c>
      <c r="W22" s="154">
        <f t="shared" si="45"/>
        <v>-264.35125248000008</v>
      </c>
      <c r="X22" s="154">
        <f t="shared" si="46"/>
        <v>-296.07340277760011</v>
      </c>
      <c r="Y22" s="154">
        <f t="shared" si="47"/>
        <v>-331.60221111091215</v>
      </c>
      <c r="Z22" s="154">
        <f t="shared" si="48"/>
        <v>-371.39447644422165</v>
      </c>
      <c r="AA22" s="154">
        <f t="shared" si="49"/>
        <v>-415.96181361752826</v>
      </c>
      <c r="AB22" s="154">
        <f t="shared" si="50"/>
        <v>-465.87723125163171</v>
      </c>
      <c r="AC22" s="154">
        <f t="shared" si="51"/>
        <v>-521.78249900182755</v>
      </c>
      <c r="AD22" s="138">
        <f t="shared" si="52"/>
        <v>8.1940275078731029E-2</v>
      </c>
      <c r="AE22" s="31">
        <f t="shared" si="15"/>
        <v>0.05</v>
      </c>
      <c r="AF22" s="146">
        <f t="shared" si="1"/>
        <v>-3222.7742585407004</v>
      </c>
    </row>
    <row r="23" spans="2:32">
      <c r="B23" s="20" t="s">
        <v>295</v>
      </c>
      <c r="C23" s="141"/>
      <c r="D23" s="141"/>
      <c r="E23" s="147"/>
      <c r="F23" s="147"/>
      <c r="G23" s="147">
        <v>1.2</v>
      </c>
      <c r="H23" s="147">
        <v>36</v>
      </c>
      <c r="I23" s="147">
        <v>17</v>
      </c>
      <c r="J23" s="147">
        <v>1.5</v>
      </c>
      <c r="K23" s="147">
        <v>1.7</v>
      </c>
      <c r="L23" s="147">
        <v>34</v>
      </c>
      <c r="M23" s="147">
        <v>3</v>
      </c>
      <c r="N23" s="147">
        <v>15</v>
      </c>
      <c r="O23" s="147">
        <v>58</v>
      </c>
      <c r="P23" s="147">
        <v>75</v>
      </c>
      <c r="Q23" s="147">
        <v>120</v>
      </c>
      <c r="R23" s="118">
        <f>((Q23/G23)^(1/($H$2-$H$1) ))-1</f>
        <v>0.6681005372000588</v>
      </c>
      <c r="S23" s="31">
        <f t="shared" si="5"/>
        <v>0.12</v>
      </c>
      <c r="T23" s="154">
        <f t="shared" si="2"/>
        <v>134.4</v>
      </c>
      <c r="U23" s="154">
        <f t="shared" ref="U23" si="53">T23*(1+$S23)</f>
        <v>150.52800000000002</v>
      </c>
      <c r="V23" s="154">
        <f t="shared" ref="V23" si="54">U23*(1+$S23)</f>
        <v>168.59136000000004</v>
      </c>
      <c r="W23" s="154">
        <f t="shared" ref="W23" si="55">V23*(1+$S23)</f>
        <v>188.82232320000006</v>
      </c>
      <c r="X23" s="154">
        <f t="shared" ref="X23" si="56">W23*(1+$S23)</f>
        <v>211.48100198400007</v>
      </c>
      <c r="Y23" s="154">
        <f t="shared" ref="Y23" si="57">X23*(1+$S23)</f>
        <v>236.8587222220801</v>
      </c>
      <c r="Z23" s="154">
        <f t="shared" ref="Z23" si="58">Y23*(1+$S23)</f>
        <v>265.28176888872974</v>
      </c>
      <c r="AA23" s="154">
        <f t="shared" ref="AA23" si="59">Z23*(1+$S23)</f>
        <v>297.11558115537736</v>
      </c>
      <c r="AB23" s="154">
        <f t="shared" ref="AB23" si="60">AA23*(1+$S23)</f>
        <v>332.76945089402267</v>
      </c>
      <c r="AC23" s="154">
        <f t="shared" ref="AC23" si="61">AB23*(1+$S23)</f>
        <v>372.70178500130544</v>
      </c>
      <c r="AD23" s="138">
        <f t="shared" ref="AD23" si="62">((AC23/G23)^(1/($AC$3-$H$1) ))-1</f>
        <v>0.33232142351477911</v>
      </c>
      <c r="AE23" s="31">
        <f t="shared" si="15"/>
        <v>0.05</v>
      </c>
      <c r="AF23" s="146">
        <f t="shared" si="1"/>
        <v>2301.9816132433575</v>
      </c>
    </row>
    <row r="24" spans="2:3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>
      <c r="B25" s="20" t="s">
        <v>89</v>
      </c>
      <c r="C25" s="141"/>
      <c r="D25" s="141"/>
      <c r="E25" s="147"/>
      <c r="F25" s="147"/>
      <c r="G25" s="147">
        <v>1100</v>
      </c>
      <c r="H25" s="147">
        <v>1400</v>
      </c>
      <c r="I25" s="147">
        <v>1658</v>
      </c>
      <c r="J25" s="147">
        <v>2299</v>
      </c>
      <c r="K25" s="147">
        <v>3404</v>
      </c>
      <c r="L25" s="147">
        <v>3792</v>
      </c>
      <c r="M25" s="147">
        <v>4509</v>
      </c>
      <c r="N25" s="147">
        <v>5561</v>
      </c>
      <c r="O25" s="147">
        <v>5417</v>
      </c>
      <c r="P25" s="147">
        <v>6622</v>
      </c>
      <c r="Q25" s="147">
        <v>8391</v>
      </c>
      <c r="R25" s="118">
        <f>((Q25/G25)^(1/($H$2-$H$1) ))-1</f>
        <v>0.25327616933499231</v>
      </c>
      <c r="S25" s="31">
        <f t="shared" si="5"/>
        <v>0.12</v>
      </c>
      <c r="T25" s="154">
        <f t="shared" si="2"/>
        <v>9397.92</v>
      </c>
      <c r="U25" s="154">
        <f t="shared" si="34"/>
        <v>10525.670400000001</v>
      </c>
      <c r="V25" s="154">
        <f t="shared" si="35"/>
        <v>11788.750848000001</v>
      </c>
      <c r="W25" s="154">
        <f t="shared" si="36"/>
        <v>13203.400949760004</v>
      </c>
      <c r="X25" s="154">
        <f t="shared" si="37"/>
        <v>14787.809063731205</v>
      </c>
      <c r="Y25" s="154">
        <f t="shared" si="38"/>
        <v>16562.346151378952</v>
      </c>
      <c r="Z25" s="154">
        <f t="shared" si="39"/>
        <v>18549.827689544429</v>
      </c>
      <c r="AA25" s="154">
        <f t="shared" si="40"/>
        <v>20775.807012289762</v>
      </c>
      <c r="AB25" s="154">
        <f t="shared" si="41"/>
        <v>23268.903853764536</v>
      </c>
      <c r="AC25" s="154">
        <f t="shared" si="42"/>
        <v>26061.172316216282</v>
      </c>
      <c r="AD25" s="138">
        <f t="shared" si="17"/>
        <v>0.17146701083935856</v>
      </c>
      <c r="AE25" s="31">
        <f t="shared" si="15"/>
        <v>0.05</v>
      </c>
      <c r="AF25" s="146">
        <f t="shared" si="1"/>
        <v>160966.06430604178</v>
      </c>
    </row>
    <row r="26" spans="2:32" s="123" customFormat="1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0.21428571428571427</v>
      </c>
      <c r="I26" s="148">
        <f t="shared" ref="I26" si="63">(I25-H25)/I25</f>
        <v>0.15560916767189384</v>
      </c>
      <c r="J26" s="148">
        <f t="shared" ref="J26" si="64">(J25-I25)/J25</f>
        <v>0.27881687690300133</v>
      </c>
      <c r="K26" s="148">
        <f t="shared" ref="K26" si="65">(K25-J25)/K25</f>
        <v>0.32461809635722677</v>
      </c>
      <c r="L26" s="148">
        <f t="shared" ref="L26" si="66">(L25-K25)/L25</f>
        <v>0.10232067510548523</v>
      </c>
      <c r="M26" s="148">
        <f t="shared" ref="M26" si="67">(M25-L25)/M25</f>
        <v>0.15901530272787759</v>
      </c>
      <c r="N26" s="148">
        <f t="shared" ref="N26" si="68">(N25-M25)/N25</f>
        <v>0.18917460888329438</v>
      </c>
      <c r="O26" s="148">
        <f t="shared" ref="O26" si="69">(O25-N25)/O25</f>
        <v>-2.6582979508953296E-2</v>
      </c>
      <c r="P26" s="148">
        <f t="shared" ref="P26:Q26" si="70">(P25-O25)/P25</f>
        <v>0.18196919359710056</v>
      </c>
      <c r="Q26" s="148">
        <f t="shared" si="70"/>
        <v>0.21082111786437849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>
      <c r="B27" s="20" t="s">
        <v>261</v>
      </c>
      <c r="C27" s="141"/>
      <c r="D27" s="141"/>
      <c r="E27" s="147"/>
      <c r="F27" s="147"/>
      <c r="G27" s="147">
        <v>921</v>
      </c>
      <c r="H27" s="147">
        <v>1212</v>
      </c>
      <c r="I27" s="147">
        <v>1419</v>
      </c>
      <c r="J27" s="147">
        <v>1971</v>
      </c>
      <c r="K27" s="147">
        <v>2905</v>
      </c>
      <c r="L27" s="147">
        <v>3201</v>
      </c>
      <c r="M27" s="147">
        <v>3518</v>
      </c>
      <c r="N27" s="147">
        <v>4499</v>
      </c>
      <c r="O27" s="147">
        <v>4631</v>
      </c>
      <c r="P27" s="147">
        <v>5714</v>
      </c>
      <c r="Q27" s="147">
        <v>7456</v>
      </c>
      <c r="R27" s="118">
        <f>((Q27/G27)^(1/($H$2-$H$1) ))-1</f>
        <v>0.26158423151572707</v>
      </c>
      <c r="S27" s="31">
        <f t="shared" si="5"/>
        <v>0.12</v>
      </c>
      <c r="T27" s="154">
        <f t="shared" si="2"/>
        <v>8350.7200000000012</v>
      </c>
      <c r="U27" s="154">
        <f t="shared" si="34"/>
        <v>9352.8064000000013</v>
      </c>
      <c r="V27" s="154">
        <f t="shared" si="35"/>
        <v>10475.143168000002</v>
      </c>
      <c r="W27" s="154">
        <f t="shared" si="36"/>
        <v>11732.160348160003</v>
      </c>
      <c r="X27" s="154">
        <f t="shared" si="37"/>
        <v>13140.019589939206</v>
      </c>
      <c r="Y27" s="154">
        <f t="shared" si="38"/>
        <v>14716.821940731912</v>
      </c>
      <c r="Z27" s="154">
        <f t="shared" si="39"/>
        <v>16482.840573619742</v>
      </c>
      <c r="AA27" s="154">
        <f t="shared" si="40"/>
        <v>18460.781442454114</v>
      </c>
      <c r="AB27" s="154">
        <f t="shared" si="41"/>
        <v>20676.075215548608</v>
      </c>
      <c r="AC27" s="154">
        <f t="shared" si="42"/>
        <v>23157.204241414442</v>
      </c>
      <c r="AD27" s="138">
        <f t="shared" si="17"/>
        <v>0.17495524635120518</v>
      </c>
      <c r="AE27" s="31">
        <f t="shared" si="15"/>
        <v>0.05</v>
      </c>
      <c r="AF27" s="146">
        <f t="shared" si="1"/>
        <v>143029.79090285391</v>
      </c>
    </row>
    <row r="28" spans="2:32" s="123" customFormat="1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0.24009900990099009</v>
      </c>
      <c r="I28" s="148">
        <f t="shared" si="71"/>
        <v>0.14587737843551796</v>
      </c>
      <c r="J28" s="148">
        <f t="shared" si="71"/>
        <v>0.28006088280060881</v>
      </c>
      <c r="K28" s="148">
        <f t="shared" si="71"/>
        <v>0.32151462994836488</v>
      </c>
      <c r="L28" s="148">
        <f t="shared" si="71"/>
        <v>9.2471102780381134E-2</v>
      </c>
      <c r="M28" s="148">
        <f t="shared" si="71"/>
        <v>9.0108015918135304E-2</v>
      </c>
      <c r="N28" s="148">
        <f t="shared" ref="N28" si="72">(N27-M27)/N27</f>
        <v>0.2180484552122694</v>
      </c>
      <c r="O28" s="148">
        <f t="shared" ref="O28" si="73">(O27-N27)/O27</f>
        <v>2.8503562945368172E-2</v>
      </c>
      <c r="P28" s="148">
        <f t="shared" ref="P28:Q28" si="74">(P27-O27)/P27</f>
        <v>0.18953447672383619</v>
      </c>
      <c r="Q28" s="148">
        <f t="shared" si="74"/>
        <v>0.23363733905579398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>
      <c r="B29" s="20" t="s">
        <v>324</v>
      </c>
      <c r="C29" s="149"/>
      <c r="D29" s="149"/>
      <c r="E29" s="150"/>
      <c r="F29" s="147"/>
      <c r="G29" s="147">
        <v>13</v>
      </c>
      <c r="H29" s="147">
        <v>16</v>
      </c>
      <c r="I29" s="147">
        <v>28</v>
      </c>
      <c r="J29" s="147">
        <v>32</v>
      </c>
      <c r="K29" s="147">
        <v>45</v>
      </c>
      <c r="L29" s="147">
        <v>66</v>
      </c>
      <c r="M29" s="147">
        <v>21</v>
      </c>
      <c r="N29" s="147">
        <v>16</v>
      </c>
      <c r="O29" s="147">
        <v>15</v>
      </c>
      <c r="P29" s="147">
        <v>9</v>
      </c>
      <c r="Q29" s="147">
        <v>8</v>
      </c>
      <c r="R29" s="118">
        <f>((Q29/G29)^(1/($H$2-$H$1) ))-1</f>
        <v>-5.2516079733582521E-2</v>
      </c>
      <c r="S29" s="31">
        <f t="shared" si="5"/>
        <v>0.12</v>
      </c>
      <c r="T29" s="154">
        <f t="shared" si="2"/>
        <v>8.9600000000000009</v>
      </c>
      <c r="U29" s="154">
        <f t="shared" ref="U29" si="75">T29*(1+$S29)</f>
        <v>10.035200000000001</v>
      </c>
      <c r="V29" s="154">
        <f t="shared" ref="V29" si="76">U29*(1+$S29)</f>
        <v>11.239424000000003</v>
      </c>
      <c r="W29" s="154">
        <f t="shared" ref="W29" si="77">V29*(1+$S29)</f>
        <v>12.588154880000005</v>
      </c>
      <c r="X29" s="154">
        <f t="shared" ref="X29" si="78">W29*(1+$S29)</f>
        <v>14.098733465600006</v>
      </c>
      <c r="Y29" s="154">
        <f t="shared" ref="Y29" si="79">X29*(1+$S29)</f>
        <v>15.790581481472008</v>
      </c>
      <c r="Z29" s="154">
        <f t="shared" ref="Z29" si="80">Y29*(1+$S29)</f>
        <v>17.685451259248651</v>
      </c>
      <c r="AA29" s="154">
        <f t="shared" ref="AA29" si="81">Z29*(1+$S29)</f>
        <v>19.807705410358491</v>
      </c>
      <c r="AB29" s="154">
        <f t="shared" ref="AB29" si="82">AA29*(1+$S29)</f>
        <v>22.184630059601513</v>
      </c>
      <c r="AC29" s="154">
        <f t="shared" ref="AC29" si="83">AB29*(1+$S29)</f>
        <v>24.846785666753696</v>
      </c>
      <c r="AD29" s="138">
        <f t="shared" ref="AD29" si="84">((AC29/G29)^(1/($AC$3-$H$1) ))-1</f>
        <v>3.2919183025434728E-2</v>
      </c>
      <c r="AE29" s="31">
        <f t="shared" si="15"/>
        <v>0.05</v>
      </c>
      <c r="AF29" s="146">
        <f t="shared" ref="AF29" si="85">(AC29*(1+AE29))/($C$1-AE29)</f>
        <v>153.4654408828905</v>
      </c>
    </row>
    <row r="30" spans="2:32" s="123" customFormat="1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0.1875</v>
      </c>
      <c r="I30" s="148">
        <f t="shared" si="86"/>
        <v>0.42857142857142855</v>
      </c>
      <c r="J30" s="148">
        <f t="shared" si="86"/>
        <v>0.125</v>
      </c>
      <c r="K30" s="148">
        <f t="shared" si="86"/>
        <v>0.28888888888888886</v>
      </c>
      <c r="L30" s="148">
        <f t="shared" si="86"/>
        <v>0.31818181818181818</v>
      </c>
      <c r="M30" s="148">
        <f t="shared" ref="M30" si="87">(M29-L29)/M29</f>
        <v>-2.1428571428571428</v>
      </c>
      <c r="N30" s="148">
        <f t="shared" ref="N30" si="88">(N29-M29)/N29</f>
        <v>-0.3125</v>
      </c>
      <c r="O30" s="148">
        <f t="shared" ref="O30" si="89">(O29-N29)/O29</f>
        <v>-6.6666666666666666E-2</v>
      </c>
      <c r="P30" s="148">
        <f t="shared" ref="P30:Q30" si="90">(P29-O29)/P29</f>
        <v>-0.66666666666666663</v>
      </c>
      <c r="Q30" s="148">
        <f t="shared" si="90"/>
        <v>-0.125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>
      <c r="B33" s="20" t="s">
        <v>316</v>
      </c>
      <c r="C33" s="141"/>
      <c r="D33" s="141"/>
      <c r="E33" s="147"/>
      <c r="F33" s="147"/>
      <c r="G33" s="147">
        <v>522</v>
      </c>
      <c r="H33" s="147">
        <v>762</v>
      </c>
      <c r="I33" s="147">
        <v>924</v>
      </c>
      <c r="J33" s="147">
        <v>1330</v>
      </c>
      <c r="K33" s="147">
        <v>2083</v>
      </c>
      <c r="L33" s="147">
        <v>2179</v>
      </c>
      <c r="M33" s="147">
        <v>2309</v>
      </c>
      <c r="N33" s="147">
        <v>3073</v>
      </c>
      <c r="O33" s="147">
        <v>3572</v>
      </c>
      <c r="P33" s="147">
        <v>4347</v>
      </c>
      <c r="Q33" s="147">
        <v>4079</v>
      </c>
      <c r="R33" s="118">
        <f>((Q33/G33)^(1/($H$2-$H$1) ))-1</f>
        <v>0.25663526942495318</v>
      </c>
      <c r="S33" s="31">
        <f t="shared" si="5"/>
        <v>0.12</v>
      </c>
      <c r="T33" s="154">
        <f t="shared" si="2"/>
        <v>4568.4800000000005</v>
      </c>
      <c r="U33" s="154">
        <f t="shared" si="34"/>
        <v>5116.6976000000013</v>
      </c>
      <c r="V33" s="154">
        <f t="shared" si="35"/>
        <v>5730.701312000002</v>
      </c>
      <c r="W33" s="154">
        <f t="shared" si="36"/>
        <v>6418.3854694400025</v>
      </c>
      <c r="X33" s="154">
        <f t="shared" si="37"/>
        <v>7188.5917257728033</v>
      </c>
      <c r="Y33" s="154">
        <f t="shared" si="38"/>
        <v>8051.2227328655408</v>
      </c>
      <c r="Z33" s="154">
        <f t="shared" si="39"/>
        <v>9017.3694608094065</v>
      </c>
      <c r="AA33" s="154">
        <f t="shared" si="40"/>
        <v>10099.453796106536</v>
      </c>
      <c r="AB33" s="154">
        <f t="shared" si="41"/>
        <v>11311.388251639322</v>
      </c>
      <c r="AC33" s="154">
        <f t="shared" si="42"/>
        <v>12668.754841836042</v>
      </c>
      <c r="AD33" s="138">
        <f t="shared" si="17"/>
        <v>0.17287889465187312</v>
      </c>
      <c r="AE33" s="31">
        <f t="shared" si="15"/>
        <v>0.05</v>
      </c>
      <c r="AF33" s="146">
        <f t="shared" si="1"/>
        <v>78248.191670163797</v>
      </c>
    </row>
    <row r="34" spans="2:32">
      <c r="B34" s="20" t="s">
        <v>308</v>
      </c>
      <c r="C34" s="141"/>
      <c r="D34" s="141"/>
      <c r="E34" s="147"/>
      <c r="F34" s="147"/>
      <c r="G34" s="147">
        <v>96</v>
      </c>
      <c r="H34" s="147">
        <v>105</v>
      </c>
      <c r="I34" s="147">
        <v>116</v>
      </c>
      <c r="J34" s="147">
        <v>142</v>
      </c>
      <c r="K34" s="147">
        <v>172</v>
      </c>
      <c r="L34" s="147">
        <v>201</v>
      </c>
      <c r="M34" s="147">
        <v>261</v>
      </c>
      <c r="N34" s="147">
        <v>321</v>
      </c>
      <c r="O34" s="147">
        <v>330</v>
      </c>
      <c r="P34" s="147">
        <v>403</v>
      </c>
      <c r="Q34" s="147">
        <v>258</v>
      </c>
      <c r="R34" s="118">
        <f>((Q34/G34)^(1/($H$2-$H$1) ))-1</f>
        <v>0.11610585362973169</v>
      </c>
      <c r="S34" s="31">
        <f t="shared" si="5"/>
        <v>0.12</v>
      </c>
      <c r="T34" s="154">
        <f t="shared" si="2"/>
        <v>288.96000000000004</v>
      </c>
      <c r="U34" s="154">
        <f t="shared" si="34"/>
        <v>323.63520000000005</v>
      </c>
      <c r="V34" s="154">
        <f t="shared" si="35"/>
        <v>362.47142400000007</v>
      </c>
      <c r="W34" s="154">
        <f t="shared" si="36"/>
        <v>405.96799488000011</v>
      </c>
      <c r="X34" s="154">
        <f t="shared" si="37"/>
        <v>454.68415426560017</v>
      </c>
      <c r="Y34" s="154">
        <f t="shared" si="38"/>
        <v>509.24625277747225</v>
      </c>
      <c r="Z34" s="154">
        <f t="shared" si="39"/>
        <v>570.35580311076899</v>
      </c>
      <c r="AA34" s="154">
        <f t="shared" si="40"/>
        <v>638.79849948406138</v>
      </c>
      <c r="AB34" s="154">
        <f t="shared" si="41"/>
        <v>715.45431942214884</v>
      </c>
      <c r="AC34" s="154">
        <f t="shared" si="42"/>
        <v>801.30883775280677</v>
      </c>
      <c r="AD34" s="138">
        <f t="shared" si="17"/>
        <v>0.11192740711513838</v>
      </c>
      <c r="AE34" s="31">
        <f t="shared" si="15"/>
        <v>0.05</v>
      </c>
      <c r="AF34" s="146">
        <f t="shared" si="1"/>
        <v>4949.2604684732196</v>
      </c>
    </row>
    <row r="35" spans="2:3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>
      <c r="B36" s="20" t="s">
        <v>278</v>
      </c>
      <c r="C36" s="141"/>
      <c r="D36" s="141"/>
      <c r="E36" s="147"/>
      <c r="F36" s="147"/>
      <c r="G36" s="147">
        <v>186</v>
      </c>
      <c r="H36" s="147">
        <v>187</v>
      </c>
      <c r="I36" s="147">
        <v>229</v>
      </c>
      <c r="J36" s="147">
        <v>320</v>
      </c>
      <c r="K36" s="147">
        <v>490</v>
      </c>
      <c r="L36" s="147">
        <v>585</v>
      </c>
      <c r="M36" s="147">
        <v>983</v>
      </c>
      <c r="N36" s="147">
        <v>961</v>
      </c>
      <c r="O36" s="147">
        <v>745</v>
      </c>
      <c r="P36" s="147">
        <v>852</v>
      </c>
      <c r="Q36" s="147">
        <v>863</v>
      </c>
      <c r="R36" s="118">
        <f>((Q36/G36)^(1/($H$2-$H$1) ))-1</f>
        <v>0.18591979118546464</v>
      </c>
      <c r="S36" s="31">
        <f t="shared" si="5"/>
        <v>0.12</v>
      </c>
      <c r="T36" s="154">
        <f t="shared" si="2"/>
        <v>966.56000000000006</v>
      </c>
      <c r="U36" s="154">
        <f t="shared" ref="U36" si="94">T36*(1+$S36)</f>
        <v>1082.5472000000002</v>
      </c>
      <c r="V36" s="154">
        <f t="shared" ref="V36" si="95">U36*(1+$S36)</f>
        <v>1212.4528640000003</v>
      </c>
      <c r="W36" s="154">
        <f t="shared" ref="W36" si="96">V36*(1+$S36)</f>
        <v>1357.9472076800005</v>
      </c>
      <c r="X36" s="154">
        <f t="shared" si="37"/>
        <v>1520.9008726016007</v>
      </c>
      <c r="Y36" s="154">
        <f t="shared" si="38"/>
        <v>1703.408977313793</v>
      </c>
      <c r="Z36" s="154">
        <f t="shared" si="39"/>
        <v>1907.8180545914483</v>
      </c>
      <c r="AA36" s="154">
        <f t="shared" si="40"/>
        <v>2136.7562211424224</v>
      </c>
      <c r="AB36" s="154">
        <f t="shared" si="41"/>
        <v>2393.1669676795132</v>
      </c>
      <c r="AC36" s="154">
        <f t="shared" si="42"/>
        <v>2680.3470038010551</v>
      </c>
      <c r="AD36" s="138">
        <f t="shared" si="17"/>
        <v>0.14270441123215294</v>
      </c>
      <c r="AE36" s="31">
        <f t="shared" si="15"/>
        <v>0.05</v>
      </c>
      <c r="AF36" s="146">
        <f t="shared" si="1"/>
        <v>16555.084435241813</v>
      </c>
    </row>
    <row r="37" spans="2:32" s="123" customFormat="1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5.3475935828877002E-3</v>
      </c>
      <c r="I37" s="148">
        <f t="shared" ref="I37" si="99">(I36-H36)/I36</f>
        <v>0.18340611353711792</v>
      </c>
      <c r="J37" s="148">
        <f t="shared" ref="J37" si="100">(J36-I36)/J36</f>
        <v>0.28437499999999999</v>
      </c>
      <c r="K37" s="148">
        <f t="shared" ref="K37" si="101">(K36-J36)/K36</f>
        <v>0.34693877551020408</v>
      </c>
      <c r="L37" s="148">
        <f t="shared" ref="L37" si="102">(L36-K36)/L36</f>
        <v>0.1623931623931624</v>
      </c>
      <c r="M37" s="148">
        <f t="shared" ref="M37" si="103">(M36-L36)/M36</f>
        <v>0.40488301119023395</v>
      </c>
      <c r="N37" s="148">
        <f t="shared" ref="N37" si="104">(N36-M36)/N36</f>
        <v>-2.2892819979188347E-2</v>
      </c>
      <c r="O37" s="148">
        <f t="shared" ref="O37" si="105">(O36-N36)/O36</f>
        <v>-0.28993288590604027</v>
      </c>
      <c r="P37" s="148">
        <f t="shared" ref="P37:Q37" si="106">(P36-O36)/P36</f>
        <v>0.12558685446009391</v>
      </c>
      <c r="Q37" s="148">
        <f t="shared" si="106"/>
        <v>1.2746234067207415E-2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>
      <c r="B38" s="20" t="s">
        <v>401</v>
      </c>
      <c r="C38" s="149"/>
      <c r="D38" s="149"/>
      <c r="E38" s="150"/>
      <c r="F38" s="150"/>
      <c r="G38" s="147">
        <v>111</v>
      </c>
      <c r="H38" s="147">
        <v>117</v>
      </c>
      <c r="I38" s="147">
        <v>154</v>
      </c>
      <c r="J38" s="147">
        <v>239</v>
      </c>
      <c r="K38" s="147">
        <v>389</v>
      </c>
      <c r="L38" s="147">
        <v>452</v>
      </c>
      <c r="M38" s="147">
        <v>881</v>
      </c>
      <c r="N38" s="147">
        <v>957</v>
      </c>
      <c r="O38" s="147">
        <v>662</v>
      </c>
      <c r="P38" s="147">
        <v>777</v>
      </c>
      <c r="Q38" s="147">
        <v>786</v>
      </c>
      <c r="R38" s="118">
        <f>((Q38/G38)^(1/($H$2-$H$1) ))-1</f>
        <v>0.24295529124863924</v>
      </c>
      <c r="S38" s="31">
        <f t="shared" si="5"/>
        <v>0.12</v>
      </c>
      <c r="T38" s="154">
        <f t="shared" si="2"/>
        <v>880.32</v>
      </c>
      <c r="U38" s="154">
        <f t="shared" ref="U38" si="107">T38*(1+$S38)</f>
        <v>985.9584000000001</v>
      </c>
      <c r="V38" s="154">
        <f t="shared" ref="V38" si="108">U38*(1+$S38)</f>
        <v>1104.2734080000002</v>
      </c>
      <c r="W38" s="154">
        <f t="shared" ref="W38" si="109">V38*(1+$S38)</f>
        <v>1236.7862169600005</v>
      </c>
      <c r="X38" s="154">
        <f t="shared" ref="X38" si="110">W38*(1+$S38)</f>
        <v>1385.2005629952007</v>
      </c>
      <c r="Y38" s="154">
        <f t="shared" ref="Y38" si="111">X38*(1+$S38)</f>
        <v>1551.4246305546249</v>
      </c>
      <c r="Z38" s="154">
        <f t="shared" ref="Z38" si="112">Y38*(1+$S38)</f>
        <v>1737.5955862211799</v>
      </c>
      <c r="AA38" s="154">
        <f t="shared" ref="AA38" si="113">Z38*(1+$S38)</f>
        <v>1946.1070565677217</v>
      </c>
      <c r="AB38" s="154">
        <f t="shared" ref="AB38" si="114">AA38*(1+$S38)</f>
        <v>2179.6399033558487</v>
      </c>
      <c r="AC38" s="154">
        <f t="shared" ref="AC38" si="115">AB38*(1+$S38)</f>
        <v>2441.196691758551</v>
      </c>
      <c r="AD38" s="138">
        <f t="shared" ref="AD38" si="116">((AC38/G38)^(1/($AC$3-$H$1) ))-1</f>
        <v>0.16711591091802647</v>
      </c>
      <c r="AE38" s="31">
        <f t="shared" si="15"/>
        <v>0.05</v>
      </c>
      <c r="AF38" s="146">
        <f t="shared" ref="AF38" si="117">(AC38*(1+AE38))/($C$1-AE38)</f>
        <v>15077.979566743992</v>
      </c>
    </row>
    <row r="39" spans="2:32" s="123" customFormat="1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5.128205128205128E-2</v>
      </c>
      <c r="I39" s="148">
        <f t="shared" ref="I39" si="120">(I38-H38)/I38</f>
        <v>0.24025974025974026</v>
      </c>
      <c r="J39" s="148">
        <f t="shared" ref="J39" si="121">(J38-I38)/J38</f>
        <v>0.35564853556485354</v>
      </c>
      <c r="K39" s="148">
        <f t="shared" ref="K39" si="122">(K38-J38)/K38</f>
        <v>0.38560411311053983</v>
      </c>
      <c r="L39" s="148">
        <f t="shared" ref="L39" si="123">(L38-K38)/L38</f>
        <v>0.13938053097345132</v>
      </c>
      <c r="M39" s="148">
        <f t="shared" ref="M39" si="124">(M38-L38)/M38</f>
        <v>0.48694665153234962</v>
      </c>
      <c r="N39" s="148">
        <f t="shared" ref="N39" si="125">(N38-M38)/N38</f>
        <v>7.9414838035527693E-2</v>
      </c>
      <c r="O39" s="148">
        <f t="shared" ref="O39" si="126">(O38-N38)/O38</f>
        <v>-0.44561933534743203</v>
      </c>
      <c r="P39" s="148">
        <f t="shared" ref="P39:Q39" si="127">(P38-O38)/P38</f>
        <v>0.148005148005148</v>
      </c>
      <c r="Q39" s="148">
        <f t="shared" si="127"/>
        <v>1.1450381679389313E-2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>
      <c r="B40" s="20" t="s">
        <v>402</v>
      </c>
      <c r="C40" s="141"/>
      <c r="D40" s="141"/>
      <c r="E40" s="147"/>
      <c r="F40" s="147"/>
      <c r="G40" s="147">
        <v>74</v>
      </c>
      <c r="H40" s="147">
        <v>79</v>
      </c>
      <c r="I40" s="147">
        <v>103</v>
      </c>
      <c r="J40" s="147">
        <v>158</v>
      </c>
      <c r="K40" s="147">
        <v>262</v>
      </c>
      <c r="L40" s="147">
        <v>294</v>
      </c>
      <c r="M40" s="147">
        <v>581</v>
      </c>
      <c r="N40" s="147">
        <v>659</v>
      </c>
      <c r="O40" s="147">
        <v>465</v>
      </c>
      <c r="P40" s="147">
        <v>540</v>
      </c>
      <c r="Q40" s="147">
        <v>546</v>
      </c>
      <c r="R40" s="118">
        <f>((Q40/G40)^(1/($H$2-$H$1) ))-1</f>
        <v>0.24864822043847479</v>
      </c>
      <c r="S40" s="31">
        <f t="shared" si="5"/>
        <v>0.12</v>
      </c>
      <c r="T40" s="154">
        <f t="shared" si="2"/>
        <v>611.5200000000001</v>
      </c>
      <c r="U40" s="154">
        <f t="shared" ref="U40:AC40" si="128">T40*(1+$S40)</f>
        <v>684.90240000000017</v>
      </c>
      <c r="V40" s="154">
        <f t="shared" si="128"/>
        <v>767.09068800000023</v>
      </c>
      <c r="W40" s="154">
        <f t="shared" si="128"/>
        <v>859.14157056000033</v>
      </c>
      <c r="X40" s="154">
        <f t="shared" si="128"/>
        <v>962.23855902720049</v>
      </c>
      <c r="Y40" s="154">
        <f t="shared" si="128"/>
        <v>1077.7071861104646</v>
      </c>
      <c r="Z40" s="154">
        <f t="shared" si="128"/>
        <v>1207.0320484437204</v>
      </c>
      <c r="AA40" s="154">
        <f t="shared" si="128"/>
        <v>1351.8758942569671</v>
      </c>
      <c r="AB40" s="154">
        <f t="shared" si="128"/>
        <v>1514.1010015678032</v>
      </c>
      <c r="AC40" s="154">
        <f t="shared" si="128"/>
        <v>1695.7931217559399</v>
      </c>
      <c r="AD40" s="138">
        <f t="shared" si="17"/>
        <v>0.16951839607379005</v>
      </c>
      <c r="AE40" s="31">
        <f t="shared" si="15"/>
        <v>0.05</v>
      </c>
      <c r="AF40" s="146">
        <f t="shared" si="1"/>
        <v>10474.016340257278</v>
      </c>
    </row>
    <row r="41" spans="2:32" s="123" customFormat="1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6.3291139240506333E-2</v>
      </c>
      <c r="I41" s="148">
        <f t="shared" si="129"/>
        <v>0.23300970873786409</v>
      </c>
      <c r="J41" s="148">
        <f t="shared" si="129"/>
        <v>0.34810126582278483</v>
      </c>
      <c r="K41" s="148">
        <f t="shared" si="129"/>
        <v>0.39694656488549618</v>
      </c>
      <c r="L41" s="148">
        <f t="shared" si="129"/>
        <v>0.10884353741496598</v>
      </c>
      <c r="M41" s="148">
        <f t="shared" si="129"/>
        <v>0.49397590361445781</v>
      </c>
      <c r="N41" s="148">
        <f t="shared" si="129"/>
        <v>0.11836115326251896</v>
      </c>
      <c r="O41" s="148">
        <f t="shared" si="129"/>
        <v>-0.41720430107526879</v>
      </c>
      <c r="P41" s="148">
        <f t="shared" si="129"/>
        <v>0.1388888888888889</v>
      </c>
      <c r="Q41" s="148">
        <f t="shared" si="129"/>
        <v>1.098901098901099E-2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7.12</v>
      </c>
      <c r="H42" s="145">
        <v>7.5</v>
      </c>
      <c r="I42" s="145">
        <v>7.5</v>
      </c>
      <c r="J42" s="145">
        <v>75</v>
      </c>
      <c r="K42" s="145">
        <v>80</v>
      </c>
      <c r="L42" s="145">
        <v>80</v>
      </c>
      <c r="M42" s="145">
        <v>85</v>
      </c>
      <c r="N42" s="145">
        <v>85</v>
      </c>
      <c r="O42" s="145">
        <v>85</v>
      </c>
      <c r="P42" s="145">
        <v>85</v>
      </c>
      <c r="Q42" s="145">
        <f>P42</f>
        <v>85</v>
      </c>
      <c r="R42" s="118">
        <f>((Q42/G42)^(1/($H$2-$H$1) ))-1</f>
        <v>0.31722474711075099</v>
      </c>
      <c r="S42" s="31">
        <v>0.02</v>
      </c>
      <c r="T42" s="154">
        <f t="shared" si="2"/>
        <v>86.7</v>
      </c>
      <c r="U42" s="154">
        <f t="shared" ref="U42:AC42" si="130">T42*(1+$S42)</f>
        <v>88.433999999999997</v>
      </c>
      <c r="V42" s="154">
        <f t="shared" si="130"/>
        <v>90.202680000000001</v>
      </c>
      <c r="W42" s="154">
        <f t="shared" si="130"/>
        <v>92.006733600000004</v>
      </c>
      <c r="X42" s="154">
        <f t="shared" si="130"/>
        <v>93.846868272000009</v>
      </c>
      <c r="Y42" s="154">
        <f t="shared" si="130"/>
        <v>95.723805637440009</v>
      </c>
      <c r="Z42" s="154">
        <f t="shared" si="130"/>
        <v>97.63828175018881</v>
      </c>
      <c r="AA42" s="154">
        <f t="shared" si="130"/>
        <v>99.591047385192581</v>
      </c>
      <c r="AB42" s="154">
        <f t="shared" si="130"/>
        <v>101.58286833289644</v>
      </c>
      <c r="AC42" s="154">
        <f t="shared" si="130"/>
        <v>103.61452569955436</v>
      </c>
      <c r="AD42" s="138">
        <f t="shared" si="17"/>
        <v>0.14326532725007857</v>
      </c>
      <c r="AE42" s="31">
        <f t="shared" si="15"/>
        <v>0.05</v>
      </c>
      <c r="AF42" s="146">
        <f t="shared" si="1"/>
        <v>639.97207049724761</v>
      </c>
    </row>
    <row r="43" spans="2:32">
      <c r="B43" s="20"/>
      <c r="C43" s="142"/>
      <c r="D43" s="142"/>
      <c r="E43" s="143"/>
      <c r="F43" s="147"/>
      <c r="G43" s="148">
        <f>(G42-F42)/G42</f>
        <v>0.8595505617977528</v>
      </c>
      <c r="H43" s="148">
        <f t="shared" ref="H43" si="131">(H42-G42)/H42</f>
        <v>5.0666666666666652E-2</v>
      </c>
      <c r="I43" s="148">
        <f t="shared" ref="I43" si="132">(I42-H42)/I42</f>
        <v>0</v>
      </c>
      <c r="J43" s="148">
        <f t="shared" ref="J43" si="133">(J42-I42)/J42</f>
        <v>0.9</v>
      </c>
      <c r="K43" s="148">
        <f t="shared" ref="K43" si="134">(K42-J42)/K42</f>
        <v>6.25E-2</v>
      </c>
      <c r="L43" s="148">
        <f t="shared" ref="L43" si="135">(L42-K42)/L42</f>
        <v>0</v>
      </c>
      <c r="M43" s="148">
        <f t="shared" ref="M43" si="136">(M42-L42)/M42</f>
        <v>5.8823529411764705E-2</v>
      </c>
      <c r="N43" s="148">
        <f t="shared" ref="N43" si="137">(N42-M42)/N42</f>
        <v>0</v>
      </c>
      <c r="O43" s="148">
        <f t="shared" ref="O43" si="138">(O42-N42)/O42</f>
        <v>0</v>
      </c>
      <c r="P43" s="148">
        <f t="shared" ref="P43:Q43" si="139">(P42-O42)/P42</f>
        <v>0</v>
      </c>
      <c r="Q43" s="148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>
      <c r="B44" s="20" t="s">
        <v>282</v>
      </c>
      <c r="C44" s="145"/>
      <c r="D44" s="145"/>
      <c r="E44" s="145"/>
      <c r="F44" s="147"/>
      <c r="G44" s="145">
        <v>4</v>
      </c>
      <c r="H44" s="145">
        <v>2.5</v>
      </c>
      <c r="I44" s="145">
        <v>3</v>
      </c>
      <c r="J44" s="145">
        <v>0.35</v>
      </c>
      <c r="K44" s="145">
        <v>0.4</v>
      </c>
      <c r="L44" s="145">
        <v>0.6</v>
      </c>
      <c r="M44" s="145">
        <v>1</v>
      </c>
      <c r="N44" s="145">
        <v>1.5</v>
      </c>
      <c r="O44" s="145">
        <v>1.5</v>
      </c>
      <c r="P44" s="145">
        <v>1.6</v>
      </c>
      <c r="Q44" s="145">
        <f>P44</f>
        <v>1.6</v>
      </c>
      <c r="R44" s="118">
        <f>((Q44/G44)^(1/($H$2-$H$1) ))-1</f>
        <v>-9.6798929863317729E-2</v>
      </c>
      <c r="S44" s="31">
        <f>P1</f>
        <v>0.05</v>
      </c>
      <c r="T44" s="154">
        <f t="shared" si="2"/>
        <v>1.6800000000000002</v>
      </c>
      <c r="U44" s="154">
        <f t="shared" ref="U44" si="140">T44*(1+$S44)</f>
        <v>1.7640000000000002</v>
      </c>
      <c r="V44" s="154">
        <f t="shared" ref="V44" si="141">U44*(1+$S44)</f>
        <v>1.8522000000000003</v>
      </c>
      <c r="W44" s="154">
        <f t="shared" ref="W44" si="142">V44*(1+$S44)</f>
        <v>1.9448100000000004</v>
      </c>
      <c r="X44" s="154">
        <f t="shared" ref="X44" si="143">W44*(1+$S44)</f>
        <v>2.0420505000000007</v>
      </c>
      <c r="Y44" s="154">
        <f t="shared" ref="Y44" si="144">X44*(1+$S44)</f>
        <v>2.1441530250000009</v>
      </c>
      <c r="Z44" s="154">
        <f t="shared" ref="Z44" si="145">Y44*(1+$S44)</f>
        <v>2.2513606762500009</v>
      </c>
      <c r="AA44" s="154">
        <f t="shared" ref="AA44" si="146">Z44*(1+$S44)</f>
        <v>2.3639287100625013</v>
      </c>
      <c r="AB44" s="154">
        <f t="shared" ref="AB44" si="147">AA44*(1+$S44)</f>
        <v>2.4821251455656266</v>
      </c>
      <c r="AC44" s="154">
        <f t="shared" ref="AC44" si="148">AB44*(1+$S44)</f>
        <v>2.6062314028439082</v>
      </c>
      <c r="AD44" s="138">
        <f t="shared" ref="AD44" si="149">((AC44/G44)^(1/($AC$3-$H$1) ))-1</f>
        <v>-2.1191687109649138E-2</v>
      </c>
      <c r="AE44" s="31">
        <f t="shared" si="15"/>
        <v>0.05</v>
      </c>
      <c r="AF44" s="146">
        <f t="shared" si="1"/>
        <v>16.097311605800613</v>
      </c>
    </row>
    <row r="45" spans="2:3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 t="s">
        <v>458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>
      <c r="B46" s="20" t="s">
        <v>425</v>
      </c>
      <c r="C46" s="20"/>
      <c r="D46" s="20"/>
      <c r="E46" s="127"/>
      <c r="F46" s="127"/>
      <c r="G46" s="147" t="s">
        <v>456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 t="s">
        <v>457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94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154.49438202247191</v>
      </c>
      <c r="H50" s="133">
        <f t="shared" si="150"/>
        <v>186.66666666666666</v>
      </c>
      <c r="I50" s="133">
        <f t="shared" si="150"/>
        <v>221.06666666666666</v>
      </c>
      <c r="J50" s="133">
        <f t="shared" si="150"/>
        <v>30.653333333333332</v>
      </c>
      <c r="K50" s="133">
        <f t="shared" si="150"/>
        <v>42.55</v>
      </c>
      <c r="L50" s="133">
        <f t="shared" si="150"/>
        <v>47.4</v>
      </c>
      <c r="M50" s="133">
        <f t="shared" si="150"/>
        <v>53.047058823529412</v>
      </c>
      <c r="N50" s="133">
        <f t="shared" si="150"/>
        <v>65.423529411764704</v>
      </c>
      <c r="O50" s="133">
        <f t="shared" si="150"/>
        <v>63.72941176470588</v>
      </c>
      <c r="P50" s="133">
        <f t="shared" si="150"/>
        <v>77.905882352941177</v>
      </c>
      <c r="Q50" s="133">
        <f t="shared" ref="Q50" si="151">Q25/Q42</f>
        <v>98.71764705882353</v>
      </c>
      <c r="R50" s="118">
        <f>((P50/G50)^(1/($H$2-$H$1) ))-1</f>
        <v>-7.3251373564405697E-2</v>
      </c>
      <c r="S50" s="128"/>
      <c r="T50" s="158">
        <f t="shared" ref="T50:AC50" si="152">T25/T42</f>
        <v>108.39584775086504</v>
      </c>
      <c r="U50" s="158">
        <f t="shared" si="152"/>
        <v>119.0228916480087</v>
      </c>
      <c r="V50" s="158">
        <f t="shared" si="152"/>
        <v>130.69180259389191</v>
      </c>
      <c r="W50" s="158">
        <f t="shared" si="152"/>
        <v>143.50472441682251</v>
      </c>
      <c r="X50" s="158">
        <f t="shared" si="152"/>
        <v>157.57381504592274</v>
      </c>
      <c r="Y50" s="158">
        <f t="shared" si="152"/>
        <v>173.02222828571911</v>
      </c>
      <c r="Z50" s="158">
        <f t="shared" si="152"/>
        <v>189.98519184314259</v>
      </c>
      <c r="AA50" s="158">
        <f t="shared" si="152"/>
        <v>208.6111910434507</v>
      </c>
      <c r="AB50" s="158">
        <f t="shared" si="152"/>
        <v>229.06326859673021</v>
      </c>
      <c r="AC50" s="158">
        <f t="shared" si="152"/>
        <v>251.5204517924881</v>
      </c>
      <c r="AD50" s="138">
        <f t="shared" ref="AD50" si="153">((AC50/G50)^(1/($AC$3-$H$1) ))-1</f>
        <v>2.4667662805023749E-2</v>
      </c>
      <c r="AE50" s="31">
        <f t="shared" si="15"/>
        <v>0.05</v>
      </c>
      <c r="AF50" s="146">
        <f t="shared" ref="AF50:AF51" si="154">(AC50*(1+AE50))/($C$1-AE50)</f>
        <v>1553.5086728359563</v>
      </c>
    </row>
    <row r="51" spans="2:3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129.35393258426967</v>
      </c>
      <c r="H51" s="133">
        <f t="shared" si="155"/>
        <v>161.6</v>
      </c>
      <c r="I51" s="133">
        <f t="shared" si="155"/>
        <v>189.2</v>
      </c>
      <c r="J51" s="133">
        <f t="shared" si="155"/>
        <v>26.28</v>
      </c>
      <c r="K51" s="133">
        <f t="shared" si="155"/>
        <v>36.3125</v>
      </c>
      <c r="L51" s="133">
        <f t="shared" si="155"/>
        <v>40.012500000000003</v>
      </c>
      <c r="M51" s="133">
        <f t="shared" si="155"/>
        <v>41.388235294117649</v>
      </c>
      <c r="N51" s="133">
        <f t="shared" si="155"/>
        <v>52.929411764705883</v>
      </c>
      <c r="O51" s="133">
        <f t="shared" si="155"/>
        <v>54.482352941176472</v>
      </c>
      <c r="P51" s="133">
        <f t="shared" si="155"/>
        <v>67.223529411764702</v>
      </c>
      <c r="Q51" s="133">
        <f t="shared" ref="Q51" si="156">Q27/Q42</f>
        <v>87.71764705882353</v>
      </c>
      <c r="R51" s="118">
        <f>((P51/G51)^(1/($H$2-$H$1) ))-1</f>
        <v>-7.0143906263448685E-2</v>
      </c>
      <c r="S51" s="128"/>
      <c r="T51" s="158">
        <f t="shared" ref="T51:AC51" si="157">T27/T42</f>
        <v>96.31741637831604</v>
      </c>
      <c r="U51" s="158">
        <f t="shared" si="157"/>
        <v>105.76030033697448</v>
      </c>
      <c r="V51" s="158">
        <f t="shared" si="157"/>
        <v>116.12895723275631</v>
      </c>
      <c r="W51" s="158">
        <f t="shared" si="157"/>
        <v>127.51414911832065</v>
      </c>
      <c r="X51" s="158">
        <f t="shared" si="157"/>
        <v>140.01553628678346</v>
      </c>
      <c r="Y51" s="158">
        <f t="shared" si="157"/>
        <v>153.74254964823285</v>
      </c>
      <c r="Z51" s="158">
        <f t="shared" si="157"/>
        <v>168.81534863335372</v>
      </c>
      <c r="AA51" s="158">
        <f t="shared" si="157"/>
        <v>185.36587300917276</v>
      </c>
      <c r="AB51" s="158">
        <f t="shared" si="157"/>
        <v>203.5389978139936</v>
      </c>
      <c r="AC51" s="158">
        <f t="shared" si="157"/>
        <v>223.49380152124789</v>
      </c>
      <c r="AD51" s="138">
        <f t="shared" ref="AD51" si="158">((AC51/G51)^(1/($AC$3-$H$1) ))-1</f>
        <v>2.7718779137080318E-2</v>
      </c>
      <c r="AE51" s="31">
        <f t="shared" si="15"/>
        <v>0.05</v>
      </c>
      <c r="AF51" s="146">
        <f t="shared" si="154"/>
        <v>1380.4028917488843</v>
      </c>
    </row>
    <row r="52" spans="2:32">
      <c r="B52" s="20" t="s">
        <v>428</v>
      </c>
      <c r="C52" s="133"/>
      <c r="D52" s="133"/>
      <c r="E52" s="133"/>
      <c r="F52" s="133"/>
      <c r="G52" s="133">
        <f>G38-G40</f>
        <v>37</v>
      </c>
      <c r="H52" s="133">
        <f t="shared" ref="H52:P52" si="159">H38-H40</f>
        <v>38</v>
      </c>
      <c r="I52" s="133">
        <f t="shared" si="159"/>
        <v>51</v>
      </c>
      <c r="J52" s="133">
        <f t="shared" si="159"/>
        <v>81</v>
      </c>
      <c r="K52" s="133">
        <f t="shared" si="159"/>
        <v>127</v>
      </c>
      <c r="L52" s="133">
        <f t="shared" si="159"/>
        <v>158</v>
      </c>
      <c r="M52" s="133">
        <f t="shared" si="159"/>
        <v>300</v>
      </c>
      <c r="N52" s="133">
        <f t="shared" si="159"/>
        <v>298</v>
      </c>
      <c r="O52" s="133">
        <f t="shared" si="159"/>
        <v>197</v>
      </c>
      <c r="P52" s="133">
        <f t="shared" si="159"/>
        <v>237</v>
      </c>
      <c r="Q52" s="133">
        <f t="shared" ref="Q52" si="160">Q38-Q40</f>
        <v>240</v>
      </c>
      <c r="R52" s="118">
        <f>((P52/G52)^(1/($H$2-$H$1) ))-1</f>
        <v>0.22918228148602515</v>
      </c>
      <c r="S52" s="128"/>
      <c r="T52" s="133">
        <f t="shared" ref="T52:AC52" si="161">T38-T40</f>
        <v>268.79999999999995</v>
      </c>
      <c r="U52" s="133">
        <f t="shared" si="161"/>
        <v>301.05599999999993</v>
      </c>
      <c r="V52" s="133">
        <f t="shared" si="161"/>
        <v>337.18272000000002</v>
      </c>
      <c r="W52" s="133">
        <f t="shared" si="161"/>
        <v>377.64464640000017</v>
      </c>
      <c r="X52" s="133">
        <f t="shared" si="161"/>
        <v>422.9620039680002</v>
      </c>
      <c r="Y52" s="133">
        <f t="shared" si="161"/>
        <v>473.71744444416026</v>
      </c>
      <c r="Z52" s="133">
        <f t="shared" si="161"/>
        <v>530.56353777745949</v>
      </c>
      <c r="AA52" s="133">
        <f t="shared" si="161"/>
        <v>594.2311623107546</v>
      </c>
      <c r="AB52" s="133">
        <f t="shared" si="161"/>
        <v>665.53890178804545</v>
      </c>
      <c r="AC52" s="133">
        <f t="shared" si="161"/>
        <v>745.4035700026111</v>
      </c>
      <c r="AD52" s="138">
        <f t="shared" ref="AD52" si="162">((AC52/G52)^(1/($AC$3-$H$1) ))-1</f>
        <v>0.16200898782433448</v>
      </c>
      <c r="AE52" s="31">
        <f t="shared" si="15"/>
        <v>0.05</v>
      </c>
      <c r="AF52" s="146">
        <f t="shared" ref="AF52" si="163">(AC52*(1+AE52))/($C$1-AE52)</f>
        <v>4603.9632264867159</v>
      </c>
    </row>
    <row r="53" spans="2:3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10.393258426966291</v>
      </c>
      <c r="H54" s="133">
        <f t="shared" si="164"/>
        <v>10.533333333333333</v>
      </c>
      <c r="I54" s="133">
        <f t="shared" si="164"/>
        <v>13.733333333333333</v>
      </c>
      <c r="J54" s="133">
        <f t="shared" si="164"/>
        <v>2.1066666666666665</v>
      </c>
      <c r="K54" s="133">
        <f t="shared" si="164"/>
        <v>3.2749999999999999</v>
      </c>
      <c r="L54" s="133">
        <f t="shared" si="164"/>
        <v>3.6749999999999998</v>
      </c>
      <c r="M54" s="133">
        <f t="shared" si="164"/>
        <v>6.8352941176470585</v>
      </c>
      <c r="N54" s="133">
        <f t="shared" si="164"/>
        <v>7.7529411764705882</v>
      </c>
      <c r="O54" s="133">
        <f t="shared" si="164"/>
        <v>5.4705882352941178</v>
      </c>
      <c r="P54" s="133">
        <f t="shared" si="164"/>
        <v>6.3529411764705879</v>
      </c>
      <c r="Q54" s="133">
        <f t="shared" ref="Q54" si="165">Q40/Q42</f>
        <v>6.4235294117647062</v>
      </c>
      <c r="R54" s="118">
        <f>((P54/G54)^(1/($H$2-$H$1) ))-1</f>
        <v>-5.3224497883895161E-2</v>
      </c>
      <c r="S54" s="128"/>
      <c r="T54" s="158">
        <f t="shared" ref="T54:AC54" si="166">T40/T42</f>
        <v>7.0532871972318345</v>
      </c>
      <c r="U54" s="158">
        <f t="shared" si="166"/>
        <v>7.7447859420584866</v>
      </c>
      <c r="V54" s="158">
        <f t="shared" si="166"/>
        <v>8.5040786814759848</v>
      </c>
      <c r="W54" s="158">
        <f t="shared" si="166"/>
        <v>9.3378118855422585</v>
      </c>
      <c r="X54" s="158">
        <f t="shared" si="166"/>
        <v>10.253283639026794</v>
      </c>
      <c r="Y54" s="158">
        <f t="shared" si="166"/>
        <v>11.258507525205893</v>
      </c>
      <c r="Z54" s="158">
        <f t="shared" si="166"/>
        <v>12.362282772775099</v>
      </c>
      <c r="AA54" s="158">
        <f t="shared" si="166"/>
        <v>13.574271279909915</v>
      </c>
      <c r="AB54" s="158">
        <f t="shared" si="166"/>
        <v>14.905082189705004</v>
      </c>
      <c r="AC54" s="158">
        <f t="shared" si="166"/>
        <v>16.366364757323147</v>
      </c>
      <c r="AD54" s="138">
        <f t="shared" ref="AD54:AD68" si="167">((AC54/G54)^(1/($AC$3-$H$1) ))-1</f>
        <v>2.296323364136188E-2</v>
      </c>
      <c r="AE54" s="31">
        <f t="shared" si="15"/>
        <v>0.05</v>
      </c>
      <c r="AF54" s="146">
        <f t="shared" ref="AF54:AF82" si="168">(AC54*(1+AE54))/($C$1-AE54)</f>
        <v>101.08637055993709</v>
      </c>
    </row>
    <row r="55" spans="2:3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22.612359550561798</v>
      </c>
      <c r="H55" s="133">
        <f t="shared" ref="H55:P55" si="170">H20/H42</f>
        <v>12.266666666666667</v>
      </c>
      <c r="I55" s="133">
        <f t="shared" si="170"/>
        <v>29.866666666666667</v>
      </c>
      <c r="J55" s="133">
        <f t="shared" si="170"/>
        <v>2.5066666666666668</v>
      </c>
      <c r="K55" s="133">
        <f t="shared" si="170"/>
        <v>2.25</v>
      </c>
      <c r="L55" s="133">
        <f t="shared" si="170"/>
        <v>6.3</v>
      </c>
      <c r="M55" s="133">
        <f t="shared" si="170"/>
        <v>6.1647058823529415</v>
      </c>
      <c r="N55" s="133">
        <f t="shared" si="170"/>
        <v>4.6823529411764708</v>
      </c>
      <c r="O55" s="133">
        <f t="shared" si="170"/>
        <v>6</v>
      </c>
      <c r="P55" s="133">
        <f t="shared" si="170"/>
        <v>4.223529411764706</v>
      </c>
      <c r="Q55" s="133">
        <f t="shared" ref="Q55" si="171">Q20/Q42</f>
        <v>7.6117647058823525</v>
      </c>
      <c r="R55" s="118">
        <f>((P55/G55)^(1/($H$2-$H$1) ))-1</f>
        <v>-0.17007924312655687</v>
      </c>
      <c r="S55" s="128"/>
      <c r="T55" s="133">
        <f t="shared" ref="T55:AC55" si="172">T20/T42</f>
        <v>8.3580161476355261</v>
      </c>
      <c r="U55" s="133">
        <f t="shared" si="172"/>
        <v>9.1774294954429312</v>
      </c>
      <c r="V55" s="133">
        <f t="shared" si="172"/>
        <v>10.077177485192239</v>
      </c>
      <c r="W55" s="133">
        <f t="shared" si="172"/>
        <v>11.06513606217187</v>
      </c>
      <c r="X55" s="133">
        <f t="shared" si="172"/>
        <v>12.149953323169111</v>
      </c>
      <c r="Y55" s="133">
        <f t="shared" si="172"/>
        <v>13.341125217597456</v>
      </c>
      <c r="Z55" s="133">
        <f t="shared" si="172"/>
        <v>14.649078670303092</v>
      </c>
      <c r="AA55" s="133">
        <f t="shared" si="172"/>
        <v>16.085262853666144</v>
      </c>
      <c r="AB55" s="133">
        <f t="shared" si="172"/>
        <v>17.662249407947137</v>
      </c>
      <c r="AC55" s="133">
        <f t="shared" si="172"/>
        <v>19.393842487157645</v>
      </c>
      <c r="AD55" s="138">
        <f t="shared" ref="AD55" si="173">((AC55/G55)^(1/($AC$3-$H$1) ))-1</f>
        <v>-7.6476577815335345E-3</v>
      </c>
      <c r="AE55" s="31">
        <f t="shared" si="15"/>
        <v>0.05</v>
      </c>
      <c r="AF55" s="146">
        <f t="shared" si="168"/>
        <v>119.78549771479724</v>
      </c>
    </row>
    <row r="56" spans="2:3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57.162921348314605</v>
      </c>
      <c r="H56" s="133">
        <f t="shared" si="174"/>
        <v>66.400000000000006</v>
      </c>
      <c r="I56" s="133">
        <f t="shared" si="174"/>
        <v>72.13333333333334</v>
      </c>
      <c r="J56" s="133">
        <f t="shared" si="174"/>
        <v>7.6133333333333333</v>
      </c>
      <c r="K56" s="133">
        <f t="shared" si="174"/>
        <v>10.574999999999999</v>
      </c>
      <c r="L56" s="133">
        <f t="shared" si="174"/>
        <v>12.4</v>
      </c>
      <c r="M56" s="133">
        <f t="shared" si="174"/>
        <v>22.541176470588237</v>
      </c>
      <c r="N56" s="133">
        <f t="shared" si="174"/>
        <v>28.058823529411764</v>
      </c>
      <c r="O56" s="133">
        <f t="shared" si="174"/>
        <v>31.611764705882354</v>
      </c>
      <c r="P56" s="133">
        <f t="shared" si="174"/>
        <v>36.223529411764709</v>
      </c>
      <c r="Q56" s="133">
        <f t="shared" ref="Q56" si="175">Q7/Q42</f>
        <v>40.694117647058825</v>
      </c>
      <c r="R56" s="118">
        <f>((P56/G56)^(1/($H$2-$H$1) ))-1</f>
        <v>-4.9425278796933481E-2</v>
      </c>
      <c r="S56" s="128"/>
      <c r="T56" s="158">
        <f t="shared" ref="T56:AC56" si="176">T7/T42</f>
        <v>44.683737024221458</v>
      </c>
      <c r="U56" s="158">
        <f t="shared" si="176"/>
        <v>49.064495556007884</v>
      </c>
      <c r="V56" s="158">
        <f t="shared" si="176"/>
        <v>53.874740218361602</v>
      </c>
      <c r="W56" s="158">
        <f t="shared" si="176"/>
        <v>59.156577494671566</v>
      </c>
      <c r="X56" s="158">
        <f t="shared" si="176"/>
        <v>64.956241954933489</v>
      </c>
      <c r="Y56" s="158">
        <f t="shared" si="176"/>
        <v>71.324500970123054</v>
      </c>
      <c r="Z56" s="158">
        <f t="shared" si="176"/>
        <v>78.317099104448857</v>
      </c>
      <c r="AA56" s="158">
        <f t="shared" si="176"/>
        <v>85.995246075473261</v>
      </c>
      <c r="AB56" s="158">
        <f t="shared" si="176"/>
        <v>94.426152553460852</v>
      </c>
      <c r="AC56" s="158">
        <f t="shared" si="176"/>
        <v>103.68361849007466</v>
      </c>
      <c r="AD56" s="138">
        <f t="shared" si="167"/>
        <v>3.0219548722363321E-2</v>
      </c>
      <c r="AE56" s="31">
        <f t="shared" si="15"/>
        <v>0.05</v>
      </c>
      <c r="AF56" s="146">
        <f t="shared" si="168"/>
        <v>640.39882008575535</v>
      </c>
    </row>
    <row r="57" spans="2:3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38.342696629213485</v>
      </c>
      <c r="H57" s="144">
        <f t="shared" si="177"/>
        <v>48.93333333333333</v>
      </c>
      <c r="I57" s="144">
        <f t="shared" si="177"/>
        <v>54.93333333333333</v>
      </c>
      <c r="J57" s="144">
        <f t="shared" si="177"/>
        <v>5.9866666666666664</v>
      </c>
      <c r="K57" s="144">
        <f t="shared" si="177"/>
        <v>9.0124999999999993</v>
      </c>
      <c r="L57" s="144">
        <f t="shared" si="177"/>
        <v>1.075</v>
      </c>
      <c r="M57" s="144">
        <f t="shared" si="177"/>
        <v>20.976470588235294</v>
      </c>
      <c r="N57" s="144">
        <f t="shared" si="177"/>
        <v>26.529411764705884</v>
      </c>
      <c r="O57" s="144">
        <f t="shared" si="177"/>
        <v>30.611764705882354</v>
      </c>
      <c r="P57" s="144">
        <f t="shared" si="177"/>
        <v>35.223529411764709</v>
      </c>
      <c r="Q57" s="144">
        <f t="shared" ref="Q57" si="178">Q6/Q42</f>
        <v>39.694117647058825</v>
      </c>
      <c r="R57" s="118">
        <f>((P57/G57)^(1/($H$2-$H$1) ))-1</f>
        <v>-9.3834493373745609E-3</v>
      </c>
      <c r="S57" s="128"/>
      <c r="T57" s="157">
        <f t="shared" ref="T57:AC57" si="179">T6/T42</f>
        <v>43.585697808535187</v>
      </c>
      <c r="U57" s="157">
        <f t="shared" si="179"/>
        <v>47.858805436822962</v>
      </c>
      <c r="V57" s="157">
        <f t="shared" si="179"/>
        <v>52.550845185531102</v>
      </c>
      <c r="W57" s="157">
        <f t="shared" si="179"/>
        <v>57.702888831171407</v>
      </c>
      <c r="X57" s="157">
        <f t="shared" si="179"/>
        <v>63.360034795011742</v>
      </c>
      <c r="Y57" s="157">
        <f t="shared" si="179"/>
        <v>69.571802912169773</v>
      </c>
      <c r="Z57" s="157">
        <f t="shared" si="179"/>
        <v>76.392567903558955</v>
      </c>
      <c r="AA57" s="157">
        <f t="shared" si="179"/>
        <v>83.882035345084361</v>
      </c>
      <c r="AB57" s="157">
        <f t="shared" si="179"/>
        <v>92.105764300484793</v>
      </c>
      <c r="AC57" s="157">
        <f t="shared" si="179"/>
        <v>101.1357411926892</v>
      </c>
      <c r="AD57" s="138">
        <f t="shared" si="167"/>
        <v>4.9690098004616434E-2</v>
      </c>
      <c r="AE57" s="31">
        <f t="shared" si="15"/>
        <v>0.05</v>
      </c>
      <c r="AF57" s="146">
        <f t="shared" si="168"/>
        <v>624.66193089602154</v>
      </c>
    </row>
    <row r="58" spans="2:3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28.511235955056179</v>
      </c>
      <c r="H58" s="144">
        <f t="shared" si="180"/>
        <v>39.733333333333334</v>
      </c>
      <c r="I58" s="144">
        <f t="shared" si="180"/>
        <v>39.6</v>
      </c>
      <c r="J58" s="144">
        <f t="shared" si="180"/>
        <v>4.5466666666666669</v>
      </c>
      <c r="K58" s="144">
        <f t="shared" si="180"/>
        <v>4.7</v>
      </c>
      <c r="L58" s="144">
        <f t="shared" si="180"/>
        <v>4.5125000000000002</v>
      </c>
      <c r="M58" s="144">
        <f t="shared" si="180"/>
        <v>2.0470588235294116</v>
      </c>
      <c r="N58" s="144">
        <f t="shared" si="180"/>
        <v>1.223529411764706</v>
      </c>
      <c r="O58" s="144">
        <f t="shared" si="180"/>
        <v>0.31764705882352939</v>
      </c>
      <c r="P58" s="144">
        <f t="shared" si="180"/>
        <v>0.6</v>
      </c>
      <c r="Q58" s="144">
        <f t="shared" ref="Q58" si="181">Q10/Q42</f>
        <v>0.16470588235294117</v>
      </c>
      <c r="R58" s="118">
        <f>((P58/G58)^(1/($H$2-$H$1) ))-1</f>
        <v>-0.34884903342267748</v>
      </c>
      <c r="S58" s="128"/>
      <c r="T58" s="157">
        <f t="shared" ref="T58:AC58" si="182">T10/T42</f>
        <v>0.18085351787773934</v>
      </c>
      <c r="U58" s="157">
        <f t="shared" si="182"/>
        <v>0.19858425492457654</v>
      </c>
      <c r="V58" s="157">
        <f t="shared" si="182"/>
        <v>0.21805329952502522</v>
      </c>
      <c r="W58" s="157">
        <f t="shared" si="182"/>
        <v>0.23943107398826299</v>
      </c>
      <c r="X58" s="157">
        <f t="shared" si="182"/>
        <v>0.26290470869299465</v>
      </c>
      <c r="Y58" s="157">
        <f t="shared" si="182"/>
        <v>0.28867968013348438</v>
      </c>
      <c r="Z58" s="157">
        <f t="shared" si="182"/>
        <v>0.31698160955833582</v>
      </c>
      <c r="AA58" s="157">
        <f t="shared" si="182"/>
        <v>0.34805823794640794</v>
      </c>
      <c r="AB58" s="157">
        <f t="shared" si="182"/>
        <v>0.38218159460782047</v>
      </c>
      <c r="AC58" s="157">
        <f t="shared" si="182"/>
        <v>0.41965037839290098</v>
      </c>
      <c r="AD58" s="138">
        <f t="shared" si="167"/>
        <v>-0.19017052649720634</v>
      </c>
      <c r="AE58" s="31">
        <f t="shared" si="15"/>
        <v>0.05</v>
      </c>
      <c r="AF58" s="146">
        <f t="shared" si="168"/>
        <v>2.5919582194855653</v>
      </c>
    </row>
    <row r="59" spans="2:3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28.651685393258425</v>
      </c>
      <c r="H60" s="144">
        <f t="shared" si="183"/>
        <v>26.666666666666668</v>
      </c>
      <c r="I60" s="144">
        <f t="shared" si="183"/>
        <v>32.533333333333331</v>
      </c>
      <c r="J60" s="144">
        <f t="shared" si="183"/>
        <v>3.0666666666666669</v>
      </c>
      <c r="K60" s="144">
        <f t="shared" si="183"/>
        <v>5.875</v>
      </c>
      <c r="L60" s="144">
        <f t="shared" si="183"/>
        <v>7.8875000000000002</v>
      </c>
      <c r="M60" s="144">
        <f t="shared" si="183"/>
        <v>20.494117647058822</v>
      </c>
      <c r="N60" s="144">
        <f t="shared" si="183"/>
        <v>26.835294117647059</v>
      </c>
      <c r="O60" s="144">
        <f t="shared" si="183"/>
        <v>31.294117647058822</v>
      </c>
      <c r="P60" s="144">
        <f t="shared" si="183"/>
        <v>35.623529411764707</v>
      </c>
      <c r="Q60" s="144">
        <f t="shared" ref="Q60" si="184">(Q7-Q10)/Q42</f>
        <v>40.529411764705884</v>
      </c>
      <c r="R60" s="118">
        <f>((P60/G60)^(1/($H$2-$H$1) ))-1</f>
        <v>2.4494523649528865E-2</v>
      </c>
      <c r="S60" s="128"/>
      <c r="T60" s="157">
        <f t="shared" ref="T60:AC60" si="185">(T7-T10)/T42</f>
        <v>44.502883506343721</v>
      </c>
      <c r="U60" s="157">
        <f t="shared" si="185"/>
        <v>48.865911301083308</v>
      </c>
      <c r="V60" s="157">
        <f t="shared" si="185"/>
        <v>53.656686918836577</v>
      </c>
      <c r="W60" s="157">
        <f t="shared" si="185"/>
        <v>58.917146420683302</v>
      </c>
      <c r="X60" s="157">
        <f t="shared" si="185"/>
        <v>64.693337246240503</v>
      </c>
      <c r="Y60" s="157">
        <f t="shared" si="185"/>
        <v>71.03582128998957</v>
      </c>
      <c r="Z60" s="157">
        <f t="shared" si="185"/>
        <v>78.000117494890517</v>
      </c>
      <c r="AA60" s="157">
        <f t="shared" si="185"/>
        <v>85.647187837526857</v>
      </c>
      <c r="AB60" s="157">
        <f t="shared" si="185"/>
        <v>94.043970958853023</v>
      </c>
      <c r="AC60" s="157">
        <f t="shared" si="185"/>
        <v>103.26396811168176</v>
      </c>
      <c r="AD60" s="138">
        <f t="shared" si="167"/>
        <v>6.6203077618189665E-2</v>
      </c>
      <c r="AE60" s="31">
        <f t="shared" si="15"/>
        <v>0.05</v>
      </c>
      <c r="AF60" s="146">
        <f t="shared" si="168"/>
        <v>637.80686186626986</v>
      </c>
    </row>
    <row r="61" spans="2:3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-4.7752808988764048</v>
      </c>
      <c r="H61" s="144">
        <f t="shared" si="186"/>
        <v>-6.8</v>
      </c>
      <c r="I61" s="144">
        <f t="shared" si="186"/>
        <v>-7.2</v>
      </c>
      <c r="J61" s="144">
        <f t="shared" si="186"/>
        <v>-2.2133333333333334</v>
      </c>
      <c r="K61" s="144">
        <f t="shared" si="186"/>
        <v>-1.2749999999999999</v>
      </c>
      <c r="L61" s="144">
        <f t="shared" si="186"/>
        <v>1.8</v>
      </c>
      <c r="M61" s="144">
        <f t="shared" si="186"/>
        <v>12.305882352941177</v>
      </c>
      <c r="N61" s="144">
        <f t="shared" si="186"/>
        <v>15.858823529411765</v>
      </c>
      <c r="O61" s="144">
        <f t="shared" si="186"/>
        <v>19.223529411764705</v>
      </c>
      <c r="P61" s="144">
        <f t="shared" si="186"/>
        <v>15.635294117647058</v>
      </c>
      <c r="Q61" s="144">
        <f t="shared" ref="Q61" si="187">(Q7-Q10-Q9)/Q42</f>
        <v>21.329411764705881</v>
      </c>
      <c r="R61" s="118">
        <f>((P61/G61)^(1/($H$2-$H$1) ))-1</f>
        <v>-2.1408646556491653</v>
      </c>
      <c r="S61" s="128"/>
      <c r="T61" s="157">
        <f t="shared" ref="T61:AC61" si="188">(T7-T10-T9)/T42</f>
        <v>23.420530565167248</v>
      </c>
      <c r="U61" s="157">
        <f t="shared" si="188"/>
        <v>25.716661012732672</v>
      </c>
      <c r="V61" s="157">
        <f t="shared" si="188"/>
        <v>28.237902288490776</v>
      </c>
      <c r="W61" s="157">
        <f t="shared" si="188"/>
        <v>31.006324081480066</v>
      </c>
      <c r="X61" s="157">
        <f t="shared" si="188"/>
        <v>34.046159775742829</v>
      </c>
      <c r="Y61" s="157">
        <f t="shared" si="188"/>
        <v>37.384018577286241</v>
      </c>
      <c r="Z61" s="157">
        <f t="shared" si="188"/>
        <v>41.049118437804509</v>
      </c>
      <c r="AA61" s="157">
        <f t="shared" si="188"/>
        <v>45.073541814059858</v>
      </c>
      <c r="AB61" s="157">
        <f t="shared" si="188"/>
        <v>49.492516501712778</v>
      </c>
      <c r="AC61" s="157">
        <f t="shared" si="188"/>
        <v>54.344724001880714</v>
      </c>
      <c r="AD61" s="138" t="e">
        <f t="shared" si="167"/>
        <v>#NUM!</v>
      </c>
      <c r="AE61" s="31">
        <f t="shared" si="15"/>
        <v>0.05</v>
      </c>
      <c r="AF61" s="146">
        <f t="shared" si="168"/>
        <v>335.65858942338093</v>
      </c>
    </row>
    <row r="62" spans="2:3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46.91011235955056</v>
      </c>
      <c r="H62" s="144">
        <f t="shared" si="189"/>
        <v>51.466666666666669</v>
      </c>
      <c r="I62" s="144">
        <f t="shared" si="189"/>
        <v>53.866666666666667</v>
      </c>
      <c r="J62" s="144">
        <f t="shared" si="189"/>
        <v>5.8533333333333335</v>
      </c>
      <c r="K62" s="144">
        <f t="shared" si="189"/>
        <v>10.4625</v>
      </c>
      <c r="L62" s="144">
        <f t="shared" si="189"/>
        <v>12.137499999999999</v>
      </c>
      <c r="M62" s="144">
        <f t="shared" si="189"/>
        <v>25.482352941176469</v>
      </c>
      <c r="N62" s="144">
        <f t="shared" si="189"/>
        <v>33.858823529411765</v>
      </c>
      <c r="O62" s="144">
        <f t="shared" si="189"/>
        <v>38.635294117647057</v>
      </c>
      <c r="P62" s="144">
        <f t="shared" si="189"/>
        <v>41.741176470588236</v>
      </c>
      <c r="Q62" s="144">
        <f t="shared" ref="Q62" si="190">(Q7+Q15-Q10-Q9)/Q42</f>
        <v>47.776470588235291</v>
      </c>
      <c r="R62" s="118">
        <f>((P62/G62)^(1/($H$2-$H$1) ))-1</f>
        <v>-1.2887917009226313E-2</v>
      </c>
      <c r="S62" s="128"/>
      <c r="T62" s="157">
        <f t="shared" ref="T62:AC62" si="191">(T7+T15-T10-T9)/T42</f>
        <v>52.460438292964241</v>
      </c>
      <c r="U62" s="157">
        <f t="shared" si="191"/>
        <v>57.603618517764687</v>
      </c>
      <c r="V62" s="157">
        <f t="shared" si="191"/>
        <v>63.251032097937696</v>
      </c>
      <c r="W62" s="157">
        <f t="shared" si="191"/>
        <v>69.45211367616686</v>
      </c>
      <c r="X62" s="157">
        <f t="shared" si="191"/>
        <v>76.26114442873228</v>
      </c>
      <c r="Y62" s="157">
        <f t="shared" si="191"/>
        <v>83.737727215862876</v>
      </c>
      <c r="Z62" s="157">
        <f t="shared" si="191"/>
        <v>91.947308315457306</v>
      </c>
      <c r="AA62" s="157">
        <f t="shared" si="191"/>
        <v>100.9617503071688</v>
      </c>
      <c r="AB62" s="157">
        <f t="shared" si="191"/>
        <v>110.85996112159712</v>
      </c>
      <c r="AC62" s="157">
        <f t="shared" si="191"/>
        <v>121.7285847609694</v>
      </c>
      <c r="AD62" s="138">
        <f t="shared" si="167"/>
        <v>4.883290737160717E-2</v>
      </c>
      <c r="AE62" s="31">
        <f t="shared" si="15"/>
        <v>0.05</v>
      </c>
      <c r="AF62" s="146">
        <f t="shared" si="168"/>
        <v>751.85302352363465</v>
      </c>
    </row>
    <row r="63" spans="2:3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0.2808988764044944</v>
      </c>
      <c r="H64" s="144">
        <f t="shared" si="192"/>
        <v>4.9333333333333336</v>
      </c>
      <c r="I64" s="144">
        <f t="shared" si="192"/>
        <v>6.2666666666666666</v>
      </c>
      <c r="J64" s="144">
        <f t="shared" si="192"/>
        <v>5.3333333333333337E-2</v>
      </c>
      <c r="K64" s="144">
        <f t="shared" si="192"/>
        <v>8.7499999999999994E-2</v>
      </c>
      <c r="L64" s="144">
        <f t="shared" si="192"/>
        <v>0.48749999999999999</v>
      </c>
      <c r="M64" s="144">
        <f t="shared" si="192"/>
        <v>0.35294117647058826</v>
      </c>
      <c r="N64" s="144">
        <f t="shared" si="192"/>
        <v>0.27058823529411763</v>
      </c>
      <c r="O64" s="144">
        <f t="shared" si="192"/>
        <v>0.74117647058823533</v>
      </c>
      <c r="P64" s="144">
        <f t="shared" si="192"/>
        <v>2.6</v>
      </c>
      <c r="Q64" s="144">
        <f t="shared" ref="Q64" si="193">Q12/Q42</f>
        <v>3.3764705882352941</v>
      </c>
      <c r="R64" s="118">
        <f>((P64/G64)^(1/($H$2-$H$1) ))-1</f>
        <v>0.28050232624013582</v>
      </c>
      <c r="S64" s="128"/>
      <c r="T64" s="157">
        <f t="shared" ref="T64:AC64" si="194">T12/T42</f>
        <v>3.707497116493657</v>
      </c>
      <c r="U64" s="157">
        <f t="shared" si="194"/>
        <v>4.0709772259538202</v>
      </c>
      <c r="V64" s="157">
        <f t="shared" si="194"/>
        <v>4.4700926402630179</v>
      </c>
      <c r="W64" s="157">
        <f t="shared" si="194"/>
        <v>4.9083370167593925</v>
      </c>
      <c r="X64" s="157">
        <f t="shared" si="194"/>
        <v>5.3895465282063917</v>
      </c>
      <c r="Y64" s="157">
        <f t="shared" si="194"/>
        <v>5.9179334427364312</v>
      </c>
      <c r="Z64" s="157">
        <f t="shared" si="194"/>
        <v>6.4981229959458853</v>
      </c>
      <c r="AA64" s="157">
        <f t="shared" si="194"/>
        <v>7.1351938779013651</v>
      </c>
      <c r="AB64" s="157">
        <f t="shared" si="194"/>
        <v>7.8347226894603219</v>
      </c>
      <c r="AC64" s="157">
        <f t="shared" si="194"/>
        <v>8.6028327570544718</v>
      </c>
      <c r="AD64" s="138">
        <f t="shared" si="167"/>
        <v>0.18660062815021439</v>
      </c>
      <c r="AE64" s="31">
        <f t="shared" si="15"/>
        <v>0.05</v>
      </c>
      <c r="AF64" s="146">
        <f t="shared" si="168"/>
        <v>53.135143499454102</v>
      </c>
    </row>
    <row r="65" spans="2:3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1.1235955056179776</v>
      </c>
      <c r="H65" s="144">
        <f t="shared" si="195"/>
        <v>12.4</v>
      </c>
      <c r="I65" s="144">
        <f t="shared" si="195"/>
        <v>30.4</v>
      </c>
      <c r="J65" s="144">
        <f t="shared" si="195"/>
        <v>3.1733333333333333</v>
      </c>
      <c r="K65" s="144">
        <f t="shared" si="195"/>
        <v>3.2</v>
      </c>
      <c r="L65" s="144">
        <f t="shared" si="195"/>
        <v>3.4375</v>
      </c>
      <c r="M65" s="144">
        <f t="shared" si="195"/>
        <v>10.31764705882353</v>
      </c>
      <c r="N65" s="144">
        <f t="shared" si="195"/>
        <v>10.129411764705882</v>
      </c>
      <c r="O65" s="144">
        <f t="shared" si="195"/>
        <v>11.68235294117647</v>
      </c>
      <c r="P65" s="144">
        <f t="shared" si="195"/>
        <v>80.341176470588238</v>
      </c>
      <c r="Q65" s="144">
        <f t="shared" ref="Q65" si="196">Q13/Q42</f>
        <v>93.270588235294113</v>
      </c>
      <c r="R65" s="118">
        <f>((P65/G65)^(1/($H$2-$H$1) ))-1</f>
        <v>0.6070761870719632</v>
      </c>
      <c r="S65" s="128"/>
      <c r="T65" s="157">
        <f t="shared" ref="T65:AC65" si="197">T13/T42</f>
        <v>102.41476355247981</v>
      </c>
      <c r="U65" s="157">
        <f t="shared" si="197"/>
        <v>112.45542664586021</v>
      </c>
      <c r="V65" s="157">
        <f t="shared" si="197"/>
        <v>123.48046847388572</v>
      </c>
      <c r="W65" s="157">
        <f t="shared" si="197"/>
        <v>135.58639675563924</v>
      </c>
      <c r="X65" s="157">
        <f t="shared" si="197"/>
        <v>148.87918075129016</v>
      </c>
      <c r="Y65" s="157">
        <f t="shared" si="197"/>
        <v>163.47517886416176</v>
      </c>
      <c r="Z65" s="157">
        <f t="shared" si="197"/>
        <v>179.50215718417763</v>
      </c>
      <c r="AA65" s="157">
        <f t="shared" si="197"/>
        <v>197.10040788850881</v>
      </c>
      <c r="AB65" s="157">
        <f t="shared" si="197"/>
        <v>216.42397728934301</v>
      </c>
      <c r="AC65" s="157">
        <f t="shared" si="197"/>
        <v>237.64201427849432</v>
      </c>
      <c r="AD65" s="138">
        <f t="shared" si="167"/>
        <v>0.30697012823750947</v>
      </c>
      <c r="AE65" s="31">
        <f t="shared" si="15"/>
        <v>0.05</v>
      </c>
      <c r="AF65" s="146">
        <f t="shared" si="168"/>
        <v>1467.7889117201121</v>
      </c>
    </row>
    <row r="66" spans="2:3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1.404494382022472</v>
      </c>
      <c r="H66" s="144">
        <f t="shared" si="198"/>
        <v>17.333333333333336</v>
      </c>
      <c r="I66" s="144">
        <f t="shared" si="198"/>
        <v>36.666666666666664</v>
      </c>
      <c r="J66" s="144">
        <f t="shared" si="198"/>
        <v>3.2266666666666666</v>
      </c>
      <c r="K66" s="144">
        <f t="shared" si="198"/>
        <v>3.2875000000000001</v>
      </c>
      <c r="L66" s="144">
        <f t="shared" si="198"/>
        <v>3.9249999999999998</v>
      </c>
      <c r="M66" s="144">
        <f t="shared" si="198"/>
        <v>10.670588235294119</v>
      </c>
      <c r="N66" s="144">
        <f t="shared" si="198"/>
        <v>10.4</v>
      </c>
      <c r="O66" s="144">
        <f t="shared" ref="O66" si="199">(O64+O65)</f>
        <v>12.423529411764704</v>
      </c>
      <c r="P66" s="144">
        <f t="shared" si="198"/>
        <v>82.941176470588232</v>
      </c>
      <c r="Q66" s="144">
        <f t="shared" ref="Q66" si="200">(Q64+Q65)</f>
        <v>96.647058823529406</v>
      </c>
      <c r="R66" s="118">
        <f>((P66/G66)^(1/($H$2-$H$1) ))-1</f>
        <v>0.57327838534329434</v>
      </c>
      <c r="S66" s="128"/>
      <c r="T66" s="157">
        <f t="shared" ref="T66:AC66" si="201">(T64+T65)</f>
        <v>106.12226066897347</v>
      </c>
      <c r="U66" s="157">
        <f t="shared" si="201"/>
        <v>116.52640387181404</v>
      </c>
      <c r="V66" s="157">
        <f t="shared" si="201"/>
        <v>127.95056111414874</v>
      </c>
      <c r="W66" s="157">
        <f t="shared" si="201"/>
        <v>140.49473377239863</v>
      </c>
      <c r="X66" s="157">
        <f t="shared" si="201"/>
        <v>154.26872727949655</v>
      </c>
      <c r="Y66" s="157">
        <f t="shared" si="201"/>
        <v>169.39311230689819</v>
      </c>
      <c r="Z66" s="157">
        <f t="shared" si="201"/>
        <v>186.00028018012353</v>
      </c>
      <c r="AA66" s="157">
        <f t="shared" si="201"/>
        <v>204.23560176641018</v>
      </c>
      <c r="AB66" s="157">
        <f t="shared" si="201"/>
        <v>224.25869997880335</v>
      </c>
      <c r="AC66" s="157">
        <f t="shared" si="201"/>
        <v>246.24484703554879</v>
      </c>
      <c r="AD66" s="138">
        <f t="shared" si="167"/>
        <v>0.29476919222679165</v>
      </c>
      <c r="AE66" s="31">
        <f t="shared" si="15"/>
        <v>0.05</v>
      </c>
      <c r="AF66" s="146">
        <f t="shared" si="168"/>
        <v>1520.9240552195663</v>
      </c>
    </row>
    <row r="67" spans="2:3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51.685393258426963</v>
      </c>
      <c r="H67" s="144">
        <f t="shared" si="202"/>
        <v>58.266666666666666</v>
      </c>
      <c r="I67" s="144">
        <f t="shared" si="202"/>
        <v>61.06666666666667</v>
      </c>
      <c r="J67" s="144">
        <f t="shared" si="202"/>
        <v>8.0666666666666664</v>
      </c>
      <c r="K67" s="144">
        <f t="shared" si="202"/>
        <v>11.737500000000001</v>
      </c>
      <c r="L67" s="144">
        <f t="shared" si="202"/>
        <v>10.3375</v>
      </c>
      <c r="M67" s="144">
        <f t="shared" si="202"/>
        <v>13.176470588235293</v>
      </c>
      <c r="N67" s="144">
        <f t="shared" si="202"/>
        <v>18</v>
      </c>
      <c r="O67" s="144">
        <f t="shared" si="202"/>
        <v>19.411764705882351</v>
      </c>
      <c r="P67" s="144">
        <f t="shared" si="202"/>
        <v>26.105882352941176</v>
      </c>
      <c r="Q67" s="144">
        <f t="shared" ref="Q67" si="203">Q15/Q42</f>
        <v>26.44705882352941</v>
      </c>
      <c r="R67" s="118">
        <f>((P67/G67)^(1/($H$2-$H$1) ))-1</f>
        <v>-7.3082306278179465E-2</v>
      </c>
      <c r="S67" s="128"/>
      <c r="T67" s="157">
        <f t="shared" ref="T67:AC67" si="204">T15/T42</f>
        <v>29.039907727797004</v>
      </c>
      <c r="U67" s="157">
        <f t="shared" si="204"/>
        <v>31.886957505032008</v>
      </c>
      <c r="V67" s="157">
        <f t="shared" si="204"/>
        <v>35.013129809446909</v>
      </c>
      <c r="W67" s="157">
        <f t="shared" si="204"/>
        <v>38.445789594686808</v>
      </c>
      <c r="X67" s="157">
        <f t="shared" si="204"/>
        <v>42.214984652989436</v>
      </c>
      <c r="Y67" s="157">
        <f t="shared" si="204"/>
        <v>46.353708638576641</v>
      </c>
      <c r="Z67" s="157">
        <f t="shared" si="204"/>
        <v>50.89818987765279</v>
      </c>
      <c r="AA67" s="157">
        <f t="shared" si="204"/>
        <v>55.888208493108955</v>
      </c>
      <c r="AB67" s="157">
        <f t="shared" si="204"/>
        <v>61.367444619884346</v>
      </c>
      <c r="AC67" s="157">
        <f t="shared" si="204"/>
        <v>67.383860759088705</v>
      </c>
      <c r="AD67" s="138">
        <f t="shared" si="167"/>
        <v>1.3349840003333835E-2</v>
      </c>
      <c r="AE67" s="31">
        <f t="shared" si="15"/>
        <v>0.05</v>
      </c>
      <c r="AF67" s="146">
        <f t="shared" si="168"/>
        <v>416.19443410025377</v>
      </c>
    </row>
    <row r="68" spans="2:3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16.151685393258425</v>
      </c>
      <c r="H68" s="144">
        <f t="shared" si="205"/>
        <v>27.2</v>
      </c>
      <c r="I68" s="144">
        <f t="shared" si="205"/>
        <v>18.399999999999999</v>
      </c>
      <c r="J68" s="144">
        <f t="shared" si="205"/>
        <v>2.1466666666666665</v>
      </c>
      <c r="K68" s="144">
        <f t="shared" si="205"/>
        <v>3.95</v>
      </c>
      <c r="L68" s="144">
        <f t="shared" si="205"/>
        <v>3.7749999999999999</v>
      </c>
      <c r="M68" s="144">
        <f t="shared" si="205"/>
        <v>4.8588235294117643</v>
      </c>
      <c r="N68" s="144">
        <f t="shared" si="205"/>
        <v>7.0588235294117645</v>
      </c>
      <c r="O68" s="144">
        <f t="shared" si="205"/>
        <v>7.0823529411764703</v>
      </c>
      <c r="P68" s="144">
        <f t="shared" si="205"/>
        <v>9.7764705882352949</v>
      </c>
      <c r="Q68" s="144">
        <f t="shared" ref="Q68" si="206">Q16/Q42</f>
        <v>11.282352941176471</v>
      </c>
      <c r="R68" s="118">
        <f>((P68/G68)^(1/($H$2-$H$1) ))-1</f>
        <v>-5.4255540539641212E-2</v>
      </c>
      <c r="S68" s="128"/>
      <c r="T68" s="157">
        <f t="shared" ref="T68:AC68" si="207">T16/T42</f>
        <v>12.388465974625145</v>
      </c>
      <c r="U68" s="157">
        <f t="shared" si="207"/>
        <v>13.603021462333496</v>
      </c>
      <c r="V68" s="157">
        <f t="shared" si="207"/>
        <v>14.936651017464232</v>
      </c>
      <c r="W68" s="157">
        <f t="shared" si="207"/>
        <v>16.401028568196022</v>
      </c>
      <c r="X68" s="157">
        <f t="shared" si="207"/>
        <v>18.00897254547014</v>
      </c>
      <c r="Y68" s="157">
        <f t="shared" si="207"/>
        <v>19.774558089143685</v>
      </c>
      <c r="Z68" s="157">
        <f t="shared" si="207"/>
        <v>21.713240254746012</v>
      </c>
      <c r="AA68" s="157">
        <f t="shared" si="207"/>
        <v>23.841989299328958</v>
      </c>
      <c r="AB68" s="157">
        <f t="shared" si="207"/>
        <v>26.179439230635722</v>
      </c>
      <c r="AC68" s="157">
        <f t="shared" si="207"/>
        <v>28.746050919913738</v>
      </c>
      <c r="AD68" s="138">
        <f t="shared" si="167"/>
        <v>2.9243225612240797E-2</v>
      </c>
      <c r="AE68" s="137"/>
      <c r="AF68" s="146">
        <f t="shared" si="168"/>
        <v>130.66386781778971</v>
      </c>
    </row>
    <row r="69" spans="2:3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4</v>
      </c>
      <c r="H70" s="159">
        <f t="shared" si="208"/>
        <v>2.5</v>
      </c>
      <c r="I70" s="159">
        <f t="shared" si="208"/>
        <v>3</v>
      </c>
      <c r="J70" s="159">
        <f t="shared" si="208"/>
        <v>0.35</v>
      </c>
      <c r="K70" s="159">
        <f t="shared" si="208"/>
        <v>0.4</v>
      </c>
      <c r="L70" s="159">
        <f t="shared" si="208"/>
        <v>0.6</v>
      </c>
      <c r="M70" s="159">
        <f t="shared" si="208"/>
        <v>1</v>
      </c>
      <c r="N70" s="159">
        <f t="shared" si="208"/>
        <v>1.5</v>
      </c>
      <c r="O70" s="159">
        <f t="shared" si="208"/>
        <v>1.5</v>
      </c>
      <c r="P70" s="159">
        <f t="shared" si="208"/>
        <v>1.6</v>
      </c>
      <c r="Q70" s="159">
        <f t="shared" ref="Q70" si="209">Q44</f>
        <v>1.6</v>
      </c>
      <c r="R70" s="118">
        <f>((P70/G70)^(1/($H$2-$H$1) ))-1</f>
        <v>-9.6798929863317729E-2</v>
      </c>
      <c r="S70" s="128"/>
      <c r="T70" s="159">
        <f t="shared" ref="T70:AC70" si="210">T44</f>
        <v>1.6800000000000002</v>
      </c>
      <c r="U70" s="159">
        <f t="shared" si="210"/>
        <v>1.7640000000000002</v>
      </c>
      <c r="V70" s="159">
        <f t="shared" si="210"/>
        <v>1.8522000000000003</v>
      </c>
      <c r="W70" s="159">
        <f t="shared" si="210"/>
        <v>1.9448100000000004</v>
      </c>
      <c r="X70" s="159">
        <f t="shared" si="210"/>
        <v>2.0420505000000007</v>
      </c>
      <c r="Y70" s="159">
        <f t="shared" si="210"/>
        <v>2.1441530250000009</v>
      </c>
      <c r="Z70" s="159">
        <f t="shared" si="210"/>
        <v>2.2513606762500009</v>
      </c>
      <c r="AA70" s="159">
        <f t="shared" si="210"/>
        <v>2.3639287100625013</v>
      </c>
      <c r="AB70" s="159">
        <f t="shared" si="210"/>
        <v>2.4821251455656266</v>
      </c>
      <c r="AC70" s="159">
        <f t="shared" si="210"/>
        <v>2.6062314028439082</v>
      </c>
      <c r="AD70" s="138">
        <f t="shared" ref="AD70" si="211">((AC70/G70)^(1/($AC$3-$H$1) ))-1</f>
        <v>-2.1191687109649138E-2</v>
      </c>
      <c r="AE70" s="31">
        <f t="shared" si="15"/>
        <v>0.05</v>
      </c>
      <c r="AF70" s="146">
        <f t="shared" si="168"/>
        <v>16.097311605800613</v>
      </c>
    </row>
    <row r="71" spans="2:3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107</v>
      </c>
      <c r="H72" s="144">
        <f t="shared" si="212"/>
        <v>-66</v>
      </c>
      <c r="I72" s="144">
        <f t="shared" si="212"/>
        <v>31</v>
      </c>
      <c r="J72" s="144">
        <f t="shared" si="212"/>
        <v>-1</v>
      </c>
      <c r="K72" s="144">
        <f t="shared" si="212"/>
        <v>-112</v>
      </c>
      <c r="L72" s="144">
        <f t="shared" si="212"/>
        <v>185</v>
      </c>
      <c r="M72" s="144">
        <f t="shared" si="212"/>
        <v>-246</v>
      </c>
      <c r="N72" s="144">
        <f t="shared" si="212"/>
        <v>214</v>
      </c>
      <c r="O72" s="144">
        <f t="shared" si="212"/>
        <v>187</v>
      </c>
      <c r="P72" s="144">
        <f t="shared" si="212"/>
        <v>179</v>
      </c>
      <c r="Q72" s="144">
        <f t="shared" ref="Q72" si="213">Q20+Q21</f>
        <v>213</v>
      </c>
      <c r="R72" s="118">
        <f>((P72/G72)^(1/($H$2-$H$1) ))-1</f>
        <v>5.8838970326623663E-2</v>
      </c>
      <c r="S72" s="128"/>
      <c r="T72" s="144">
        <f t="shared" ref="T72:AC72" si="214">T20+T21</f>
        <v>238.56000000000006</v>
      </c>
      <c r="U72" s="144">
        <f t="shared" si="214"/>
        <v>267.18720000000008</v>
      </c>
      <c r="V72" s="144">
        <f t="shared" si="214"/>
        <v>299.24966400000017</v>
      </c>
      <c r="W72" s="144">
        <f t="shared" si="214"/>
        <v>335.15962368000021</v>
      </c>
      <c r="X72" s="144">
        <f t="shared" si="214"/>
        <v>375.37877852160022</v>
      </c>
      <c r="Y72" s="144">
        <f t="shared" si="214"/>
        <v>420.42423194419223</v>
      </c>
      <c r="Z72" s="144">
        <f t="shared" si="214"/>
        <v>470.87513977749541</v>
      </c>
      <c r="AA72" s="144">
        <f t="shared" si="214"/>
        <v>527.38015655079494</v>
      </c>
      <c r="AB72" s="144">
        <f t="shared" si="214"/>
        <v>590.66577533689042</v>
      </c>
      <c r="AC72" s="144">
        <f t="shared" si="214"/>
        <v>661.54566837731727</v>
      </c>
      <c r="AD72" s="138">
        <f t="shared" ref="AD72:AD77" si="215">((AC72/G72)^(1/($AC$3-$H$1) ))-1</f>
        <v>9.5364855584122887E-2</v>
      </c>
      <c r="AE72" s="31">
        <f t="shared" si="15"/>
        <v>0.05</v>
      </c>
      <c r="AF72" s="146">
        <f t="shared" si="168"/>
        <v>4086.0173635069605</v>
      </c>
    </row>
    <row r="73" spans="2:3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15.02808988764045</v>
      </c>
      <c r="H74" s="144">
        <f t="shared" si="216"/>
        <v>-8.8000000000000007</v>
      </c>
      <c r="I74" s="144">
        <f t="shared" si="216"/>
        <v>4.1333333333333337</v>
      </c>
      <c r="J74" s="144">
        <f t="shared" si="216"/>
        <v>-1.3333333333333334E-2</v>
      </c>
      <c r="K74" s="144">
        <f t="shared" si="216"/>
        <v>-1.4</v>
      </c>
      <c r="L74" s="144">
        <f t="shared" si="216"/>
        <v>2.3125</v>
      </c>
      <c r="M74" s="144">
        <f t="shared" si="216"/>
        <v>-2.8941176470588235</v>
      </c>
      <c r="N74" s="144">
        <f t="shared" si="216"/>
        <v>2.5176470588235293</v>
      </c>
      <c r="O74" s="144">
        <f t="shared" si="216"/>
        <v>2.2000000000000002</v>
      </c>
      <c r="P74" s="144">
        <f t="shared" si="216"/>
        <v>2.1058823529411765</v>
      </c>
      <c r="Q74" s="144">
        <f t="shared" ref="Q74" si="217">Q72/Q42</f>
        <v>2.5058823529411764</v>
      </c>
      <c r="R74" s="118">
        <f>((P74/G74)^(1/($H$2-$H$1) ))-1</f>
        <v>-0.19615921834970085</v>
      </c>
      <c r="S74" s="128"/>
      <c r="T74" s="146">
        <f t="shared" ref="T74:AC74" si="218">T72/T42</f>
        <v>2.7515570934256059</v>
      </c>
      <c r="U74" s="146">
        <f t="shared" si="218"/>
        <v>3.0213175927810578</v>
      </c>
      <c r="V74" s="146">
        <f t="shared" si="218"/>
        <v>3.3175251999164566</v>
      </c>
      <c r="W74" s="146">
        <f t="shared" si="218"/>
        <v>3.6427727685357172</v>
      </c>
      <c r="X74" s="146">
        <f t="shared" si="218"/>
        <v>3.9999073536862775</v>
      </c>
      <c r="Y74" s="146">
        <f t="shared" si="218"/>
        <v>4.3920551334594418</v>
      </c>
      <c r="Z74" s="146">
        <f t="shared" si="218"/>
        <v>4.8226487739946817</v>
      </c>
      <c r="AA74" s="146">
        <f t="shared" si="218"/>
        <v>5.2954574773274947</v>
      </c>
      <c r="AB74" s="146">
        <f t="shared" si="218"/>
        <v>5.8146199751047014</v>
      </c>
      <c r="AC74" s="146">
        <f t="shared" si="218"/>
        <v>6.3846807569777111</v>
      </c>
      <c r="AD74" s="138">
        <f t="shared" si="215"/>
        <v>-4.1897948380164474E-2</v>
      </c>
      <c r="AE74" s="31">
        <f t="shared" si="15"/>
        <v>0.05</v>
      </c>
      <c r="AF74" s="146">
        <f t="shared" si="168"/>
        <v>39.43479291074469</v>
      </c>
    </row>
    <row r="75" spans="2:3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22.612359550561798</v>
      </c>
      <c r="H75" s="144">
        <f t="shared" si="219"/>
        <v>12.266666666666667</v>
      </c>
      <c r="I75" s="144">
        <f t="shared" si="219"/>
        <v>29.866666666666667</v>
      </c>
      <c r="J75" s="144">
        <f t="shared" si="219"/>
        <v>2.5066666666666668</v>
      </c>
      <c r="K75" s="144">
        <f t="shared" si="219"/>
        <v>2.25</v>
      </c>
      <c r="L75" s="144">
        <f t="shared" si="219"/>
        <v>6.3</v>
      </c>
      <c r="M75" s="144">
        <f t="shared" si="219"/>
        <v>6.1647058823529415</v>
      </c>
      <c r="N75" s="144">
        <f t="shared" si="219"/>
        <v>4.6823529411764708</v>
      </c>
      <c r="O75" s="144">
        <f t="shared" si="219"/>
        <v>6</v>
      </c>
      <c r="P75" s="144">
        <f t="shared" si="219"/>
        <v>4.223529411764706</v>
      </c>
      <c r="Q75" s="144">
        <f t="shared" ref="Q75" si="220">Q20/Q42</f>
        <v>7.6117647058823525</v>
      </c>
      <c r="R75" s="118">
        <f>((P75/G75)^(1/($H$2-$H$1) ))-1</f>
        <v>-0.17007924312655687</v>
      </c>
      <c r="S75" s="128"/>
      <c r="T75" s="146">
        <f t="shared" ref="T75:AC75" si="221">T20/T42</f>
        <v>8.3580161476355261</v>
      </c>
      <c r="U75" s="146">
        <f t="shared" si="221"/>
        <v>9.1774294954429312</v>
      </c>
      <c r="V75" s="146">
        <f t="shared" si="221"/>
        <v>10.077177485192239</v>
      </c>
      <c r="W75" s="146">
        <f t="shared" si="221"/>
        <v>11.06513606217187</v>
      </c>
      <c r="X75" s="146">
        <f t="shared" si="221"/>
        <v>12.149953323169111</v>
      </c>
      <c r="Y75" s="146">
        <f t="shared" si="221"/>
        <v>13.341125217597456</v>
      </c>
      <c r="Z75" s="146">
        <f t="shared" si="221"/>
        <v>14.649078670303092</v>
      </c>
      <c r="AA75" s="146">
        <f t="shared" si="221"/>
        <v>16.085262853666144</v>
      </c>
      <c r="AB75" s="146">
        <f t="shared" si="221"/>
        <v>17.662249407947137</v>
      </c>
      <c r="AC75" s="146">
        <f t="shared" si="221"/>
        <v>19.393842487157645</v>
      </c>
      <c r="AD75" s="138">
        <f t="shared" si="215"/>
        <v>-7.6476577815335345E-3</v>
      </c>
      <c r="AE75" s="31">
        <f t="shared" si="15"/>
        <v>0.05</v>
      </c>
      <c r="AF75" s="146">
        <f t="shared" si="168"/>
        <v>119.78549771479724</v>
      </c>
    </row>
    <row r="76" spans="2:3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-7.584269662921348</v>
      </c>
      <c r="H76" s="144">
        <f t="shared" si="222"/>
        <v>-21.066666666666666</v>
      </c>
      <c r="I76" s="144">
        <f t="shared" si="222"/>
        <v>-25.733333333333334</v>
      </c>
      <c r="J76" s="144">
        <f t="shared" si="222"/>
        <v>-2.52</v>
      </c>
      <c r="K76" s="144">
        <f t="shared" si="222"/>
        <v>-3.65</v>
      </c>
      <c r="L76" s="144">
        <f t="shared" si="222"/>
        <v>-3.9874999999999998</v>
      </c>
      <c r="M76" s="144">
        <f t="shared" si="222"/>
        <v>-9.0588235294117645</v>
      </c>
      <c r="N76" s="144">
        <f t="shared" si="222"/>
        <v>-2.164705882352941</v>
      </c>
      <c r="O76" s="144">
        <f t="shared" si="222"/>
        <v>-3.8</v>
      </c>
      <c r="P76" s="144">
        <f t="shared" si="222"/>
        <v>-2.1176470588235294</v>
      </c>
      <c r="Q76" s="144">
        <f t="shared" ref="Q76" si="223">Q21/Q42</f>
        <v>-5.1058823529411761</v>
      </c>
      <c r="R76" s="118">
        <f>((P76/G76)^(1/($H$2-$H$1) ))-1</f>
        <v>-0.13216380968856534</v>
      </c>
      <c r="S76" s="128"/>
      <c r="T76" s="146">
        <f t="shared" ref="T76:AC76" si="224">T21/T42</f>
        <v>-5.6064590542099193</v>
      </c>
      <c r="U76" s="146">
        <f t="shared" si="224"/>
        <v>-6.1561119026618734</v>
      </c>
      <c r="V76" s="146">
        <f t="shared" si="224"/>
        <v>-6.7596522852757817</v>
      </c>
      <c r="W76" s="146">
        <f t="shared" si="224"/>
        <v>-7.4223632936361525</v>
      </c>
      <c r="X76" s="146">
        <f t="shared" si="224"/>
        <v>-8.150045969482834</v>
      </c>
      <c r="Y76" s="146">
        <f t="shared" si="224"/>
        <v>-8.9490700841380146</v>
      </c>
      <c r="Z76" s="146">
        <f t="shared" si="224"/>
        <v>-9.8264298963084098</v>
      </c>
      <c r="AA76" s="146">
        <f t="shared" si="224"/>
        <v>-10.789805376338647</v>
      </c>
      <c r="AB76" s="146">
        <f t="shared" si="224"/>
        <v>-11.847629432842437</v>
      </c>
      <c r="AC76" s="146">
        <f t="shared" si="224"/>
        <v>-13.009161730179933</v>
      </c>
      <c r="AD76" s="138">
        <f t="shared" si="215"/>
        <v>2.734610172680374E-2</v>
      </c>
      <c r="AE76" s="31">
        <f t="shared" si="15"/>
        <v>0.05</v>
      </c>
      <c r="AF76" s="146">
        <f t="shared" si="168"/>
        <v>-80.35070480405254</v>
      </c>
    </row>
    <row r="77" spans="2:3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-15.168539325842696</v>
      </c>
      <c r="H77" s="144">
        <f t="shared" si="225"/>
        <v>13.6</v>
      </c>
      <c r="I77" s="144">
        <f t="shared" si="225"/>
        <v>-6.5333333333333332</v>
      </c>
      <c r="J77" s="144">
        <f t="shared" si="225"/>
        <v>-0.2</v>
      </c>
      <c r="K77" s="144">
        <f t="shared" si="225"/>
        <v>1.3875</v>
      </c>
      <c r="L77" s="144">
        <f t="shared" si="225"/>
        <v>1.925</v>
      </c>
      <c r="M77" s="144">
        <f t="shared" si="225"/>
        <v>2.5176470588235293</v>
      </c>
      <c r="N77" s="144">
        <f t="shared" si="225"/>
        <v>-2.3647058823529412</v>
      </c>
      <c r="O77" s="144">
        <f t="shared" si="225"/>
        <v>-1.6941176470588235</v>
      </c>
      <c r="P77" s="144">
        <f t="shared" si="225"/>
        <v>-1.9058823529411764</v>
      </c>
      <c r="Q77" s="144">
        <f t="shared" ref="Q77" si="226">Q22/Q42</f>
        <v>-1.9764705882352942</v>
      </c>
      <c r="R77" s="118">
        <f>((P77/G77)^(1/($H$2-$H$1) ))-1</f>
        <v>-0.20584401337909186</v>
      </c>
      <c r="S77" s="128"/>
      <c r="T77" s="146">
        <f t="shared" ref="T77:AC77" si="227">T22/T42</f>
        <v>-2.1702422145328724</v>
      </c>
      <c r="U77" s="146">
        <f t="shared" si="227"/>
        <v>-2.3830110590949189</v>
      </c>
      <c r="V77" s="146">
        <f t="shared" si="227"/>
        <v>-2.6166395943003029</v>
      </c>
      <c r="W77" s="146">
        <f t="shared" si="227"/>
        <v>-2.8731728878591563</v>
      </c>
      <c r="X77" s="146">
        <f t="shared" si="227"/>
        <v>-3.1548565043159362</v>
      </c>
      <c r="Y77" s="146">
        <f t="shared" si="227"/>
        <v>-3.4641561616018128</v>
      </c>
      <c r="Z77" s="146">
        <f t="shared" si="227"/>
        <v>-3.8037793147000301</v>
      </c>
      <c r="AA77" s="146">
        <f t="shared" si="227"/>
        <v>-4.1766988553568964</v>
      </c>
      <c r="AB77" s="146">
        <f t="shared" si="227"/>
        <v>-4.5861791352938468</v>
      </c>
      <c r="AC77" s="146">
        <f t="shared" si="227"/>
        <v>-5.0358045407148131</v>
      </c>
      <c r="AD77" s="138">
        <f t="shared" si="215"/>
        <v>-5.364026242171982E-2</v>
      </c>
      <c r="AE77" s="31">
        <f t="shared" si="15"/>
        <v>0.05</v>
      </c>
      <c r="AF77" s="146">
        <f t="shared" si="168"/>
        <v>-31.103498633826792</v>
      </c>
    </row>
    <row r="78" spans="2:3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0.16853932584269662</v>
      </c>
      <c r="H78" s="144">
        <f t="shared" si="228"/>
        <v>4.8</v>
      </c>
      <c r="I78" s="144">
        <f t="shared" si="228"/>
        <v>2.2666666666666666</v>
      </c>
      <c r="J78" s="144">
        <f t="shared" si="228"/>
        <v>0.02</v>
      </c>
      <c r="K78" s="144">
        <f t="shared" si="228"/>
        <v>2.1249999999999998E-2</v>
      </c>
      <c r="L78" s="144">
        <f t="shared" si="228"/>
        <v>0.42499999999999999</v>
      </c>
      <c r="M78" s="144">
        <f t="shared" si="228"/>
        <v>3.5294117647058823E-2</v>
      </c>
      <c r="N78" s="144">
        <f t="shared" si="228"/>
        <v>0.17647058823529413</v>
      </c>
      <c r="O78" s="144">
        <f t="shared" si="228"/>
        <v>0.68235294117647061</v>
      </c>
      <c r="P78" s="144">
        <f t="shared" si="228"/>
        <v>0.88235294117647056</v>
      </c>
      <c r="Q78" s="144">
        <f t="shared" ref="Q78" si="229">Q23/Q42</f>
        <v>1.411764705882353</v>
      </c>
      <c r="R78" s="118">
        <f>((P78/G78)^(1/($H$2-$H$1) ))-1</f>
        <v>0.20193876642552788</v>
      </c>
      <c r="S78" s="128"/>
      <c r="T78" s="146">
        <f t="shared" ref="T78:AC78" si="230">T23/T42</f>
        <v>1.5501730103806228</v>
      </c>
      <c r="U78" s="146">
        <f t="shared" si="230"/>
        <v>1.7021507564963705</v>
      </c>
      <c r="V78" s="146">
        <f t="shared" si="230"/>
        <v>1.8690282816430734</v>
      </c>
      <c r="W78" s="146">
        <f t="shared" si="230"/>
        <v>2.0522663484708259</v>
      </c>
      <c r="X78" s="146">
        <f t="shared" si="230"/>
        <v>2.2534689316542402</v>
      </c>
      <c r="Y78" s="146">
        <f t="shared" si="230"/>
        <v>2.4743972582870093</v>
      </c>
      <c r="Z78" s="146">
        <f t="shared" si="230"/>
        <v>2.7169852247857356</v>
      </c>
      <c r="AA78" s="146">
        <f t="shared" si="230"/>
        <v>2.9833563252549262</v>
      </c>
      <c r="AB78" s="146">
        <f t="shared" si="230"/>
        <v>3.275842239495605</v>
      </c>
      <c r="AC78" s="146">
        <f t="shared" si="230"/>
        <v>3.5970032433677241</v>
      </c>
      <c r="AD78" s="138">
        <f t="shared" ref="AD78" si="231">((AC78/G78)^(1/($AC$3-$H$1) ))-1</f>
        <v>0.16536502223804983</v>
      </c>
      <c r="AE78" s="31">
        <f t="shared" si="15"/>
        <v>0.05</v>
      </c>
      <c r="AF78" s="146">
        <f t="shared" si="168"/>
        <v>22.216784738447711</v>
      </c>
    </row>
    <row r="79" spans="2:3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26.123595505617978</v>
      </c>
      <c r="H80" s="144">
        <f t="shared" si="232"/>
        <v>24.933333333333334</v>
      </c>
      <c r="I80" s="144">
        <f t="shared" si="232"/>
        <v>30.533333333333335</v>
      </c>
      <c r="J80" s="144">
        <f t="shared" si="232"/>
        <v>4.2666666666666666</v>
      </c>
      <c r="K80" s="144">
        <f t="shared" si="232"/>
        <v>6.125</v>
      </c>
      <c r="L80" s="144">
        <f t="shared" si="232"/>
        <v>7.3125</v>
      </c>
      <c r="M80" s="144">
        <f t="shared" si="232"/>
        <v>11.564705882352941</v>
      </c>
      <c r="N80" s="144">
        <f t="shared" si="232"/>
        <v>11.305882352941177</v>
      </c>
      <c r="O80" s="144">
        <f t="shared" si="232"/>
        <v>8.764705882352942</v>
      </c>
      <c r="P80" s="144">
        <f t="shared" si="232"/>
        <v>10.023529411764706</v>
      </c>
      <c r="Q80" s="144">
        <f t="shared" ref="Q80" si="233">Q36/Q42</f>
        <v>10.152941176470588</v>
      </c>
      <c r="R80" s="118">
        <f>((P80/G80)^(1/($H$2-$H$1) ))-1</f>
        <v>-0.10096538557171564</v>
      </c>
      <c r="S80" s="128"/>
      <c r="T80" s="144">
        <f t="shared" ref="T80:AC80" si="234">T36/T42</f>
        <v>11.148327566320646</v>
      </c>
      <c r="U80" s="144">
        <f t="shared" si="234"/>
        <v>12.241300857136398</v>
      </c>
      <c r="V80" s="144">
        <f t="shared" si="234"/>
        <v>13.441428392149771</v>
      </c>
      <c r="W80" s="144">
        <f t="shared" si="234"/>
        <v>14.759215489419358</v>
      </c>
      <c r="X80" s="144">
        <f t="shared" si="234"/>
        <v>16.206197400146745</v>
      </c>
      <c r="Y80" s="144">
        <f t="shared" si="234"/>
        <v>17.795040282514076</v>
      </c>
      <c r="Z80" s="144">
        <f t="shared" si="234"/>
        <v>19.53965207491742</v>
      </c>
      <c r="AA80" s="144">
        <f t="shared" si="234"/>
        <v>21.455304239125013</v>
      </c>
      <c r="AB80" s="144">
        <f t="shared" si="234"/>
        <v>23.558765439039227</v>
      </c>
      <c r="AC80" s="144">
        <f t="shared" si="234"/>
        <v>25.86844832521955</v>
      </c>
      <c r="AD80" s="138">
        <f t="shared" ref="AD80:AD82" si="235">((AC80/G80)^(1/($AC$3-$H$1) ))-1</f>
        <v>-4.9062628294238575E-4</v>
      </c>
      <c r="AE80" s="31">
        <f t="shared" si="15"/>
        <v>0.05</v>
      </c>
      <c r="AF80" s="146">
        <f t="shared" si="168"/>
        <v>159.77571024400311</v>
      </c>
    </row>
    <row r="81" spans="2:3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10.393258426966291</v>
      </c>
      <c r="H81" s="144">
        <f t="shared" si="236"/>
        <v>10.533333333333333</v>
      </c>
      <c r="I81" s="144">
        <f t="shared" si="236"/>
        <v>13.733333333333333</v>
      </c>
      <c r="J81" s="144">
        <f t="shared" si="236"/>
        <v>2.1066666666666665</v>
      </c>
      <c r="K81" s="144">
        <f t="shared" si="236"/>
        <v>3.2749999999999999</v>
      </c>
      <c r="L81" s="144">
        <f t="shared" si="236"/>
        <v>3.6749999999999998</v>
      </c>
      <c r="M81" s="144">
        <f t="shared" si="236"/>
        <v>6.8352941176470585</v>
      </c>
      <c r="N81" s="144">
        <f t="shared" si="236"/>
        <v>7.7529411764705882</v>
      </c>
      <c r="O81" s="144">
        <f t="shared" si="236"/>
        <v>5.4705882352941178</v>
      </c>
      <c r="P81" s="144">
        <f t="shared" si="236"/>
        <v>6.3529411764705879</v>
      </c>
      <c r="Q81" s="144">
        <f t="shared" ref="Q81" si="237">Q40/Q42</f>
        <v>6.4235294117647062</v>
      </c>
      <c r="R81" s="118">
        <f>((P81/G81)^(1/($H$2-$H$1) ))-1</f>
        <v>-5.3224497883895161E-2</v>
      </c>
      <c r="S81" s="128"/>
      <c r="T81" s="144">
        <f t="shared" ref="T81:AC81" si="238">T40/T42</f>
        <v>7.0532871972318345</v>
      </c>
      <c r="U81" s="144">
        <f t="shared" si="238"/>
        <v>7.7447859420584866</v>
      </c>
      <c r="V81" s="144">
        <f t="shared" si="238"/>
        <v>8.5040786814759848</v>
      </c>
      <c r="W81" s="144">
        <f t="shared" si="238"/>
        <v>9.3378118855422585</v>
      </c>
      <c r="X81" s="144">
        <f t="shared" si="238"/>
        <v>10.253283639026794</v>
      </c>
      <c r="Y81" s="144">
        <f t="shared" si="238"/>
        <v>11.258507525205893</v>
      </c>
      <c r="Z81" s="144">
        <f t="shared" si="238"/>
        <v>12.362282772775099</v>
      </c>
      <c r="AA81" s="144">
        <f t="shared" si="238"/>
        <v>13.574271279909915</v>
      </c>
      <c r="AB81" s="144">
        <f t="shared" si="238"/>
        <v>14.905082189705004</v>
      </c>
      <c r="AC81" s="144">
        <f t="shared" si="238"/>
        <v>16.366364757323147</v>
      </c>
      <c r="AD81" s="138">
        <f t="shared" si="235"/>
        <v>2.296323364136188E-2</v>
      </c>
      <c r="AE81" s="31">
        <f t="shared" si="15"/>
        <v>0.05</v>
      </c>
      <c r="AF81" s="146">
        <f t="shared" si="168"/>
        <v>101.08637055993709</v>
      </c>
    </row>
    <row r="82" spans="2:3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38.342696629213485</v>
      </c>
      <c r="H82" s="144">
        <f t="shared" si="239"/>
        <v>48.93333333333333</v>
      </c>
      <c r="I82" s="144">
        <f t="shared" si="239"/>
        <v>54.93333333333333</v>
      </c>
      <c r="J82" s="144">
        <f t="shared" si="239"/>
        <v>5.9866666666666664</v>
      </c>
      <c r="K82" s="144">
        <f t="shared" si="239"/>
        <v>9.0124999999999993</v>
      </c>
      <c r="L82" s="144">
        <f t="shared" si="239"/>
        <v>1.075</v>
      </c>
      <c r="M82" s="144">
        <f t="shared" si="239"/>
        <v>20.976470588235294</v>
      </c>
      <c r="N82" s="144">
        <f t="shared" si="239"/>
        <v>26.529411764705884</v>
      </c>
      <c r="O82" s="144">
        <f t="shared" si="239"/>
        <v>30.611764705882354</v>
      </c>
      <c r="P82" s="144">
        <f t="shared" si="239"/>
        <v>35.223529411764709</v>
      </c>
      <c r="Q82" s="144">
        <f t="shared" ref="Q82" si="240">Q6/Q42</f>
        <v>39.694117647058825</v>
      </c>
      <c r="R82" s="118">
        <f>((P82/G82)^(1/($H$2-$H$1) ))-1</f>
        <v>-9.3834493373745609E-3</v>
      </c>
      <c r="S82" s="128"/>
      <c r="T82" s="144">
        <f t="shared" ref="T82:AC82" si="241">T6/T42</f>
        <v>43.585697808535187</v>
      </c>
      <c r="U82" s="144">
        <f t="shared" si="241"/>
        <v>47.858805436822962</v>
      </c>
      <c r="V82" s="144">
        <f t="shared" si="241"/>
        <v>52.550845185531102</v>
      </c>
      <c r="W82" s="144">
        <f t="shared" si="241"/>
        <v>57.702888831171407</v>
      </c>
      <c r="X82" s="144">
        <f t="shared" si="241"/>
        <v>63.360034795011742</v>
      </c>
      <c r="Y82" s="144">
        <f t="shared" si="241"/>
        <v>69.571802912169773</v>
      </c>
      <c r="Z82" s="144">
        <f t="shared" si="241"/>
        <v>76.392567903558955</v>
      </c>
      <c r="AA82" s="144">
        <f t="shared" si="241"/>
        <v>83.882035345084361</v>
      </c>
      <c r="AB82" s="144">
        <f t="shared" si="241"/>
        <v>92.105764300484793</v>
      </c>
      <c r="AC82" s="144">
        <f t="shared" si="241"/>
        <v>101.1357411926892</v>
      </c>
      <c r="AD82" s="138">
        <f t="shared" si="235"/>
        <v>4.9690098004616434E-2</v>
      </c>
      <c r="AE82" s="31">
        <f t="shared" ref="AE82" si="242">$L$1</f>
        <v>0.05</v>
      </c>
      <c r="AF82" s="146">
        <f t="shared" si="168"/>
        <v>624.66193089602154</v>
      </c>
    </row>
    <row r="83" spans="2:3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0.1690909090909091</v>
      </c>
      <c r="H86" s="152">
        <f t="shared" si="243"/>
        <v>0.13357142857142856</v>
      </c>
      <c r="I86" s="152">
        <f t="shared" si="243"/>
        <v>0.13811821471652594</v>
      </c>
      <c r="J86" s="152">
        <f t="shared" si="243"/>
        <v>0.13919095258808178</v>
      </c>
      <c r="K86" s="152">
        <f t="shared" si="243"/>
        <v>0.14394829612220916</v>
      </c>
      <c r="L86" s="152">
        <f t="shared" si="243"/>
        <v>0.15427215189873417</v>
      </c>
      <c r="M86" s="152">
        <f t="shared" si="243"/>
        <v>0.21800842758926592</v>
      </c>
      <c r="N86" s="152">
        <f t="shared" si="243"/>
        <v>0.17281064556734399</v>
      </c>
      <c r="O86" s="152">
        <f t="shared" si="243"/>
        <v>0.13752999815395975</v>
      </c>
      <c r="P86" s="152">
        <f t="shared" si="243"/>
        <v>0.12866203563877981</v>
      </c>
      <c r="Q86" s="152">
        <f t="shared" ref="Q86" si="244">Q36/Q25</f>
        <v>0.10284828983434632</v>
      </c>
      <c r="R86" s="118">
        <f t="shared" ref="R86:R138" si="245">((P86/G86)^(1/($H$2-$H$1) ))-1</f>
        <v>-2.990456226938476E-2</v>
      </c>
      <c r="S86" s="152"/>
      <c r="T86" s="152">
        <f t="shared" ref="T86:AC86" si="246">T36/T25</f>
        <v>0.10284828983434632</v>
      </c>
      <c r="U86" s="152">
        <f t="shared" si="246"/>
        <v>0.10284828983434634</v>
      </c>
      <c r="V86" s="152">
        <f t="shared" si="246"/>
        <v>0.10284828983434634</v>
      </c>
      <c r="W86" s="152">
        <f t="shared" si="246"/>
        <v>0.10284828983434634</v>
      </c>
      <c r="X86" s="152">
        <f t="shared" si="246"/>
        <v>0.10284828983434634</v>
      </c>
      <c r="Y86" s="152">
        <f t="shared" si="246"/>
        <v>0.10284828983434634</v>
      </c>
      <c r="Z86" s="152">
        <f t="shared" si="246"/>
        <v>0.10284828983434632</v>
      </c>
      <c r="AA86" s="152">
        <f t="shared" si="246"/>
        <v>0.10284828983434634</v>
      </c>
      <c r="AB86" s="152">
        <f t="shared" si="246"/>
        <v>0.10284828983434632</v>
      </c>
      <c r="AC86" s="152">
        <f t="shared" si="246"/>
        <v>0.10284828983434634</v>
      </c>
      <c r="AD86" s="138">
        <f t="shared" ref="AD86:AD125" si="247">((AC86/G86)^(1/($AC$3-$H$1) ))-1</f>
        <v>-2.455263301575783E-2</v>
      </c>
      <c r="AE86" s="146"/>
      <c r="AF86" s="146"/>
    </row>
    <row r="87" spans="2:3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6.7272727272727276E-2</v>
      </c>
      <c r="H87" s="152">
        <f t="shared" si="248"/>
        <v>5.6428571428571425E-2</v>
      </c>
      <c r="I87" s="152">
        <f t="shared" si="248"/>
        <v>6.2123039806996384E-2</v>
      </c>
      <c r="J87" s="152">
        <f t="shared" si="248"/>
        <v>6.872553284036538E-2</v>
      </c>
      <c r="K87" s="152">
        <f t="shared" si="248"/>
        <v>7.6968272620446532E-2</v>
      </c>
      <c r="L87" s="152">
        <f t="shared" si="248"/>
        <v>7.753164556962025E-2</v>
      </c>
      <c r="M87" s="152">
        <f t="shared" si="248"/>
        <v>0.12885340430250611</v>
      </c>
      <c r="N87" s="152">
        <f t="shared" si="248"/>
        <v>0.11850386621111311</v>
      </c>
      <c r="O87" s="152">
        <f t="shared" si="248"/>
        <v>8.5840871330995022E-2</v>
      </c>
      <c r="P87" s="152">
        <f t="shared" si="248"/>
        <v>8.1546360616128064E-2</v>
      </c>
      <c r="Q87" s="152">
        <f t="shared" ref="Q87" si="249">Q40/Q25</f>
        <v>6.5069717554522705E-2</v>
      </c>
      <c r="R87" s="118">
        <f t="shared" si="245"/>
        <v>2.1609825047744335E-2</v>
      </c>
      <c r="S87" s="152"/>
      <c r="T87" s="152">
        <f t="shared" ref="T87:AC87" si="250">T40/T25</f>
        <v>6.5069717554522719E-2</v>
      </c>
      <c r="U87" s="152">
        <f t="shared" si="250"/>
        <v>6.5069717554522719E-2</v>
      </c>
      <c r="V87" s="152">
        <f t="shared" si="250"/>
        <v>6.5069717554522719E-2</v>
      </c>
      <c r="W87" s="152">
        <f t="shared" si="250"/>
        <v>6.5069717554522705E-2</v>
      </c>
      <c r="X87" s="152">
        <f t="shared" si="250"/>
        <v>6.5069717554522719E-2</v>
      </c>
      <c r="Y87" s="152">
        <f t="shared" si="250"/>
        <v>6.5069717554522705E-2</v>
      </c>
      <c r="Z87" s="152">
        <f t="shared" si="250"/>
        <v>6.5069717554522705E-2</v>
      </c>
      <c r="AA87" s="152">
        <f t="shared" si="250"/>
        <v>6.5069717554522705E-2</v>
      </c>
      <c r="AB87" s="152">
        <f t="shared" si="250"/>
        <v>6.5069717554522705E-2</v>
      </c>
      <c r="AC87" s="152">
        <f t="shared" si="250"/>
        <v>6.5069717554522705E-2</v>
      </c>
      <c r="AD87" s="138">
        <f t="shared" si="247"/>
        <v>-1.6633970462150982E-3</v>
      </c>
      <c r="AE87" s="146"/>
      <c r="AF87" s="146"/>
    </row>
    <row r="88" spans="2:3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0.18181818181818182</v>
      </c>
      <c r="H88" s="152">
        <f t="shared" si="251"/>
        <v>0.15863453815261044</v>
      </c>
      <c r="I88" s="152">
        <f t="shared" si="251"/>
        <v>0.19038817005545286</v>
      </c>
      <c r="J88" s="152">
        <f t="shared" si="251"/>
        <v>0.27670753064798598</v>
      </c>
      <c r="K88" s="152">
        <f t="shared" si="251"/>
        <v>0.30969267139479906</v>
      </c>
      <c r="L88" s="152">
        <f t="shared" si="251"/>
        <v>0.2963709677419355</v>
      </c>
      <c r="M88" s="152">
        <f t="shared" si="251"/>
        <v>0.30323590814196244</v>
      </c>
      <c r="N88" s="152">
        <f t="shared" si="251"/>
        <v>0.27631027253668761</v>
      </c>
      <c r="O88" s="152">
        <f t="shared" si="251"/>
        <v>0.17305545217714924</v>
      </c>
      <c r="P88" s="152">
        <f t="shared" ref="P88:Q88" si="252">P40/P7</f>
        <v>0.17538161740824942</v>
      </c>
      <c r="Q88" s="152">
        <f t="shared" si="252"/>
        <v>0.15784908933217692</v>
      </c>
      <c r="R88" s="118">
        <f t="shared" si="245"/>
        <v>-3.9967600675865356E-3</v>
      </c>
      <c r="S88" s="20"/>
      <c r="T88" s="152">
        <f t="shared" ref="T88" si="253">T40/T7</f>
        <v>0.15784908933217695</v>
      </c>
      <c r="U88" s="152">
        <f t="shared" ref="U88:AC88" si="254">U40/U7</f>
        <v>0.15784908933217692</v>
      </c>
      <c r="V88" s="152">
        <f t="shared" si="254"/>
        <v>0.15784908933217692</v>
      </c>
      <c r="W88" s="152">
        <f t="shared" si="254"/>
        <v>0.15784908933217692</v>
      </c>
      <c r="X88" s="152">
        <f t="shared" si="254"/>
        <v>0.15784908933217692</v>
      </c>
      <c r="Y88" s="152">
        <f t="shared" si="254"/>
        <v>0.1578490893321769</v>
      </c>
      <c r="Z88" s="152">
        <f t="shared" si="254"/>
        <v>0.1578490893321769</v>
      </c>
      <c r="AA88" s="152">
        <f t="shared" si="254"/>
        <v>0.15784908933217692</v>
      </c>
      <c r="AB88" s="152">
        <f t="shared" si="254"/>
        <v>0.1578490893321769</v>
      </c>
      <c r="AC88" s="152">
        <f t="shared" si="254"/>
        <v>0.1578490893321769</v>
      </c>
      <c r="AD88" s="138">
        <f t="shared" si="247"/>
        <v>-7.0434647546734341E-3</v>
      </c>
      <c r="AE88" s="146"/>
      <c r="AF88" s="146"/>
    </row>
    <row r="89" spans="2:3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0.12131147540983607</v>
      </c>
      <c r="H89" s="152">
        <f t="shared" ref="H89:O89" si="256">(H40)/(H7+H10)</f>
        <v>9.9246231155778894E-2</v>
      </c>
      <c r="I89" s="152">
        <f t="shared" si="256"/>
        <v>0.12291169451073986</v>
      </c>
      <c r="J89" s="152">
        <f t="shared" si="256"/>
        <v>0.17324561403508773</v>
      </c>
      <c r="K89" s="152">
        <f t="shared" si="256"/>
        <v>0.2144026186579378</v>
      </c>
      <c r="L89" s="152">
        <f t="shared" si="256"/>
        <v>0.21729490022172948</v>
      </c>
      <c r="M89" s="152">
        <f t="shared" si="256"/>
        <v>0.27799043062200957</v>
      </c>
      <c r="N89" s="152">
        <f t="shared" si="256"/>
        <v>0.26476496584973885</v>
      </c>
      <c r="O89" s="152">
        <f t="shared" si="256"/>
        <v>0.17133382461311716</v>
      </c>
      <c r="P89" s="152">
        <f t="shared" ref="P89:Q89" si="257">(P40)/(P7+P10)</f>
        <v>0.17252396166134185</v>
      </c>
      <c r="Q89" s="152">
        <f t="shared" si="257"/>
        <v>0.15721278433630867</v>
      </c>
      <c r="R89" s="118">
        <f t="shared" si="245"/>
        <v>3.9906207970897611E-2</v>
      </c>
      <c r="S89" s="20"/>
      <c r="T89" s="152">
        <f t="shared" ref="T89:AC89" si="258">(T40)/(T7+T10)</f>
        <v>0.15721278433630867</v>
      </c>
      <c r="U89" s="152">
        <f t="shared" si="258"/>
        <v>0.15721278433630867</v>
      </c>
      <c r="V89" s="152">
        <f t="shared" si="258"/>
        <v>0.15721278433630867</v>
      </c>
      <c r="W89" s="152">
        <f t="shared" si="258"/>
        <v>0.15721278433630867</v>
      </c>
      <c r="X89" s="152">
        <f t="shared" si="258"/>
        <v>0.15721278433630867</v>
      </c>
      <c r="Y89" s="152">
        <f t="shared" si="258"/>
        <v>0.15721278433630864</v>
      </c>
      <c r="Z89" s="152">
        <f t="shared" si="258"/>
        <v>0.15721278433630861</v>
      </c>
      <c r="AA89" s="152">
        <f t="shared" si="258"/>
        <v>0.15721278433630867</v>
      </c>
      <c r="AB89" s="152">
        <f t="shared" si="258"/>
        <v>0.15721278433630861</v>
      </c>
      <c r="AC89" s="152">
        <f t="shared" si="258"/>
        <v>0.15721278433630864</v>
      </c>
      <c r="AD89" s="138">
        <f t="shared" si="247"/>
        <v>1.3046309423204283E-2</v>
      </c>
      <c r="AE89" s="146"/>
      <c r="AF89" s="146"/>
    </row>
    <row r="90" spans="2:32">
      <c r="B90" s="20" t="s">
        <v>376</v>
      </c>
      <c r="C90" s="152"/>
      <c r="D90" s="152"/>
      <c r="E90" s="152"/>
      <c r="F90" s="152"/>
      <c r="G90" s="152">
        <f>G20/G25</f>
        <v>0.14636363636363636</v>
      </c>
      <c r="H90" s="152">
        <f t="shared" ref="H90:P90" si="259">H20/H25</f>
        <v>6.5714285714285711E-2</v>
      </c>
      <c r="I90" s="152">
        <f t="shared" si="259"/>
        <v>0.13510253317249699</v>
      </c>
      <c r="J90" s="152">
        <f t="shared" si="259"/>
        <v>8.1774684645498044E-2</v>
      </c>
      <c r="K90" s="152">
        <f t="shared" si="259"/>
        <v>5.2878965922444184E-2</v>
      </c>
      <c r="L90" s="152">
        <f t="shared" si="259"/>
        <v>0.13291139240506328</v>
      </c>
      <c r="M90" s="152">
        <f t="shared" si="259"/>
        <v>0.11621202040363716</v>
      </c>
      <c r="N90" s="152">
        <f t="shared" si="259"/>
        <v>7.1569861535695015E-2</v>
      </c>
      <c r="O90" s="152">
        <f t="shared" si="259"/>
        <v>9.4148052427542914E-2</v>
      </c>
      <c r="P90" s="152">
        <f t="shared" si="259"/>
        <v>5.4213228631833282E-2</v>
      </c>
      <c r="Q90" s="152">
        <f t="shared" ref="Q90" si="260">Q20/Q25</f>
        <v>7.710642354904064E-2</v>
      </c>
      <c r="R90" s="118">
        <f t="shared" si="245"/>
        <v>-0.1044812657932549</v>
      </c>
      <c r="S90" s="20"/>
      <c r="T90" s="152">
        <f t="shared" ref="T90:AC90" si="261">T20/T25</f>
        <v>7.7106423549040654E-2</v>
      </c>
      <c r="U90" s="152">
        <f t="shared" si="261"/>
        <v>7.710642354904064E-2</v>
      </c>
      <c r="V90" s="152">
        <f t="shared" si="261"/>
        <v>7.7106423549040654E-2</v>
      </c>
      <c r="W90" s="152">
        <f t="shared" si="261"/>
        <v>7.710642354904064E-2</v>
      </c>
      <c r="X90" s="152">
        <f t="shared" si="261"/>
        <v>7.710642354904064E-2</v>
      </c>
      <c r="Y90" s="152">
        <f t="shared" si="261"/>
        <v>7.710642354904064E-2</v>
      </c>
      <c r="Z90" s="152">
        <f t="shared" si="261"/>
        <v>7.710642354904064E-2</v>
      </c>
      <c r="AA90" s="152">
        <f t="shared" si="261"/>
        <v>7.7106423549040626E-2</v>
      </c>
      <c r="AB90" s="152">
        <f t="shared" si="261"/>
        <v>7.710642354904064E-2</v>
      </c>
      <c r="AC90" s="152">
        <f t="shared" si="261"/>
        <v>7.710642354904064E-2</v>
      </c>
      <c r="AD90" s="138">
        <f t="shared" si="247"/>
        <v>-3.1537367440770181E-2</v>
      </c>
      <c r="AE90" s="146"/>
      <c r="AF90" s="146"/>
    </row>
    <row r="91" spans="2:32">
      <c r="B91" s="20" t="s">
        <v>429</v>
      </c>
      <c r="C91" s="152"/>
      <c r="D91" s="152"/>
      <c r="E91" s="152"/>
      <c r="F91" s="152"/>
      <c r="G91" s="152">
        <f>G52/G25</f>
        <v>3.3636363636363638E-2</v>
      </c>
      <c r="H91" s="152">
        <f t="shared" ref="H91:P91" si="262">H52/H25</f>
        <v>2.7142857142857142E-2</v>
      </c>
      <c r="I91" s="152">
        <f t="shared" si="262"/>
        <v>3.0759951749095297E-2</v>
      </c>
      <c r="J91" s="152">
        <f t="shared" si="262"/>
        <v>3.5232709873858202E-2</v>
      </c>
      <c r="K91" s="152">
        <f t="shared" si="262"/>
        <v>3.7309048178613399E-2</v>
      </c>
      <c r="L91" s="152">
        <f t="shared" si="262"/>
        <v>4.1666666666666664E-2</v>
      </c>
      <c r="M91" s="152">
        <f t="shared" si="262"/>
        <v>6.65335994677312E-2</v>
      </c>
      <c r="N91" s="152">
        <f t="shared" si="262"/>
        <v>5.3587484265419885E-2</v>
      </c>
      <c r="O91" s="152">
        <f t="shared" si="262"/>
        <v>3.6366992800443053E-2</v>
      </c>
      <c r="P91" s="152">
        <f t="shared" si="262"/>
        <v>3.578979160374509E-2</v>
      </c>
      <c r="Q91" s="152">
        <f t="shared" ref="Q91" si="263">Q52/Q25</f>
        <v>2.8602073650339649E-2</v>
      </c>
      <c r="R91" s="118">
        <f t="shared" si="245"/>
        <v>6.9188217901274829E-3</v>
      </c>
      <c r="S91" s="20"/>
      <c r="T91" s="152">
        <f t="shared" ref="T91:AC91" si="264">T52/T25</f>
        <v>2.8602073650339645E-2</v>
      </c>
      <c r="U91" s="152">
        <f t="shared" si="264"/>
        <v>2.8602073650339642E-2</v>
      </c>
      <c r="V91" s="152">
        <f t="shared" si="264"/>
        <v>2.8602073650339649E-2</v>
      </c>
      <c r="W91" s="152">
        <f t="shared" si="264"/>
        <v>2.8602073650339656E-2</v>
      </c>
      <c r="X91" s="152">
        <f t="shared" si="264"/>
        <v>2.8602073650339652E-2</v>
      </c>
      <c r="Y91" s="152">
        <f t="shared" si="264"/>
        <v>2.8602073650339652E-2</v>
      </c>
      <c r="Z91" s="152">
        <f t="shared" si="264"/>
        <v>2.8602073650339649E-2</v>
      </c>
      <c r="AA91" s="152">
        <f t="shared" si="264"/>
        <v>2.8602073650339642E-2</v>
      </c>
      <c r="AB91" s="152">
        <f t="shared" si="264"/>
        <v>2.8602073650339652E-2</v>
      </c>
      <c r="AC91" s="152">
        <f t="shared" si="264"/>
        <v>2.8602073650339659E-2</v>
      </c>
      <c r="AD91" s="138">
        <f t="shared" si="247"/>
        <v>-8.0736571559513193E-3</v>
      </c>
      <c r="AE91" s="146"/>
      <c r="AF91" s="146"/>
    </row>
    <row r="92" spans="2:3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>
      <c r="B93" s="20" t="s">
        <v>323</v>
      </c>
      <c r="C93" s="152"/>
      <c r="D93" s="152"/>
      <c r="E93" s="152"/>
      <c r="F93" s="152"/>
      <c r="G93" s="152">
        <f>G29/G25</f>
        <v>1.1818181818181818E-2</v>
      </c>
      <c r="H93" s="152">
        <f t="shared" ref="H93:P93" si="265">H29/H25</f>
        <v>1.1428571428571429E-2</v>
      </c>
      <c r="I93" s="152">
        <f t="shared" si="265"/>
        <v>1.6887816646562123E-2</v>
      </c>
      <c r="J93" s="152">
        <f t="shared" si="265"/>
        <v>1.3919095258808177E-2</v>
      </c>
      <c r="K93" s="152">
        <f t="shared" si="265"/>
        <v>1.3219741480611046E-2</v>
      </c>
      <c r="L93" s="152">
        <f t="shared" si="265"/>
        <v>1.740506329113924E-2</v>
      </c>
      <c r="M93" s="152">
        <f t="shared" si="265"/>
        <v>4.6573519627411842E-3</v>
      </c>
      <c r="N93" s="152">
        <f t="shared" si="265"/>
        <v>2.8771803632440208E-3</v>
      </c>
      <c r="O93" s="152">
        <f t="shared" si="265"/>
        <v>2.7690603655159685E-3</v>
      </c>
      <c r="P93" s="152">
        <f t="shared" si="265"/>
        <v>1.3591060102688009E-3</v>
      </c>
      <c r="Q93" s="152">
        <f t="shared" ref="Q93" si="266">Q29/Q25</f>
        <v>9.534024550113217E-4</v>
      </c>
      <c r="R93" s="118">
        <f t="shared" si="245"/>
        <v>-0.21361788149320216</v>
      </c>
      <c r="S93" s="20"/>
      <c r="T93" s="152">
        <f t="shared" ref="T93:AC93" si="267">T29/T25</f>
        <v>9.534024550113217E-4</v>
      </c>
      <c r="U93" s="152">
        <f t="shared" si="267"/>
        <v>9.534024550113217E-4</v>
      </c>
      <c r="V93" s="152">
        <f t="shared" si="267"/>
        <v>9.5340245501132181E-4</v>
      </c>
      <c r="W93" s="152">
        <f t="shared" si="267"/>
        <v>9.534024550113217E-4</v>
      </c>
      <c r="X93" s="152">
        <f t="shared" si="267"/>
        <v>9.534024550113217E-4</v>
      </c>
      <c r="Y93" s="152">
        <f t="shared" si="267"/>
        <v>9.534024550113217E-4</v>
      </c>
      <c r="Z93" s="152">
        <f t="shared" si="267"/>
        <v>9.534024550113217E-4</v>
      </c>
      <c r="AA93" s="152">
        <f t="shared" si="267"/>
        <v>9.5340245501132159E-4</v>
      </c>
      <c r="AB93" s="152">
        <f t="shared" si="267"/>
        <v>9.534024550113217E-4</v>
      </c>
      <c r="AC93" s="152">
        <f t="shared" si="267"/>
        <v>9.534024550113217E-4</v>
      </c>
      <c r="AD93" s="138">
        <f t="shared" si="247"/>
        <v>-0.11826865505555628</v>
      </c>
      <c r="AE93" s="146"/>
      <c r="AF93" s="146"/>
    </row>
    <row r="94" spans="2:32">
      <c r="B94" s="20" t="s">
        <v>369</v>
      </c>
      <c r="C94" s="152"/>
      <c r="D94" s="152"/>
      <c r="E94" s="152"/>
      <c r="F94" s="152"/>
      <c r="G94" s="152">
        <f>G29/G36</f>
        <v>6.9892473118279563E-2</v>
      </c>
      <c r="H94" s="152">
        <f t="shared" ref="H94:P94" si="268">H29/H36</f>
        <v>8.5561497326203204E-2</v>
      </c>
      <c r="I94" s="152">
        <f t="shared" si="268"/>
        <v>0.1222707423580786</v>
      </c>
      <c r="J94" s="152">
        <f t="shared" si="268"/>
        <v>0.1</v>
      </c>
      <c r="K94" s="152">
        <f t="shared" si="268"/>
        <v>9.1836734693877556E-2</v>
      </c>
      <c r="L94" s="152">
        <f t="shared" si="268"/>
        <v>0.11282051282051282</v>
      </c>
      <c r="M94" s="152">
        <f t="shared" si="268"/>
        <v>2.1363173957273652E-2</v>
      </c>
      <c r="N94" s="152">
        <f t="shared" si="268"/>
        <v>1.6649323621227889E-2</v>
      </c>
      <c r="O94" s="152">
        <f t="shared" si="268"/>
        <v>2.0134228187919462E-2</v>
      </c>
      <c r="P94" s="152">
        <f t="shared" si="268"/>
        <v>1.0563380281690141E-2</v>
      </c>
      <c r="Q94" s="152">
        <f t="shared" ref="Q94" si="269">Q29/Q36</f>
        <v>9.2699884125144842E-3</v>
      </c>
      <c r="R94" s="118">
        <f t="shared" ref="R94" si="270">((P94/G94)^(1/($H$2-$H$1) ))-1</f>
        <v>-0.18937654181075803</v>
      </c>
      <c r="S94" s="20"/>
      <c r="T94" s="152">
        <f t="shared" ref="T94:AC94" si="271">T29/T36</f>
        <v>9.2699884125144842E-3</v>
      </c>
      <c r="U94" s="152">
        <f t="shared" si="271"/>
        <v>9.2699884125144842E-3</v>
      </c>
      <c r="V94" s="152">
        <f t="shared" si="271"/>
        <v>9.2699884125144842E-3</v>
      </c>
      <c r="W94" s="152">
        <f t="shared" si="271"/>
        <v>9.2699884125144842E-3</v>
      </c>
      <c r="X94" s="152">
        <f t="shared" si="271"/>
        <v>9.2699884125144842E-3</v>
      </c>
      <c r="Y94" s="152">
        <f t="shared" si="271"/>
        <v>9.2699884125144842E-3</v>
      </c>
      <c r="Z94" s="152">
        <f t="shared" si="271"/>
        <v>9.2699884125144842E-3</v>
      </c>
      <c r="AA94" s="152">
        <f t="shared" si="271"/>
        <v>9.2699884125144825E-3</v>
      </c>
      <c r="AB94" s="152">
        <f t="shared" si="271"/>
        <v>9.2699884125144842E-3</v>
      </c>
      <c r="AC94" s="152">
        <f t="shared" si="271"/>
        <v>9.2699884125144842E-3</v>
      </c>
      <c r="AD94" s="138">
        <f t="shared" ref="AD94" si="272">((AC94/G94)^(1/($AC$3-$H$1) ))-1</f>
        <v>-9.6074914148917223E-2</v>
      </c>
      <c r="AE94" s="146"/>
      <c r="AF94" s="146"/>
    </row>
    <row r="95" spans="2:32" ht="12" customHeight="1">
      <c r="B95" s="20" t="s">
        <v>368</v>
      </c>
      <c r="C95" s="152"/>
      <c r="D95" s="152"/>
      <c r="E95" s="152"/>
      <c r="F95" s="152"/>
      <c r="G95" s="171">
        <f t="shared" ref="G95:P95" si="273">G29/G40</f>
        <v>0.17567567567567569</v>
      </c>
      <c r="H95" s="171">
        <f t="shared" si="273"/>
        <v>0.20253164556962025</v>
      </c>
      <c r="I95" s="171">
        <f t="shared" si="273"/>
        <v>0.27184466019417475</v>
      </c>
      <c r="J95" s="171">
        <f t="shared" si="273"/>
        <v>0.20253164556962025</v>
      </c>
      <c r="K95" s="171">
        <f t="shared" si="273"/>
        <v>0.1717557251908397</v>
      </c>
      <c r="L95" s="171">
        <f t="shared" si="273"/>
        <v>0.22448979591836735</v>
      </c>
      <c r="M95" s="171">
        <f t="shared" si="273"/>
        <v>3.614457831325301E-2</v>
      </c>
      <c r="N95" s="171">
        <f t="shared" si="273"/>
        <v>2.4279210925644917E-2</v>
      </c>
      <c r="O95" s="171">
        <f t="shared" si="273"/>
        <v>3.2258064516129031E-2</v>
      </c>
      <c r="P95" s="171">
        <f t="shared" si="273"/>
        <v>1.6666666666666666E-2</v>
      </c>
      <c r="Q95" s="171">
        <f t="shared" ref="Q95" si="274">Q29/Q40</f>
        <v>1.4652014652014652E-2</v>
      </c>
      <c r="R95" s="118">
        <f t="shared" ref="R95" si="275">((P95/G95)^(1/($H$2-$H$1) ))-1</f>
        <v>-0.23025200108069954</v>
      </c>
      <c r="S95" s="20"/>
      <c r="T95" s="171">
        <f t="shared" ref="T95:AC95" si="276">T29/T40</f>
        <v>1.465201465201465E-2</v>
      </c>
      <c r="U95" s="171">
        <f t="shared" si="276"/>
        <v>1.465201465201465E-2</v>
      </c>
      <c r="V95" s="171">
        <f t="shared" si="276"/>
        <v>1.4652014652014652E-2</v>
      </c>
      <c r="W95" s="171">
        <f t="shared" si="276"/>
        <v>1.4652014652014652E-2</v>
      </c>
      <c r="X95" s="171">
        <f t="shared" si="276"/>
        <v>1.465201465201465E-2</v>
      </c>
      <c r="Y95" s="171">
        <f t="shared" si="276"/>
        <v>1.4652014652014652E-2</v>
      </c>
      <c r="Z95" s="171">
        <f t="shared" si="276"/>
        <v>1.4652014652014652E-2</v>
      </c>
      <c r="AA95" s="171">
        <f t="shared" si="276"/>
        <v>1.4652014652014652E-2</v>
      </c>
      <c r="AB95" s="171">
        <f t="shared" si="276"/>
        <v>1.4652014652014652E-2</v>
      </c>
      <c r="AC95" s="171">
        <f t="shared" si="276"/>
        <v>1.4652014652014652E-2</v>
      </c>
      <c r="AD95" s="138">
        <f t="shared" ref="AD95" si="277">((AC95/G95)^(1/($AC$3-$H$1) ))-1</f>
        <v>-0.11679954202254084</v>
      </c>
      <c r="AE95" s="146"/>
      <c r="AF95" s="146"/>
    </row>
    <row r="96" spans="2:32" ht="12" customHeight="1">
      <c r="B96" s="20" t="s">
        <v>325</v>
      </c>
      <c r="C96" s="152"/>
      <c r="D96" s="152"/>
      <c r="E96" s="152"/>
      <c r="F96" s="152"/>
      <c r="G96" s="171">
        <f t="shared" ref="G96:P96" si="278">G29/G12</f>
        <v>6.5</v>
      </c>
      <c r="H96" s="171">
        <f t="shared" si="278"/>
        <v>0.43243243243243246</v>
      </c>
      <c r="I96" s="171">
        <f t="shared" si="278"/>
        <v>0.5957446808510638</v>
      </c>
      <c r="J96" s="171">
        <f t="shared" si="278"/>
        <v>8</v>
      </c>
      <c r="K96" s="171">
        <f t="shared" si="278"/>
        <v>6.4285714285714288</v>
      </c>
      <c r="L96" s="171">
        <f t="shared" si="278"/>
        <v>1.6923076923076923</v>
      </c>
      <c r="M96" s="171">
        <f t="shared" si="278"/>
        <v>0.7</v>
      </c>
      <c r="N96" s="171">
        <f t="shared" si="278"/>
        <v>0.69565217391304346</v>
      </c>
      <c r="O96" s="171">
        <f t="shared" si="278"/>
        <v>0.23809523809523808</v>
      </c>
      <c r="P96" s="171">
        <f t="shared" si="278"/>
        <v>4.072398190045249E-2</v>
      </c>
      <c r="Q96" s="171">
        <f t="shared" ref="Q96" si="279">Q29/Q12</f>
        <v>2.7874564459930314E-2</v>
      </c>
      <c r="R96" s="118">
        <f t="shared" si="245"/>
        <v>-0.43086511188186782</v>
      </c>
      <c r="S96" s="20"/>
      <c r="T96" s="152">
        <f t="shared" ref="T96:AC96" si="280">T29/T12</f>
        <v>2.787456445993031E-2</v>
      </c>
      <c r="U96" s="152">
        <f t="shared" si="280"/>
        <v>2.787456445993031E-2</v>
      </c>
      <c r="V96" s="152">
        <f t="shared" si="280"/>
        <v>2.7874564459930314E-2</v>
      </c>
      <c r="W96" s="152">
        <f t="shared" si="280"/>
        <v>2.7874564459930314E-2</v>
      </c>
      <c r="X96" s="152">
        <f t="shared" si="280"/>
        <v>2.787456445993031E-2</v>
      </c>
      <c r="Y96" s="152">
        <f t="shared" si="280"/>
        <v>2.7874564459930314E-2</v>
      </c>
      <c r="Z96" s="152">
        <f t="shared" si="280"/>
        <v>2.7874564459930317E-2</v>
      </c>
      <c r="AA96" s="152">
        <f t="shared" si="280"/>
        <v>2.7874564459930314E-2</v>
      </c>
      <c r="AB96" s="152">
        <f t="shared" si="280"/>
        <v>2.7874564459930317E-2</v>
      </c>
      <c r="AC96" s="152">
        <f t="shared" si="280"/>
        <v>2.7874564459930317E-2</v>
      </c>
      <c r="AD96" s="138">
        <f t="shared" si="247"/>
        <v>-0.23859673169515672</v>
      </c>
      <c r="AE96" s="146"/>
      <c r="AF96" s="146"/>
    </row>
    <row r="97" spans="2:32" ht="12" customHeight="1">
      <c r="B97" s="20" t="s">
        <v>370</v>
      </c>
      <c r="C97" s="152"/>
      <c r="D97" s="152"/>
      <c r="E97" s="152"/>
      <c r="F97" s="152"/>
      <c r="G97" s="171">
        <f>G29/G23</f>
        <v>10.833333333333334</v>
      </c>
      <c r="H97" s="171">
        <f t="shared" ref="H97:P97" si="281">H29/H23</f>
        <v>0.44444444444444442</v>
      </c>
      <c r="I97" s="171">
        <f t="shared" si="281"/>
        <v>1.6470588235294117</v>
      </c>
      <c r="J97" s="171">
        <f t="shared" si="281"/>
        <v>21.333333333333332</v>
      </c>
      <c r="K97" s="171">
        <f t="shared" si="281"/>
        <v>26.47058823529412</v>
      </c>
      <c r="L97" s="171">
        <f t="shared" si="281"/>
        <v>1.9411764705882353</v>
      </c>
      <c r="M97" s="171">
        <f t="shared" si="281"/>
        <v>7</v>
      </c>
      <c r="N97" s="171">
        <f t="shared" si="281"/>
        <v>1.0666666666666667</v>
      </c>
      <c r="O97" s="171">
        <f t="shared" si="281"/>
        <v>0.25862068965517243</v>
      </c>
      <c r="P97" s="171">
        <f t="shared" si="281"/>
        <v>0.12</v>
      </c>
      <c r="Q97" s="171">
        <f t="shared" ref="Q97" si="282">Q29/Q23</f>
        <v>6.6666666666666666E-2</v>
      </c>
      <c r="R97" s="118">
        <f t="shared" ref="R97" si="283">((P97/G97)^(1/($H$2-$H$1) ))-1</f>
        <v>-0.39366416282002603</v>
      </c>
      <c r="S97" s="20"/>
      <c r="T97" s="171">
        <f t="shared" ref="T97:AC97" si="284">T29/T23</f>
        <v>6.6666666666666666E-2</v>
      </c>
      <c r="U97" s="171">
        <f t="shared" si="284"/>
        <v>6.6666666666666666E-2</v>
      </c>
      <c r="V97" s="171">
        <f t="shared" si="284"/>
        <v>6.6666666666666666E-2</v>
      </c>
      <c r="W97" s="171">
        <f t="shared" si="284"/>
        <v>6.6666666666666666E-2</v>
      </c>
      <c r="X97" s="171">
        <f t="shared" si="284"/>
        <v>6.6666666666666666E-2</v>
      </c>
      <c r="Y97" s="171">
        <f t="shared" si="284"/>
        <v>6.666666666666668E-2</v>
      </c>
      <c r="Z97" s="171">
        <f t="shared" si="284"/>
        <v>6.666666666666668E-2</v>
      </c>
      <c r="AA97" s="171">
        <f t="shared" si="284"/>
        <v>6.6666666666666666E-2</v>
      </c>
      <c r="AB97" s="171">
        <f t="shared" si="284"/>
        <v>6.666666666666668E-2</v>
      </c>
      <c r="AC97" s="171">
        <f t="shared" si="284"/>
        <v>6.6666666666666666E-2</v>
      </c>
      <c r="AD97" s="138">
        <f t="shared" ref="AD97" si="285">((AC97/G97)^(1/($AC$3-$H$1) ))-1</f>
        <v>-0.22472222933974539</v>
      </c>
      <c r="AE97" s="146"/>
      <c r="AF97" s="146"/>
    </row>
    <row r="98" spans="2:32" ht="12" customHeight="1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>
      <c r="B99" s="20" t="s">
        <v>403</v>
      </c>
      <c r="C99" s="152"/>
      <c r="D99" s="152"/>
      <c r="E99" s="152"/>
      <c r="F99" s="152"/>
      <c r="G99" s="127">
        <f>1/G93</f>
        <v>84.615384615384613</v>
      </c>
      <c r="H99" s="127">
        <f t="shared" ref="H99:P99" si="286">1/H93</f>
        <v>87.5</v>
      </c>
      <c r="I99" s="127">
        <f t="shared" si="286"/>
        <v>59.214285714285715</v>
      </c>
      <c r="J99" s="127">
        <f t="shared" si="286"/>
        <v>71.84375</v>
      </c>
      <c r="K99" s="127">
        <f t="shared" si="286"/>
        <v>75.644444444444446</v>
      </c>
      <c r="L99" s="127">
        <f t="shared" si="286"/>
        <v>57.45454545454546</v>
      </c>
      <c r="M99" s="127">
        <f t="shared" si="286"/>
        <v>214.71428571428572</v>
      </c>
      <c r="N99" s="127">
        <f t="shared" si="286"/>
        <v>347.5625</v>
      </c>
      <c r="O99" s="127">
        <f t="shared" si="286"/>
        <v>361.13333333333333</v>
      </c>
      <c r="P99" s="127">
        <f t="shared" si="286"/>
        <v>735.77777777777783</v>
      </c>
      <c r="Q99" s="127">
        <f t="shared" ref="Q99" si="287">1/Q93</f>
        <v>1048.875</v>
      </c>
      <c r="R99" s="118">
        <f t="shared" si="245"/>
        <v>0.2716464126865259</v>
      </c>
      <c r="S99" s="20"/>
      <c r="T99" s="127">
        <f t="shared" ref="T99:AC99" si="288">1/T93</f>
        <v>1048.875</v>
      </c>
      <c r="U99" s="127">
        <f t="shared" si="288"/>
        <v>1048.875</v>
      </c>
      <c r="V99" s="127">
        <f t="shared" si="288"/>
        <v>1048.8749999999998</v>
      </c>
      <c r="W99" s="127">
        <f t="shared" si="288"/>
        <v>1048.875</v>
      </c>
      <c r="X99" s="127">
        <f t="shared" si="288"/>
        <v>1048.875</v>
      </c>
      <c r="Y99" s="127">
        <f t="shared" si="288"/>
        <v>1048.875</v>
      </c>
      <c r="Z99" s="127">
        <f t="shared" si="288"/>
        <v>1048.875</v>
      </c>
      <c r="AA99" s="127">
        <f t="shared" si="288"/>
        <v>1048.875</v>
      </c>
      <c r="AB99" s="127">
        <f t="shared" si="288"/>
        <v>1048.875</v>
      </c>
      <c r="AC99" s="127">
        <f t="shared" si="288"/>
        <v>1048.875</v>
      </c>
      <c r="AD99" s="138">
        <f t="shared" si="247"/>
        <v>0.13413230201429238</v>
      </c>
      <c r="AE99" s="146"/>
      <c r="AF99" s="146"/>
    </row>
    <row r="100" spans="2:32" ht="12" customHeight="1">
      <c r="B100" s="20" t="s">
        <v>404</v>
      </c>
      <c r="C100" s="152"/>
      <c r="D100" s="152"/>
      <c r="E100" s="152"/>
      <c r="F100" s="152"/>
      <c r="G100" s="127">
        <f t="shared" ref="G100:P103" si="289">1/G94</f>
        <v>14.307692307692308</v>
      </c>
      <c r="H100" s="127">
        <f t="shared" si="289"/>
        <v>11.6875</v>
      </c>
      <c r="I100" s="127">
        <f t="shared" si="289"/>
        <v>8.1785714285714288</v>
      </c>
      <c r="J100" s="127">
        <f t="shared" si="289"/>
        <v>10</v>
      </c>
      <c r="K100" s="127">
        <f t="shared" si="289"/>
        <v>10.888888888888888</v>
      </c>
      <c r="L100" s="127">
        <f t="shared" si="289"/>
        <v>8.8636363636363633</v>
      </c>
      <c r="M100" s="127">
        <f t="shared" si="289"/>
        <v>46.80952380952381</v>
      </c>
      <c r="N100" s="127">
        <f t="shared" si="289"/>
        <v>60.062499999999993</v>
      </c>
      <c r="O100" s="127">
        <f t="shared" si="289"/>
        <v>49.666666666666671</v>
      </c>
      <c r="P100" s="127">
        <f t="shared" si="289"/>
        <v>94.666666666666671</v>
      </c>
      <c r="Q100" s="127">
        <f t="shared" ref="Q100" si="290">1/Q94</f>
        <v>107.875</v>
      </c>
      <c r="R100" s="118">
        <f t="shared" si="245"/>
        <v>0.233618383353702</v>
      </c>
      <c r="S100" s="20"/>
      <c r="T100" s="127">
        <f t="shared" ref="T100:AC100" si="291">1/T94</f>
        <v>107.875</v>
      </c>
      <c r="U100" s="127">
        <f t="shared" si="291"/>
        <v>107.875</v>
      </c>
      <c r="V100" s="127">
        <f t="shared" si="291"/>
        <v>107.875</v>
      </c>
      <c r="W100" s="127">
        <f t="shared" si="291"/>
        <v>107.875</v>
      </c>
      <c r="X100" s="127">
        <f t="shared" si="291"/>
        <v>107.875</v>
      </c>
      <c r="Y100" s="127">
        <f t="shared" si="291"/>
        <v>107.875</v>
      </c>
      <c r="Z100" s="127">
        <f t="shared" si="291"/>
        <v>107.875</v>
      </c>
      <c r="AA100" s="127">
        <f t="shared" si="291"/>
        <v>107.87500000000003</v>
      </c>
      <c r="AB100" s="127">
        <f t="shared" si="291"/>
        <v>107.875</v>
      </c>
      <c r="AC100" s="127">
        <f t="shared" si="291"/>
        <v>107.875</v>
      </c>
      <c r="AD100" s="138">
        <f t="shared" si="247"/>
        <v>0.10628636781161882</v>
      </c>
      <c r="AE100" s="146"/>
      <c r="AF100" s="146"/>
    </row>
    <row r="101" spans="2:32" ht="12" customHeight="1">
      <c r="B101" s="20" t="s">
        <v>405</v>
      </c>
      <c r="C101" s="152"/>
      <c r="D101" s="152"/>
      <c r="E101" s="152"/>
      <c r="F101" s="152"/>
      <c r="G101" s="127">
        <f t="shared" si="289"/>
        <v>5.6923076923076916</v>
      </c>
      <c r="H101" s="127">
        <f t="shared" si="289"/>
        <v>4.9375</v>
      </c>
      <c r="I101" s="127">
        <f t="shared" si="289"/>
        <v>3.6785714285714288</v>
      </c>
      <c r="J101" s="127">
        <f t="shared" si="289"/>
        <v>4.9375</v>
      </c>
      <c r="K101" s="127">
        <f t="shared" si="289"/>
        <v>5.822222222222222</v>
      </c>
      <c r="L101" s="127">
        <f t="shared" si="289"/>
        <v>4.4545454545454541</v>
      </c>
      <c r="M101" s="127">
        <f t="shared" si="289"/>
        <v>27.666666666666668</v>
      </c>
      <c r="N101" s="127">
        <f t="shared" si="289"/>
        <v>41.1875</v>
      </c>
      <c r="O101" s="127">
        <f t="shared" si="289"/>
        <v>31</v>
      </c>
      <c r="P101" s="127">
        <f t="shared" si="289"/>
        <v>60</v>
      </c>
      <c r="Q101" s="127">
        <f t="shared" ref="Q101" si="292">1/Q95</f>
        <v>68.25</v>
      </c>
      <c r="R101" s="118">
        <f t="shared" si="245"/>
        <v>0.29912646918727348</v>
      </c>
      <c r="S101" s="20"/>
      <c r="T101" s="127">
        <f t="shared" ref="T101:AC101" si="293">1/T95</f>
        <v>68.250000000000014</v>
      </c>
      <c r="U101" s="127">
        <f t="shared" si="293"/>
        <v>68.250000000000014</v>
      </c>
      <c r="V101" s="127">
        <f t="shared" si="293"/>
        <v>68.25</v>
      </c>
      <c r="W101" s="127">
        <f t="shared" si="293"/>
        <v>68.25</v>
      </c>
      <c r="X101" s="127">
        <f t="shared" si="293"/>
        <v>68.250000000000014</v>
      </c>
      <c r="Y101" s="127">
        <f t="shared" si="293"/>
        <v>68.25</v>
      </c>
      <c r="Z101" s="127">
        <f t="shared" si="293"/>
        <v>68.25</v>
      </c>
      <c r="AA101" s="127">
        <f t="shared" si="293"/>
        <v>68.25</v>
      </c>
      <c r="AB101" s="127">
        <f t="shared" si="293"/>
        <v>68.25</v>
      </c>
      <c r="AC101" s="127">
        <f t="shared" si="293"/>
        <v>68.25</v>
      </c>
      <c r="AD101" s="138">
        <f t="shared" si="247"/>
        <v>0.13224578969310463</v>
      </c>
      <c r="AE101" s="146"/>
      <c r="AF101" s="146"/>
    </row>
    <row r="102" spans="2:32" ht="12" customHeight="1">
      <c r="B102" s="20" t="s">
        <v>406</v>
      </c>
      <c r="C102" s="152"/>
      <c r="D102" s="152"/>
      <c r="E102" s="152"/>
      <c r="F102" s="152"/>
      <c r="G102" s="127">
        <f t="shared" si="289"/>
        <v>0.15384615384615385</v>
      </c>
      <c r="H102" s="127">
        <f t="shared" si="289"/>
        <v>2.3125</v>
      </c>
      <c r="I102" s="127">
        <f t="shared" si="289"/>
        <v>1.6785714285714286</v>
      </c>
      <c r="J102" s="127">
        <f t="shared" si="289"/>
        <v>0.125</v>
      </c>
      <c r="K102" s="127">
        <f t="shared" si="289"/>
        <v>0.15555555555555556</v>
      </c>
      <c r="L102" s="127">
        <f t="shared" si="289"/>
        <v>0.59090909090909094</v>
      </c>
      <c r="M102" s="127">
        <f t="shared" si="289"/>
        <v>1.4285714285714286</v>
      </c>
      <c r="N102" s="127">
        <f t="shared" si="289"/>
        <v>1.4375</v>
      </c>
      <c r="O102" s="127">
        <f t="shared" si="289"/>
        <v>4.2</v>
      </c>
      <c r="P102" s="127">
        <f t="shared" si="289"/>
        <v>24.555555555555554</v>
      </c>
      <c r="Q102" s="127">
        <f t="shared" ref="Q102" si="294">1/Q96</f>
        <v>35.875</v>
      </c>
      <c r="R102" s="118">
        <f t="shared" si="245"/>
        <v>0.75705271435132193</v>
      </c>
      <c r="S102" s="20"/>
      <c r="T102" s="127">
        <f t="shared" ref="T102:AC102" si="295">1/T96</f>
        <v>35.875000000000007</v>
      </c>
      <c r="U102" s="127">
        <f t="shared" si="295"/>
        <v>35.875000000000007</v>
      </c>
      <c r="V102" s="127">
        <f t="shared" si="295"/>
        <v>35.875</v>
      </c>
      <c r="W102" s="127">
        <f t="shared" si="295"/>
        <v>35.875</v>
      </c>
      <c r="X102" s="127">
        <f t="shared" si="295"/>
        <v>35.875000000000007</v>
      </c>
      <c r="Y102" s="127">
        <f t="shared" si="295"/>
        <v>35.875</v>
      </c>
      <c r="Z102" s="127">
        <f t="shared" si="295"/>
        <v>35.874999999999993</v>
      </c>
      <c r="AA102" s="127">
        <f t="shared" si="295"/>
        <v>35.875</v>
      </c>
      <c r="AB102" s="127">
        <f t="shared" si="295"/>
        <v>35.874999999999993</v>
      </c>
      <c r="AC102" s="127">
        <f t="shared" si="295"/>
        <v>35.874999999999993</v>
      </c>
      <c r="AD102" s="138">
        <f t="shared" si="247"/>
        <v>0.31336447008739365</v>
      </c>
      <c r="AE102" s="146"/>
      <c r="AF102" s="146"/>
    </row>
    <row r="103" spans="2:32" ht="12" customHeight="1">
      <c r="B103" s="20" t="s">
        <v>407</v>
      </c>
      <c r="C103" s="152"/>
      <c r="D103" s="152"/>
      <c r="E103" s="152"/>
      <c r="F103" s="152"/>
      <c r="G103" s="127">
        <f t="shared" si="289"/>
        <v>9.2307692307692299E-2</v>
      </c>
      <c r="H103" s="127">
        <f t="shared" si="289"/>
        <v>2.25</v>
      </c>
      <c r="I103" s="127">
        <f t="shared" si="289"/>
        <v>0.60714285714285721</v>
      </c>
      <c r="J103" s="127">
        <f t="shared" si="289"/>
        <v>4.6875E-2</v>
      </c>
      <c r="K103" s="127">
        <f t="shared" si="289"/>
        <v>3.7777777777777778E-2</v>
      </c>
      <c r="L103" s="127">
        <f t="shared" si="289"/>
        <v>0.51515151515151514</v>
      </c>
      <c r="M103" s="127">
        <f t="shared" si="289"/>
        <v>0.14285714285714285</v>
      </c>
      <c r="N103" s="127">
        <f t="shared" si="289"/>
        <v>0.9375</v>
      </c>
      <c r="O103" s="127">
        <f t="shared" si="289"/>
        <v>3.8666666666666663</v>
      </c>
      <c r="P103" s="127">
        <f t="shared" si="289"/>
        <v>8.3333333333333339</v>
      </c>
      <c r="Q103" s="127">
        <f t="shared" ref="Q103" si="296">1/Q97</f>
        <v>15</v>
      </c>
      <c r="R103" s="118">
        <f t="shared" si="245"/>
        <v>0.64925102341126806</v>
      </c>
      <c r="S103" s="20"/>
      <c r="T103" s="127">
        <f t="shared" ref="T103:AC103" si="297">1/T97</f>
        <v>15</v>
      </c>
      <c r="U103" s="127">
        <f t="shared" si="297"/>
        <v>15</v>
      </c>
      <c r="V103" s="127">
        <f t="shared" si="297"/>
        <v>15</v>
      </c>
      <c r="W103" s="127">
        <f t="shared" si="297"/>
        <v>15</v>
      </c>
      <c r="X103" s="127">
        <f t="shared" si="297"/>
        <v>15</v>
      </c>
      <c r="Y103" s="127">
        <f t="shared" si="297"/>
        <v>14.999999999999996</v>
      </c>
      <c r="Z103" s="127">
        <f t="shared" si="297"/>
        <v>14.999999999999996</v>
      </c>
      <c r="AA103" s="127">
        <f t="shared" si="297"/>
        <v>15</v>
      </c>
      <c r="AB103" s="127">
        <f t="shared" si="297"/>
        <v>14.999999999999996</v>
      </c>
      <c r="AC103" s="127">
        <f t="shared" si="297"/>
        <v>15</v>
      </c>
      <c r="AD103" s="138">
        <f t="shared" si="247"/>
        <v>0.28986027697964811</v>
      </c>
      <c r="AE103" s="146"/>
      <c r="AF103" s="146"/>
    </row>
    <row r="104" spans="2:32" ht="12" customHeight="1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193</v>
      </c>
      <c r="H106" s="163">
        <f t="shared" si="298"/>
        <v>168</v>
      </c>
      <c r="I106" s="163">
        <f t="shared" si="298"/>
        <v>22</v>
      </c>
      <c r="J106" s="163">
        <f t="shared" si="298"/>
        <v>99</v>
      </c>
      <c r="K106" s="163">
        <f t="shared" si="298"/>
        <v>113</v>
      </c>
      <c r="L106" s="163">
        <f t="shared" si="298"/>
        <v>47</v>
      </c>
      <c r="M106" s="163">
        <f t="shared" si="298"/>
        <v>-733</v>
      </c>
      <c r="N106" s="163">
        <f t="shared" si="298"/>
        <v>-780</v>
      </c>
      <c r="O106" s="163">
        <f t="shared" si="298"/>
        <v>-1029</v>
      </c>
      <c r="P106" s="163">
        <f>P10-(P12+P13)</f>
        <v>-6999</v>
      </c>
      <c r="Q106" s="163">
        <f>Q10-(Q12+Q13)</f>
        <v>-8201</v>
      </c>
      <c r="R106" s="118">
        <f t="shared" si="245"/>
        <v>-2.4903058608698183</v>
      </c>
      <c r="S106" s="20"/>
      <c r="T106" s="163">
        <f>T10-(T12+T13)</f>
        <v>-9185.1200000000008</v>
      </c>
      <c r="U106" s="163">
        <f t="shared" ref="U106:AC106" si="299">U10-(U12+U13)</f>
        <v>-10287.334400000002</v>
      </c>
      <c r="V106" s="163">
        <f t="shared" si="299"/>
        <v>-11521.814528000003</v>
      </c>
      <c r="W106" s="163">
        <f t="shared" si="299"/>
        <v>-12904.432271360003</v>
      </c>
      <c r="X106" s="163">
        <f t="shared" si="299"/>
        <v>-14452.964143923207</v>
      </c>
      <c r="Y106" s="163">
        <f t="shared" si="299"/>
        <v>-16187.319841193992</v>
      </c>
      <c r="Z106" s="163">
        <f t="shared" si="299"/>
        <v>-18129.798222137277</v>
      </c>
      <c r="AA106" s="163">
        <f t="shared" si="299"/>
        <v>-20305.374008793748</v>
      </c>
      <c r="AB106" s="163">
        <f t="shared" si="299"/>
        <v>-22742.018889849001</v>
      </c>
      <c r="AC106" s="163">
        <f t="shared" si="299"/>
        <v>-25471.061156630883</v>
      </c>
      <c r="AD106" s="138" t="e">
        <f t="shared" si="247"/>
        <v>#NUM!</v>
      </c>
      <c r="AE106" s="146"/>
      <c r="AF106" s="146"/>
    </row>
    <row r="107" spans="2:32" ht="12" customHeight="1">
      <c r="B107" s="20" t="s">
        <v>321</v>
      </c>
      <c r="C107" s="20"/>
      <c r="D107" s="20"/>
      <c r="E107" s="20"/>
      <c r="F107" s="20"/>
      <c r="G107" s="152">
        <f t="shared" ref="G107:P107" si="300">G40/G18</f>
        <v>0.15226337448559671</v>
      </c>
      <c r="H107" s="152">
        <f t="shared" si="300"/>
        <v>0.15831663326653306</v>
      </c>
      <c r="I107" s="152">
        <f t="shared" si="300"/>
        <v>0.21868365180467092</v>
      </c>
      <c r="J107" s="152">
        <f t="shared" si="300"/>
        <v>0.32443531827515398</v>
      </c>
      <c r="K107" s="152">
        <f t="shared" si="300"/>
        <v>0.42880523731587561</v>
      </c>
      <c r="L107" s="152">
        <f t="shared" si="300"/>
        <v>0.38033635187580855</v>
      </c>
      <c r="M107" s="152">
        <f t="shared" si="300"/>
        <v>0.73173803526448367</v>
      </c>
      <c r="N107" s="152">
        <f t="shared" si="300"/>
        <v>0.6814891416752844</v>
      </c>
      <c r="O107" s="152">
        <f t="shared" si="300"/>
        <v>0.42119565217391303</v>
      </c>
      <c r="P107" s="152">
        <f t="shared" si="300"/>
        <v>0.32200357781753131</v>
      </c>
      <c r="Q107" s="152">
        <f t="shared" ref="Q107" si="301">Q40/Q18</f>
        <v>0.32558139534883723</v>
      </c>
      <c r="R107" s="118">
        <f t="shared" si="245"/>
        <v>8.6777361141334941E-2</v>
      </c>
      <c r="S107" s="20"/>
      <c r="T107" s="152">
        <f t="shared" ref="T107:AC107" si="302">T40/T18</f>
        <v>0.32558139534883723</v>
      </c>
      <c r="U107" s="152">
        <f t="shared" si="302"/>
        <v>0.32558139534883723</v>
      </c>
      <c r="V107" s="152">
        <f t="shared" si="302"/>
        <v>0.32558139534883723</v>
      </c>
      <c r="W107" s="152">
        <f t="shared" si="302"/>
        <v>0.32558139534883723</v>
      </c>
      <c r="X107" s="152">
        <f t="shared" si="302"/>
        <v>0.32558139534883729</v>
      </c>
      <c r="Y107" s="152">
        <f t="shared" si="302"/>
        <v>0.32558139534883723</v>
      </c>
      <c r="Z107" s="152">
        <f t="shared" si="302"/>
        <v>0.32558139534883723</v>
      </c>
      <c r="AA107" s="152">
        <f t="shared" si="302"/>
        <v>0.32558139534883729</v>
      </c>
      <c r="AB107" s="152">
        <f t="shared" si="302"/>
        <v>0.32558139534883729</v>
      </c>
      <c r="AC107" s="152">
        <f t="shared" si="302"/>
        <v>0.32558139534883729</v>
      </c>
      <c r="AD107" s="138">
        <f t="shared" si="247"/>
        <v>3.8731271551398105E-2</v>
      </c>
      <c r="AE107" s="20"/>
      <c r="AF107" s="20"/>
    </row>
    <row r="108" spans="2:32">
      <c r="B108" s="20" t="s">
        <v>322</v>
      </c>
      <c r="C108" s="20"/>
      <c r="D108" s="20"/>
      <c r="E108" s="20"/>
      <c r="F108" s="20"/>
      <c r="G108" s="152">
        <f t="shared" ref="G108:P108" si="303">G40/G25</f>
        <v>6.7272727272727276E-2</v>
      </c>
      <c r="H108" s="152">
        <f t="shared" si="303"/>
        <v>5.6428571428571425E-2</v>
      </c>
      <c r="I108" s="152">
        <f t="shared" si="303"/>
        <v>6.2123039806996384E-2</v>
      </c>
      <c r="J108" s="152">
        <f t="shared" si="303"/>
        <v>6.872553284036538E-2</v>
      </c>
      <c r="K108" s="152">
        <f t="shared" si="303"/>
        <v>7.6968272620446532E-2</v>
      </c>
      <c r="L108" s="152">
        <f t="shared" si="303"/>
        <v>7.753164556962025E-2</v>
      </c>
      <c r="M108" s="152">
        <f t="shared" si="303"/>
        <v>0.12885340430250611</v>
      </c>
      <c r="N108" s="152">
        <f t="shared" si="303"/>
        <v>0.11850386621111311</v>
      </c>
      <c r="O108" s="152">
        <f t="shared" si="303"/>
        <v>8.5840871330995022E-2</v>
      </c>
      <c r="P108" s="152">
        <f t="shared" si="303"/>
        <v>8.1546360616128064E-2</v>
      </c>
      <c r="Q108" s="152">
        <f t="shared" ref="Q108" si="304">Q40/Q25</f>
        <v>6.5069717554522705E-2</v>
      </c>
      <c r="R108" s="118">
        <f t="shared" si="245"/>
        <v>2.1609825047744335E-2</v>
      </c>
      <c r="S108" s="20"/>
      <c r="T108" s="152">
        <f t="shared" ref="T108:AC108" si="305">T40/T25</f>
        <v>6.5069717554522719E-2</v>
      </c>
      <c r="U108" s="152">
        <f t="shared" si="305"/>
        <v>6.5069717554522719E-2</v>
      </c>
      <c r="V108" s="152">
        <f t="shared" si="305"/>
        <v>6.5069717554522719E-2</v>
      </c>
      <c r="W108" s="152">
        <f t="shared" si="305"/>
        <v>6.5069717554522705E-2</v>
      </c>
      <c r="X108" s="152">
        <f t="shared" si="305"/>
        <v>6.5069717554522719E-2</v>
      </c>
      <c r="Y108" s="152">
        <f t="shared" si="305"/>
        <v>6.5069717554522705E-2</v>
      </c>
      <c r="Z108" s="152">
        <f t="shared" si="305"/>
        <v>6.5069717554522705E-2</v>
      </c>
      <c r="AA108" s="152">
        <f t="shared" si="305"/>
        <v>6.5069717554522705E-2</v>
      </c>
      <c r="AB108" s="152">
        <f t="shared" si="305"/>
        <v>6.5069717554522705E-2</v>
      </c>
      <c r="AC108" s="152">
        <f t="shared" si="305"/>
        <v>6.5069717554522705E-2</v>
      </c>
      <c r="AD108" s="138">
        <f t="shared" si="247"/>
        <v>-1.6633970462150982E-3</v>
      </c>
      <c r="AE108" s="20"/>
      <c r="AF108" s="20"/>
    </row>
    <row r="109" spans="2:32">
      <c r="B109" s="20" t="s">
        <v>348</v>
      </c>
      <c r="C109" s="20"/>
      <c r="D109" s="20"/>
      <c r="E109" s="152"/>
      <c r="F109" s="152"/>
      <c r="G109" s="152">
        <f t="shared" ref="G109:O109" si="306">G25/G18</f>
        <v>2.263374485596708</v>
      </c>
      <c r="H109" s="152">
        <f t="shared" si="306"/>
        <v>2.8056112224448899</v>
      </c>
      <c r="I109" s="152">
        <f t="shared" si="306"/>
        <v>3.5201698513800426</v>
      </c>
      <c r="J109" s="152">
        <f t="shared" si="306"/>
        <v>4.7207392197125255</v>
      </c>
      <c r="K109" s="152">
        <f t="shared" si="306"/>
        <v>5.5711947626841241</v>
      </c>
      <c r="L109" s="152">
        <f t="shared" si="306"/>
        <v>4.9055627425614485</v>
      </c>
      <c r="M109" s="152">
        <f t="shared" si="306"/>
        <v>5.6788413098236772</v>
      </c>
      <c r="N109" s="152">
        <f t="shared" si="306"/>
        <v>5.7507755946225441</v>
      </c>
      <c r="O109" s="152">
        <f t="shared" si="306"/>
        <v>4.9067028985507246</v>
      </c>
      <c r="P109" s="152">
        <f>P25/P18</f>
        <v>3.9487179487179489</v>
      </c>
      <c r="Q109" s="152">
        <f>Q25/Q18</f>
        <v>5.0035778175313057</v>
      </c>
      <c r="R109" s="118">
        <f t="shared" si="245"/>
        <v>6.3789065547157575E-2</v>
      </c>
      <c r="S109" s="20"/>
      <c r="T109" s="152">
        <f>T25/T18</f>
        <v>5.0035778175313057</v>
      </c>
      <c r="U109" s="152">
        <f t="shared" ref="U109:AC109" si="307">U25/U18</f>
        <v>5.0035778175313057</v>
      </c>
      <c r="V109" s="152">
        <f t="shared" si="307"/>
        <v>5.0035778175313057</v>
      </c>
      <c r="W109" s="152">
        <f t="shared" si="307"/>
        <v>5.0035778175313057</v>
      </c>
      <c r="X109" s="152">
        <f t="shared" si="307"/>
        <v>5.0035778175313057</v>
      </c>
      <c r="Y109" s="152">
        <f t="shared" si="307"/>
        <v>5.0035778175313057</v>
      </c>
      <c r="Z109" s="152">
        <f t="shared" si="307"/>
        <v>5.0035778175313066</v>
      </c>
      <c r="AA109" s="152">
        <f t="shared" si="307"/>
        <v>5.0035778175313066</v>
      </c>
      <c r="AB109" s="152">
        <f t="shared" si="307"/>
        <v>5.0035778175313066</v>
      </c>
      <c r="AC109" s="152">
        <f t="shared" si="307"/>
        <v>5.0035778175313066</v>
      </c>
      <c r="AD109" s="138">
        <f t="shared" si="247"/>
        <v>4.0461972923858891E-2</v>
      </c>
      <c r="AE109" s="20"/>
      <c r="AF109" s="20"/>
    </row>
    <row r="110" spans="2:3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28.48</v>
      </c>
      <c r="H111" s="165">
        <f t="shared" ref="H111:P111" si="309">H70*H42</f>
        <v>18.75</v>
      </c>
      <c r="I111" s="165">
        <f t="shared" si="309"/>
        <v>22.5</v>
      </c>
      <c r="J111" s="165">
        <f t="shared" si="309"/>
        <v>26.25</v>
      </c>
      <c r="K111" s="165">
        <f t="shared" si="309"/>
        <v>32</v>
      </c>
      <c r="L111" s="165">
        <f t="shared" si="309"/>
        <v>48</v>
      </c>
      <c r="M111" s="165">
        <f t="shared" si="309"/>
        <v>85</v>
      </c>
      <c r="N111" s="165">
        <f t="shared" si="309"/>
        <v>127.5</v>
      </c>
      <c r="O111" s="165">
        <f t="shared" si="309"/>
        <v>127.5</v>
      </c>
      <c r="P111" s="165">
        <f t="shared" si="309"/>
        <v>136</v>
      </c>
      <c r="Q111" s="165">
        <f t="shared" ref="Q111" si="310">Q70*Q42</f>
        <v>136</v>
      </c>
      <c r="R111" s="118">
        <f t="shared" si="245"/>
        <v>0.18971880120095097</v>
      </c>
      <c r="S111" s="20"/>
      <c r="T111" s="165">
        <f t="shared" ref="T111:AC111" si="311">T70*T42</f>
        <v>145.65600000000001</v>
      </c>
      <c r="U111" s="165">
        <f t="shared" si="311"/>
        <v>155.99757600000001</v>
      </c>
      <c r="V111" s="165">
        <f t="shared" si="311"/>
        <v>167.07340389600003</v>
      </c>
      <c r="W111" s="165">
        <f t="shared" si="311"/>
        <v>178.93561557261603</v>
      </c>
      <c r="X111" s="165">
        <f t="shared" si="311"/>
        <v>191.6400442782718</v>
      </c>
      <c r="Y111" s="165">
        <f t="shared" si="311"/>
        <v>205.24648742202913</v>
      </c>
      <c r="Z111" s="165">
        <f t="shared" si="311"/>
        <v>219.8189880289932</v>
      </c>
      <c r="AA111" s="165">
        <f t="shared" si="311"/>
        <v>235.42613617905175</v>
      </c>
      <c r="AB111" s="165">
        <f t="shared" si="311"/>
        <v>252.14139184776445</v>
      </c>
      <c r="AC111" s="165">
        <f t="shared" si="311"/>
        <v>270.04343066895575</v>
      </c>
      <c r="AD111" s="138">
        <f t="shared" si="247"/>
        <v>0.11903760615168424</v>
      </c>
      <c r="AE111" s="20"/>
      <c r="AF111" s="20"/>
    </row>
    <row r="112" spans="2:3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33.321600000000004</v>
      </c>
      <c r="H112" s="165">
        <f t="shared" si="312"/>
        <v>21.9375</v>
      </c>
      <c r="I112" s="165">
        <f t="shared" si="312"/>
        <v>26.324999999999999</v>
      </c>
      <c r="J112" s="165">
        <f t="shared" si="312"/>
        <v>30.712499999999999</v>
      </c>
      <c r="K112" s="165">
        <f t="shared" si="312"/>
        <v>37.44</v>
      </c>
      <c r="L112" s="165">
        <f t="shared" si="312"/>
        <v>56.16</v>
      </c>
      <c r="M112" s="165">
        <f t="shared" si="312"/>
        <v>99.45</v>
      </c>
      <c r="N112" s="165">
        <f t="shared" si="312"/>
        <v>149.17500000000001</v>
      </c>
      <c r="O112" s="165">
        <f t="shared" si="312"/>
        <v>149.17500000000001</v>
      </c>
      <c r="P112" s="165">
        <f t="shared" si="312"/>
        <v>159.12</v>
      </c>
      <c r="Q112" s="165">
        <f t="shared" ref="Q112" si="313">(Q111*0.17)+Q111</f>
        <v>159.12</v>
      </c>
      <c r="R112" s="118">
        <f t="shared" si="245"/>
        <v>0.18971880120095097</v>
      </c>
      <c r="S112" s="20"/>
      <c r="T112" s="165">
        <f t="shared" ref="T112:AC112" si="314">(T111*0.17)+T111</f>
        <v>170.41752000000002</v>
      </c>
      <c r="U112" s="165">
        <f t="shared" si="314"/>
        <v>182.51716392</v>
      </c>
      <c r="V112" s="165">
        <f t="shared" si="314"/>
        <v>195.47588255832005</v>
      </c>
      <c r="W112" s="165">
        <f t="shared" si="314"/>
        <v>209.35467021996075</v>
      </c>
      <c r="X112" s="165">
        <f t="shared" si="314"/>
        <v>224.21885180557803</v>
      </c>
      <c r="Y112" s="165">
        <f t="shared" si="314"/>
        <v>240.13839028377407</v>
      </c>
      <c r="Z112" s="165">
        <f t="shared" si="314"/>
        <v>257.18821599392203</v>
      </c>
      <c r="AA112" s="165">
        <f t="shared" si="314"/>
        <v>275.44857932949054</v>
      </c>
      <c r="AB112" s="165">
        <f t="shared" si="314"/>
        <v>295.00542846188443</v>
      </c>
      <c r="AC112" s="165">
        <f t="shared" si="314"/>
        <v>315.95081388267823</v>
      </c>
      <c r="AD112" s="138">
        <f t="shared" si="247"/>
        <v>0.11903760615168424</v>
      </c>
      <c r="AE112" s="20"/>
      <c r="AF112" s="20"/>
    </row>
    <row r="113" spans="2:3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0.45029189189189195</v>
      </c>
      <c r="H113" s="152">
        <f t="shared" si="315"/>
        <v>0.2776898734177215</v>
      </c>
      <c r="I113" s="152">
        <f t="shared" si="315"/>
        <v>0.25558252427184464</v>
      </c>
      <c r="J113" s="152">
        <f t="shared" si="315"/>
        <v>0.19438291139240504</v>
      </c>
      <c r="K113" s="152">
        <f t="shared" si="315"/>
        <v>0.1429007633587786</v>
      </c>
      <c r="L113" s="152">
        <f t="shared" si="315"/>
        <v>0.19102040816326529</v>
      </c>
      <c r="M113" s="152">
        <f t="shared" si="315"/>
        <v>0.17117039586919106</v>
      </c>
      <c r="N113" s="152">
        <f t="shared" si="315"/>
        <v>0.22636570561456754</v>
      </c>
      <c r="O113" s="152">
        <f t="shared" si="315"/>
        <v>0.32080645161290328</v>
      </c>
      <c r="P113" s="152">
        <f t="shared" si="315"/>
        <v>0.29466666666666669</v>
      </c>
      <c r="Q113" s="152">
        <f t="shared" ref="Q113" si="316">Q112/Q40</f>
        <v>0.29142857142857143</v>
      </c>
      <c r="R113" s="118">
        <f t="shared" si="245"/>
        <v>-4.6024038309008808E-2</v>
      </c>
      <c r="S113" s="20"/>
      <c r="T113" s="152">
        <f t="shared" ref="T113:AC113" si="317">T112/T40</f>
        <v>0.27867857142857144</v>
      </c>
      <c r="U113" s="152">
        <f t="shared" si="317"/>
        <v>0.26648638392857138</v>
      </c>
      <c r="V113" s="152">
        <f t="shared" si="317"/>
        <v>0.2548276046316964</v>
      </c>
      <c r="W113" s="152">
        <f t="shared" si="317"/>
        <v>0.24367889692905964</v>
      </c>
      <c r="X113" s="152">
        <f t="shared" si="317"/>
        <v>0.23301794518841332</v>
      </c>
      <c r="Y113" s="152">
        <f t="shared" si="317"/>
        <v>0.22282341008642023</v>
      </c>
      <c r="Z113" s="152">
        <f t="shared" si="317"/>
        <v>0.21307488589513934</v>
      </c>
      <c r="AA113" s="152">
        <f t="shared" si="317"/>
        <v>0.203752859637227</v>
      </c>
      <c r="AB113" s="152">
        <f t="shared" si="317"/>
        <v>0.19483867202809835</v>
      </c>
      <c r="AC113" s="152">
        <f t="shared" si="317"/>
        <v>0.18631448012686902</v>
      </c>
      <c r="AD113" s="138">
        <f t="shared" si="247"/>
        <v>-4.3163741666292443E-2</v>
      </c>
      <c r="AE113" s="20"/>
      <c r="AF113" s="20"/>
    </row>
    <row r="114" spans="2:3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0.54970810810810811</v>
      </c>
      <c r="H114" s="152">
        <f t="shared" ref="H114:P114" si="318">1-H113</f>
        <v>0.72231012658227844</v>
      </c>
      <c r="I114" s="152">
        <f t="shared" si="318"/>
        <v>0.74441747572815542</v>
      </c>
      <c r="J114" s="152">
        <f t="shared" si="318"/>
        <v>0.80561708860759496</v>
      </c>
      <c r="K114" s="152">
        <f t="shared" si="318"/>
        <v>0.85709923664122134</v>
      </c>
      <c r="L114" s="152">
        <f t="shared" si="318"/>
        <v>0.80897959183673473</v>
      </c>
      <c r="M114" s="152">
        <f t="shared" si="318"/>
        <v>0.82882960413080897</v>
      </c>
      <c r="N114" s="152">
        <f t="shared" si="318"/>
        <v>0.77363429438543241</v>
      </c>
      <c r="O114" s="152">
        <f t="shared" si="318"/>
        <v>0.67919354838709678</v>
      </c>
      <c r="P114" s="152">
        <f t="shared" si="318"/>
        <v>0.70533333333333337</v>
      </c>
      <c r="Q114" s="152">
        <f t="shared" ref="Q114" si="319">1-Q113</f>
        <v>0.70857142857142863</v>
      </c>
      <c r="R114" s="118">
        <f t="shared" si="245"/>
        <v>2.8085279129107521E-2</v>
      </c>
      <c r="S114" s="20"/>
      <c r="T114" s="152">
        <f t="shared" ref="T114:AC114" si="320">1-T113</f>
        <v>0.72132142857142856</v>
      </c>
      <c r="U114" s="152">
        <f t="shared" si="320"/>
        <v>0.73351361607142862</v>
      </c>
      <c r="V114" s="152">
        <f t="shared" si="320"/>
        <v>0.7451723953683036</v>
      </c>
      <c r="W114" s="152">
        <f t="shared" si="320"/>
        <v>0.75632110307094036</v>
      </c>
      <c r="X114" s="152">
        <f t="shared" si="320"/>
        <v>0.76698205481158666</v>
      </c>
      <c r="Y114" s="152">
        <f t="shared" si="320"/>
        <v>0.77717658991357974</v>
      </c>
      <c r="Z114" s="152">
        <f t="shared" si="320"/>
        <v>0.78692511410486066</v>
      </c>
      <c r="AA114" s="152">
        <f t="shared" si="320"/>
        <v>0.796247140362773</v>
      </c>
      <c r="AB114" s="152">
        <f t="shared" si="320"/>
        <v>0.80516132797190165</v>
      </c>
      <c r="AC114" s="152">
        <f t="shared" si="320"/>
        <v>0.81368551987313098</v>
      </c>
      <c r="AD114" s="138">
        <f t="shared" si="247"/>
        <v>1.9802852105962998E-2</v>
      </c>
      <c r="AE114" s="20"/>
      <c r="AF114" s="20"/>
    </row>
    <row r="115" spans="2:32">
      <c r="B115" s="20" t="s">
        <v>453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0.20696645962732921</v>
      </c>
      <c r="H115" s="152">
        <f t="shared" si="321"/>
        <v>0.23845108695652173</v>
      </c>
      <c r="I115" s="152">
        <f t="shared" si="321"/>
        <v>0.11752232142857143</v>
      </c>
      <c r="J115" s="152">
        <f t="shared" si="321"/>
        <v>0.16336436170212765</v>
      </c>
      <c r="K115" s="152">
        <f t="shared" si="321"/>
        <v>0.20799999999999999</v>
      </c>
      <c r="L115" s="152">
        <f t="shared" si="321"/>
        <v>0.11142857142857142</v>
      </c>
      <c r="M115" s="152">
        <f t="shared" si="321"/>
        <v>0.18979007633587786</v>
      </c>
      <c r="N115" s="152">
        <f t="shared" si="321"/>
        <v>0.37481155778894476</v>
      </c>
      <c r="O115" s="152">
        <f t="shared" si="321"/>
        <v>0.29250000000000004</v>
      </c>
      <c r="P115" s="152">
        <f t="shared" si="321"/>
        <v>0.44323119777158776</v>
      </c>
      <c r="Q115" s="152">
        <f>Q112/Q20</f>
        <v>0.24593508500772798</v>
      </c>
      <c r="R115" s="118">
        <f t="shared" si="245"/>
        <v>8.8297964180710231E-2</v>
      </c>
      <c r="S115" s="20"/>
      <c r="T115" s="152">
        <f>T112/T20</f>
        <v>0.23517542503863989</v>
      </c>
      <c r="U115" s="152">
        <f t="shared" ref="U115:AC115" si="322">U112/U20</f>
        <v>0.22488650019319933</v>
      </c>
      <c r="V115" s="152">
        <f t="shared" si="322"/>
        <v>0.21504771580974691</v>
      </c>
      <c r="W115" s="152">
        <f t="shared" si="322"/>
        <v>0.20563937824307044</v>
      </c>
      <c r="X115" s="152">
        <f t="shared" si="322"/>
        <v>0.19664265544493617</v>
      </c>
      <c r="Y115" s="152">
        <f t="shared" si="322"/>
        <v>0.18803953926922021</v>
      </c>
      <c r="Z115" s="152">
        <f t="shared" si="322"/>
        <v>0.17981280942619179</v>
      </c>
      <c r="AA115" s="152">
        <f t="shared" si="322"/>
        <v>0.17194599901379592</v>
      </c>
      <c r="AB115" s="152">
        <f t="shared" si="322"/>
        <v>0.16442336155694234</v>
      </c>
      <c r="AC115" s="152">
        <f t="shared" si="322"/>
        <v>0.15722983948882613</v>
      </c>
      <c r="AD115" s="138" t="s">
        <v>454</v>
      </c>
      <c r="AE115" s="20"/>
      <c r="AF115" s="20"/>
    </row>
    <row r="116" spans="2:3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>
      <c r="B120" s="20" t="s">
        <v>354</v>
      </c>
      <c r="C120" s="20"/>
      <c r="D120" s="20"/>
      <c r="E120" s="20"/>
      <c r="F120" s="20"/>
      <c r="G120" s="152">
        <f>G27/G25</f>
        <v>0.83727272727272728</v>
      </c>
      <c r="H120" s="152">
        <f t="shared" ref="H120:P120" si="329">H27/H25</f>
        <v>0.86571428571428577</v>
      </c>
      <c r="I120" s="152">
        <f t="shared" si="329"/>
        <v>0.85585042219541618</v>
      </c>
      <c r="J120" s="152">
        <f t="shared" si="329"/>
        <v>0.85732927359721622</v>
      </c>
      <c r="K120" s="152">
        <f t="shared" si="329"/>
        <v>0.85340775558166859</v>
      </c>
      <c r="L120" s="152">
        <f t="shared" si="329"/>
        <v>0.84414556962025311</v>
      </c>
      <c r="M120" s="152">
        <f t="shared" si="329"/>
        <v>0.78021734309159463</v>
      </c>
      <c r="N120" s="152">
        <f t="shared" si="329"/>
        <v>0.80902715338967812</v>
      </c>
      <c r="O120" s="152">
        <f t="shared" si="329"/>
        <v>0.85490123684696329</v>
      </c>
      <c r="P120" s="152">
        <f t="shared" si="329"/>
        <v>0.86288130474176983</v>
      </c>
      <c r="Q120" s="152">
        <f t="shared" ref="Q120" si="330">Q27/Q25</f>
        <v>0.88857108807055174</v>
      </c>
      <c r="R120" s="118">
        <f t="shared" si="245"/>
        <v>3.3530854131489374E-3</v>
      </c>
      <c r="S120" s="20"/>
      <c r="T120" s="152">
        <f t="shared" ref="T120:AC120" si="331">T27/T25</f>
        <v>0.88857108807055185</v>
      </c>
      <c r="U120" s="152">
        <f t="shared" si="331"/>
        <v>0.88857108807055185</v>
      </c>
      <c r="V120" s="152">
        <f t="shared" si="331"/>
        <v>0.88857108807055185</v>
      </c>
      <c r="W120" s="152">
        <f t="shared" si="331"/>
        <v>0.88857108807055174</v>
      </c>
      <c r="X120" s="152">
        <f t="shared" si="331"/>
        <v>0.88857108807055185</v>
      </c>
      <c r="Y120" s="152">
        <f t="shared" si="331"/>
        <v>0.88857108807055185</v>
      </c>
      <c r="Z120" s="152">
        <f t="shared" si="331"/>
        <v>0.88857108807055174</v>
      </c>
      <c r="AA120" s="152">
        <f t="shared" si="331"/>
        <v>0.88857108807055174</v>
      </c>
      <c r="AB120" s="152">
        <f t="shared" si="331"/>
        <v>0.88857108807055174</v>
      </c>
      <c r="AC120" s="152">
        <f t="shared" si="331"/>
        <v>0.88857108807055174</v>
      </c>
      <c r="AD120" s="138">
        <f t="shared" si="247"/>
        <v>2.9776643128407443E-3</v>
      </c>
      <c r="AE120" s="20"/>
      <c r="AF120" s="20"/>
    </row>
    <row r="121" spans="2:3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0.47454545454545455</v>
      </c>
      <c r="H121" s="152">
        <f t="shared" ref="H121:P121" si="332">H33/H25</f>
        <v>0.54428571428571426</v>
      </c>
      <c r="I121" s="152">
        <f t="shared" si="332"/>
        <v>0.55729794933655008</v>
      </c>
      <c r="J121" s="152">
        <f t="shared" si="332"/>
        <v>0.57851239669421484</v>
      </c>
      <c r="K121" s="152">
        <f t="shared" si="332"/>
        <v>0.61192714453584018</v>
      </c>
      <c r="L121" s="152">
        <f t="shared" si="332"/>
        <v>0.5746308016877637</v>
      </c>
      <c r="M121" s="152">
        <f t="shared" si="332"/>
        <v>0.51208693723663778</v>
      </c>
      <c r="N121" s="152">
        <f t="shared" si="332"/>
        <v>0.55259845351555481</v>
      </c>
      <c r="O121" s="152">
        <f t="shared" si="332"/>
        <v>0.65940557504153585</v>
      </c>
      <c r="P121" s="152">
        <f t="shared" si="332"/>
        <v>0.65644820295983086</v>
      </c>
      <c r="Q121" s="152">
        <f t="shared" ref="Q121" si="333">Q33/Q25</f>
        <v>0.48611607674889762</v>
      </c>
      <c r="R121" s="118">
        <f t="shared" si="245"/>
        <v>3.6711871626427417E-2</v>
      </c>
      <c r="S121" s="20"/>
      <c r="T121" s="152">
        <f t="shared" ref="T121:AC121" si="334">T33/T25</f>
        <v>0.48611607674889767</v>
      </c>
      <c r="U121" s="152">
        <f t="shared" si="334"/>
        <v>0.48611607674889773</v>
      </c>
      <c r="V121" s="152">
        <f t="shared" si="334"/>
        <v>0.48611607674889773</v>
      </c>
      <c r="W121" s="152">
        <f t="shared" si="334"/>
        <v>0.48611607674889767</v>
      </c>
      <c r="X121" s="152">
        <f t="shared" si="334"/>
        <v>0.48611607674889767</v>
      </c>
      <c r="Y121" s="152">
        <f t="shared" si="334"/>
        <v>0.48611607674889767</v>
      </c>
      <c r="Z121" s="152">
        <f t="shared" si="334"/>
        <v>0.48611607674889767</v>
      </c>
      <c r="AA121" s="152">
        <f t="shared" si="334"/>
        <v>0.48611607674889767</v>
      </c>
      <c r="AB121" s="152">
        <f t="shared" si="334"/>
        <v>0.48611607674889767</v>
      </c>
      <c r="AC121" s="152">
        <f t="shared" si="334"/>
        <v>0.48611607674889767</v>
      </c>
      <c r="AD121" s="138">
        <f t="shared" si="247"/>
        <v>1.2052271207390053E-3</v>
      </c>
      <c r="AE121" s="20"/>
      <c r="AF121" s="20"/>
    </row>
    <row r="122" spans="2:3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8.727272727272728E-2</v>
      </c>
      <c r="H122" s="152">
        <f t="shared" ref="H122:P122" si="335">H34/H25</f>
        <v>7.4999999999999997E-2</v>
      </c>
      <c r="I122" s="152">
        <f t="shared" si="335"/>
        <v>6.9963811821471655E-2</v>
      </c>
      <c r="J122" s="152">
        <f t="shared" si="335"/>
        <v>6.1765985210961286E-2</v>
      </c>
      <c r="K122" s="152">
        <f t="shared" si="335"/>
        <v>5.0528789659224443E-2</v>
      </c>
      <c r="L122" s="152">
        <f t="shared" si="335"/>
        <v>5.3006329113924049E-2</v>
      </c>
      <c r="M122" s="152">
        <f t="shared" si="335"/>
        <v>5.7884231536926151E-2</v>
      </c>
      <c r="N122" s="152">
        <f t="shared" si="335"/>
        <v>5.7723431037583171E-2</v>
      </c>
      <c r="O122" s="152">
        <f t="shared" si="335"/>
        <v>6.0919328041351299E-2</v>
      </c>
      <c r="P122" s="152">
        <f t="shared" si="335"/>
        <v>6.0857746904258533E-2</v>
      </c>
      <c r="Q122" s="152">
        <f t="shared" ref="Q122" si="336">Q34/Q25</f>
        <v>3.0747229174115123E-2</v>
      </c>
      <c r="R122" s="118">
        <f t="shared" si="245"/>
        <v>-3.926381794165279E-2</v>
      </c>
      <c r="S122" s="20"/>
      <c r="T122" s="152">
        <f t="shared" ref="T122:AC122" si="337">T34/T25</f>
        <v>3.0747229174115126E-2</v>
      </c>
      <c r="U122" s="152">
        <f t="shared" si="337"/>
        <v>3.0747229174115126E-2</v>
      </c>
      <c r="V122" s="152">
        <f t="shared" si="337"/>
        <v>3.0747229174115126E-2</v>
      </c>
      <c r="W122" s="152">
        <f t="shared" si="337"/>
        <v>3.0747229174115123E-2</v>
      </c>
      <c r="X122" s="152">
        <f t="shared" si="337"/>
        <v>3.0747229174115123E-2</v>
      </c>
      <c r="Y122" s="152">
        <f t="shared" si="337"/>
        <v>3.0747229174115126E-2</v>
      </c>
      <c r="Z122" s="152">
        <f t="shared" si="337"/>
        <v>3.0747229174115123E-2</v>
      </c>
      <c r="AA122" s="152">
        <f t="shared" si="337"/>
        <v>3.0747229174115126E-2</v>
      </c>
      <c r="AB122" s="152">
        <f t="shared" si="337"/>
        <v>3.0747229174115126E-2</v>
      </c>
      <c r="AC122" s="152">
        <f t="shared" si="337"/>
        <v>3.0747229174115126E-2</v>
      </c>
      <c r="AD122" s="138">
        <f t="shared" si="247"/>
        <v>-5.0824823211675363E-2</v>
      </c>
      <c r="AE122" s="20"/>
      <c r="AF122" s="20"/>
    </row>
    <row r="123" spans="2:3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>
      <c r="B125" s="20" t="s">
        <v>365</v>
      </c>
      <c r="C125" s="20"/>
      <c r="D125" s="20"/>
      <c r="E125" s="20"/>
      <c r="F125" s="20"/>
      <c r="G125" s="25">
        <f>G15/G9</f>
        <v>1.546218487394958</v>
      </c>
      <c r="H125" s="25">
        <f t="shared" ref="H125:AC125" si="338">H15/H9</f>
        <v>1.7410358565737052</v>
      </c>
      <c r="I125" s="25">
        <f t="shared" si="338"/>
        <v>1.5369127516778522</v>
      </c>
      <c r="J125" s="25">
        <f t="shared" si="338"/>
        <v>1.5277777777777777</v>
      </c>
      <c r="K125" s="25">
        <f t="shared" si="338"/>
        <v>1.6416083916083917</v>
      </c>
      <c r="L125" s="25">
        <f t="shared" si="338"/>
        <v>1.6981519507186857</v>
      </c>
      <c r="M125" s="25">
        <f t="shared" si="338"/>
        <v>1.6091954022988506</v>
      </c>
      <c r="N125" s="25">
        <f t="shared" si="338"/>
        <v>1.639871382636656</v>
      </c>
      <c r="O125" s="25">
        <f t="shared" si="338"/>
        <v>1.6081871345029239</v>
      </c>
      <c r="P125" s="25">
        <f t="shared" si="338"/>
        <v>1.3060623896409653</v>
      </c>
      <c r="Q125" s="25">
        <f t="shared" ref="Q125" si="339">Q15/Q9</f>
        <v>1.3774509803921569</v>
      </c>
      <c r="R125" s="118">
        <f t="shared" si="245"/>
        <v>-1.8580269877809585E-2</v>
      </c>
      <c r="S125" s="20"/>
      <c r="T125" s="20">
        <f t="shared" si="338"/>
        <v>1.3774509803921569</v>
      </c>
      <c r="U125" s="20">
        <f t="shared" si="338"/>
        <v>1.3774509803921569</v>
      </c>
      <c r="V125" s="20">
        <f t="shared" si="338"/>
        <v>1.3774509803921569</v>
      </c>
      <c r="W125" s="20">
        <f t="shared" si="338"/>
        <v>1.3774509803921569</v>
      </c>
      <c r="X125" s="20">
        <f t="shared" si="338"/>
        <v>1.3774509803921569</v>
      </c>
      <c r="Y125" s="20">
        <f t="shared" si="338"/>
        <v>1.3774509803921569</v>
      </c>
      <c r="Z125" s="20">
        <f t="shared" si="338"/>
        <v>1.3774509803921569</v>
      </c>
      <c r="AA125" s="20">
        <f t="shared" si="338"/>
        <v>1.3774509803921566</v>
      </c>
      <c r="AB125" s="20">
        <f t="shared" si="338"/>
        <v>1.3774509803921566</v>
      </c>
      <c r="AC125" s="20">
        <f t="shared" si="338"/>
        <v>1.3774509803921569</v>
      </c>
      <c r="AD125" s="138">
        <f t="shared" si="247"/>
        <v>-5.762213844840991E-3</v>
      </c>
      <c r="AE125" s="20"/>
      <c r="AF125" s="20"/>
    </row>
    <row r="126" spans="2:32">
      <c r="B126" s="20" t="s">
        <v>355</v>
      </c>
      <c r="C126" s="20"/>
      <c r="D126" s="20"/>
      <c r="E126" s="20"/>
      <c r="F126" s="20"/>
      <c r="G126" s="25">
        <f>G12/G9</f>
        <v>8.4033613445378148E-3</v>
      </c>
      <c r="H126" s="25">
        <f t="shared" ref="H126:P126" si="340">H12/H9</f>
        <v>0.14741035856573706</v>
      </c>
      <c r="I126" s="25">
        <f t="shared" si="340"/>
        <v>0.15771812080536912</v>
      </c>
      <c r="J126" s="25">
        <f t="shared" si="340"/>
        <v>1.0101010101010102E-2</v>
      </c>
      <c r="K126" s="25">
        <f t="shared" si="340"/>
        <v>1.2237762237762238E-2</v>
      </c>
      <c r="L126" s="25">
        <f t="shared" si="340"/>
        <v>8.0082135523613956E-2</v>
      </c>
      <c r="M126" s="25">
        <f t="shared" si="340"/>
        <v>4.3103448275862072E-2</v>
      </c>
      <c r="N126" s="25">
        <f t="shared" si="340"/>
        <v>2.465166130760986E-2</v>
      </c>
      <c r="O126" s="25">
        <f t="shared" si="340"/>
        <v>6.1403508771929821E-2</v>
      </c>
      <c r="P126" s="25">
        <f t="shared" si="340"/>
        <v>0.13007651559741024</v>
      </c>
      <c r="Q126" s="25">
        <f t="shared" ref="Q126" si="341">Q12/Q9</f>
        <v>0.17585784313725492</v>
      </c>
      <c r="R126" s="118">
        <f t="shared" si="245"/>
        <v>0.35579486285713879</v>
      </c>
      <c r="S126" s="128"/>
      <c r="T126" s="20">
        <f t="shared" ref="T126:AC126" si="342">T12/T9</f>
        <v>0.17585784313725492</v>
      </c>
      <c r="U126" s="20">
        <f t="shared" si="342"/>
        <v>0.17585784313725492</v>
      </c>
      <c r="V126" s="20">
        <f t="shared" si="342"/>
        <v>0.17585784313725492</v>
      </c>
      <c r="W126" s="20">
        <f t="shared" si="342"/>
        <v>0.17585784313725492</v>
      </c>
      <c r="X126" s="20">
        <f t="shared" si="342"/>
        <v>0.17585784313725492</v>
      </c>
      <c r="Y126" s="20">
        <f t="shared" si="342"/>
        <v>0.17585784313725489</v>
      </c>
      <c r="Z126" s="20">
        <f t="shared" si="342"/>
        <v>0.17585784313725486</v>
      </c>
      <c r="AA126" s="20">
        <f t="shared" si="342"/>
        <v>0.17585784313725486</v>
      </c>
      <c r="AB126" s="20">
        <f t="shared" si="342"/>
        <v>0.17585784313725486</v>
      </c>
      <c r="AC126" s="20">
        <f t="shared" si="342"/>
        <v>0.17585784313725486</v>
      </c>
      <c r="AD126" s="118">
        <f t="shared" ref="AD126" si="343">((AC126/T126)^(1/($H$2-$H$1) ))-1</f>
        <v>0</v>
      </c>
      <c r="AE126" s="20"/>
      <c r="AF126" s="20"/>
    </row>
    <row r="127" spans="2:32">
      <c r="B127" s="20" t="s">
        <v>357</v>
      </c>
      <c r="C127" s="20"/>
      <c r="D127" s="20"/>
      <c r="E127" s="20"/>
      <c r="F127" s="20"/>
      <c r="G127" s="25">
        <f>G25/360</f>
        <v>3.0555555555555554</v>
      </c>
      <c r="H127" s="25">
        <f t="shared" ref="H127:P127" si="344">H25/360</f>
        <v>3.8888888888888888</v>
      </c>
      <c r="I127" s="25">
        <f t="shared" si="344"/>
        <v>4.6055555555555552</v>
      </c>
      <c r="J127" s="25">
        <f t="shared" si="344"/>
        <v>6.3861111111111111</v>
      </c>
      <c r="K127" s="25">
        <f t="shared" si="344"/>
        <v>9.4555555555555557</v>
      </c>
      <c r="L127" s="25">
        <f t="shared" si="344"/>
        <v>10.533333333333333</v>
      </c>
      <c r="M127" s="25">
        <f t="shared" si="344"/>
        <v>12.525</v>
      </c>
      <c r="N127" s="25">
        <f t="shared" si="344"/>
        <v>15.447222222222223</v>
      </c>
      <c r="O127" s="25">
        <f t="shared" si="344"/>
        <v>15.047222222222222</v>
      </c>
      <c r="P127" s="25">
        <f t="shared" si="344"/>
        <v>18.394444444444446</v>
      </c>
      <c r="Q127" s="25">
        <f t="shared" ref="Q127" si="345">Q25/360</f>
        <v>23.308333333333334</v>
      </c>
      <c r="R127" s="118">
        <f t="shared" si="245"/>
        <v>0.22073622509186142</v>
      </c>
      <c r="S127" s="128"/>
      <c r="T127" s="25">
        <f t="shared" ref="T127:AC127" si="346">T25/360</f>
        <v>26.105333333333334</v>
      </c>
      <c r="U127" s="25">
        <f t="shared" si="346"/>
        <v>29.237973333333336</v>
      </c>
      <c r="V127" s="25">
        <f t="shared" si="346"/>
        <v>32.746530133333337</v>
      </c>
      <c r="W127" s="25">
        <f t="shared" si="346"/>
        <v>36.676113749333346</v>
      </c>
      <c r="X127" s="25">
        <f t="shared" si="346"/>
        <v>41.077247399253345</v>
      </c>
      <c r="Y127" s="25">
        <f t="shared" si="346"/>
        <v>46.006517087163758</v>
      </c>
      <c r="Z127" s="25">
        <f t="shared" si="346"/>
        <v>51.527299137623416</v>
      </c>
      <c r="AA127" s="25">
        <f t="shared" si="346"/>
        <v>57.71057503413823</v>
      </c>
      <c r="AB127" s="25">
        <f t="shared" si="346"/>
        <v>64.635844038234822</v>
      </c>
      <c r="AC127" s="25">
        <f t="shared" si="346"/>
        <v>72.392145322822998</v>
      </c>
      <c r="AD127" s="118">
        <f t="shared" ref="AD127:AD138" si="347">((AC127/T127)^(1/($H$2-$H$1) ))-1</f>
        <v>0.12000000000000011</v>
      </c>
      <c r="AE127" s="20"/>
      <c r="AF127" s="20"/>
    </row>
    <row r="128" spans="2:32">
      <c r="B128" s="20" t="s">
        <v>356</v>
      </c>
      <c r="C128" s="20"/>
      <c r="D128" s="20"/>
      <c r="E128" s="20"/>
      <c r="F128" s="20"/>
      <c r="G128" s="25">
        <f>G27/360</f>
        <v>2.5583333333333331</v>
      </c>
      <c r="H128" s="25">
        <f t="shared" ref="H128:P128" si="348">H27/360</f>
        <v>3.3666666666666667</v>
      </c>
      <c r="I128" s="25">
        <f t="shared" si="348"/>
        <v>3.9416666666666669</v>
      </c>
      <c r="J128" s="25">
        <f t="shared" si="348"/>
        <v>5.4749999999999996</v>
      </c>
      <c r="K128" s="25">
        <f t="shared" si="348"/>
        <v>8.0694444444444446</v>
      </c>
      <c r="L128" s="25">
        <f t="shared" si="348"/>
        <v>8.8916666666666675</v>
      </c>
      <c r="M128" s="25">
        <f t="shared" si="348"/>
        <v>9.7722222222222221</v>
      </c>
      <c r="N128" s="25">
        <f t="shared" si="348"/>
        <v>12.497222222222222</v>
      </c>
      <c r="O128" s="25">
        <f t="shared" si="348"/>
        <v>12.863888888888889</v>
      </c>
      <c r="P128" s="25">
        <f t="shared" si="348"/>
        <v>15.872222222222222</v>
      </c>
      <c r="Q128" s="25">
        <f t="shared" ref="Q128" si="349">Q27/360</f>
        <v>20.711111111111112</v>
      </c>
      <c r="R128" s="118">
        <f t="shared" si="245"/>
        <v>0.22482945792151954</v>
      </c>
      <c r="S128" s="128"/>
      <c r="T128" s="25">
        <f t="shared" ref="T128:AC128" si="350">T27/360</f>
        <v>23.196444444444449</v>
      </c>
      <c r="U128" s="25">
        <f t="shared" si="350"/>
        <v>25.980017777777782</v>
      </c>
      <c r="V128" s="25">
        <f t="shared" si="350"/>
        <v>29.097619911111117</v>
      </c>
      <c r="W128" s="25">
        <f t="shared" si="350"/>
        <v>32.589334300444456</v>
      </c>
      <c r="X128" s="25">
        <f t="shared" si="350"/>
        <v>36.500054416497797</v>
      </c>
      <c r="Y128" s="25">
        <f t="shared" si="350"/>
        <v>40.880060946477535</v>
      </c>
      <c r="Z128" s="25">
        <f t="shared" si="350"/>
        <v>45.785668260054841</v>
      </c>
      <c r="AA128" s="25">
        <f t="shared" si="350"/>
        <v>51.279948451261426</v>
      </c>
      <c r="AB128" s="25">
        <f t="shared" si="350"/>
        <v>57.433542265412797</v>
      </c>
      <c r="AC128" s="25">
        <f t="shared" si="350"/>
        <v>64.325567337262342</v>
      </c>
      <c r="AD128" s="118">
        <f t="shared" si="347"/>
        <v>0.12000000000000011</v>
      </c>
      <c r="AE128" s="20"/>
      <c r="AF128" s="20"/>
    </row>
    <row r="129" spans="2:3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>
      <c r="B130" s="20" t="s">
        <v>366</v>
      </c>
      <c r="C130" s="20"/>
      <c r="D130" s="20"/>
      <c r="E130" s="20"/>
      <c r="F130" s="20"/>
      <c r="G130" s="25">
        <f>G10/G7</f>
        <v>0.49877149877149879</v>
      </c>
      <c r="H130" s="25">
        <f t="shared" ref="H130:P130" si="351">H10/H7</f>
        <v>0.59839357429718876</v>
      </c>
      <c r="I130" s="25">
        <f t="shared" si="351"/>
        <v>0.54898336414048055</v>
      </c>
      <c r="J130" s="25">
        <f t="shared" si="351"/>
        <v>0.59719789842381787</v>
      </c>
      <c r="K130" s="25">
        <f t="shared" si="351"/>
        <v>0.44444444444444442</v>
      </c>
      <c r="L130" s="25">
        <f t="shared" si="351"/>
        <v>0.36391129032258063</v>
      </c>
      <c r="M130" s="25">
        <f t="shared" si="351"/>
        <v>9.0814196242171186E-2</v>
      </c>
      <c r="N130" s="25">
        <f t="shared" si="351"/>
        <v>4.360587002096436E-2</v>
      </c>
      <c r="O130" s="25">
        <f t="shared" si="351"/>
        <v>1.0048381094157052E-2</v>
      </c>
      <c r="P130" s="25">
        <f t="shared" si="351"/>
        <v>1.6563819421890225E-2</v>
      </c>
      <c r="Q130" s="25">
        <f t="shared" ref="Q130" si="352">Q10/Q7</f>
        <v>4.0474125469788956E-3</v>
      </c>
      <c r="R130" s="118">
        <f t="shared" si="245"/>
        <v>-0.31499233878930344</v>
      </c>
      <c r="S130" s="128"/>
      <c r="T130" s="25">
        <f t="shared" ref="T130:AC130" si="353">T10/T7</f>
        <v>4.0474125469788956E-3</v>
      </c>
      <c r="U130" s="25">
        <f t="shared" si="353"/>
        <v>4.0474125469788947E-3</v>
      </c>
      <c r="V130" s="25">
        <f t="shared" si="353"/>
        <v>4.0474125469788947E-3</v>
      </c>
      <c r="W130" s="25">
        <f t="shared" si="353"/>
        <v>4.0474125469788947E-3</v>
      </c>
      <c r="X130" s="25">
        <f t="shared" si="353"/>
        <v>4.0474125469788947E-3</v>
      </c>
      <c r="Y130" s="25">
        <f t="shared" si="353"/>
        <v>4.0474125469788938E-3</v>
      </c>
      <c r="Z130" s="25">
        <f t="shared" si="353"/>
        <v>4.0474125469788938E-3</v>
      </c>
      <c r="AA130" s="25">
        <f t="shared" si="353"/>
        <v>4.0474125469788938E-3</v>
      </c>
      <c r="AB130" s="25">
        <f t="shared" si="353"/>
        <v>4.047412546978893E-3</v>
      </c>
      <c r="AC130" s="25">
        <f t="shared" si="353"/>
        <v>4.047412546978893E-3</v>
      </c>
      <c r="AD130" s="118">
        <f t="shared" si="347"/>
        <v>0</v>
      </c>
      <c r="AE130" s="20"/>
      <c r="AF130" s="20"/>
    </row>
    <row r="131" spans="2:32">
      <c r="B131" s="20" t="s">
        <v>358</v>
      </c>
      <c r="C131" s="20"/>
      <c r="D131" s="20"/>
      <c r="E131" s="20"/>
      <c r="F131" s="20"/>
      <c r="G131" s="25">
        <f>G10/(G10+G7)</f>
        <v>0.33278688524590166</v>
      </c>
      <c r="H131" s="25">
        <f t="shared" ref="H131:P131" si="354">H10/(H10+H7)</f>
        <v>0.37437185929648242</v>
      </c>
      <c r="I131" s="25">
        <f t="shared" si="354"/>
        <v>0.35441527446300713</v>
      </c>
      <c r="J131" s="25">
        <f t="shared" si="354"/>
        <v>0.37390350877192985</v>
      </c>
      <c r="K131" s="25">
        <f t="shared" si="354"/>
        <v>0.30769230769230771</v>
      </c>
      <c r="L131" s="25">
        <f t="shared" si="354"/>
        <v>0.26681448632668142</v>
      </c>
      <c r="M131" s="25">
        <f t="shared" si="354"/>
        <v>8.3253588516746413E-2</v>
      </c>
      <c r="N131" s="25">
        <f t="shared" si="354"/>
        <v>4.1783848935315386E-2</v>
      </c>
      <c r="O131" s="25">
        <f t="shared" si="354"/>
        <v>9.9484156226971251E-3</v>
      </c>
      <c r="P131" s="25">
        <f t="shared" si="354"/>
        <v>1.6293929712460065E-2</v>
      </c>
      <c r="Q131" s="25">
        <f t="shared" ref="Q131" si="355">Q10/(Q10+Q7)</f>
        <v>4.0310970342643249E-3</v>
      </c>
      <c r="R131" s="118">
        <f t="shared" si="245"/>
        <v>-0.284797788962045</v>
      </c>
      <c r="S131" s="128"/>
      <c r="T131" s="25">
        <f t="shared" ref="T131:AC131" si="356">T10/(T10+T7)</f>
        <v>4.0310970342643249E-3</v>
      </c>
      <c r="U131" s="25">
        <f t="shared" si="356"/>
        <v>4.031097034264324E-3</v>
      </c>
      <c r="V131" s="25">
        <f t="shared" si="356"/>
        <v>4.031097034264324E-3</v>
      </c>
      <c r="W131" s="25">
        <f t="shared" si="356"/>
        <v>4.031097034264324E-3</v>
      </c>
      <c r="X131" s="25">
        <f t="shared" si="356"/>
        <v>4.031097034264324E-3</v>
      </c>
      <c r="Y131" s="25">
        <f t="shared" si="356"/>
        <v>4.0310970342643231E-3</v>
      </c>
      <c r="Z131" s="25">
        <f t="shared" si="356"/>
        <v>4.0310970342643231E-3</v>
      </c>
      <c r="AA131" s="25">
        <f t="shared" si="356"/>
        <v>4.0310970342643231E-3</v>
      </c>
      <c r="AB131" s="25">
        <f t="shared" si="356"/>
        <v>4.0310970342643223E-3</v>
      </c>
      <c r="AC131" s="25">
        <f t="shared" si="356"/>
        <v>4.0310970342643223E-3</v>
      </c>
      <c r="AD131" s="118">
        <f t="shared" si="347"/>
        <v>0</v>
      </c>
      <c r="AE131" s="20"/>
      <c r="AF131" s="20"/>
    </row>
    <row r="132" spans="2:3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>
      <c r="B133" s="20" t="s">
        <v>363</v>
      </c>
      <c r="C133" s="20"/>
      <c r="D133" s="20"/>
      <c r="E133" s="20"/>
      <c r="F133" s="20"/>
      <c r="G133" s="25">
        <f>G16</f>
        <v>115</v>
      </c>
      <c r="H133" s="25">
        <f t="shared" ref="H133:P133" si="357">H16</f>
        <v>204</v>
      </c>
      <c r="I133" s="25">
        <f t="shared" si="357"/>
        <v>138</v>
      </c>
      <c r="J133" s="25">
        <f t="shared" si="357"/>
        <v>161</v>
      </c>
      <c r="K133" s="25">
        <f t="shared" si="357"/>
        <v>316</v>
      </c>
      <c r="L133" s="25">
        <f t="shared" si="357"/>
        <v>302</v>
      </c>
      <c r="M133" s="25">
        <f t="shared" si="357"/>
        <v>413</v>
      </c>
      <c r="N133" s="25">
        <f t="shared" si="357"/>
        <v>600</v>
      </c>
      <c r="O133" s="25">
        <f t="shared" si="357"/>
        <v>602</v>
      </c>
      <c r="P133" s="25">
        <f t="shared" si="357"/>
        <v>831</v>
      </c>
      <c r="Q133" s="25">
        <f t="shared" ref="Q133" si="358">Q16</f>
        <v>959</v>
      </c>
      <c r="R133" s="118">
        <f t="shared" si="245"/>
        <v>0.24575800644406498</v>
      </c>
      <c r="S133" s="128"/>
      <c r="T133" s="25">
        <f t="shared" ref="T133:AC133" si="359">T16</f>
        <v>1074.0800000000002</v>
      </c>
      <c r="U133" s="25">
        <f t="shared" si="359"/>
        <v>1202.9696000000004</v>
      </c>
      <c r="V133" s="25">
        <f t="shared" si="359"/>
        <v>1347.3259520000006</v>
      </c>
      <c r="W133" s="25">
        <f t="shared" si="359"/>
        <v>1509.0050662400008</v>
      </c>
      <c r="X133" s="25">
        <f t="shared" si="359"/>
        <v>1690.085674188801</v>
      </c>
      <c r="Y133" s="25">
        <f t="shared" si="359"/>
        <v>1892.8959550914574</v>
      </c>
      <c r="Z133" s="25">
        <f t="shared" si="359"/>
        <v>2120.0434697024325</v>
      </c>
      <c r="AA133" s="25">
        <f t="shared" si="359"/>
        <v>2374.4486860667248</v>
      </c>
      <c r="AB133" s="25">
        <f t="shared" si="359"/>
        <v>2659.3825283947322</v>
      </c>
      <c r="AC133" s="25">
        <f t="shared" si="359"/>
        <v>2978.5084318021004</v>
      </c>
      <c r="AD133" s="118">
        <f t="shared" si="347"/>
        <v>0.12000000000000011</v>
      </c>
      <c r="AE133" s="20"/>
      <c r="AF133" s="20"/>
    </row>
    <row r="134" spans="2:32">
      <c r="B134" s="20" t="s">
        <v>364</v>
      </c>
      <c r="C134" s="20"/>
      <c r="D134" s="20"/>
      <c r="E134" s="20"/>
      <c r="F134" s="20"/>
      <c r="G134" s="119">
        <f t="shared" ref="G134:P134" si="360">G133*365/G25</f>
        <v>38.159090909090907</v>
      </c>
      <c r="H134" s="119">
        <f t="shared" si="360"/>
        <v>53.185714285714283</v>
      </c>
      <c r="I134" s="119">
        <f t="shared" si="360"/>
        <v>30.379975874547647</v>
      </c>
      <c r="J134" s="119">
        <f t="shared" si="360"/>
        <v>25.561113527620705</v>
      </c>
      <c r="K134" s="119">
        <f t="shared" si="360"/>
        <v>33.883666274970622</v>
      </c>
      <c r="L134" s="119">
        <f t="shared" si="360"/>
        <v>29.069092827004219</v>
      </c>
      <c r="M134" s="119">
        <f t="shared" si="360"/>
        <v>33.43202483921047</v>
      </c>
      <c r="N134" s="119">
        <f t="shared" si="360"/>
        <v>39.381406221902537</v>
      </c>
      <c r="O134" s="119">
        <f t="shared" si="360"/>
        <v>40.563042274321582</v>
      </c>
      <c r="P134" s="119">
        <f t="shared" si="360"/>
        <v>45.804137722742375</v>
      </c>
      <c r="Q134" s="119">
        <f t="shared" ref="Q134" si="361">Q133*365/Q25</f>
        <v>41.715528542485998</v>
      </c>
      <c r="R134" s="118">
        <f t="shared" si="245"/>
        <v>2.0497287487573734E-2</v>
      </c>
      <c r="S134" s="128"/>
      <c r="T134" s="119">
        <f t="shared" ref="T134:AC134" si="362">T133*365/T25</f>
        <v>41.715528542486005</v>
      </c>
      <c r="U134" s="119">
        <f t="shared" si="362"/>
        <v>41.715528542486005</v>
      </c>
      <c r="V134" s="119">
        <f t="shared" si="362"/>
        <v>41.715528542486012</v>
      </c>
      <c r="W134" s="119">
        <f t="shared" si="362"/>
        <v>41.715528542486012</v>
      </c>
      <c r="X134" s="119">
        <f t="shared" si="362"/>
        <v>41.715528542486012</v>
      </c>
      <c r="Y134" s="119">
        <f t="shared" si="362"/>
        <v>41.715528542486012</v>
      </c>
      <c r="Z134" s="119">
        <f t="shared" si="362"/>
        <v>41.715528542486012</v>
      </c>
      <c r="AA134" s="119">
        <f t="shared" si="362"/>
        <v>41.715528542486005</v>
      </c>
      <c r="AB134" s="119">
        <f t="shared" si="362"/>
        <v>41.715528542486012</v>
      </c>
      <c r="AC134" s="119">
        <f t="shared" si="362"/>
        <v>41.71552854248602</v>
      </c>
      <c r="AD134" s="118">
        <f t="shared" si="347"/>
        <v>0</v>
      </c>
      <c r="AE134" s="20"/>
      <c r="AF134" s="20"/>
    </row>
    <row r="135" spans="2:32">
      <c r="B135" s="20" t="s">
        <v>367</v>
      </c>
      <c r="C135" s="20"/>
      <c r="D135" s="20"/>
      <c r="E135" s="20"/>
      <c r="F135" s="20"/>
      <c r="G135" s="133">
        <f>G80/G29</f>
        <v>2.0095073465859983</v>
      </c>
      <c r="H135" s="133">
        <f t="shared" ref="H135:P135" si="363">H80/H29</f>
        <v>1.5583333333333333</v>
      </c>
      <c r="I135" s="133">
        <f t="shared" si="363"/>
        <v>1.0904761904761906</v>
      </c>
      <c r="J135" s="133">
        <f t="shared" si="363"/>
        <v>0.13333333333333333</v>
      </c>
      <c r="K135" s="133">
        <f t="shared" si="363"/>
        <v>0.1361111111111111</v>
      </c>
      <c r="L135" s="133">
        <f t="shared" si="363"/>
        <v>0.11079545454545454</v>
      </c>
      <c r="M135" s="133">
        <f t="shared" si="363"/>
        <v>0.55070028011204486</v>
      </c>
      <c r="N135" s="133">
        <f t="shared" si="363"/>
        <v>0.70661764705882357</v>
      </c>
      <c r="O135" s="133">
        <f t="shared" si="363"/>
        <v>0.58431372549019611</v>
      </c>
      <c r="P135" s="133">
        <f t="shared" si="363"/>
        <v>1.1137254901960785</v>
      </c>
      <c r="Q135" s="133">
        <f t="shared" ref="Q135" si="364">Q80/Q29</f>
        <v>1.2691176470588235</v>
      </c>
      <c r="R135" s="118">
        <f t="shared" si="245"/>
        <v>-6.3471601137493172E-2</v>
      </c>
      <c r="S135" s="128"/>
      <c r="T135" s="133">
        <f t="shared" ref="T135:AC135" si="365">T80/T29</f>
        <v>1.2442329873125719</v>
      </c>
      <c r="U135" s="133">
        <f t="shared" si="365"/>
        <v>1.2198362620711491</v>
      </c>
      <c r="V135" s="133">
        <f t="shared" si="365"/>
        <v>1.1959179039913226</v>
      </c>
      <c r="W135" s="133">
        <f t="shared" si="365"/>
        <v>1.1724685333248261</v>
      </c>
      <c r="X135" s="133">
        <f t="shared" si="365"/>
        <v>1.1494789542400254</v>
      </c>
      <c r="Y135" s="133">
        <f t="shared" si="365"/>
        <v>1.1269401512157113</v>
      </c>
      <c r="Z135" s="133">
        <f t="shared" si="365"/>
        <v>1.1048432855055994</v>
      </c>
      <c r="AA135" s="133">
        <f t="shared" si="365"/>
        <v>1.0831796916721563</v>
      </c>
      <c r="AB135" s="133">
        <f t="shared" si="365"/>
        <v>1.0619408741883882</v>
      </c>
      <c r="AC135" s="133">
        <f t="shared" si="365"/>
        <v>1.0411185041062632</v>
      </c>
      <c r="AD135" s="118">
        <f t="shared" si="347"/>
        <v>-1.9607843137254832E-2</v>
      </c>
      <c r="AE135" s="20"/>
      <c r="AF135" s="20"/>
    </row>
    <row r="136" spans="2:3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>
      <c r="B137" s="20" t="s">
        <v>374</v>
      </c>
      <c r="C137" s="20"/>
      <c r="D137" s="20"/>
      <c r="E137" s="20"/>
      <c r="F137" s="20"/>
      <c r="G137" s="180">
        <f>G25/G14</f>
        <v>4.9107142857142856</v>
      </c>
      <c r="H137" s="180">
        <f t="shared" ref="H137:P137" si="366">H25/H14</f>
        <v>5.691056910569106</v>
      </c>
      <c r="I137" s="180">
        <f t="shared" si="366"/>
        <v>6.2803030303030303</v>
      </c>
      <c r="J137" s="180">
        <f t="shared" si="366"/>
        <v>5.4221698113207548</v>
      </c>
      <c r="K137" s="180">
        <f t="shared" si="366"/>
        <v>5.3187499999999996</v>
      </c>
      <c r="L137" s="180">
        <f t="shared" si="366"/>
        <v>7.2366412213740459</v>
      </c>
      <c r="M137" s="180">
        <f t="shared" si="366"/>
        <v>5.6574654956085322</v>
      </c>
      <c r="N137" s="180">
        <f t="shared" si="366"/>
        <v>4.9038800705467374</v>
      </c>
      <c r="O137" s="180">
        <f t="shared" si="366"/>
        <v>4.669827586206897</v>
      </c>
      <c r="P137" s="180">
        <f t="shared" si="366"/>
        <v>4.7064676616915424</v>
      </c>
      <c r="Q137" s="180">
        <f t="shared" ref="Q137" si="367">Q25/Q14</f>
        <v>6.4447004608294929</v>
      </c>
      <c r="R137" s="118">
        <f t="shared" si="245"/>
        <v>-4.7090713846847931E-3</v>
      </c>
      <c r="S137" s="128"/>
      <c r="T137" s="20">
        <f t="shared" ref="T137" si="368">T25/T14</f>
        <v>6.444700460829492</v>
      </c>
      <c r="U137" s="20">
        <f t="shared" ref="U137:AC137" si="369">U25/U14</f>
        <v>6.444700460829492</v>
      </c>
      <c r="V137" s="20">
        <f t="shared" si="369"/>
        <v>6.444700460829492</v>
      </c>
      <c r="W137" s="20">
        <f t="shared" si="369"/>
        <v>6.444700460829492</v>
      </c>
      <c r="X137" s="20">
        <f t="shared" si="369"/>
        <v>6.4447004608294911</v>
      </c>
      <c r="Y137" s="20">
        <f t="shared" si="369"/>
        <v>6.444700460829492</v>
      </c>
      <c r="Z137" s="20">
        <f t="shared" si="369"/>
        <v>6.4447004608294929</v>
      </c>
      <c r="AA137" s="20">
        <f t="shared" si="369"/>
        <v>6.4447004608294929</v>
      </c>
      <c r="AB137" s="20">
        <f t="shared" si="369"/>
        <v>6.4447004608294929</v>
      </c>
      <c r="AC137" s="20">
        <f t="shared" si="369"/>
        <v>6.4447004608294929</v>
      </c>
      <c r="AD137" s="118">
        <f t="shared" si="347"/>
        <v>0</v>
      </c>
      <c r="AE137" s="20"/>
      <c r="AF137" s="20"/>
    </row>
    <row r="138" spans="2:32">
      <c r="B138" s="20" t="s">
        <v>375</v>
      </c>
      <c r="C138" s="20"/>
      <c r="D138" s="20"/>
      <c r="E138" s="20"/>
      <c r="F138" s="20"/>
      <c r="G138" s="180">
        <f>G27/G14</f>
        <v>4.1116071428571432</v>
      </c>
      <c r="H138" s="180">
        <f t="shared" ref="H138:P138" si="370">H27/H14</f>
        <v>4.9268292682926829</v>
      </c>
      <c r="I138" s="180">
        <f t="shared" si="370"/>
        <v>5.375</v>
      </c>
      <c r="J138" s="180">
        <f t="shared" si="370"/>
        <v>4.6485849056603774</v>
      </c>
      <c r="K138" s="180">
        <f t="shared" si="370"/>
        <v>4.5390625</v>
      </c>
      <c r="L138" s="180">
        <f t="shared" si="370"/>
        <v>6.1087786259541987</v>
      </c>
      <c r="M138" s="180">
        <f t="shared" si="370"/>
        <v>4.4140526976160599</v>
      </c>
      <c r="N138" s="180">
        <f t="shared" si="370"/>
        <v>3.9673721340388006</v>
      </c>
      <c r="O138" s="180">
        <f t="shared" si="370"/>
        <v>3.9922413793103448</v>
      </c>
      <c r="P138" s="180">
        <f t="shared" si="370"/>
        <v>4.0611229566453444</v>
      </c>
      <c r="Q138" s="180">
        <f t="shared" ref="Q138" si="371">Q27/Q14</f>
        <v>5.7265745007680495</v>
      </c>
      <c r="R138" s="118">
        <f t="shared" si="245"/>
        <v>-1.3717758901053978E-3</v>
      </c>
      <c r="S138" s="128"/>
      <c r="T138" s="20">
        <f t="shared" ref="T138:AC138" si="372">T27/T14</f>
        <v>5.7265745007680486</v>
      </c>
      <c r="U138" s="20">
        <f t="shared" si="372"/>
        <v>5.7265745007680486</v>
      </c>
      <c r="V138" s="20">
        <f t="shared" si="372"/>
        <v>5.7265745007680486</v>
      </c>
      <c r="W138" s="20">
        <f t="shared" si="372"/>
        <v>5.7265745007680477</v>
      </c>
      <c r="X138" s="20">
        <f t="shared" si="372"/>
        <v>5.7265745007680477</v>
      </c>
      <c r="Y138" s="20">
        <f t="shared" si="372"/>
        <v>5.7265745007680486</v>
      </c>
      <c r="Z138" s="20">
        <f t="shared" si="372"/>
        <v>5.7265745007680486</v>
      </c>
      <c r="AA138" s="20">
        <f t="shared" si="372"/>
        <v>5.7265745007680495</v>
      </c>
      <c r="AB138" s="20">
        <f t="shared" si="372"/>
        <v>5.7265745007680486</v>
      </c>
      <c r="AC138" s="20">
        <f t="shared" si="372"/>
        <v>5.7265745007680486</v>
      </c>
      <c r="AD138" s="118">
        <f t="shared" si="347"/>
        <v>0</v>
      </c>
      <c r="AE138" s="20"/>
      <c r="AF138" s="20"/>
    </row>
    <row r="139" spans="2:3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6.9592623525406063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19.616641680840132</v>
      </c>
      <c r="T142" s="133">
        <f>PV($C$1, ($AC$3-$T$3), 0, -AC54)</f>
        <v>2.7334664637236248</v>
      </c>
      <c r="U142" s="133">
        <f>PV($C$1, ($AC$3-$T$3), 0, -AF54)</f>
        <v>16.883175217116506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124.27465856048721</v>
      </c>
      <c r="T143" s="133">
        <f>PV($C$1, ($AC$3-$T$3), 0, -AC56)</f>
        <v>17.316960619084284</v>
      </c>
      <c r="U143" s="133">
        <f>PV($C$1, ($AC$3-$T$3), 0, -AF56)</f>
        <v>106.95769794140293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121.22078577134545</v>
      </c>
      <c r="T144" s="133">
        <f>PV($C$1, ($AC$3-$T$3), 0, -AC57)</f>
        <v>16.891420968138299</v>
      </c>
      <c r="U144" s="133">
        <f>PV($C$1, ($AC$3-$T$3), 0, -AF57)</f>
        <v>104.32936480320714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0.50299081232923393</v>
      </c>
      <c r="T145" s="133">
        <f>PV($C$1, ($AC$3-$T$3), 0, -AC58)</f>
        <v>7.0088883685221107E-2</v>
      </c>
      <c r="U145" s="133">
        <f>PV($C$1, ($AC$3-$T$3), 0, -AF58)</f>
        <v>0.43290192864401278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10.311311652749298</v>
      </c>
      <c r="T146" s="133">
        <f>PV($C$1, ($AC$3-$T$3), 0, -AC64)</f>
        <v>1.4368221155470331</v>
      </c>
      <c r="U146" s="133">
        <f>PV($C$1, ($AC$3-$T$3), 0, -AF64)</f>
        <v>8.8744895372022654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123.77166774815799</v>
      </c>
      <c r="T148" s="133">
        <f>PV($C$1, ($AC$3-$T$3), 0, -AC60)</f>
        <v>17.246871735399061</v>
      </c>
      <c r="U148" s="133">
        <f>PV($C$1, ($AC$3-$T$3), 0, -$AF$60)</f>
        <v>106.52479601275893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65.137310196635838</v>
      </c>
      <c r="T149" s="133">
        <f>PV($C$1, ($AC$3-$T$3), 0, -AC61)</f>
        <v>9.0765104372361396</v>
      </c>
      <c r="U149" s="133">
        <f>PV($C$1, ($AC$3-$T$3), 0, -$AF$61)</f>
        <v>56.060799759399693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145.90326349064426</v>
      </c>
      <c r="T150" s="133">
        <f>PV($C$1, ($AC$3-$T$3), 0, -AC62)</f>
        <v>20.330782617548788</v>
      </c>
      <c r="U150" s="133">
        <f>PV($C$1, ($AC$3-$T$3), 0, -$AF$62)</f>
        <v>125.57248087309549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80.765953294008455</v>
      </c>
      <c r="T152" s="133">
        <f>PV($C$1, ($AC$3-$T$3), 0, -AC67)</f>
        <v>11.254272180312652</v>
      </c>
      <c r="U152" s="133">
        <f>PV($C$1, ($AC$3-$T$3), 0, -AF67)</f>
        <v>69.511681113695801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26.624218225336055</v>
      </c>
      <c r="T153" s="133">
        <f>PV($C$1, ($AC$3-$T$3), 0, -AC68)</f>
        <v>4.8010885324376495</v>
      </c>
      <c r="U153" s="133">
        <f>PV($C$1, ($AC$3-$T$3), 0, -AF68)</f>
        <v>21.823129692898405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1068.4016662399065</v>
      </c>
      <c r="T155" s="133">
        <f>PV($C$1, ($AC$3-$T$3), 0, -AC12)</f>
        <v>148.87564201703614</v>
      </c>
      <c r="U155" s="133">
        <f>PV($C$1, ($AC$3-$T$3), 0, -AF12)</f>
        <v>919.52602422287032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12.569431367528312</v>
      </c>
      <c r="T156" s="140">
        <f>T155/P42</f>
        <v>1.7514781413768958</v>
      </c>
      <c r="U156" s="140">
        <f>U155/P42</f>
        <v>10.817953226151415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15.162695898404955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12.474165972364014</v>
      </c>
      <c r="U159" s="133">
        <f>PV($C$1, ($AC$3-$T$3), 0, -AF70)</f>
        <v>2.6885299260409412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3848.7817242807873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3166.3460338296672</v>
      </c>
      <c r="U161" s="133">
        <f>PV($C$1, ($AC$3-$T$3), 0, -AF72)</f>
        <v>682.43569045112008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37.145194636521325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30.55890100786598</v>
      </c>
      <c r="U163" s="133">
        <f>PV($C$1, ($AC$3-$T$3), 0, -AF74)</f>
        <v>6.5862936286553406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112.83070859074785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92.824455174128104</v>
      </c>
      <c r="U164" s="133">
        <f>PV($C$1, ($AC$3-$T$3), 0, -AF75)</f>
        <v>20.006253416619742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-75.685513954226522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-62.26555416626212</v>
      </c>
      <c r="U165" s="133">
        <f>PV($C$1, ($AC$3-$T$3), 0, -AF76)</f>
        <v>-13.4199597879644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-29.297618304861881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-24.102795161133727</v>
      </c>
      <c r="U166" s="133">
        <f>PV($C$1, ($AC$3-$T$3), 0, -AF77)</f>
        <v>-5.1948231437281551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20.926870217758488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17.216282257952663</v>
      </c>
      <c r="U168" s="133">
        <f>PV($C$1, ($AC$3-$T$3), 0, -AF78)</f>
        <v>3.7105879598058253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115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143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130</v>
      </c>
      <c r="H171" s="22">
        <v>150</v>
      </c>
      <c r="I171" s="22">
        <v>241</v>
      </c>
      <c r="J171" s="22">
        <v>38</v>
      </c>
      <c r="K171" s="22">
        <v>51</v>
      </c>
      <c r="L171" s="22">
        <v>35</v>
      </c>
      <c r="M171" s="22">
        <v>108</v>
      </c>
      <c r="N171" s="22">
        <v>129</v>
      </c>
      <c r="O171" s="22">
        <v>128</v>
      </c>
      <c r="P171" s="22">
        <v>115</v>
      </c>
      <c r="Q171" s="22">
        <v>115</v>
      </c>
      <c r="R171" s="118">
        <f t="shared" ref="R171:R176" si="377">((P171/G171)^(1/($H$2-$H$1) ))-1</f>
        <v>-1.353011414274341E-2</v>
      </c>
      <c r="S171" s="31">
        <f>L2-3%</f>
        <v>0.09</v>
      </c>
      <c r="T171" s="119">
        <f t="shared" ref="T171" si="378">P171*(1+$S171)</f>
        <v>125.35000000000001</v>
      </c>
      <c r="U171" s="119">
        <f t="shared" ref="U171:AC171" si="379">T171*(1+$S171)</f>
        <v>136.63150000000002</v>
      </c>
      <c r="V171" s="119">
        <f t="shared" si="379"/>
        <v>148.92833500000003</v>
      </c>
      <c r="W171" s="119">
        <f t="shared" si="379"/>
        <v>162.33188515000003</v>
      </c>
      <c r="X171" s="119">
        <f t="shared" si="379"/>
        <v>176.94175481350004</v>
      </c>
      <c r="Y171" s="119">
        <f t="shared" si="379"/>
        <v>192.86651274671505</v>
      </c>
      <c r="Z171" s="119">
        <f t="shared" si="379"/>
        <v>210.22449889391942</v>
      </c>
      <c r="AA171" s="119">
        <f t="shared" si="379"/>
        <v>229.14470379437219</v>
      </c>
      <c r="AB171" s="119">
        <f t="shared" si="379"/>
        <v>249.7677271358657</v>
      </c>
      <c r="AC171" s="119">
        <f t="shared" si="379"/>
        <v>272.24682257809366</v>
      </c>
      <c r="AD171" s="138">
        <f t="shared" ref="AD171:AD176" si="380">((AC171/G171)^(1/($AC$3-$H$1) ))-1</f>
        <v>3.7650198222690001E-2</v>
      </c>
      <c r="AE171" s="31">
        <v>0.08</v>
      </c>
      <c r="AF171" s="127">
        <f t="shared" ref="AF171:AF179" si="381">(AC171*(1+AD171))/($C$1-AE171)</f>
        <v>2017.8354958118314</v>
      </c>
    </row>
    <row r="172" spans="2:3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0.84145454545454546</v>
      </c>
      <c r="H172" s="25">
        <f t="shared" si="382"/>
        <v>0.8035714285714286</v>
      </c>
      <c r="I172" s="25">
        <f t="shared" si="382"/>
        <v>1.0901688781664656</v>
      </c>
      <c r="J172" s="25">
        <f t="shared" si="382"/>
        <v>1.2396694214876034</v>
      </c>
      <c r="K172" s="25">
        <f t="shared" si="382"/>
        <v>1.1985898942420683</v>
      </c>
      <c r="L172" s="25">
        <f t="shared" si="382"/>
        <v>0.73839662447257381</v>
      </c>
      <c r="M172" s="25">
        <f t="shared" si="382"/>
        <v>2.0359281437125749</v>
      </c>
      <c r="N172" s="25">
        <f t="shared" si="382"/>
        <v>1.9717676676856681</v>
      </c>
      <c r="O172" s="25">
        <f t="shared" si="382"/>
        <v>2.0084917851209156</v>
      </c>
      <c r="P172" s="25">
        <f t="shared" si="382"/>
        <v>1.4761401389308366</v>
      </c>
      <c r="Q172" s="25">
        <f t="shared" ref="Q172" si="383">Q171/Q50</f>
        <v>1.1649386247169586</v>
      </c>
      <c r="R172" s="118">
        <f t="shared" ref="R172" si="384">((P172/G172)^(1/($H$2-$H$1) ))-1</f>
        <v>6.4441702656046651E-2</v>
      </c>
      <c r="S172" s="128"/>
      <c r="T172" s="25">
        <f t="shared" ref="T172:AC172" si="385">T171/T50</f>
        <v>1.1564096097859953</v>
      </c>
      <c r="U172" s="25">
        <f t="shared" si="385"/>
        <v>1.1479430394286334</v>
      </c>
      <c r="V172" s="25">
        <f t="shared" si="385"/>
        <v>1.1395384564613882</v>
      </c>
      <c r="W172" s="25">
        <f t="shared" si="385"/>
        <v>1.1311954070480099</v>
      </c>
      <c r="X172" s="25">
        <f t="shared" si="385"/>
        <v>1.1229134406749801</v>
      </c>
      <c r="Y172" s="25">
        <f t="shared" si="385"/>
        <v>1.1146921101271809</v>
      </c>
      <c r="Z172" s="25">
        <f t="shared" si="385"/>
        <v>1.1065309714637497</v>
      </c>
      <c r="AA172" s="25">
        <f t="shared" si="385"/>
        <v>1.0984295839941043</v>
      </c>
      <c r="AB172" s="25">
        <f t="shared" si="385"/>
        <v>1.0903875102541474</v>
      </c>
      <c r="AC172" s="25">
        <f t="shared" si="385"/>
        <v>1.082404315982644</v>
      </c>
      <c r="AD172" s="138">
        <f t="shared" ref="AD172" si="386">((AC172/G172)^(1/($AC$3-$H$1) ))-1</f>
        <v>1.266999622309406E-2</v>
      </c>
      <c r="AE172" s="31">
        <v>0.08</v>
      </c>
      <c r="AF172" s="127">
        <f t="shared" ref="AF172" si="387">(AC172*(1+AD172))/($C$1-AE172)</f>
        <v>7.8294169612714617</v>
      </c>
    </row>
    <row r="173" spans="2:3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12.508108108108109</v>
      </c>
      <c r="H173" s="25">
        <f t="shared" si="388"/>
        <v>14.240506329113924</v>
      </c>
      <c r="I173" s="25">
        <f t="shared" si="388"/>
        <v>17.54854368932039</v>
      </c>
      <c r="J173" s="25">
        <f t="shared" si="388"/>
        <v>18.037974683544306</v>
      </c>
      <c r="K173" s="25">
        <f t="shared" si="388"/>
        <v>15.572519083969466</v>
      </c>
      <c r="L173" s="25">
        <f t="shared" si="388"/>
        <v>9.5238095238095237</v>
      </c>
      <c r="M173" s="25">
        <f t="shared" si="388"/>
        <v>15.800344234079175</v>
      </c>
      <c r="N173" s="25">
        <f t="shared" si="388"/>
        <v>16.638846737481032</v>
      </c>
      <c r="O173" s="25">
        <f t="shared" si="388"/>
        <v>23.397849462365592</v>
      </c>
      <c r="P173" s="25">
        <f t="shared" si="388"/>
        <v>18.101851851851851</v>
      </c>
      <c r="Q173" s="25">
        <f t="shared" ref="Q173" si="389">Q171/Q54</f>
        <v>17.902930402930401</v>
      </c>
      <c r="R173" s="118">
        <f t="shared" si="377"/>
        <v>4.1925866958357316E-2</v>
      </c>
      <c r="S173" s="128"/>
      <c r="T173" s="119">
        <f t="shared" ref="T173:AC173" si="390">T171/T54</f>
        <v>17.771855376766091</v>
      </c>
      <c r="U173" s="119">
        <f t="shared" si="390"/>
        <v>17.641740007043335</v>
      </c>
      <c r="V173" s="119">
        <f t="shared" si="390"/>
        <v>17.512577267706057</v>
      </c>
      <c r="W173" s="119">
        <f t="shared" si="390"/>
        <v>17.384360184138924</v>
      </c>
      <c r="X173" s="119">
        <f t="shared" si="390"/>
        <v>17.257081832790764</v>
      </c>
      <c r="Y173" s="119">
        <f t="shared" si="390"/>
        <v>17.130735340800683</v>
      </c>
      <c r="Z173" s="119">
        <f t="shared" si="390"/>
        <v>17.005313885626965</v>
      </c>
      <c r="AA173" s="119">
        <f t="shared" si="390"/>
        <v>16.880810694678622</v>
      </c>
      <c r="AB173" s="119">
        <f t="shared" si="390"/>
        <v>16.757219044949728</v>
      </c>
      <c r="AC173" s="119">
        <f t="shared" si="390"/>
        <v>16.634532262656343</v>
      </c>
      <c r="AD173" s="138">
        <f t="shared" si="380"/>
        <v>1.4357275118332513E-2</v>
      </c>
      <c r="AE173" s="31">
        <v>0.08</v>
      </c>
      <c r="AF173" s="127">
        <f t="shared" si="381"/>
        <v>120.52399156297199</v>
      </c>
    </row>
    <row r="174" spans="2:3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3.3904761904761904</v>
      </c>
      <c r="H174" s="25">
        <f t="shared" si="391"/>
        <v>3.0653950953678475</v>
      </c>
      <c r="I174" s="25">
        <f t="shared" si="391"/>
        <v>4.3871359223300974</v>
      </c>
      <c r="J174" s="25">
        <f t="shared" si="391"/>
        <v>6.3474387527839644</v>
      </c>
      <c r="K174" s="25">
        <f t="shared" si="391"/>
        <v>5.6588072122052706</v>
      </c>
      <c r="L174" s="25">
        <f t="shared" si="391"/>
        <v>32.558139534883722</v>
      </c>
      <c r="M174" s="25">
        <f t="shared" si="391"/>
        <v>5.1486259113853059</v>
      </c>
      <c r="N174" s="25">
        <f t="shared" si="391"/>
        <v>4.8625277161862526</v>
      </c>
      <c r="O174" s="25">
        <f t="shared" si="391"/>
        <v>4.1813989239046885</v>
      </c>
      <c r="P174" s="25">
        <f t="shared" si="391"/>
        <v>3.2648630594522374</v>
      </c>
      <c r="Q174" s="25">
        <f t="shared" ref="Q174" si="392">Q171/Q57</f>
        <v>2.8971547125074095</v>
      </c>
      <c r="R174" s="118">
        <f t="shared" si="377"/>
        <v>-4.1859433931273893E-3</v>
      </c>
      <c r="S174" s="128"/>
      <c r="T174" s="119">
        <f t="shared" ref="T174:AC174" si="393">T171/T57</f>
        <v>2.8759434012194087</v>
      </c>
      <c r="U174" s="119">
        <f t="shared" si="393"/>
        <v>2.8548873870319089</v>
      </c>
      <c r="V174" s="119">
        <f t="shared" si="393"/>
        <v>2.8339855329482821</v>
      </c>
      <c r="W174" s="119">
        <f t="shared" si="393"/>
        <v>2.8132367102963394</v>
      </c>
      <c r="X174" s="119">
        <f t="shared" si="393"/>
        <v>2.7926397986673841</v>
      </c>
      <c r="Y174" s="119">
        <f t="shared" si="393"/>
        <v>2.7721936858557115</v>
      </c>
      <c r="Z174" s="119">
        <f t="shared" si="393"/>
        <v>2.751897267798554</v>
      </c>
      <c r="AA174" s="119">
        <f t="shared" si="393"/>
        <v>2.7317494485164575</v>
      </c>
      <c r="AB174" s="119">
        <f t="shared" si="393"/>
        <v>2.7117491400541049</v>
      </c>
      <c r="AC174" s="119">
        <f t="shared" si="393"/>
        <v>2.691895262421566</v>
      </c>
      <c r="AD174" s="138">
        <f t="shared" si="380"/>
        <v>-1.1469956518417534E-2</v>
      </c>
      <c r="AE174" s="31">
        <v>0.08</v>
      </c>
      <c r="AF174" s="127">
        <f t="shared" si="381"/>
        <v>19.007281005781827</v>
      </c>
    </row>
    <row r="175" spans="2:3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92.559999999999988</v>
      </c>
      <c r="H175" s="25">
        <f t="shared" si="394"/>
        <v>8.6538461538461533</v>
      </c>
      <c r="I175" s="25">
        <f t="shared" si="394"/>
        <v>6.5727272727272732</v>
      </c>
      <c r="J175" s="25">
        <f t="shared" si="394"/>
        <v>11.776859504132231</v>
      </c>
      <c r="K175" s="25">
        <f t="shared" si="394"/>
        <v>15.513307984790874</v>
      </c>
      <c r="L175" s="25">
        <f t="shared" si="394"/>
        <v>8.9171974522292992</v>
      </c>
      <c r="M175" s="25">
        <f t="shared" si="394"/>
        <v>10.121278941565599</v>
      </c>
      <c r="N175" s="25">
        <f t="shared" si="394"/>
        <v>12.403846153846153</v>
      </c>
      <c r="O175" s="25">
        <f t="shared" si="394"/>
        <v>10.303030303030305</v>
      </c>
      <c r="P175" s="25">
        <f t="shared" si="394"/>
        <v>1.3865248226950355</v>
      </c>
      <c r="Q175" s="25">
        <f t="shared" ref="Q175" si="395">Q171/Q66</f>
        <v>1.1898965307364577</v>
      </c>
      <c r="R175" s="118">
        <f t="shared" si="377"/>
        <v>-0.37298453023493006</v>
      </c>
      <c r="S175" s="128"/>
      <c r="T175" s="119">
        <f t="shared" ref="T175:AC175" si="396">T171/T66</f>
        <v>1.1811847882792801</v>
      </c>
      <c r="U175" s="119">
        <f t="shared" si="396"/>
        <v>1.1725368282222353</v>
      </c>
      <c r="V175" s="119">
        <f t="shared" si="396"/>
        <v>1.1639521835870368</v>
      </c>
      <c r="W175" s="119">
        <f t="shared" si="396"/>
        <v>1.155430390814346</v>
      </c>
      <c r="X175" s="119">
        <f t="shared" si="396"/>
        <v>1.1469709897387408</v>
      </c>
      <c r="Y175" s="119">
        <f t="shared" si="396"/>
        <v>1.1385735235638679</v>
      </c>
      <c r="Z175" s="119">
        <f t="shared" si="396"/>
        <v>1.1302375388377752</v>
      </c>
      <c r="AA175" s="119">
        <f t="shared" si="396"/>
        <v>1.121962585428427</v>
      </c>
      <c r="AB175" s="119">
        <f t="shared" si="396"/>
        <v>1.1137482164993975</v>
      </c>
      <c r="AC175" s="119">
        <f t="shared" si="396"/>
        <v>1.1055939884857413</v>
      </c>
      <c r="AD175" s="138">
        <f t="shared" si="380"/>
        <v>-0.19858287913222505</v>
      </c>
      <c r="AE175" s="31">
        <v>0.08</v>
      </c>
      <c r="AF175" s="127">
        <f t="shared" si="381"/>
        <v>6.3288710792925906</v>
      </c>
    </row>
    <row r="176" spans="2:3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8.0486956521739135</v>
      </c>
      <c r="H176" s="25">
        <f t="shared" si="397"/>
        <v>5.5147058823529411</v>
      </c>
      <c r="I176" s="25">
        <f t="shared" si="397"/>
        <v>13.097826086956523</v>
      </c>
      <c r="J176" s="25">
        <f t="shared" si="397"/>
        <v>17.701863354037268</v>
      </c>
      <c r="K176" s="25">
        <f t="shared" si="397"/>
        <v>12.911392405063291</v>
      </c>
      <c r="L176" s="25">
        <f t="shared" si="397"/>
        <v>9.2715231788079464</v>
      </c>
      <c r="M176" s="25">
        <f t="shared" si="397"/>
        <v>22.227602905569007</v>
      </c>
      <c r="N176" s="25">
        <f t="shared" si="397"/>
        <v>18.275000000000002</v>
      </c>
      <c r="O176" s="25">
        <f t="shared" si="397"/>
        <v>18.073089700996679</v>
      </c>
      <c r="P176" s="25">
        <f t="shared" si="397"/>
        <v>11.762936221419976</v>
      </c>
      <c r="Q176" s="25">
        <f t="shared" ref="Q176" si="398">Q171/Q68</f>
        <v>10.192909280500521</v>
      </c>
      <c r="R176" s="118">
        <f t="shared" si="377"/>
        <v>4.306176577564691E-2</v>
      </c>
      <c r="S176" s="128"/>
      <c r="T176" s="119">
        <f t="shared" ref="T176:AC176" si="399">T171/T68</f>
        <v>10.118282623268286</v>
      </c>
      <c r="U176" s="119">
        <f t="shared" si="399"/>
        <v>10.044202339776497</v>
      </c>
      <c r="V176" s="119">
        <f t="shared" si="399"/>
        <v>9.9706644297888491</v>
      </c>
      <c r="W176" s="119">
        <f t="shared" si="399"/>
        <v>9.8976649223564639</v>
      </c>
      <c r="X176" s="119">
        <f t="shared" si="399"/>
        <v>9.8251998756034986</v>
      </c>
      <c r="Y176" s="119">
        <f t="shared" si="399"/>
        <v>9.753265376514257</v>
      </c>
      <c r="Z176" s="119">
        <f t="shared" si="399"/>
        <v>9.6818575407219196</v>
      </c>
      <c r="AA176" s="119">
        <f t="shared" si="399"/>
        <v>9.6109725122987761</v>
      </c>
      <c r="AB176" s="119">
        <f t="shared" si="399"/>
        <v>9.5406064635480163</v>
      </c>
      <c r="AC176" s="119">
        <f t="shared" si="399"/>
        <v>9.4707555947970405</v>
      </c>
      <c r="AD176" s="138">
        <f t="shared" si="380"/>
        <v>8.1681107062407943E-3</v>
      </c>
      <c r="AE176" s="31">
        <v>0.08</v>
      </c>
      <c r="AF176" s="127">
        <f t="shared" si="381"/>
        <v>68.200812678336362</v>
      </c>
    </row>
    <row r="177" spans="2:46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2.7712574850299401</v>
      </c>
      <c r="H177" s="182">
        <f t="shared" si="400"/>
        <v>2.9145077720207251</v>
      </c>
      <c r="I177" s="182">
        <f t="shared" si="400"/>
        <v>4.4740099009900991</v>
      </c>
      <c r="J177" s="182">
        <f t="shared" si="400"/>
        <v>6.4920273348519357</v>
      </c>
      <c r="K177" s="182">
        <f t="shared" si="400"/>
        <v>4.8745519713261647</v>
      </c>
      <c r="L177" s="182">
        <f t="shared" si="400"/>
        <v>2.8836251287332648</v>
      </c>
      <c r="M177" s="182">
        <f t="shared" si="400"/>
        <v>4.2382271468144044</v>
      </c>
      <c r="N177" s="182">
        <f t="shared" si="400"/>
        <v>3.8099374565670603</v>
      </c>
      <c r="O177" s="182">
        <f t="shared" si="400"/>
        <v>3.3130328867235082</v>
      </c>
      <c r="P177" s="182">
        <f t="shared" si="400"/>
        <v>2.755073280721533</v>
      </c>
      <c r="Q177" s="182">
        <f t="shared" ref="Q177" si="401">Q171/Q62</f>
        <v>2.4070426003447429</v>
      </c>
      <c r="R177" s="118">
        <f t="shared" ref="R177:R180" si="402">((P177/G177)^(1/($H$2-$H$1) ))-1</f>
        <v>-6.505817774729028E-4</v>
      </c>
      <c r="S177" s="128"/>
      <c r="T177" s="135">
        <f t="shared" ref="T177:AC177" si="403">T171/T62</f>
        <v>2.3894196098779332</v>
      </c>
      <c r="U177" s="135">
        <f t="shared" si="403"/>
        <v>2.3719256448770403</v>
      </c>
      <c r="V177" s="135">
        <f t="shared" si="403"/>
        <v>2.3545597606913335</v>
      </c>
      <c r="W177" s="135">
        <f t="shared" si="403"/>
        <v>2.3373210195862728</v>
      </c>
      <c r="X177" s="135">
        <f t="shared" si="403"/>
        <v>2.3202084906928717</v>
      </c>
      <c r="Y177" s="135">
        <f t="shared" si="403"/>
        <v>2.3032212499574425</v>
      </c>
      <c r="Z177" s="135">
        <f t="shared" si="403"/>
        <v>2.286358380091682</v>
      </c>
      <c r="AA177" s="135">
        <f t="shared" si="403"/>
        <v>2.2696189705231542</v>
      </c>
      <c r="AB177" s="135">
        <f t="shared" si="403"/>
        <v>2.2530021173461097</v>
      </c>
      <c r="AC177" s="135">
        <f t="shared" si="403"/>
        <v>2.2365069232726831</v>
      </c>
      <c r="AD177" s="138">
        <f t="shared" ref="AD177" si="404">((AC177/G177)^(1/($AC$3-$H$1) ))-1</f>
        <v>-1.0662050237288279E-2</v>
      </c>
      <c r="AE177" s="31">
        <v>0.08</v>
      </c>
      <c r="AF177" s="127">
        <f t="shared" si="381"/>
        <v>15.804722672147902</v>
      </c>
    </row>
    <row r="178" spans="2:46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>
        <f t="shared" si="405"/>
        <v>7.9948141745894541E-2</v>
      </c>
      <c r="H178" s="161">
        <f t="shared" si="405"/>
        <v>7.0222222222222228E-2</v>
      </c>
      <c r="I178" s="161">
        <f t="shared" si="405"/>
        <v>5.6984785615491008E-2</v>
      </c>
      <c r="J178" s="161">
        <f t="shared" si="405"/>
        <v>5.5438596491228065E-2</v>
      </c>
      <c r="K178" s="161">
        <f t="shared" si="405"/>
        <v>6.4215686274509798E-2</v>
      </c>
      <c r="L178" s="161">
        <f t="shared" si="405"/>
        <v>0.105</v>
      </c>
      <c r="M178" s="161">
        <f t="shared" si="405"/>
        <v>6.3289760348583871E-2</v>
      </c>
      <c r="N178" s="161">
        <f t="shared" si="405"/>
        <v>6.010031919744642E-2</v>
      </c>
      <c r="O178" s="161">
        <f t="shared" si="405"/>
        <v>4.2738970588235295E-2</v>
      </c>
      <c r="P178" s="161">
        <f t="shared" si="405"/>
        <v>5.5242966751918157E-2</v>
      </c>
      <c r="Q178" s="161">
        <f t="shared" ref="Q178" si="406">Q54/Q171</f>
        <v>5.5856777493606138E-2</v>
      </c>
      <c r="R178" s="118">
        <f t="shared" si="402"/>
        <v>-4.0238819562805728E-2</v>
      </c>
      <c r="S178" s="128"/>
      <c r="T178" s="161">
        <f t="shared" ref="T178:AC178" si="407">T54/T171</f>
        <v>5.6268745091598196E-2</v>
      </c>
      <c r="U178" s="161">
        <f t="shared" si="407"/>
        <v>5.668375112663248E-2</v>
      </c>
      <c r="V178" s="161">
        <f t="shared" si="407"/>
        <v>5.7101818008480271E-2</v>
      </c>
      <c r="W178" s="161">
        <f t="shared" si="407"/>
        <v>5.7522968312194563E-2</v>
      </c>
      <c r="X178" s="161">
        <f t="shared" si="407"/>
        <v>5.7947224779328933E-2</v>
      </c>
      <c r="Y178" s="161">
        <f t="shared" si="407"/>
        <v>5.8374610319165687E-2</v>
      </c>
      <c r="Z178" s="161">
        <f t="shared" si="407"/>
        <v>5.8805148009952846E-2</v>
      </c>
      <c r="AA178" s="161">
        <f t="shared" si="407"/>
        <v>5.9238861100150378E-2</v>
      </c>
      <c r="AB178" s="161">
        <f t="shared" si="407"/>
        <v>5.9675773009685566E-2</v>
      </c>
      <c r="AC178" s="161">
        <f t="shared" si="407"/>
        <v>6.0115907331217709E-2</v>
      </c>
      <c r="AD178" s="138">
        <f t="shared" ref="AD178:AD180" si="408">((AC178/G178)^(1/($AC$3-$H$1) ))-1</f>
        <v>-1.4154061365269643E-2</v>
      </c>
      <c r="AE178" s="31">
        <v>0.08</v>
      </c>
      <c r="AF178" s="127">
        <f t="shared" si="381"/>
        <v>0.42332159349873416</v>
      </c>
    </row>
    <row r="179" spans="2:46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>
        <f t="shared" si="409"/>
        <v>3.0769230769230771E-2</v>
      </c>
      <c r="H179" s="152">
        <f t="shared" si="409"/>
        <v>1.6666666666666666E-2</v>
      </c>
      <c r="I179" s="152">
        <f t="shared" si="409"/>
        <v>1.2448132780082987E-2</v>
      </c>
      <c r="J179" s="152">
        <f t="shared" si="409"/>
        <v>9.2105263157894728E-3</v>
      </c>
      <c r="K179" s="152">
        <f t="shared" si="409"/>
        <v>7.8431372549019607E-3</v>
      </c>
      <c r="L179" s="152">
        <f t="shared" si="409"/>
        <v>1.7142857142857144E-2</v>
      </c>
      <c r="M179" s="152">
        <f t="shared" si="409"/>
        <v>9.2592592592592587E-3</v>
      </c>
      <c r="N179" s="152">
        <f t="shared" si="409"/>
        <v>1.1627906976744186E-2</v>
      </c>
      <c r="O179" s="152">
        <f t="shared" si="409"/>
        <v>1.171875E-2</v>
      </c>
      <c r="P179" s="152">
        <f t="shared" si="409"/>
        <v>1.391304347826087E-2</v>
      </c>
      <c r="Q179" s="152">
        <f t="shared" ref="Q179" si="410">Q44/Q171</f>
        <v>1.391304347826087E-2</v>
      </c>
      <c r="R179" s="118">
        <f t="shared" si="402"/>
        <v>-8.4410904898746697E-2</v>
      </c>
      <c r="S179" s="128"/>
      <c r="T179" s="152">
        <f t="shared" ref="T179:AC179" si="411">T44/T171</f>
        <v>1.3402473075388912E-2</v>
      </c>
      <c r="U179" s="152">
        <f t="shared" si="411"/>
        <v>1.2910639201062713E-2</v>
      </c>
      <c r="V179" s="152">
        <f t="shared" si="411"/>
        <v>1.2436854276253071E-2</v>
      </c>
      <c r="W179" s="152">
        <f t="shared" si="411"/>
        <v>1.1980455954188739E-2</v>
      </c>
      <c r="X179" s="152">
        <f t="shared" si="411"/>
        <v>1.1540806194401997E-2</v>
      </c>
      <c r="Y179" s="152">
        <f t="shared" si="411"/>
        <v>1.1117290370754219E-2</v>
      </c>
      <c r="Z179" s="152">
        <f t="shared" si="411"/>
        <v>1.070931641219443E-2</v>
      </c>
      <c r="AA179" s="152">
        <f t="shared" si="411"/>
        <v>1.031631397504968E-2</v>
      </c>
      <c r="AB179" s="152">
        <f t="shared" si="411"/>
        <v>9.9377336456900594E-3</v>
      </c>
      <c r="AC179" s="152">
        <f t="shared" si="411"/>
        <v>9.5730461724537266E-3</v>
      </c>
      <c r="AD179" s="138">
        <f t="shared" si="408"/>
        <v>-5.6706860783262814E-2</v>
      </c>
      <c r="AE179" s="31">
        <v>0.08</v>
      </c>
      <c r="AF179" s="127">
        <f t="shared" si="381"/>
        <v>6.4501348399147465E-2</v>
      </c>
    </row>
    <row r="180" spans="2:46">
      <c r="B180" s="20" t="s">
        <v>447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1.0423423423423424</v>
      </c>
      <c r="H180" s="181">
        <f t="shared" si="412"/>
        <v>1.1867088607594936</v>
      </c>
      <c r="I180" s="181">
        <f t="shared" si="412"/>
        <v>1.4623786407766992</v>
      </c>
      <c r="J180" s="181">
        <f t="shared" si="412"/>
        <v>1.5031645569620256</v>
      </c>
      <c r="K180" s="181">
        <f t="shared" si="412"/>
        <v>1.2977099236641221</v>
      </c>
      <c r="L180" s="181">
        <f t="shared" si="412"/>
        <v>0.79365079365079361</v>
      </c>
      <c r="M180" s="181">
        <f t="shared" si="412"/>
        <v>1.3166953528399312</v>
      </c>
      <c r="N180" s="181">
        <f t="shared" si="412"/>
        <v>1.3865705614567527</v>
      </c>
      <c r="O180" s="181">
        <f t="shared" si="412"/>
        <v>1.9498207885304659</v>
      </c>
      <c r="P180" s="181">
        <f>(P173)/($L$2*100)</f>
        <v>1.5084876543209875</v>
      </c>
      <c r="Q180" s="181">
        <f>(Q173)/($L$2*100)</f>
        <v>1.4919108669108667</v>
      </c>
      <c r="R180" s="118">
        <f t="shared" si="402"/>
        <v>4.1925866958357316E-2</v>
      </c>
      <c r="S180" s="128"/>
      <c r="T180" s="181">
        <f>(T173)/($L$2*100)</f>
        <v>1.4809879480638408</v>
      </c>
      <c r="U180" s="181">
        <f t="shared" ref="U180:AC180" si="413">(U173)/($L$2*100)</f>
        <v>1.4701450005869445</v>
      </c>
      <c r="V180" s="181">
        <f t="shared" si="413"/>
        <v>1.4593814389755047</v>
      </c>
      <c r="W180" s="181">
        <f t="shared" si="413"/>
        <v>1.448696682011577</v>
      </c>
      <c r="X180" s="181">
        <f t="shared" si="413"/>
        <v>1.4380901527325636</v>
      </c>
      <c r="Y180" s="181">
        <f t="shared" si="413"/>
        <v>1.4275612784000569</v>
      </c>
      <c r="Z180" s="181">
        <f t="shared" si="413"/>
        <v>1.4171094904689137</v>
      </c>
      <c r="AA180" s="181">
        <f t="shared" si="413"/>
        <v>1.4067342245565519</v>
      </c>
      <c r="AB180" s="181">
        <f t="shared" si="413"/>
        <v>1.3964349204124773</v>
      </c>
      <c r="AC180" s="181">
        <f t="shared" si="413"/>
        <v>1.3862110218880286</v>
      </c>
      <c r="AD180" s="138">
        <f t="shared" si="408"/>
        <v>1.4357275118332513E-2</v>
      </c>
      <c r="AE180" s="31">
        <v>0.08</v>
      </c>
      <c r="AF180" s="181">
        <f>(AF173)/($L$2*100)</f>
        <v>10.043665963580999</v>
      </c>
    </row>
    <row r="181" spans="2:46">
      <c r="B181" s="20" t="s">
        <v>448</v>
      </c>
      <c r="C181" s="152"/>
      <c r="D181" s="152"/>
      <c r="E181" s="152"/>
      <c r="F181" s="152"/>
      <c r="G181" s="152">
        <f t="shared" ref="G181:P181" si="414">G180-1</f>
        <v>4.2342342342342354E-2</v>
      </c>
      <c r="H181" s="152">
        <f t="shared" si="414"/>
        <v>0.18670886075949356</v>
      </c>
      <c r="I181" s="152">
        <f t="shared" si="414"/>
        <v>0.46237864077669921</v>
      </c>
      <c r="J181" s="152">
        <f t="shared" si="414"/>
        <v>0.50316455696202556</v>
      </c>
      <c r="K181" s="152">
        <f t="shared" si="414"/>
        <v>0.29770992366412208</v>
      </c>
      <c r="L181" s="152">
        <f t="shared" si="414"/>
        <v>-0.20634920634920639</v>
      </c>
      <c r="M181" s="152">
        <f t="shared" si="414"/>
        <v>0.31669535283993122</v>
      </c>
      <c r="N181" s="152">
        <f t="shared" si="414"/>
        <v>0.38657056145675273</v>
      </c>
      <c r="O181" s="152">
        <f t="shared" si="414"/>
        <v>0.94982078853046592</v>
      </c>
      <c r="P181" s="152">
        <f t="shared" si="414"/>
        <v>0.50848765432098753</v>
      </c>
      <c r="Q181" s="152">
        <f>Q180-1</f>
        <v>0.49191086691086672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5" t="s">
        <v>351</v>
      </c>
      <c r="L183" s="206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0.86815047044865246</v>
      </c>
      <c r="Q184" s="128">
        <f>(Q171-T159)/Q171</f>
        <v>0.8915289915446607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-0.2687240303534284</v>
      </c>
      <c r="N185" s="20"/>
      <c r="O185" s="20"/>
      <c r="P185" s="128">
        <f>(Q171-S150)/Q171</f>
        <v>-0.2687240303534284</v>
      </c>
      <c r="Q185" s="128">
        <f>(Q171-T150)/Q171</f>
        <v>0.82321058593435836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-8.0649204873801839E-2</v>
      </c>
      <c r="N186" s="20"/>
      <c r="O186" s="20"/>
      <c r="P186" s="128">
        <f>(Q171-S143)/Q171</f>
        <v>-8.0649204873801839E-2</v>
      </c>
      <c r="Q186" s="128">
        <f>(Q171-T143)/Q171</f>
        <v>0.84941773374709317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0.89070059680410163</v>
      </c>
      <c r="N187" s="20"/>
      <c r="O187" s="20"/>
      <c r="P187" s="128">
        <f>(Q171-S156)/Q171</f>
        <v>0.89070059680410163</v>
      </c>
      <c r="Q187" s="128">
        <f>(Q171-T156)/Q171</f>
        <v>0.98476975529237487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0.81802721549775226</v>
      </c>
      <c r="N188" s="20"/>
      <c r="O188" s="20"/>
      <c r="P188" s="128">
        <f>(Q171-S168)/Q171</f>
        <v>0.81802721549775226</v>
      </c>
      <c r="Q188" s="128">
        <f>(Q171-T168)/Q171</f>
        <v>0.85029319775693346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5.8623694040515719</v>
      </c>
      <c r="Q189" s="25">
        <f>Q171/T142</f>
        <v>42.07112160554658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0.17057949287687071</v>
      </c>
      <c r="Q190" s="152">
        <f>1/Q189</f>
        <v>2.3769273597596736E-2</v>
      </c>
      <c r="R190" s="20"/>
      <c r="S190" s="20"/>
      <c r="T190" s="129">
        <f>Q171-T191</f>
        <v>107.69277452983236</v>
      </c>
      <c r="U190" s="185">
        <f>T190-U191</f>
        <v>100.02018778615634</v>
      </c>
      <c r="V190" s="185">
        <f t="shared" ref="V190:X190" si="415">U190-V191</f>
        <v>91.963971705296515</v>
      </c>
      <c r="W190" s="185">
        <f t="shared" si="415"/>
        <v>83.504944820393703</v>
      </c>
      <c r="X190" s="185">
        <f t="shared" si="415"/>
        <v>74.622966591245756</v>
      </c>
      <c r="Y190" s="185">
        <f>X190-Y191</f>
        <v>65.296889450640407</v>
      </c>
      <c r="Z190" s="185">
        <f t="shared" ref="Z190:AC190" si="416">Y190-Z191</f>
        <v>55.504508453004789</v>
      </c>
      <c r="AA190" s="185">
        <f t="shared" si="416"/>
        <v>45.222508405487389</v>
      </c>
      <c r="AB190" s="185">
        <f t="shared" si="416"/>
        <v>34.42640835559412</v>
      </c>
      <c r="AC190" s="185">
        <f t="shared" si="416"/>
        <v>23.090503303206184</v>
      </c>
      <c r="AD190" s="185">
        <f t="shared" ref="AD190" si="417">AC190-AD191</f>
        <v>11.187802998198853</v>
      </c>
      <c r="AE190" s="185">
        <f t="shared" ref="AE190" si="418">AD190-AE191</f>
        <v>-1.310032322058845</v>
      </c>
      <c r="AF190" s="185">
        <f t="shared" ref="AF190" si="419">AE190-AF191</f>
        <v>-14.432759408329428</v>
      </c>
      <c r="AG190" s="185">
        <f t="shared" ref="AG190" si="420">AF190-AG191</f>
        <v>-28.211622848913542</v>
      </c>
      <c r="AH190" s="185">
        <f t="shared" ref="AH190" si="421">AG190-AH191</f>
        <v>-42.679429461526865</v>
      </c>
      <c r="AI190" s="185">
        <f t="shared" ref="AI190" si="422">AH190-AI191</f>
        <v>-57.870626404770853</v>
      </c>
      <c r="AJ190" s="185">
        <f t="shared" ref="AJ190" si="423">AI190-AJ191</f>
        <v>-73.821383195177035</v>
      </c>
      <c r="AK190" s="185">
        <f t="shared" ref="AK190" si="424">AJ190-AK191</f>
        <v>-90.569677825103525</v>
      </c>
      <c r="AL190" s="185">
        <f t="shared" ref="AL190" si="425">AK190-AL191</f>
        <v>-108.15538718652634</v>
      </c>
      <c r="AM190" s="185">
        <f t="shared" ref="AM190" si="426">AL190-AM191</f>
        <v>-126.6203820160203</v>
      </c>
      <c r="AN190" s="185">
        <f t="shared" ref="AN190" si="427">AM190-AN191</f>
        <v>-146.00862658698895</v>
      </c>
      <c r="AO190" s="185">
        <f t="shared" ref="AO190" si="428">AN190-AO191</f>
        <v>-166.36628338650604</v>
      </c>
      <c r="AP190" s="185">
        <f t="shared" ref="AP190" si="429">AO190-AP191</f>
        <v>-187.741823025999</v>
      </c>
      <c r="AQ190" s="185">
        <f t="shared" ref="AQ190" si="430">AP190-AQ191</f>
        <v>-210.1861396474666</v>
      </c>
      <c r="AR190" s="185">
        <f t="shared" ref="AR190" si="431">AQ190-AR191</f>
        <v>-233.75267210000757</v>
      </c>
      <c r="AS190" s="185">
        <f t="shared" ref="AS190" si="432">AR190-AS191</f>
        <v>-258.4975311751756</v>
      </c>
      <c r="AT190" s="185">
        <f t="shared" ref="AT190" si="433">AS190-AT191</f>
        <v>-284.47963320410202</v>
      </c>
    </row>
    <row r="191" spans="2:46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16.524739860973504</v>
      </c>
      <c r="Q191" s="181">
        <f>Q171/R141</f>
        <v>16.524739860973504</v>
      </c>
      <c r="R191" s="20"/>
      <c r="S191" s="20"/>
      <c r="T191" s="186">
        <f>R141*(1+$K$191)</f>
        <v>7.3072254701676371</v>
      </c>
      <c r="U191" s="186">
        <f>T191*(1+$K$191)</f>
        <v>7.6725867436760193</v>
      </c>
      <c r="V191" s="186">
        <f t="shared" ref="V191:AC191" si="434">U191*(1+$K$191)</f>
        <v>8.0562160808598211</v>
      </c>
      <c r="W191" s="186">
        <f t="shared" si="434"/>
        <v>8.4590268849028121</v>
      </c>
      <c r="X191" s="186">
        <f t="shared" si="434"/>
        <v>8.8819782291479523</v>
      </c>
      <c r="Y191" s="186">
        <f t="shared" si="434"/>
        <v>9.3260771406053511</v>
      </c>
      <c r="Z191" s="186">
        <f t="shared" si="434"/>
        <v>9.7923809976356182</v>
      </c>
      <c r="AA191" s="186">
        <f t="shared" si="434"/>
        <v>10.2820000475174</v>
      </c>
      <c r="AB191" s="186">
        <f t="shared" si="434"/>
        <v>10.796100049893271</v>
      </c>
      <c r="AC191" s="186">
        <f t="shared" si="434"/>
        <v>11.335905052387934</v>
      </c>
      <c r="AD191" s="186">
        <f t="shared" ref="AD191" si="435">AC191*(1+$K$191)</f>
        <v>11.902700305007331</v>
      </c>
      <c r="AE191" s="186">
        <f t="shared" ref="AE191" si="436">AD191*(1+$K$191)</f>
        <v>12.497835320257698</v>
      </c>
      <c r="AF191" s="186">
        <f t="shared" ref="AF191" si="437">AE191*(1+$K$191)</f>
        <v>13.122727086270583</v>
      </c>
      <c r="AG191" s="186">
        <f t="shared" ref="AG191" si="438">AF191*(1+$K$191)</f>
        <v>13.778863440584113</v>
      </c>
      <c r="AH191" s="186">
        <f t="shared" ref="AH191" si="439">AG191*(1+$K$191)</f>
        <v>14.46780661261332</v>
      </c>
      <c r="AI191" s="186">
        <f t="shared" ref="AI191" si="440">AH191*(1+$K$191)</f>
        <v>15.191196943243986</v>
      </c>
      <c r="AJ191" s="186">
        <f t="shared" ref="AJ191" si="441">AI191*(1+$K$191)</f>
        <v>15.950756790406185</v>
      </c>
      <c r="AK191" s="186">
        <f t="shared" ref="AK191" si="442">AJ191*(1+$K$191)</f>
        <v>16.748294629926495</v>
      </c>
      <c r="AL191" s="186">
        <f t="shared" ref="AL191" si="443">AK191*(1+$K$191)</f>
        <v>17.585709361422818</v>
      </c>
      <c r="AM191" s="186">
        <f t="shared" ref="AM191" si="444">AL191*(1+$K$191)</f>
        <v>18.464994829493961</v>
      </c>
      <c r="AN191" s="186">
        <f t="shared" ref="AN191" si="445">AM191*(1+$K$191)</f>
        <v>19.388244570968659</v>
      </c>
      <c r="AO191" s="186">
        <f t="shared" ref="AO191" si="446">AN191*(1+$K$191)</f>
        <v>20.357656799517095</v>
      </c>
      <c r="AP191" s="186">
        <f t="shared" ref="AP191" si="447">AO191*(1+$K$191)</f>
        <v>21.375539639492949</v>
      </c>
      <c r="AQ191" s="186">
        <f t="shared" ref="AQ191" si="448">AP191*(1+$K$191)</f>
        <v>22.444316621467596</v>
      </c>
      <c r="AR191" s="186">
        <f t="shared" ref="AR191" si="449">AQ191*(1+$K$191)</f>
        <v>23.566532452540976</v>
      </c>
      <c r="AS191" s="186">
        <f t="shared" ref="AS191" si="450">AR191*(1+$K$191)</f>
        <v>24.744859075168026</v>
      </c>
      <c r="AT191" s="186">
        <f t="shared" ref="AT191" si="451">AS191*(1+$K$191)</f>
        <v>25.98210202892643</v>
      </c>
    </row>
    <row r="192" spans="2:46">
      <c r="B192" s="20" t="s">
        <v>396</v>
      </c>
      <c r="C192" s="20"/>
      <c r="D192" s="20"/>
      <c r="E192" s="23" t="s">
        <v>391</v>
      </c>
      <c r="F192" s="22"/>
      <c r="G192" s="191">
        <v>0</v>
      </c>
      <c r="H192" s="192">
        <f>Q173</f>
        <v>17.902930402930401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17.902930402930401</v>
      </c>
      <c r="Q192" s="181">
        <f>Q171/Q54</f>
        <v>17.902930402930401</v>
      </c>
      <c r="R192" s="20"/>
      <c r="S192" s="20"/>
      <c r="T192" s="186">
        <f>Q54*(1+$K$192)</f>
        <v>6.7447058823529416</v>
      </c>
      <c r="U192" s="186">
        <f>T192*(1+$K$192)</f>
        <v>7.0819411764705889</v>
      </c>
      <c r="V192" s="186">
        <f t="shared" ref="V192:AC192" si="452">U192*(1+$K$192)</f>
        <v>7.4360382352941183</v>
      </c>
      <c r="W192" s="186">
        <f t="shared" si="452"/>
        <v>7.8078401470588243</v>
      </c>
      <c r="X192" s="186">
        <f t="shared" si="452"/>
        <v>8.198232154411766</v>
      </c>
      <c r="Y192" s="186">
        <f t="shared" si="452"/>
        <v>8.6081437621323555</v>
      </c>
      <c r="Z192" s="186">
        <f t="shared" si="452"/>
        <v>9.0385509502389745</v>
      </c>
      <c r="AA192" s="186">
        <f t="shared" si="452"/>
        <v>9.4904784977509244</v>
      </c>
      <c r="AB192" s="186">
        <f t="shared" si="452"/>
        <v>9.9650024226384719</v>
      </c>
      <c r="AC192" s="186">
        <f t="shared" si="452"/>
        <v>10.463252543770396</v>
      </c>
      <c r="AD192" s="186">
        <f t="shared" ref="AD192" si="453">AC192*(1+$K$192)</f>
        <v>10.986415170958917</v>
      </c>
      <c r="AE192" s="186">
        <f t="shared" ref="AE192" si="454">AD192*(1+$K$192)</f>
        <v>11.535735929506863</v>
      </c>
      <c r="AF192" s="186">
        <f t="shared" ref="AF192" si="455">AE192*(1+$K$192)</f>
        <v>12.112522725982206</v>
      </c>
      <c r="AG192" s="186">
        <f t="shared" ref="AG192" si="456">AF192*(1+$K$192)</f>
        <v>12.718148862281318</v>
      </c>
      <c r="AH192" s="186">
        <f t="shared" ref="AH192" si="457">AG192*(1+$K$192)</f>
        <v>13.354056305395384</v>
      </c>
      <c r="AI192" s="186">
        <f t="shared" ref="AI192" si="458">AH192*(1+$K$192)</f>
        <v>14.021759120665154</v>
      </c>
      <c r="AJ192" s="186">
        <f t="shared" ref="AJ192" si="459">AI192*(1+$K$192)</f>
        <v>14.722847076698413</v>
      </c>
      <c r="AK192" s="186">
        <f t="shared" ref="AK192" si="460">AJ192*(1+$K$192)</f>
        <v>15.458989430533334</v>
      </c>
      <c r="AL192" s="186">
        <f t="shared" ref="AL192" si="461">AK192*(1+$K$192)</f>
        <v>16.231938902060001</v>
      </c>
      <c r="AM192" s="186">
        <f t="shared" ref="AM192" si="462">AL192*(1+$K$192)</f>
        <v>17.043535847163003</v>
      </c>
      <c r="AN192" s="186">
        <f t="shared" ref="AN192" si="463">AM192*(1+$K$192)</f>
        <v>17.895712639521154</v>
      </c>
      <c r="AO192" s="186">
        <f t="shared" ref="AO192" si="464">AN192*(1+$K$192)</f>
        <v>18.790498271497214</v>
      </c>
      <c r="AP192" s="186">
        <f t="shared" ref="AP192" si="465">AO192*(1+$K$192)</f>
        <v>19.730023185072074</v>
      </c>
      <c r="AQ192" s="186">
        <f t="shared" ref="AQ192" si="466">AP192*(1+$K$192)</f>
        <v>20.716524344325677</v>
      </c>
      <c r="AR192" s="186">
        <f t="shared" ref="AR192" si="467">AQ192*(1+$K$192)</f>
        <v>21.752350561541963</v>
      </c>
      <c r="AS192" s="186">
        <f t="shared" ref="AS192" si="468">AR192*(1+$K$192)</f>
        <v>22.839968089619063</v>
      </c>
      <c r="AT192" s="186">
        <f t="shared" ref="AT192" si="469">AS192*(1+$K$192)</f>
        <v>23.981966494100018</v>
      </c>
    </row>
    <row r="193" spans="2:46">
      <c r="B193" s="20"/>
      <c r="C193" s="20"/>
      <c r="D193" s="20"/>
      <c r="E193" s="23" t="s">
        <v>455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108.25529411764705</v>
      </c>
      <c r="U193" s="185">
        <f>T193-U192</f>
        <v>101.17335294117646</v>
      </c>
      <c r="V193" s="185">
        <f t="shared" ref="V193:AA193" si="470">U193-V192</f>
        <v>93.737314705882341</v>
      </c>
      <c r="W193" s="185">
        <f t="shared" si="470"/>
        <v>85.929474558823514</v>
      </c>
      <c r="X193" s="185">
        <f t="shared" si="470"/>
        <v>77.731242404411745</v>
      </c>
      <c r="Y193" s="185">
        <f t="shared" si="470"/>
        <v>69.123098642279388</v>
      </c>
      <c r="Z193" s="185">
        <f t="shared" si="470"/>
        <v>60.084547692040417</v>
      </c>
      <c r="AA193" s="185">
        <f t="shared" si="470"/>
        <v>50.594069194289489</v>
      </c>
      <c r="AB193" s="185">
        <f>AA193-AB192</f>
        <v>40.629066771651019</v>
      </c>
      <c r="AC193" s="185">
        <f t="shared" ref="AC193" si="471">AB193-AC192</f>
        <v>30.165814227880624</v>
      </c>
      <c r="AD193" s="185">
        <f t="shared" ref="AD193" si="472">AC193-AD192</f>
        <v>19.179399056921707</v>
      </c>
      <c r="AE193" s="185">
        <f t="shared" ref="AE193" si="473">AD193-AE192</f>
        <v>7.6436631274148432</v>
      </c>
      <c r="AF193" s="185">
        <f t="shared" ref="AF193" si="474">AE193-AF192</f>
        <v>-4.4688595985673629</v>
      </c>
      <c r="AG193" s="185">
        <f t="shared" ref="AG193" si="475">AF193-AG192</f>
        <v>-17.187008460848681</v>
      </c>
      <c r="AH193" s="185">
        <f t="shared" ref="AH193" si="476">AG193-AH192</f>
        <v>-30.541064766244062</v>
      </c>
      <c r="AI193" s="185">
        <f t="shared" ref="AI193" si="477">AH193-AI192</f>
        <v>-44.562823886909214</v>
      </c>
      <c r="AJ193" s="185">
        <f t="shared" ref="AJ193" si="478">AI193-AJ192</f>
        <v>-59.285670963607629</v>
      </c>
      <c r="AK193" s="185">
        <f t="shared" ref="AK193" si="479">AJ193-AK192</f>
        <v>-74.744660394140965</v>
      </c>
      <c r="AL193" s="185">
        <f t="shared" ref="AL193" si="480">AK193-AL192</f>
        <v>-90.976599296200959</v>
      </c>
      <c r="AM193" s="185">
        <f t="shared" ref="AM193" si="481">AL193-AM192</f>
        <v>-108.02013514336396</v>
      </c>
      <c r="AN193" s="185">
        <f t="shared" ref="AN193" si="482">AM193-AN192</f>
        <v>-125.91584778288511</v>
      </c>
      <c r="AO193" s="185">
        <f t="shared" ref="AO193" si="483">AN193-AO192</f>
        <v>-144.70634605438232</v>
      </c>
      <c r="AP193" s="185">
        <f t="shared" ref="AP193" si="484">AO193-AP192</f>
        <v>-164.43636923945439</v>
      </c>
      <c r="AQ193" s="185">
        <f t="shared" ref="AQ193" si="485">AP193-AQ192</f>
        <v>-185.15289358378007</v>
      </c>
      <c r="AR193" s="185">
        <f t="shared" ref="AR193" si="486">AQ193-AR192</f>
        <v>-206.90524414532203</v>
      </c>
      <c r="AS193" s="185">
        <f t="shared" ref="AS193" si="487">AR193-AS192</f>
        <v>-229.74521223494111</v>
      </c>
      <c r="AT193" s="185">
        <f t="shared" ref="AT193" si="488">AS193-AT192</f>
        <v>-253.72717872904113</v>
      </c>
    </row>
    <row r="194" spans="2:46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0.49877149877149879</v>
      </c>
      <c r="H195" s="25">
        <f t="shared" si="489"/>
        <v>0.59839357429718876</v>
      </c>
      <c r="I195" s="25">
        <f t="shared" si="489"/>
        <v>0.54898336414048055</v>
      </c>
      <c r="J195" s="25">
        <f t="shared" si="489"/>
        <v>0.59719789842381787</v>
      </c>
      <c r="K195" s="25">
        <f t="shared" si="489"/>
        <v>0.44444444444444442</v>
      </c>
      <c r="L195" s="25">
        <f t="shared" si="489"/>
        <v>0.36391129032258063</v>
      </c>
      <c r="M195" s="25">
        <f t="shared" si="489"/>
        <v>9.0814196242171186E-2</v>
      </c>
      <c r="N195" s="25">
        <f t="shared" si="489"/>
        <v>4.360587002096436E-2</v>
      </c>
      <c r="O195" s="25">
        <f t="shared" si="489"/>
        <v>1.0048381094157052E-2</v>
      </c>
      <c r="P195" s="25">
        <f t="shared" si="489"/>
        <v>1.6563819421890225E-2</v>
      </c>
      <c r="Q195" s="25">
        <f t="shared" ref="Q195" si="490">Q10/Q7</f>
        <v>4.0474125469788956E-3</v>
      </c>
      <c r="R195" s="118">
        <f t="shared" ref="R195:R197" si="491">((P195/G195)^(1/($H$2-$H$1) ))-1</f>
        <v>-0.31499233878930344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101.5</v>
      </c>
      <c r="H196" s="112">
        <f t="shared" ref="H196:P196" si="492">H10/H12</f>
        <v>8.0540540540540544</v>
      </c>
      <c r="I196" s="112">
        <f t="shared" si="492"/>
        <v>6.3191489361702127</v>
      </c>
      <c r="J196" s="112">
        <f t="shared" si="492"/>
        <v>85.25</v>
      </c>
      <c r="K196" s="112">
        <f t="shared" si="492"/>
        <v>53.714285714285715</v>
      </c>
      <c r="L196" s="112">
        <f t="shared" si="492"/>
        <v>9.2564102564102573</v>
      </c>
      <c r="M196" s="112">
        <f t="shared" si="492"/>
        <v>5.8</v>
      </c>
      <c r="N196" s="112">
        <f t="shared" si="492"/>
        <v>4.5217391304347823</v>
      </c>
      <c r="O196" s="112">
        <f t="shared" si="492"/>
        <v>0.42857142857142855</v>
      </c>
      <c r="P196" s="112">
        <f t="shared" si="492"/>
        <v>0.23076923076923078</v>
      </c>
      <c r="Q196" s="112">
        <f t="shared" ref="Q196" si="493">Q10/Q12</f>
        <v>4.878048780487805E-2</v>
      </c>
      <c r="R196" s="118">
        <f t="shared" si="491"/>
        <v>-0.49148786906989927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20.3</v>
      </c>
      <c r="H197" s="25">
        <f t="shared" ref="H197:P197" si="494">H10/(H12+H13)</f>
        <v>2.2923076923076922</v>
      </c>
      <c r="I197" s="25">
        <f t="shared" si="494"/>
        <v>1.08</v>
      </c>
      <c r="J197" s="25">
        <f t="shared" si="494"/>
        <v>1.4090909090909092</v>
      </c>
      <c r="K197" s="25">
        <f t="shared" si="494"/>
        <v>1.4296577946768061</v>
      </c>
      <c r="L197" s="25">
        <f t="shared" si="494"/>
        <v>1.1496815286624205</v>
      </c>
      <c r="M197" s="25">
        <f t="shared" si="494"/>
        <v>0.1918412348401323</v>
      </c>
      <c r="N197" s="25">
        <f t="shared" si="494"/>
        <v>0.11764705882352941</v>
      </c>
      <c r="O197" s="25">
        <f t="shared" si="494"/>
        <v>2.556818181818182E-2</v>
      </c>
      <c r="P197" s="25">
        <f t="shared" si="494"/>
        <v>7.2340425531914896E-3</v>
      </c>
      <c r="Q197" s="25">
        <f t="shared" ref="Q197" si="495">Q10/(Q12+Q13)</f>
        <v>1.704199634814364E-3</v>
      </c>
      <c r="R197" s="118">
        <f t="shared" si="491"/>
        <v>-0.58611840558958717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2" t="s">
        <v>337</v>
      </c>
      <c r="M200" s="203"/>
      <c r="N200" s="204"/>
      <c r="O200" s="23" t="s">
        <v>340</v>
      </c>
      <c r="P200" s="20"/>
      <c r="Q200" s="137"/>
      <c r="R200" s="202" t="s">
        <v>338</v>
      </c>
      <c r="S200" s="203"/>
      <c r="T200" s="204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>
      <c r="B202" s="20"/>
      <c r="C202" s="167" t="s">
        <v>341</v>
      </c>
      <c r="D202" s="21">
        <v>130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12</v>
      </c>
      <c r="O202" s="173">
        <f>N202</f>
        <v>12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>
      <c r="B204" s="20"/>
      <c r="C204" s="167" t="s">
        <v>344</v>
      </c>
      <c r="D204" s="168">
        <f>D202*D203</f>
        <v>130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12</v>
      </c>
      <c r="O204" s="173">
        <f>N204</f>
        <v>12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144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>
      <c r="B206" s="20"/>
      <c r="C206" s="167" t="s">
        <v>345</v>
      </c>
      <c r="D206" s="21">
        <v>140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144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>
      <c r="B207" s="20"/>
      <c r="C207" s="167" t="s">
        <v>342</v>
      </c>
      <c r="D207" s="21">
        <v>10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>
      <c r="B208" s="20"/>
      <c r="C208" s="167" t="s">
        <v>344</v>
      </c>
      <c r="D208" s="168">
        <f>D207*D206</f>
        <v>1400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12</v>
      </c>
      <c r="O209" s="170">
        <f>O206/O204</f>
        <v>8.3333333333333329E-2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>
      <c r="B210" s="20"/>
      <c r="C210" s="169" t="s">
        <v>347</v>
      </c>
      <c r="D210" s="170">
        <f>D208/D204</f>
        <v>10.76923076923077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>
      <c r="B213" s="20"/>
      <c r="C213" s="20"/>
      <c r="D213" s="195" t="s">
        <v>27</v>
      </c>
      <c r="E213" s="196"/>
      <c r="F213" s="196"/>
      <c r="G213" s="197"/>
      <c r="H213" s="20"/>
      <c r="I213" s="195" t="s">
        <v>393</v>
      </c>
      <c r="J213" s="196"/>
      <c r="K213" s="197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>
      <c r="B214" s="20"/>
      <c r="C214" s="20"/>
      <c r="D214" s="20" t="s">
        <v>28</v>
      </c>
      <c r="E214" s="127"/>
      <c r="F214" s="127"/>
      <c r="G214" s="21">
        <f>D204</f>
        <v>130</v>
      </c>
      <c r="H214" s="20"/>
      <c r="I214" s="20" t="s">
        <v>28</v>
      </c>
      <c r="J214" s="127"/>
      <c r="K214" s="21">
        <f>G214</f>
        <v>130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>
      <c r="B215" s="20"/>
      <c r="C215" s="20"/>
      <c r="D215" s="20" t="s">
        <v>29</v>
      </c>
      <c r="E215" s="127"/>
      <c r="F215" s="127"/>
      <c r="G215" s="21">
        <f>D208</f>
        <v>1400</v>
      </c>
      <c r="H215" s="20"/>
      <c r="I215" s="20" t="s">
        <v>29</v>
      </c>
      <c r="J215" s="20"/>
      <c r="K215" s="21">
        <f>G215</f>
        <v>1400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>
      <c r="B217" s="20"/>
      <c r="C217" s="20"/>
      <c r="D217" s="23" t="s">
        <v>31</v>
      </c>
      <c r="E217" s="3"/>
      <c r="F217" s="3"/>
      <c r="G217" s="3">
        <f>((G215/G214)^(1/G216))-1</f>
        <v>9.7692307692307701</v>
      </c>
      <c r="H217" s="20"/>
      <c r="I217" s="23" t="s">
        <v>394</v>
      </c>
      <c r="J217" s="23"/>
      <c r="K217" s="23">
        <f>(K215-K214)/K214</f>
        <v>9.7692307692307701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395</v>
      </c>
      <c r="J218" s="23"/>
      <c r="K218" s="23">
        <f>K215/K214</f>
        <v>10.76923076923077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>
      <c r="B220" s="20"/>
      <c r="C220" s="20"/>
      <c r="D220" s="23" t="s">
        <v>33</v>
      </c>
      <c r="E220" s="3"/>
      <c r="F220" s="3"/>
      <c r="G220" s="3">
        <f>((G215/G214)^(1/G219))-1</f>
        <v>9.7692307692307701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7" t="s">
        <v>27</v>
      </c>
      <c r="K5" s="207"/>
      <c r="M5" s="207" t="s">
        <v>65</v>
      </c>
      <c r="N5" s="207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7" t="s">
        <v>36</v>
      </c>
      <c r="K14" s="207"/>
      <c r="L14" s="207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07" t="s">
        <v>27</v>
      </c>
      <c r="S5" s="207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7" t="s">
        <v>36</v>
      </c>
      <c r="S14" s="207"/>
      <c r="T14" s="207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07" t="s">
        <v>27</v>
      </c>
      <c r="C2" s="207"/>
      <c r="E2" s="207" t="s">
        <v>65</v>
      </c>
      <c r="F2" s="207"/>
      <c r="H2" s="211" t="s">
        <v>36</v>
      </c>
      <c r="I2" s="212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08" t="s">
        <v>68</v>
      </c>
      <c r="E10" s="209"/>
      <c r="F10" s="209"/>
      <c r="G10" s="209"/>
      <c r="H10" s="210"/>
      <c r="I10" s="208" t="s">
        <v>72</v>
      </c>
      <c r="J10" s="209"/>
      <c r="K10" s="209"/>
      <c r="L10" s="210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>
      <c r="B3" s="213" t="s">
        <v>432</v>
      </c>
      <c r="C3" s="214"/>
      <c r="F3" s="213" t="s">
        <v>433</v>
      </c>
      <c r="G3" s="214"/>
    </row>
    <row r="4" spans="2:7">
      <c r="B4" s="188" t="s">
        <v>434</v>
      </c>
      <c r="C4" s="188"/>
      <c r="F4" s="188" t="s">
        <v>435</v>
      </c>
      <c r="G4" s="188"/>
    </row>
    <row r="5" spans="2:7">
      <c r="B5" s="188" t="s">
        <v>436</v>
      </c>
      <c r="C5" s="188"/>
      <c r="F5" s="188" t="s">
        <v>292</v>
      </c>
      <c r="G5" s="188"/>
    </row>
    <row r="6" spans="2:7">
      <c r="B6" s="188" t="s">
        <v>437</v>
      </c>
      <c r="C6" s="188"/>
      <c r="F6" s="188" t="s">
        <v>438</v>
      </c>
      <c r="G6" s="188"/>
    </row>
    <row r="7" spans="2:7">
      <c r="B7" s="188" t="s">
        <v>439</v>
      </c>
      <c r="C7" s="188"/>
      <c r="F7" s="188" t="s">
        <v>440</v>
      </c>
      <c r="G7" s="188"/>
    </row>
    <row r="8" spans="2:7">
      <c r="B8" s="188" t="s">
        <v>441</v>
      </c>
      <c r="C8" s="188"/>
      <c r="F8" s="188" t="s">
        <v>442</v>
      </c>
      <c r="G8" s="188"/>
    </row>
    <row r="9" spans="2:7">
      <c r="B9" s="188" t="s">
        <v>443</v>
      </c>
      <c r="C9" s="188"/>
      <c r="F9" s="188" t="s">
        <v>444</v>
      </c>
      <c r="G9" s="188"/>
    </row>
    <row r="10" spans="2:7">
      <c r="B10" s="188" t="s">
        <v>442</v>
      </c>
      <c r="C10" s="188"/>
      <c r="F10" s="188"/>
      <c r="G10" s="188"/>
    </row>
    <row r="11" spans="2:7">
      <c r="B11" s="188" t="s">
        <v>445</v>
      </c>
      <c r="C11" s="188"/>
      <c r="F11" s="188"/>
      <c r="G11" s="188"/>
    </row>
    <row r="12" spans="2:7">
      <c r="B12" s="188" t="s">
        <v>446</v>
      </c>
      <c r="C12" s="188"/>
      <c r="F12" s="188"/>
      <c r="G12" s="188"/>
    </row>
    <row r="13" spans="2:7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2016-11-27T04:02:16Z</dcterms:modified>
</cp:coreProperties>
</file>
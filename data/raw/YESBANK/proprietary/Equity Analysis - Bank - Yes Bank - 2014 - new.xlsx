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AD129" i="18"/>
  <c r="AC129"/>
  <c r="AB129"/>
  <c r="AA129"/>
  <c r="Z129"/>
  <c r="Y129"/>
  <c r="X129"/>
  <c r="W129"/>
  <c r="V129"/>
  <c r="U129"/>
  <c r="T129"/>
  <c r="R129"/>
  <c r="Q129"/>
  <c r="P129"/>
  <c r="O129"/>
  <c r="N129"/>
  <c r="M129"/>
  <c r="L129"/>
  <c r="K129"/>
  <c r="J129"/>
  <c r="I129"/>
  <c r="H129"/>
  <c r="G129"/>
  <c r="T47"/>
  <c r="U47" s="1"/>
  <c r="V47" s="1"/>
  <c r="W47" s="1"/>
  <c r="X47" s="1"/>
  <c r="Y47" s="1"/>
  <c r="Z47" s="1"/>
  <c r="AA47" s="1"/>
  <c r="AB47" s="1"/>
  <c r="AC47" s="1"/>
  <c r="AE47"/>
  <c r="S47"/>
  <c r="R47"/>
  <c r="Q48"/>
  <c r="P48"/>
  <c r="O48"/>
  <c r="N48"/>
  <c r="M48"/>
  <c r="L48"/>
  <c r="K48"/>
  <c r="J48"/>
  <c r="I48"/>
  <c r="H48"/>
  <c r="G48"/>
  <c r="R130"/>
  <c r="Q130"/>
  <c r="P130"/>
  <c r="O130"/>
  <c r="N130"/>
  <c r="M130"/>
  <c r="L130"/>
  <c r="K130"/>
  <c r="J130"/>
  <c r="I130"/>
  <c r="H130"/>
  <c r="G130"/>
  <c r="T57"/>
  <c r="AD47" l="1"/>
  <c r="AF47"/>
  <c r="Q126"/>
  <c r="P126"/>
  <c r="O126"/>
  <c r="N126"/>
  <c r="M126"/>
  <c r="L126"/>
  <c r="K126"/>
  <c r="J126"/>
  <c r="I126"/>
  <c r="H126"/>
  <c r="G45"/>
  <c r="H46" s="1"/>
  <c r="S49"/>
  <c r="G49"/>
  <c r="R49" s="1"/>
  <c r="Q46"/>
  <c r="P46"/>
  <c r="O46"/>
  <c r="N46"/>
  <c r="M46"/>
  <c r="L46"/>
  <c r="K46"/>
  <c r="J46"/>
  <c r="I46"/>
  <c r="G46"/>
  <c r="Q44"/>
  <c r="P44"/>
  <c r="O44"/>
  <c r="N44"/>
  <c r="M44"/>
  <c r="L44"/>
  <c r="K44"/>
  <c r="J44"/>
  <c r="I44"/>
  <c r="G44"/>
  <c r="Q39"/>
  <c r="P39"/>
  <c r="O39"/>
  <c r="N39"/>
  <c r="M39"/>
  <c r="L39"/>
  <c r="K39"/>
  <c r="J39"/>
  <c r="I39"/>
  <c r="H39"/>
  <c r="Q37"/>
  <c r="P37"/>
  <c r="O37"/>
  <c r="N37"/>
  <c r="M37"/>
  <c r="L37"/>
  <c r="K37"/>
  <c r="J37"/>
  <c r="I37"/>
  <c r="G43"/>
  <c r="H44" s="1"/>
  <c r="G42"/>
  <c r="G41"/>
  <c r="G40"/>
  <c r="G38"/>
  <c r="G39" s="1"/>
  <c r="G36"/>
  <c r="G126" s="1"/>
  <c r="G32"/>
  <c r="G31"/>
  <c r="G53"/>
  <c r="G51"/>
  <c r="G55"/>
  <c r="G33"/>
  <c r="G29"/>
  <c r="G27"/>
  <c r="G25"/>
  <c r="G23"/>
  <c r="G22"/>
  <c r="G21"/>
  <c r="G20"/>
  <c r="G18"/>
  <c r="G16"/>
  <c r="G15"/>
  <c r="G14"/>
  <c r="G13"/>
  <c r="G12"/>
  <c r="G10"/>
  <c r="G9"/>
  <c r="G7"/>
  <c r="G6"/>
  <c r="G37" l="1"/>
  <c r="H3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31"/>
  <c r="J128"/>
  <c r="J127"/>
  <c r="I132"/>
  <c r="I131"/>
  <c r="I128"/>
  <c r="I127"/>
  <c r="H132"/>
  <c r="H131"/>
  <c r="H128"/>
  <c r="H127"/>
  <c r="G132"/>
  <c r="G128"/>
  <c r="G131"/>
  <c r="G127"/>
  <c r="Q125"/>
  <c r="P125"/>
  <c r="O125"/>
  <c r="N125"/>
  <c r="M125"/>
  <c r="L125"/>
  <c r="K125"/>
  <c r="J125"/>
  <c r="I125"/>
  <c r="H125"/>
  <c r="G125"/>
  <c r="Q124"/>
  <c r="P124"/>
  <c r="O124"/>
  <c r="N124"/>
  <c r="M124"/>
  <c r="L124"/>
  <c r="K124"/>
  <c r="J124"/>
  <c r="I124"/>
  <c r="H124"/>
  <c r="G124"/>
  <c r="AE49"/>
  <c r="AE45"/>
  <c r="AE43"/>
  <c r="AE42"/>
  <c r="AE41"/>
  <c r="AE40"/>
  <c r="AE38"/>
  <c r="AE36"/>
  <c r="S40"/>
  <c r="T40" s="1"/>
  <c r="U40" s="1"/>
  <c r="V40" s="1"/>
  <c r="W40" s="1"/>
  <c r="X40" s="1"/>
  <c r="Y40" s="1"/>
  <c r="Z40" s="1"/>
  <c r="AA40" s="1"/>
  <c r="AB40" s="1"/>
  <c r="AC40" s="1"/>
  <c r="R40"/>
  <c r="T49"/>
  <c r="U49" s="1"/>
  <c r="V49" s="1"/>
  <c r="W49" s="1"/>
  <c r="X49" s="1"/>
  <c r="Y49" s="1"/>
  <c r="Z49" s="1"/>
  <c r="AA49" s="1"/>
  <c r="AB49" s="1"/>
  <c r="AC49" s="1"/>
  <c r="S45"/>
  <c r="T45" s="1"/>
  <c r="U45" s="1"/>
  <c r="V45" s="1"/>
  <c r="W45" s="1"/>
  <c r="X45" s="1"/>
  <c r="Y45" s="1"/>
  <c r="Z45" s="1"/>
  <c r="AA45" s="1"/>
  <c r="AB45" s="1"/>
  <c r="AC45" s="1"/>
  <c r="R45"/>
  <c r="R131" l="1"/>
  <c r="R127"/>
  <c r="R132"/>
  <c r="R128"/>
  <c r="R126"/>
  <c r="R125"/>
  <c r="R124"/>
  <c r="AD49"/>
  <c r="AD45"/>
  <c r="AD40"/>
  <c r="S43"/>
  <c r="T43" s="1"/>
  <c r="U43" s="1"/>
  <c r="V43" s="1"/>
  <c r="W43" s="1"/>
  <c r="X43" s="1"/>
  <c r="Y43" s="1"/>
  <c r="Z43" s="1"/>
  <c r="AA43" s="1"/>
  <c r="AB43" s="1"/>
  <c r="AC43" s="1"/>
  <c r="AD43" s="1"/>
  <c r="R43"/>
  <c r="S42"/>
  <c r="T42" s="1"/>
  <c r="U42" s="1"/>
  <c r="V42" s="1"/>
  <c r="W42" s="1"/>
  <c r="X42" s="1"/>
  <c r="Y42" s="1"/>
  <c r="Z42" s="1"/>
  <c r="AA42" s="1"/>
  <c r="AB42" s="1"/>
  <c r="AC42" s="1"/>
  <c r="AD42" s="1"/>
  <c r="R42"/>
  <c r="S41"/>
  <c r="T41" s="1"/>
  <c r="U41" s="1"/>
  <c r="V41" s="1"/>
  <c r="W41" s="1"/>
  <c r="X41" s="1"/>
  <c r="Y41" s="1"/>
  <c r="Z41" s="1"/>
  <c r="AA41" s="1"/>
  <c r="AB41" s="1"/>
  <c r="AC41" s="1"/>
  <c r="R41"/>
  <c r="S38"/>
  <c r="T38" s="1"/>
  <c r="R38"/>
  <c r="S36"/>
  <c r="T36" s="1"/>
  <c r="R36"/>
  <c r="U38" l="1"/>
  <c r="T127"/>
  <c r="U36"/>
  <c r="T126"/>
  <c r="T128"/>
  <c r="AD41"/>
  <c r="B215"/>
  <c r="AE227"/>
  <c r="AE224"/>
  <c r="AE226"/>
  <c r="AE225"/>
  <c r="AE222"/>
  <c r="AE221"/>
  <c r="AE220"/>
  <c r="AE219"/>
  <c r="AE214"/>
  <c r="AE217"/>
  <c r="AE216"/>
  <c r="AE215"/>
  <c r="AE212"/>
  <c r="AE211"/>
  <c r="AE208"/>
  <c r="AE207"/>
  <c r="AE210"/>
  <c r="AE209"/>
  <c r="AE206"/>
  <c r="AE205"/>
  <c r="AE204"/>
  <c r="AE203"/>
  <c r="AE202"/>
  <c r="AE201"/>
  <c r="AF224"/>
  <c r="V38" l="1"/>
  <c r="U127"/>
  <c r="V36"/>
  <c r="U126"/>
  <c r="U128"/>
  <c r="AF225"/>
  <c r="Q212"/>
  <c r="P212"/>
  <c r="O212"/>
  <c r="N212"/>
  <c r="M212"/>
  <c r="L212"/>
  <c r="K212"/>
  <c r="J212"/>
  <c r="I212"/>
  <c r="H212"/>
  <c r="G212"/>
  <c r="W38" l="1"/>
  <c r="V127"/>
  <c r="W36"/>
  <c r="V128"/>
  <c r="V126"/>
  <c r="R212"/>
  <c r="Q60"/>
  <c r="P60"/>
  <c r="O60"/>
  <c r="N60"/>
  <c r="M60"/>
  <c r="L60"/>
  <c r="K60"/>
  <c r="J60"/>
  <c r="I60"/>
  <c r="H60"/>
  <c r="G60"/>
  <c r="Q58"/>
  <c r="P58"/>
  <c r="O58"/>
  <c r="N58"/>
  <c r="M58"/>
  <c r="L58"/>
  <c r="K58"/>
  <c r="J58"/>
  <c r="I58"/>
  <c r="H58"/>
  <c r="G58"/>
  <c r="Q56"/>
  <c r="P56"/>
  <c r="O56"/>
  <c r="N56"/>
  <c r="M56"/>
  <c r="L56"/>
  <c r="K56"/>
  <c r="J56"/>
  <c r="I56"/>
  <c r="H56"/>
  <c r="G56"/>
  <c r="Q54"/>
  <c r="P54"/>
  <c r="O54"/>
  <c r="N54"/>
  <c r="M54"/>
  <c r="L54"/>
  <c r="K54"/>
  <c r="J54"/>
  <c r="I54"/>
  <c r="H54"/>
  <c r="G54"/>
  <c r="Q52"/>
  <c r="P52"/>
  <c r="O52"/>
  <c r="N52"/>
  <c r="M52"/>
  <c r="L52"/>
  <c r="K52"/>
  <c r="J52"/>
  <c r="I52"/>
  <c r="H52"/>
  <c r="G52"/>
  <c r="Q30"/>
  <c r="P30"/>
  <c r="O30"/>
  <c r="N30"/>
  <c r="M30"/>
  <c r="L30"/>
  <c r="K30"/>
  <c r="J30"/>
  <c r="I30"/>
  <c r="H30"/>
  <c r="G30"/>
  <c r="Q28"/>
  <c r="P28"/>
  <c r="O28"/>
  <c r="N28"/>
  <c r="M28"/>
  <c r="L28"/>
  <c r="K28"/>
  <c r="J28"/>
  <c r="I28"/>
  <c r="H28"/>
  <c r="G28"/>
  <c r="Q26"/>
  <c r="P26"/>
  <c r="O26"/>
  <c r="N26"/>
  <c r="M26"/>
  <c r="L26"/>
  <c r="K26"/>
  <c r="J26"/>
  <c r="I26"/>
  <c r="H26"/>
  <c r="G26"/>
  <c r="Q11"/>
  <c r="P11"/>
  <c r="O11"/>
  <c r="N11"/>
  <c r="M11"/>
  <c r="L11"/>
  <c r="K11"/>
  <c r="J11"/>
  <c r="I11"/>
  <c r="H11"/>
  <c r="G11"/>
  <c r="Q8"/>
  <c r="P8"/>
  <c r="O8"/>
  <c r="N8"/>
  <c r="M8"/>
  <c r="L8"/>
  <c r="K8"/>
  <c r="J8"/>
  <c r="I8"/>
  <c r="H8"/>
  <c r="G8"/>
  <c r="X38" l="1"/>
  <c r="W127"/>
  <c r="X36"/>
  <c r="W128"/>
  <c r="W126"/>
  <c r="Q102"/>
  <c r="P102"/>
  <c r="O102"/>
  <c r="N102"/>
  <c r="M102"/>
  <c r="L102"/>
  <c r="K102"/>
  <c r="J102"/>
  <c r="I102"/>
  <c r="H102"/>
  <c r="G102"/>
  <c r="Y38" l="1"/>
  <c r="X127"/>
  <c r="Y36"/>
  <c r="X126"/>
  <c r="X128"/>
  <c r="S170"/>
  <c r="T220" s="1"/>
  <c r="Q170"/>
  <c r="T225" s="1"/>
  <c r="R102"/>
  <c r="C1"/>
  <c r="Z38" l="1"/>
  <c r="Y127"/>
  <c r="Z36"/>
  <c r="Y126"/>
  <c r="Y128"/>
  <c r="AF45"/>
  <c r="AF40"/>
  <c r="AF49"/>
  <c r="AF41"/>
  <c r="AF42"/>
  <c r="AF43"/>
  <c r="K225"/>
  <c r="K226" s="1"/>
  <c r="K227" s="1"/>
  <c r="T221"/>
  <c r="T222" s="1"/>
  <c r="T219"/>
  <c r="Q225"/>
  <c r="P225"/>
  <c r="P224" s="1"/>
  <c r="T226"/>
  <c r="T227" s="1"/>
  <c r="T224"/>
  <c r="O225"/>
  <c r="J225"/>
  <c r="I225"/>
  <c r="N225"/>
  <c r="H225"/>
  <c r="M225"/>
  <c r="G225"/>
  <c r="L225"/>
  <c r="P237"/>
  <c r="M220"/>
  <c r="P220"/>
  <c r="P219" s="1"/>
  <c r="L220"/>
  <c r="H220"/>
  <c r="O220"/>
  <c r="K220"/>
  <c r="G220"/>
  <c r="N220"/>
  <c r="J220"/>
  <c r="Q220"/>
  <c r="I220"/>
  <c r="AE71"/>
  <c r="AE70"/>
  <c r="AE68"/>
  <c r="G71"/>
  <c r="G205" s="1"/>
  <c r="H71"/>
  <c r="H205" s="1"/>
  <c r="I71"/>
  <c r="I205" s="1"/>
  <c r="J71"/>
  <c r="J205" s="1"/>
  <c r="K71"/>
  <c r="K205" s="1"/>
  <c r="L71"/>
  <c r="L205" s="1"/>
  <c r="M71"/>
  <c r="M205" s="1"/>
  <c r="N71"/>
  <c r="N205" s="1"/>
  <c r="O71"/>
  <c r="O205" s="1"/>
  <c r="P71"/>
  <c r="Q71"/>
  <c r="Q205" s="1"/>
  <c r="G70"/>
  <c r="G204" s="1"/>
  <c r="H70"/>
  <c r="H204" s="1"/>
  <c r="I70"/>
  <c r="I204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AA38" l="1"/>
  <c r="Z127"/>
  <c r="AA36"/>
  <c r="Z128"/>
  <c r="Z126"/>
  <c r="K224"/>
  <c r="P226"/>
  <c r="P227" s="1"/>
  <c r="J221"/>
  <c r="J222" s="1"/>
  <c r="J219"/>
  <c r="O221"/>
  <c r="O222" s="1"/>
  <c r="O219"/>
  <c r="M221"/>
  <c r="M222" s="1"/>
  <c r="M219"/>
  <c r="L226"/>
  <c r="L227" s="1"/>
  <c r="L224"/>
  <c r="N226"/>
  <c r="N227" s="1"/>
  <c r="N224"/>
  <c r="N221"/>
  <c r="N222" s="1"/>
  <c r="N219"/>
  <c r="H221"/>
  <c r="H222" s="1"/>
  <c r="H219"/>
  <c r="G226"/>
  <c r="G227" s="1"/>
  <c r="G224"/>
  <c r="R224" s="1"/>
  <c r="I226"/>
  <c r="I227" s="1"/>
  <c r="I224"/>
  <c r="I221"/>
  <c r="I222" s="1"/>
  <c r="I219"/>
  <c r="G221"/>
  <c r="G222" s="1"/>
  <c r="G219"/>
  <c r="L221"/>
  <c r="L222" s="1"/>
  <c r="L219"/>
  <c r="R225"/>
  <c r="M226"/>
  <c r="M227" s="1"/>
  <c r="M224"/>
  <c r="J226"/>
  <c r="J227" s="1"/>
  <c r="J224"/>
  <c r="Q221"/>
  <c r="Q222" s="1"/>
  <c r="Q219"/>
  <c r="K221"/>
  <c r="K222" s="1"/>
  <c r="K219"/>
  <c r="R219"/>
  <c r="H226"/>
  <c r="H227" s="1"/>
  <c r="H224"/>
  <c r="O226"/>
  <c r="O227" s="1"/>
  <c r="O224"/>
  <c r="Q226"/>
  <c r="Q227" s="1"/>
  <c r="Q224"/>
  <c r="P221"/>
  <c r="R220"/>
  <c r="R204"/>
  <c r="R71"/>
  <c r="P205"/>
  <c r="R205" s="1"/>
  <c r="R70"/>
  <c r="AB38" l="1"/>
  <c r="AA127"/>
  <c r="AB36"/>
  <c r="AA128"/>
  <c r="AA126"/>
  <c r="R227"/>
  <c r="R226"/>
  <c r="P222"/>
  <c r="R222" s="1"/>
  <c r="R221"/>
  <c r="G147"/>
  <c r="H147"/>
  <c r="I147"/>
  <c r="J147"/>
  <c r="K147"/>
  <c r="L147"/>
  <c r="M147"/>
  <c r="N147"/>
  <c r="O147"/>
  <c r="P147"/>
  <c r="Q147"/>
  <c r="Q146"/>
  <c r="AC38" l="1"/>
  <c r="AB127"/>
  <c r="AC36"/>
  <c r="AB126"/>
  <c r="AB128"/>
  <c r="R147"/>
  <c r="H254"/>
  <c r="H251"/>
  <c r="H252"/>
  <c r="H253"/>
  <c r="AD38" l="1"/>
  <c r="AC127"/>
  <c r="AD127" s="1"/>
  <c r="AF38"/>
  <c r="AC126"/>
  <c r="AD126" s="1"/>
  <c r="AC128"/>
  <c r="AD128" s="1"/>
  <c r="AD36"/>
  <c r="AF36"/>
  <c r="Q243"/>
  <c r="Q242"/>
  <c r="Q241"/>
  <c r="Q211"/>
  <c r="Q66"/>
  <c r="Q202" s="1"/>
  <c r="Q67"/>
  <c r="Q68"/>
  <c r="Q110" s="1"/>
  <c r="Q72"/>
  <c r="Q214" s="1"/>
  <c r="Q73"/>
  <c r="Q74"/>
  <c r="Q75"/>
  <c r="Q206" s="1"/>
  <c r="Q76"/>
  <c r="Q78"/>
  <c r="Q79"/>
  <c r="Q80"/>
  <c r="Q209" s="1"/>
  <c r="Q82"/>
  <c r="Q83"/>
  <c r="Q85"/>
  <c r="Q86"/>
  <c r="Q208" s="1"/>
  <c r="Q88"/>
  <c r="Q139" s="1"/>
  <c r="Q140" s="1"/>
  <c r="Q90"/>
  <c r="Q92" s="1"/>
  <c r="Q93"/>
  <c r="Q94"/>
  <c r="Q95"/>
  <c r="Q96"/>
  <c r="Q98"/>
  <c r="Q164" s="1"/>
  <c r="Q99"/>
  <c r="Q100"/>
  <c r="Q105"/>
  <c r="Q106"/>
  <c r="Q107"/>
  <c r="Q108"/>
  <c r="Q109"/>
  <c r="Q112"/>
  <c r="Q118" s="1"/>
  <c r="Q113"/>
  <c r="Q119" s="1"/>
  <c r="Q114"/>
  <c r="Q120" s="1"/>
  <c r="Q115"/>
  <c r="Q121" s="1"/>
  <c r="Q116"/>
  <c r="Q122" s="1"/>
  <c r="Q134"/>
  <c r="Q135"/>
  <c r="Q136"/>
  <c r="Q137"/>
  <c r="Q145"/>
  <c r="Q149"/>
  <c r="Q150"/>
  <c r="Q151"/>
  <c r="Q154"/>
  <c r="Q155"/>
  <c r="Q156"/>
  <c r="Q157"/>
  <c r="Q159"/>
  <c r="Q160"/>
  <c r="Q162"/>
  <c r="Q163" s="1"/>
  <c r="Q166"/>
  <c r="Q167"/>
  <c r="T17"/>
  <c r="T19"/>
  <c r="T24"/>
  <c r="R59"/>
  <c r="R57"/>
  <c r="R55"/>
  <c r="R53"/>
  <c r="R51"/>
  <c r="R34"/>
  <c r="R33"/>
  <c r="R32"/>
  <c r="R31"/>
  <c r="R29"/>
  <c r="R27"/>
  <c r="R25"/>
  <c r="R23"/>
  <c r="R22"/>
  <c r="R21"/>
  <c r="R20"/>
  <c r="R18"/>
  <c r="R16"/>
  <c r="R15"/>
  <c r="R14"/>
  <c r="R13"/>
  <c r="R12"/>
  <c r="R10"/>
  <c r="R9"/>
  <c r="R7"/>
  <c r="R6"/>
  <c r="P238" l="1"/>
  <c r="Q203"/>
  <c r="Q84"/>
  <c r="Q207" s="1"/>
  <c r="Q141"/>
  <c r="Q142" s="1"/>
  <c r="Q143"/>
  <c r="H68"/>
  <c r="H110" s="1"/>
  <c r="I68"/>
  <c r="I110" s="1"/>
  <c r="J68"/>
  <c r="J110" s="1"/>
  <c r="K68"/>
  <c r="K110" s="1"/>
  <c r="L68"/>
  <c r="L110" s="1"/>
  <c r="M68"/>
  <c r="M110" s="1"/>
  <c r="N68"/>
  <c r="N110" s="1"/>
  <c r="O68"/>
  <c r="O110" s="1"/>
  <c r="P68"/>
  <c r="P110" s="1"/>
  <c r="G68"/>
  <c r="G110" s="1"/>
  <c r="Q216" l="1"/>
  <c r="Q217" s="1"/>
  <c r="Q215"/>
  <c r="H238"/>
  <c r="R110"/>
  <c r="R68"/>
  <c r="S59"/>
  <c r="T59" s="1"/>
  <c r="K234" l="1"/>
  <c r="K233"/>
  <c r="K232"/>
  <c r="K231"/>
  <c r="AE53" l="1"/>
  <c r="S53"/>
  <c r="T53" l="1"/>
  <c r="U53" l="1"/>
  <c r="K238"/>
  <c r="T238" s="1"/>
  <c r="T239" s="1"/>
  <c r="K237"/>
  <c r="V53" l="1"/>
  <c r="U252"/>
  <c r="U253" s="1"/>
  <c r="D250"/>
  <c r="G264" s="1"/>
  <c r="K264" s="1"/>
  <c r="H250"/>
  <c r="L134"/>
  <c r="J134"/>
  <c r="H134"/>
  <c r="G134"/>
  <c r="I134"/>
  <c r="K134"/>
  <c r="M134"/>
  <c r="N134"/>
  <c r="O134"/>
  <c r="P134"/>
  <c r="H167"/>
  <c r="I167"/>
  <c r="J167"/>
  <c r="K167"/>
  <c r="L167"/>
  <c r="M167"/>
  <c r="N167"/>
  <c r="O167"/>
  <c r="P167"/>
  <c r="H166"/>
  <c r="I166"/>
  <c r="J166"/>
  <c r="K166"/>
  <c r="L166"/>
  <c r="M166"/>
  <c r="N166"/>
  <c r="O166"/>
  <c r="P166"/>
  <c r="G268"/>
  <c r="G269" s="1"/>
  <c r="AE73"/>
  <c r="H73"/>
  <c r="I73"/>
  <c r="J73"/>
  <c r="K73"/>
  <c r="L73"/>
  <c r="M73"/>
  <c r="N73"/>
  <c r="O73"/>
  <c r="P73"/>
  <c r="G73"/>
  <c r="H259"/>
  <c r="D258"/>
  <c r="G265" s="1"/>
  <c r="K265" s="1"/>
  <c r="H257"/>
  <c r="I257" s="1"/>
  <c r="J257" s="1"/>
  <c r="J258" s="1"/>
  <c r="H255"/>
  <c r="H249"/>
  <c r="H248"/>
  <c r="I248" s="1"/>
  <c r="J248" s="1"/>
  <c r="W53" l="1"/>
  <c r="G270"/>
  <c r="G267"/>
  <c r="D260"/>
  <c r="K268"/>
  <c r="R73"/>
  <c r="K267"/>
  <c r="I249"/>
  <c r="J249" s="1"/>
  <c r="I259"/>
  <c r="J259" s="1"/>
  <c r="J260" s="1"/>
  <c r="H109"/>
  <c r="I109"/>
  <c r="J109"/>
  <c r="K109"/>
  <c r="L109"/>
  <c r="M109"/>
  <c r="N109"/>
  <c r="O109"/>
  <c r="P109"/>
  <c r="G109"/>
  <c r="G167"/>
  <c r="G166"/>
  <c r="AE14"/>
  <c r="S14"/>
  <c r="U249"/>
  <c r="U248"/>
  <c r="O249"/>
  <c r="O252" s="1"/>
  <c r="O248"/>
  <c r="H116"/>
  <c r="H122" s="1"/>
  <c r="I116"/>
  <c r="I122" s="1"/>
  <c r="J116"/>
  <c r="J122" s="1"/>
  <c r="K116"/>
  <c r="K122" s="1"/>
  <c r="L116"/>
  <c r="L122" s="1"/>
  <c r="M116"/>
  <c r="M122" s="1"/>
  <c r="N116"/>
  <c r="N122" s="1"/>
  <c r="O116"/>
  <c r="O122" s="1"/>
  <c r="P116"/>
  <c r="P122" s="1"/>
  <c r="G116"/>
  <c r="G122" s="1"/>
  <c r="H113"/>
  <c r="H119" s="1"/>
  <c r="I113"/>
  <c r="I119" s="1"/>
  <c r="J113"/>
  <c r="J119" s="1"/>
  <c r="K113"/>
  <c r="K119" s="1"/>
  <c r="L113"/>
  <c r="L119" s="1"/>
  <c r="M113"/>
  <c r="M119" s="1"/>
  <c r="N113"/>
  <c r="N119" s="1"/>
  <c r="O113"/>
  <c r="O119" s="1"/>
  <c r="P113"/>
  <c r="P119" s="1"/>
  <c r="G113"/>
  <c r="G119" s="1"/>
  <c r="H114"/>
  <c r="H120" s="1"/>
  <c r="I114"/>
  <c r="I120" s="1"/>
  <c r="J114"/>
  <c r="J120" s="1"/>
  <c r="K114"/>
  <c r="K120" s="1"/>
  <c r="L114"/>
  <c r="L120" s="1"/>
  <c r="M114"/>
  <c r="M120" s="1"/>
  <c r="N114"/>
  <c r="N120" s="1"/>
  <c r="O114"/>
  <c r="O120" s="1"/>
  <c r="P114"/>
  <c r="P120" s="1"/>
  <c r="G114"/>
  <c r="G120" s="1"/>
  <c r="H162"/>
  <c r="H163" s="1"/>
  <c r="I162"/>
  <c r="I163" s="1"/>
  <c r="J162"/>
  <c r="J163" s="1"/>
  <c r="K162"/>
  <c r="K163" s="1"/>
  <c r="L162"/>
  <c r="L163" s="1"/>
  <c r="M162"/>
  <c r="M163" s="1"/>
  <c r="N162"/>
  <c r="N163" s="1"/>
  <c r="O162"/>
  <c r="O163" s="1"/>
  <c r="P162"/>
  <c r="P163" s="1"/>
  <c r="G162"/>
  <c r="G163" s="1"/>
  <c r="X53" l="1"/>
  <c r="R122"/>
  <c r="R119"/>
  <c r="T14"/>
  <c r="U14" s="1"/>
  <c r="V14" s="1"/>
  <c r="W14" s="1"/>
  <c r="X14" s="1"/>
  <c r="Y14" s="1"/>
  <c r="Z14" s="1"/>
  <c r="AA14" s="1"/>
  <c r="AB14" s="1"/>
  <c r="AC14" s="1"/>
  <c r="R120"/>
  <c r="I250"/>
  <c r="J250" s="1"/>
  <c r="R166"/>
  <c r="R167"/>
  <c r="R109"/>
  <c r="R116"/>
  <c r="R113"/>
  <c r="R163"/>
  <c r="R162"/>
  <c r="R114"/>
  <c r="P108"/>
  <c r="P107"/>
  <c r="H108"/>
  <c r="I108"/>
  <c r="J108"/>
  <c r="K108"/>
  <c r="L108"/>
  <c r="M108"/>
  <c r="N108"/>
  <c r="O108"/>
  <c r="G108"/>
  <c r="G107"/>
  <c r="H160"/>
  <c r="I160"/>
  <c r="J160"/>
  <c r="K160"/>
  <c r="L160"/>
  <c r="M160"/>
  <c r="N160"/>
  <c r="O160"/>
  <c r="P160"/>
  <c r="G160"/>
  <c r="H159"/>
  <c r="I159"/>
  <c r="J159"/>
  <c r="K159"/>
  <c r="L159"/>
  <c r="M159"/>
  <c r="N159"/>
  <c r="O159"/>
  <c r="P159"/>
  <c r="G159"/>
  <c r="H156"/>
  <c r="I156"/>
  <c r="J156"/>
  <c r="K156"/>
  <c r="L156"/>
  <c r="M156"/>
  <c r="N156"/>
  <c r="O156"/>
  <c r="P156"/>
  <c r="G156"/>
  <c r="H157"/>
  <c r="I157"/>
  <c r="J157"/>
  <c r="K157"/>
  <c r="L157"/>
  <c r="M157"/>
  <c r="N157"/>
  <c r="O157"/>
  <c r="P157"/>
  <c r="G157"/>
  <c r="H155"/>
  <c r="I155"/>
  <c r="J155"/>
  <c r="K155"/>
  <c r="L155"/>
  <c r="M155"/>
  <c r="N155"/>
  <c r="O155"/>
  <c r="P155"/>
  <c r="G155"/>
  <c r="H154"/>
  <c r="I154"/>
  <c r="J154"/>
  <c r="K154"/>
  <c r="L154"/>
  <c r="M154"/>
  <c r="N154"/>
  <c r="O154"/>
  <c r="P154"/>
  <c r="G154"/>
  <c r="H151"/>
  <c r="I151"/>
  <c r="J151"/>
  <c r="K151"/>
  <c r="L151"/>
  <c r="M151"/>
  <c r="N151"/>
  <c r="O151"/>
  <c r="P151"/>
  <c r="G151"/>
  <c r="H150"/>
  <c r="I150"/>
  <c r="J150"/>
  <c r="K150"/>
  <c r="L150"/>
  <c r="M150"/>
  <c r="N150"/>
  <c r="O150"/>
  <c r="P150"/>
  <c r="G150"/>
  <c r="H149"/>
  <c r="I149"/>
  <c r="J149"/>
  <c r="K149"/>
  <c r="L149"/>
  <c r="M149"/>
  <c r="N149"/>
  <c r="O149"/>
  <c r="P149"/>
  <c r="G149"/>
  <c r="B151"/>
  <c r="B150"/>
  <c r="AE32"/>
  <c r="S32"/>
  <c r="G137"/>
  <c r="H137"/>
  <c r="I137"/>
  <c r="J137"/>
  <c r="K137"/>
  <c r="L137"/>
  <c r="M137"/>
  <c r="N137"/>
  <c r="O137"/>
  <c r="P137"/>
  <c r="T253"/>
  <c r="N252"/>
  <c r="T250"/>
  <c r="U250" s="1"/>
  <c r="U255" s="1"/>
  <c r="N250"/>
  <c r="O250" s="1"/>
  <c r="O255" s="1"/>
  <c r="H146"/>
  <c r="I146"/>
  <c r="J146"/>
  <c r="K146"/>
  <c r="L146"/>
  <c r="M146"/>
  <c r="N146"/>
  <c r="O146"/>
  <c r="P146"/>
  <c r="G146"/>
  <c r="H145"/>
  <c r="I145"/>
  <c r="J145"/>
  <c r="K145"/>
  <c r="L145"/>
  <c r="M145"/>
  <c r="N145"/>
  <c r="O145"/>
  <c r="P145"/>
  <c r="G145"/>
  <c r="I251" l="1"/>
  <c r="J251" s="1"/>
  <c r="I252" s="1"/>
  <c r="J252" s="1"/>
  <c r="I253" s="1"/>
  <c r="J253" s="1"/>
  <c r="I254" s="1"/>
  <c r="J254" s="1"/>
  <c r="I255" s="1"/>
  <c r="J255" s="1"/>
  <c r="J256" s="1"/>
  <c r="Y53"/>
  <c r="AD14"/>
  <c r="AF14"/>
  <c r="T32"/>
  <c r="U32" s="1"/>
  <c r="V32" s="1"/>
  <c r="W32" s="1"/>
  <c r="X32" s="1"/>
  <c r="Y32" s="1"/>
  <c r="Z32" s="1"/>
  <c r="AA32" s="1"/>
  <c r="AB32" s="1"/>
  <c r="AC32" s="1"/>
  <c r="AD32" s="1"/>
  <c r="R157"/>
  <c r="R108"/>
  <c r="R154"/>
  <c r="R160"/>
  <c r="R159"/>
  <c r="R155"/>
  <c r="R156"/>
  <c r="R149"/>
  <c r="R150"/>
  <c r="R151"/>
  <c r="R137"/>
  <c r="N255"/>
  <c r="T255"/>
  <c r="R146"/>
  <c r="R145"/>
  <c r="S9"/>
  <c r="T9" s="1"/>
  <c r="S10"/>
  <c r="T10" s="1"/>
  <c r="S12"/>
  <c r="T12" s="1"/>
  <c r="S13"/>
  <c r="T13" s="1"/>
  <c r="S15"/>
  <c r="T15" s="1"/>
  <c r="S16"/>
  <c r="T16" s="1"/>
  <c r="S18"/>
  <c r="T18" s="1"/>
  <c r="S20"/>
  <c r="T20" s="1"/>
  <c r="S21"/>
  <c r="T21" s="1"/>
  <c r="S22"/>
  <c r="T22" s="1"/>
  <c r="S23"/>
  <c r="T23" s="1"/>
  <c r="S25"/>
  <c r="T25" s="1"/>
  <c r="S27"/>
  <c r="T27" s="1"/>
  <c r="S29"/>
  <c r="T29" s="1"/>
  <c r="S31"/>
  <c r="S33"/>
  <c r="T33" s="1"/>
  <c r="S34"/>
  <c r="T34" s="1"/>
  <c r="S51"/>
  <c r="T51" s="1"/>
  <c r="S55"/>
  <c r="T55" s="1"/>
  <c r="T130" s="1"/>
  <c r="S7"/>
  <c r="T7" s="1"/>
  <c r="S6"/>
  <c r="T6" s="1"/>
  <c r="AE9"/>
  <c r="AE10"/>
  <c r="AE11"/>
  <c r="AE12"/>
  <c r="AE13"/>
  <c r="AE15"/>
  <c r="AE16"/>
  <c r="AE18"/>
  <c r="AE20"/>
  <c r="AE21"/>
  <c r="AE22"/>
  <c r="AE23"/>
  <c r="AE25"/>
  <c r="AE27"/>
  <c r="AE29"/>
  <c r="AE31"/>
  <c r="AE33"/>
  <c r="AE34"/>
  <c r="AE51"/>
  <c r="AE55"/>
  <c r="AE57"/>
  <c r="AE59"/>
  <c r="AE66"/>
  <c r="AE67"/>
  <c r="AE72"/>
  <c r="AE74"/>
  <c r="AE75"/>
  <c r="AE76"/>
  <c r="AE78"/>
  <c r="AE79"/>
  <c r="AE80"/>
  <c r="AE82"/>
  <c r="AE83"/>
  <c r="AE84"/>
  <c r="AE85"/>
  <c r="AE87"/>
  <c r="AE88"/>
  <c r="AE90"/>
  <c r="AE92"/>
  <c r="AE93"/>
  <c r="AE94"/>
  <c r="AE95"/>
  <c r="AE96"/>
  <c r="AE98"/>
  <c r="AE99"/>
  <c r="AE100"/>
  <c r="AE7"/>
  <c r="AE6"/>
  <c r="T132" l="1"/>
  <c r="T131"/>
  <c r="T124"/>
  <c r="T125"/>
  <c r="T68"/>
  <c r="T110" s="1"/>
  <c r="Z53"/>
  <c r="AF32"/>
  <c r="T31"/>
  <c r="R134"/>
  <c r="H112"/>
  <c r="H118" s="1"/>
  <c r="I112"/>
  <c r="I118" s="1"/>
  <c r="J112"/>
  <c r="J118" s="1"/>
  <c r="K112"/>
  <c r="K118" s="1"/>
  <c r="L112"/>
  <c r="L118" s="1"/>
  <c r="M112"/>
  <c r="M118" s="1"/>
  <c r="N112"/>
  <c r="N118" s="1"/>
  <c r="O112"/>
  <c r="O118" s="1"/>
  <c r="P112"/>
  <c r="P118" s="1"/>
  <c r="H115"/>
  <c r="H121" s="1"/>
  <c r="I115"/>
  <c r="I121" s="1"/>
  <c r="J115"/>
  <c r="J121" s="1"/>
  <c r="K115"/>
  <c r="K121" s="1"/>
  <c r="L115"/>
  <c r="L121" s="1"/>
  <c r="M115"/>
  <c r="M121" s="1"/>
  <c r="N115"/>
  <c r="N121" s="1"/>
  <c r="O115"/>
  <c r="O121" s="1"/>
  <c r="P115"/>
  <c r="P121" s="1"/>
  <c r="G115"/>
  <c r="G121" s="1"/>
  <c r="G112"/>
  <c r="G118" s="1"/>
  <c r="AA53" l="1"/>
  <c r="U31"/>
  <c r="T147"/>
  <c r="R118"/>
  <c r="R121"/>
  <c r="U29"/>
  <c r="R115"/>
  <c r="R112"/>
  <c r="H136"/>
  <c r="I136"/>
  <c r="J136"/>
  <c r="K136"/>
  <c r="L136"/>
  <c r="M136"/>
  <c r="N136"/>
  <c r="O136"/>
  <c r="P136"/>
  <c r="G136"/>
  <c r="H135"/>
  <c r="I135"/>
  <c r="J135"/>
  <c r="K135"/>
  <c r="L135"/>
  <c r="M135"/>
  <c r="N135"/>
  <c r="O135"/>
  <c r="P135"/>
  <c r="G135"/>
  <c r="AB53" l="1"/>
  <c r="V31"/>
  <c r="V29"/>
  <c r="R135"/>
  <c r="R136"/>
  <c r="AF87"/>
  <c r="AC53" l="1"/>
  <c r="W31"/>
  <c r="W29"/>
  <c r="G211"/>
  <c r="H211"/>
  <c r="I211"/>
  <c r="J211"/>
  <c r="K211"/>
  <c r="L211"/>
  <c r="M211"/>
  <c r="N211"/>
  <c r="O211"/>
  <c r="P211"/>
  <c r="C9" i="15"/>
  <c r="G88" i="18"/>
  <c r="G139" s="1"/>
  <c r="G140" s="1"/>
  <c r="G143" s="1"/>
  <c r="H88"/>
  <c r="H139" s="1"/>
  <c r="H140" s="1"/>
  <c r="H143" s="1"/>
  <c r="I88"/>
  <c r="I139" s="1"/>
  <c r="I140" s="1"/>
  <c r="I143" s="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AD53" l="1"/>
  <c r="AF53"/>
  <c r="X31"/>
  <c r="T88"/>
  <c r="X29"/>
  <c r="R211"/>
  <c r="N141"/>
  <c r="N142" s="1"/>
  <c r="J141"/>
  <c r="J142" s="1"/>
  <c r="L141"/>
  <c r="L142" s="1"/>
  <c r="H141"/>
  <c r="H142" s="1"/>
  <c r="M141"/>
  <c r="M142" s="1"/>
  <c r="I141"/>
  <c r="I142" s="1"/>
  <c r="O141"/>
  <c r="O142" s="1"/>
  <c r="K141"/>
  <c r="K142" s="1"/>
  <c r="G141"/>
  <c r="G142" s="1"/>
  <c r="P140"/>
  <c r="P143" s="1"/>
  <c r="R143" s="1"/>
  <c r="R139"/>
  <c r="U59"/>
  <c r="Y31" l="1"/>
  <c r="V59"/>
  <c r="Y29"/>
  <c r="P141"/>
  <c r="R140"/>
  <c r="U88"/>
  <c r="G98"/>
  <c r="G164" s="1"/>
  <c r="H98"/>
  <c r="H164" s="1"/>
  <c r="I98"/>
  <c r="I164" s="1"/>
  <c r="J98"/>
  <c r="J164" s="1"/>
  <c r="K98"/>
  <c r="K164" s="1"/>
  <c r="L98"/>
  <c r="L164" s="1"/>
  <c r="M98"/>
  <c r="M164" s="1"/>
  <c r="N98"/>
  <c r="N164" s="1"/>
  <c r="O98"/>
  <c r="O164" s="1"/>
  <c r="G99"/>
  <c r="H99"/>
  <c r="I99"/>
  <c r="J99"/>
  <c r="K99"/>
  <c r="L99"/>
  <c r="M99"/>
  <c r="N99"/>
  <c r="O99"/>
  <c r="G100"/>
  <c r="H100"/>
  <c r="I100"/>
  <c r="J100"/>
  <c r="K100"/>
  <c r="L100"/>
  <c r="M100"/>
  <c r="N100"/>
  <c r="O100"/>
  <c r="P100"/>
  <c r="P99"/>
  <c r="P98"/>
  <c r="P164" s="1"/>
  <c r="H107"/>
  <c r="I107"/>
  <c r="J107"/>
  <c r="K107"/>
  <c r="L107"/>
  <c r="M107"/>
  <c r="N107"/>
  <c r="O107"/>
  <c r="G106"/>
  <c r="H106"/>
  <c r="I106"/>
  <c r="J106"/>
  <c r="K106"/>
  <c r="L106"/>
  <c r="M106"/>
  <c r="N106"/>
  <c r="O106"/>
  <c r="G105"/>
  <c r="H105"/>
  <c r="I105"/>
  <c r="J105"/>
  <c r="K105"/>
  <c r="L105"/>
  <c r="M105"/>
  <c r="N105"/>
  <c r="O105"/>
  <c r="P106"/>
  <c r="Z31" l="1"/>
  <c r="W59"/>
  <c r="V88"/>
  <c r="R164"/>
  <c r="Z29"/>
  <c r="R100"/>
  <c r="R98"/>
  <c r="R99"/>
  <c r="R106"/>
  <c r="R107"/>
  <c r="P105"/>
  <c r="R105" s="1"/>
  <c r="H243"/>
  <c r="I243"/>
  <c r="J243"/>
  <c r="K243"/>
  <c r="L243"/>
  <c r="M243"/>
  <c r="N243"/>
  <c r="O243"/>
  <c r="P243"/>
  <c r="G243"/>
  <c r="H242"/>
  <c r="I242"/>
  <c r="J242"/>
  <c r="K242"/>
  <c r="L242"/>
  <c r="M242"/>
  <c r="N242"/>
  <c r="O242"/>
  <c r="P242"/>
  <c r="G242"/>
  <c r="H241"/>
  <c r="I241"/>
  <c r="J241"/>
  <c r="K241"/>
  <c r="L241"/>
  <c r="M241"/>
  <c r="N241"/>
  <c r="O241"/>
  <c r="P241"/>
  <c r="G241"/>
  <c r="H67"/>
  <c r="I67"/>
  <c r="J67"/>
  <c r="K67"/>
  <c r="L67"/>
  <c r="M67"/>
  <c r="N67"/>
  <c r="O67"/>
  <c r="P67"/>
  <c r="G67"/>
  <c r="G72"/>
  <c r="G214" s="1"/>
  <c r="H66"/>
  <c r="H202" s="1"/>
  <c r="I66"/>
  <c r="I202" s="1"/>
  <c r="J66"/>
  <c r="J202" s="1"/>
  <c r="K66"/>
  <c r="K202" s="1"/>
  <c r="L66"/>
  <c r="L202" s="1"/>
  <c r="M66"/>
  <c r="M202" s="1"/>
  <c r="N66"/>
  <c r="N202" s="1"/>
  <c r="O66"/>
  <c r="O202" s="1"/>
  <c r="P66"/>
  <c r="P202" s="1"/>
  <c r="G66"/>
  <c r="G202" s="1"/>
  <c r="T113"/>
  <c r="T119" s="1"/>
  <c r="AA31" l="1"/>
  <c r="X59"/>
  <c r="W88"/>
  <c r="R202"/>
  <c r="AA29"/>
  <c r="U51"/>
  <c r="R243"/>
  <c r="R67"/>
  <c r="R66"/>
  <c r="R242"/>
  <c r="R241"/>
  <c r="U113" l="1"/>
  <c r="U119" s="1"/>
  <c r="AB31"/>
  <c r="Y59"/>
  <c r="X88"/>
  <c r="AB29"/>
  <c r="V51"/>
  <c r="I95"/>
  <c r="J95"/>
  <c r="K95"/>
  <c r="L95"/>
  <c r="M95"/>
  <c r="N95"/>
  <c r="O95"/>
  <c r="P95"/>
  <c r="I96"/>
  <c r="J96"/>
  <c r="K96"/>
  <c r="L96"/>
  <c r="M96"/>
  <c r="N96"/>
  <c r="O96"/>
  <c r="P96"/>
  <c r="I90"/>
  <c r="I92" s="1"/>
  <c r="J90"/>
  <c r="J92" s="1"/>
  <c r="K90"/>
  <c r="K92" s="1"/>
  <c r="L90"/>
  <c r="L92" s="1"/>
  <c r="M90"/>
  <c r="M92" s="1"/>
  <c r="N90"/>
  <c r="N92" s="1"/>
  <c r="O90"/>
  <c r="O92" s="1"/>
  <c r="P90"/>
  <c r="P92" s="1"/>
  <c r="I93"/>
  <c r="J93"/>
  <c r="K93"/>
  <c r="L93"/>
  <c r="M93"/>
  <c r="N93"/>
  <c r="O93"/>
  <c r="P93"/>
  <c r="I94"/>
  <c r="J94"/>
  <c r="K94"/>
  <c r="L94"/>
  <c r="M94"/>
  <c r="N94"/>
  <c r="O94"/>
  <c r="P94"/>
  <c r="G93"/>
  <c r="G94"/>
  <c r="G95"/>
  <c r="G96"/>
  <c r="H96"/>
  <c r="H95"/>
  <c r="U22"/>
  <c r="V22" s="1"/>
  <c r="W22" s="1"/>
  <c r="X22" s="1"/>
  <c r="Y22" s="1"/>
  <c r="Z22" s="1"/>
  <c r="AA22" s="1"/>
  <c r="AB22" s="1"/>
  <c r="AC22" s="1"/>
  <c r="G90"/>
  <c r="G92" s="1"/>
  <c r="H90"/>
  <c r="H92" s="1"/>
  <c r="H94"/>
  <c r="H93"/>
  <c r="R93" l="1"/>
  <c r="V113"/>
  <c r="V119" s="1"/>
  <c r="AC31"/>
  <c r="AD31" s="1"/>
  <c r="Z59"/>
  <c r="Y88"/>
  <c r="U23"/>
  <c r="T116"/>
  <c r="T122" s="1"/>
  <c r="AC29"/>
  <c r="AD22"/>
  <c r="AF22"/>
  <c r="W51"/>
  <c r="R95"/>
  <c r="R96"/>
  <c r="R94"/>
  <c r="R92"/>
  <c r="R90"/>
  <c r="U21"/>
  <c r="R88"/>
  <c r="R201"/>
  <c r="AF31" l="1"/>
  <c r="W113"/>
  <c r="W119" s="1"/>
  <c r="Z88"/>
  <c r="AA59"/>
  <c r="V23"/>
  <c r="U116"/>
  <c r="U122" s="1"/>
  <c r="AF29"/>
  <c r="AD29"/>
  <c r="U20"/>
  <c r="T90"/>
  <c r="V21"/>
  <c r="C19" i="15"/>
  <c r="U9" i="18"/>
  <c r="V9" s="1"/>
  <c r="W9" s="1"/>
  <c r="X9" s="1"/>
  <c r="Y9" s="1"/>
  <c r="Z9" s="1"/>
  <c r="AA9" s="1"/>
  <c r="AB9" s="1"/>
  <c r="AC9" s="1"/>
  <c r="AF9" s="1"/>
  <c r="T109"/>
  <c r="U33"/>
  <c r="V33" s="1"/>
  <c r="W33" s="1"/>
  <c r="X33" s="1"/>
  <c r="Y33" s="1"/>
  <c r="Z33" s="1"/>
  <c r="AA33" s="1"/>
  <c r="AB33" s="1"/>
  <c r="AC33" s="1"/>
  <c r="AF33" s="1"/>
  <c r="U34"/>
  <c r="V34" s="1"/>
  <c r="W34" s="1"/>
  <c r="X34" s="1"/>
  <c r="Y34" s="1"/>
  <c r="Z34" s="1"/>
  <c r="AA34" s="1"/>
  <c r="AB34" s="1"/>
  <c r="AC34" s="1"/>
  <c r="AF34" s="1"/>
  <c r="X51"/>
  <c r="O86"/>
  <c r="O208" s="1"/>
  <c r="O85"/>
  <c r="O83"/>
  <c r="O82"/>
  <c r="O80"/>
  <c r="O209" s="1"/>
  <c r="O79"/>
  <c r="O78"/>
  <c r="O76"/>
  <c r="O75"/>
  <c r="O206" s="1"/>
  <c r="O74"/>
  <c r="O72"/>
  <c r="O214" s="1"/>
  <c r="X113" l="1"/>
  <c r="X119" s="1"/>
  <c r="AA88"/>
  <c r="AB59"/>
  <c r="U90"/>
  <c r="T156"/>
  <c r="T166"/>
  <c r="T157"/>
  <c r="T167"/>
  <c r="W23"/>
  <c r="V116"/>
  <c r="V122" s="1"/>
  <c r="T150"/>
  <c r="T151"/>
  <c r="T149"/>
  <c r="T137"/>
  <c r="P142"/>
  <c r="R142" s="1"/>
  <c r="R141"/>
  <c r="T112"/>
  <c r="T118" s="1"/>
  <c r="T146"/>
  <c r="T145"/>
  <c r="U18"/>
  <c r="O203"/>
  <c r="V20"/>
  <c r="U27"/>
  <c r="Y51"/>
  <c r="U25"/>
  <c r="T105"/>
  <c r="W21"/>
  <c r="AD33"/>
  <c r="AD34"/>
  <c r="AD9"/>
  <c r="O84"/>
  <c r="O207" s="1"/>
  <c r="G80"/>
  <c r="G209" s="1"/>
  <c r="H80"/>
  <c r="H209" s="1"/>
  <c r="I80"/>
  <c r="I209" s="1"/>
  <c r="J80"/>
  <c r="J209" s="1"/>
  <c r="K80"/>
  <c r="K209" s="1"/>
  <c r="L80"/>
  <c r="L209" s="1"/>
  <c r="M80"/>
  <c r="M209" s="1"/>
  <c r="N80"/>
  <c r="N209" s="1"/>
  <c r="P80"/>
  <c r="U124" l="1"/>
  <c r="U125"/>
  <c r="O216"/>
  <c r="O217" s="1"/>
  <c r="O215"/>
  <c r="Y113"/>
  <c r="Y119" s="1"/>
  <c r="U109"/>
  <c r="U147"/>
  <c r="AC59"/>
  <c r="AB88"/>
  <c r="U157"/>
  <c r="U167"/>
  <c r="U156"/>
  <c r="U166"/>
  <c r="X23"/>
  <c r="W116"/>
  <c r="W122" s="1"/>
  <c r="U149"/>
  <c r="U151"/>
  <c r="U150"/>
  <c r="U137"/>
  <c r="U112"/>
  <c r="U118" s="1"/>
  <c r="U146"/>
  <c r="U145"/>
  <c r="V18"/>
  <c r="W20"/>
  <c r="V90"/>
  <c r="V27"/>
  <c r="V25"/>
  <c r="V125" s="1"/>
  <c r="U105"/>
  <c r="Z51"/>
  <c r="X21"/>
  <c r="P209"/>
  <c r="R209" s="1"/>
  <c r="R80"/>
  <c r="G79"/>
  <c r="H79"/>
  <c r="I79"/>
  <c r="J79"/>
  <c r="K79"/>
  <c r="L79"/>
  <c r="M79"/>
  <c r="N79"/>
  <c r="P79"/>
  <c r="G78"/>
  <c r="H78"/>
  <c r="I78"/>
  <c r="J78"/>
  <c r="K78"/>
  <c r="L78"/>
  <c r="M78"/>
  <c r="N78"/>
  <c r="P78"/>
  <c r="V147" l="1"/>
  <c r="V124"/>
  <c r="Z113"/>
  <c r="Z119" s="1"/>
  <c r="AF59"/>
  <c r="AC88"/>
  <c r="AD59"/>
  <c r="V156"/>
  <c r="V166"/>
  <c r="V157"/>
  <c r="V167"/>
  <c r="V109"/>
  <c r="Y23"/>
  <c r="X116"/>
  <c r="X122" s="1"/>
  <c r="V151"/>
  <c r="V150"/>
  <c r="V149"/>
  <c r="V137"/>
  <c r="V112"/>
  <c r="V118" s="1"/>
  <c r="V146"/>
  <c r="V145"/>
  <c r="W18"/>
  <c r="X20"/>
  <c r="W90"/>
  <c r="W27"/>
  <c r="W25"/>
  <c r="V105"/>
  <c r="AA51"/>
  <c r="Y21"/>
  <c r="R78"/>
  <c r="R79"/>
  <c r="C46" i="15"/>
  <c r="W124" i="18" l="1"/>
  <c r="W125"/>
  <c r="AA113"/>
  <c r="AA119" s="1"/>
  <c r="W109"/>
  <c r="W147"/>
  <c r="T188"/>
  <c r="Q230" s="1"/>
  <c r="AF88"/>
  <c r="U188" s="1"/>
  <c r="AD88"/>
  <c r="W157"/>
  <c r="W167"/>
  <c r="W156"/>
  <c r="W166"/>
  <c r="Z23"/>
  <c r="Y116"/>
  <c r="Y122" s="1"/>
  <c r="W137"/>
  <c r="W151"/>
  <c r="W150"/>
  <c r="W149"/>
  <c r="W112"/>
  <c r="W118" s="1"/>
  <c r="W146"/>
  <c r="W145"/>
  <c r="X18"/>
  <c r="Y20"/>
  <c r="X90"/>
  <c r="X27"/>
  <c r="X25"/>
  <c r="X125" s="1"/>
  <c r="W105"/>
  <c r="AB51"/>
  <c r="Z21"/>
  <c r="H72"/>
  <c r="H214" s="1"/>
  <c r="I72"/>
  <c r="I214" s="1"/>
  <c r="J72"/>
  <c r="J214" s="1"/>
  <c r="K72"/>
  <c r="K214" s="1"/>
  <c r="L72"/>
  <c r="L214" s="1"/>
  <c r="M72"/>
  <c r="M214" s="1"/>
  <c r="N72"/>
  <c r="N214" s="1"/>
  <c r="P72"/>
  <c r="P214" s="1"/>
  <c r="R214" s="1"/>
  <c r="G86"/>
  <c r="H86"/>
  <c r="H208" s="1"/>
  <c r="I86"/>
  <c r="I208" s="1"/>
  <c r="J86"/>
  <c r="J208" s="1"/>
  <c r="K86"/>
  <c r="K208" s="1"/>
  <c r="L86"/>
  <c r="L208" s="1"/>
  <c r="M86"/>
  <c r="M208" s="1"/>
  <c r="N86"/>
  <c r="P86"/>
  <c r="G85"/>
  <c r="H85"/>
  <c r="I85"/>
  <c r="J85"/>
  <c r="K85"/>
  <c r="L85"/>
  <c r="M85"/>
  <c r="N85"/>
  <c r="P85"/>
  <c r="G83"/>
  <c r="H83"/>
  <c r="I83"/>
  <c r="J83"/>
  <c r="K83"/>
  <c r="L83"/>
  <c r="M83"/>
  <c r="N83"/>
  <c r="P83"/>
  <c r="G82"/>
  <c r="H82"/>
  <c r="I82"/>
  <c r="J82"/>
  <c r="K82"/>
  <c r="L82"/>
  <c r="M82"/>
  <c r="N82"/>
  <c r="P82"/>
  <c r="G76"/>
  <c r="H76"/>
  <c r="I76"/>
  <c r="J76"/>
  <c r="K76"/>
  <c r="L76"/>
  <c r="M76"/>
  <c r="N76"/>
  <c r="P76"/>
  <c r="G75"/>
  <c r="H75"/>
  <c r="H206" s="1"/>
  <c r="I75"/>
  <c r="I206" s="1"/>
  <c r="J75"/>
  <c r="J206" s="1"/>
  <c r="K75"/>
  <c r="K206" s="1"/>
  <c r="L75"/>
  <c r="L206" s="1"/>
  <c r="M75"/>
  <c r="M206" s="1"/>
  <c r="N75"/>
  <c r="P75"/>
  <c r="G74"/>
  <c r="H74"/>
  <c r="I74"/>
  <c r="J74"/>
  <c r="K74"/>
  <c r="L74"/>
  <c r="M74"/>
  <c r="N74"/>
  <c r="P74"/>
  <c r="T154"/>
  <c r="T162"/>
  <c r="T163" s="1"/>
  <c r="T114"/>
  <c r="T120" s="1"/>
  <c r="X147" l="1"/>
  <c r="X124"/>
  <c r="R170"/>
  <c r="T237" s="1"/>
  <c r="T236" s="1"/>
  <c r="T211"/>
  <c r="AB113"/>
  <c r="AB119" s="1"/>
  <c r="T134"/>
  <c r="S188"/>
  <c r="P230" s="1"/>
  <c r="X156"/>
  <c r="X166"/>
  <c r="X109"/>
  <c r="X157"/>
  <c r="X167"/>
  <c r="AA23"/>
  <c r="Z116"/>
  <c r="Z122" s="1"/>
  <c r="T107"/>
  <c r="T108"/>
  <c r="T160"/>
  <c r="T159"/>
  <c r="T115"/>
  <c r="T121" s="1"/>
  <c r="T155"/>
  <c r="H203"/>
  <c r="X137"/>
  <c r="X150"/>
  <c r="X149"/>
  <c r="X151"/>
  <c r="T136"/>
  <c r="X112"/>
  <c r="X118" s="1"/>
  <c r="X146"/>
  <c r="X145"/>
  <c r="T135"/>
  <c r="Y18"/>
  <c r="P203"/>
  <c r="K203"/>
  <c r="J203"/>
  <c r="M203"/>
  <c r="I203"/>
  <c r="Z20"/>
  <c r="Y90"/>
  <c r="H84"/>
  <c r="H207" s="1"/>
  <c r="Y27"/>
  <c r="U12"/>
  <c r="U15"/>
  <c r="U154" s="1"/>
  <c r="U13"/>
  <c r="U10"/>
  <c r="U16"/>
  <c r="U162" s="1"/>
  <c r="U163" s="1"/>
  <c r="U6"/>
  <c r="U7"/>
  <c r="Y25"/>
  <c r="X105"/>
  <c r="U55"/>
  <c r="U130" s="1"/>
  <c r="T106"/>
  <c r="AC51"/>
  <c r="L84"/>
  <c r="L207" s="1"/>
  <c r="K84"/>
  <c r="K207" s="1"/>
  <c r="J84"/>
  <c r="J207" s="1"/>
  <c r="AA21"/>
  <c r="U201"/>
  <c r="I84"/>
  <c r="I207" s="1"/>
  <c r="R74"/>
  <c r="G206"/>
  <c r="R75"/>
  <c r="R76"/>
  <c r="R83"/>
  <c r="R85"/>
  <c r="G203"/>
  <c r="R72"/>
  <c r="G208"/>
  <c r="R86"/>
  <c r="G84"/>
  <c r="R82"/>
  <c r="N206"/>
  <c r="N203"/>
  <c r="N208"/>
  <c r="P206"/>
  <c r="L203"/>
  <c r="N84"/>
  <c r="M84"/>
  <c r="M207" s="1"/>
  <c r="P208"/>
  <c r="P84"/>
  <c r="C6" i="12"/>
  <c r="C26" i="15"/>
  <c r="C58"/>
  <c r="C57"/>
  <c r="C54"/>
  <c r="C53"/>
  <c r="C50"/>
  <c r="C49"/>
  <c r="C45"/>
  <c r="U132" i="18" l="1"/>
  <c r="U131"/>
  <c r="Y124"/>
  <c r="Y125"/>
  <c r="U211"/>
  <c r="U220"/>
  <c r="U225"/>
  <c r="G216"/>
  <c r="G217" s="1"/>
  <c r="G215"/>
  <c r="M216"/>
  <c r="M217" s="1"/>
  <c r="M215"/>
  <c r="K216"/>
  <c r="K217" s="1"/>
  <c r="K215"/>
  <c r="N216"/>
  <c r="N217" s="1"/>
  <c r="N215"/>
  <c r="H216"/>
  <c r="H217" s="1"/>
  <c r="H215"/>
  <c r="I216"/>
  <c r="I217" s="1"/>
  <c r="I215"/>
  <c r="J216"/>
  <c r="J217" s="1"/>
  <c r="J215"/>
  <c r="P216"/>
  <c r="P217" s="1"/>
  <c r="P215"/>
  <c r="L216"/>
  <c r="L217" s="1"/>
  <c r="L215"/>
  <c r="Y109"/>
  <c r="Y147"/>
  <c r="U114"/>
  <c r="U120" s="1"/>
  <c r="U68"/>
  <c r="U110" s="1"/>
  <c r="U238"/>
  <c r="V238" s="1"/>
  <c r="W238" s="1"/>
  <c r="X238" s="1"/>
  <c r="Y238" s="1"/>
  <c r="Z238" s="1"/>
  <c r="AA238" s="1"/>
  <c r="AB238" s="1"/>
  <c r="AC238" s="1"/>
  <c r="AD238" s="1"/>
  <c r="AE238" s="1"/>
  <c r="AF238" s="1"/>
  <c r="AG238" s="1"/>
  <c r="AH238" s="1"/>
  <c r="AI238" s="1"/>
  <c r="AJ238" s="1"/>
  <c r="AK238" s="1"/>
  <c r="AL238" s="1"/>
  <c r="AM238" s="1"/>
  <c r="AN238" s="1"/>
  <c r="AO238" s="1"/>
  <c r="AP238" s="1"/>
  <c r="AQ238" s="1"/>
  <c r="AR238" s="1"/>
  <c r="AS238" s="1"/>
  <c r="AT238" s="1"/>
  <c r="U134"/>
  <c r="Y156"/>
  <c r="Y166"/>
  <c r="Y157"/>
  <c r="Y167"/>
  <c r="AF51"/>
  <c r="AC113"/>
  <c r="AB23"/>
  <c r="AA116"/>
  <c r="AA122" s="1"/>
  <c r="U160"/>
  <c r="U159"/>
  <c r="U115"/>
  <c r="U121" s="1"/>
  <c r="U155"/>
  <c r="U108"/>
  <c r="Y149"/>
  <c r="Y150"/>
  <c r="Y151"/>
  <c r="Y137"/>
  <c r="Y112"/>
  <c r="Y118" s="1"/>
  <c r="Y146"/>
  <c r="Y145"/>
  <c r="U135"/>
  <c r="U136"/>
  <c r="Z18"/>
  <c r="AA20"/>
  <c r="Z90"/>
  <c r="Z27"/>
  <c r="V15"/>
  <c r="V154" s="1"/>
  <c r="V13"/>
  <c r="V12"/>
  <c r="V16"/>
  <c r="V162" s="1"/>
  <c r="V163" s="1"/>
  <c r="V10"/>
  <c r="V7"/>
  <c r="V6"/>
  <c r="AD51"/>
  <c r="Z25"/>
  <c r="Y105"/>
  <c r="V55"/>
  <c r="V130" s="1"/>
  <c r="U107"/>
  <c r="U106"/>
  <c r="AB21"/>
  <c r="V201"/>
  <c r="R206"/>
  <c r="R203"/>
  <c r="R208"/>
  <c r="G207"/>
  <c r="R84"/>
  <c r="N207"/>
  <c r="P207"/>
  <c r="C16" i="15"/>
  <c r="C21"/>
  <c r="C10"/>
  <c r="R217" i="18" l="1"/>
  <c r="V131"/>
  <c r="V132"/>
  <c r="Z124"/>
  <c r="Z125"/>
  <c r="R215"/>
  <c r="U226"/>
  <c r="U227" s="1"/>
  <c r="U224"/>
  <c r="U221"/>
  <c r="U222" s="1"/>
  <c r="U219"/>
  <c r="V211"/>
  <c r="V225"/>
  <c r="V220"/>
  <c r="R216"/>
  <c r="Z109"/>
  <c r="Z147"/>
  <c r="V114"/>
  <c r="V120" s="1"/>
  <c r="V68"/>
  <c r="V110" s="1"/>
  <c r="U239"/>
  <c r="V239" s="1"/>
  <c r="W239" s="1"/>
  <c r="X239" s="1"/>
  <c r="Y239" s="1"/>
  <c r="Z239" s="1"/>
  <c r="AA239" s="1"/>
  <c r="AB239" s="1"/>
  <c r="AC239" s="1"/>
  <c r="AD239" s="1"/>
  <c r="AE239" s="1"/>
  <c r="AF239" s="1"/>
  <c r="AG239" s="1"/>
  <c r="AH239" s="1"/>
  <c r="AI239" s="1"/>
  <c r="AJ239" s="1"/>
  <c r="AK239" s="1"/>
  <c r="AL239" s="1"/>
  <c r="AM239" s="1"/>
  <c r="AN239" s="1"/>
  <c r="AO239" s="1"/>
  <c r="AP239" s="1"/>
  <c r="AQ239" s="1"/>
  <c r="AR239" s="1"/>
  <c r="AS239" s="1"/>
  <c r="AT239" s="1"/>
  <c r="AD113"/>
  <c r="AC119"/>
  <c r="AD119" s="1"/>
  <c r="U237"/>
  <c r="V237" s="1"/>
  <c r="W237" s="1"/>
  <c r="X237" s="1"/>
  <c r="Y237" s="1"/>
  <c r="Z237" s="1"/>
  <c r="AA237" s="1"/>
  <c r="AB237" s="1"/>
  <c r="AC237" s="1"/>
  <c r="AD237" s="1"/>
  <c r="V134"/>
  <c r="Z156"/>
  <c r="Z166"/>
  <c r="Z157"/>
  <c r="Z167"/>
  <c r="AC23"/>
  <c r="AB116"/>
  <c r="AB122" s="1"/>
  <c r="V115"/>
  <c r="V121" s="1"/>
  <c r="V155"/>
  <c r="V160"/>
  <c r="V159"/>
  <c r="V108"/>
  <c r="Z151"/>
  <c r="Z150"/>
  <c r="Z149"/>
  <c r="Z137"/>
  <c r="Z112"/>
  <c r="Z118" s="1"/>
  <c r="Z146"/>
  <c r="Z145"/>
  <c r="V135"/>
  <c r="V136"/>
  <c r="AA18"/>
  <c r="AB20"/>
  <c r="AA90"/>
  <c r="AA27"/>
  <c r="W13"/>
  <c r="W12"/>
  <c r="W15"/>
  <c r="W154" s="1"/>
  <c r="W10"/>
  <c r="W16"/>
  <c r="W162" s="1"/>
  <c r="W163" s="1"/>
  <c r="W6"/>
  <c r="W7"/>
  <c r="W55"/>
  <c r="W130" s="1"/>
  <c r="V107"/>
  <c r="V106"/>
  <c r="AA25"/>
  <c r="Z105"/>
  <c r="AC21"/>
  <c r="AF21" s="1"/>
  <c r="W201"/>
  <c r="R207"/>
  <c r="D31" i="8"/>
  <c r="D29"/>
  <c r="D28"/>
  <c r="D13"/>
  <c r="D30" s="1"/>
  <c r="E14"/>
  <c r="F14" s="1"/>
  <c r="G14" s="1"/>
  <c r="H14" s="1"/>
  <c r="I14" s="1"/>
  <c r="W132" i="18" l="1"/>
  <c r="W131"/>
  <c r="AA124"/>
  <c r="AA125"/>
  <c r="V221"/>
  <c r="V222" s="1"/>
  <c r="V219"/>
  <c r="V226"/>
  <c r="V227" s="1"/>
  <c r="V224"/>
  <c r="W211"/>
  <c r="W220"/>
  <c r="W225"/>
  <c r="AA109"/>
  <c r="AA147"/>
  <c r="W114"/>
  <c r="W120" s="1"/>
  <c r="W68"/>
  <c r="W110" s="1"/>
  <c r="U236"/>
  <c r="V236" s="1"/>
  <c r="W236" s="1"/>
  <c r="X236" s="1"/>
  <c r="Y236" s="1"/>
  <c r="Z236" s="1"/>
  <c r="AA236" s="1"/>
  <c r="AB236" s="1"/>
  <c r="AC236" s="1"/>
  <c r="AD236" s="1"/>
  <c r="AE237"/>
  <c r="AF237" s="1"/>
  <c r="AG237" s="1"/>
  <c r="AH237" s="1"/>
  <c r="AI237" s="1"/>
  <c r="AJ237" s="1"/>
  <c r="AK237" s="1"/>
  <c r="AL237" s="1"/>
  <c r="AM237" s="1"/>
  <c r="AN237" s="1"/>
  <c r="AO237" s="1"/>
  <c r="AP237" s="1"/>
  <c r="AQ237" s="1"/>
  <c r="AR237" s="1"/>
  <c r="AS237" s="1"/>
  <c r="AT237" s="1"/>
  <c r="W134"/>
  <c r="AA156"/>
  <c r="AA166"/>
  <c r="AA157"/>
  <c r="AA167"/>
  <c r="AF23"/>
  <c r="AC116"/>
  <c r="AD23"/>
  <c r="W108"/>
  <c r="W159"/>
  <c r="W160"/>
  <c r="W115"/>
  <c r="W121" s="1"/>
  <c r="W155"/>
  <c r="AA151"/>
  <c r="AA150"/>
  <c r="AA149"/>
  <c r="AA137"/>
  <c r="AA112"/>
  <c r="AA118" s="1"/>
  <c r="AA146"/>
  <c r="AA145"/>
  <c r="W136"/>
  <c r="W135"/>
  <c r="AB18"/>
  <c r="AC20"/>
  <c r="AB90"/>
  <c r="AB27"/>
  <c r="X12"/>
  <c r="X15"/>
  <c r="X154" s="1"/>
  <c r="X13"/>
  <c r="X16"/>
  <c r="X162" s="1"/>
  <c r="X163" s="1"/>
  <c r="X10"/>
  <c r="X7"/>
  <c r="X6"/>
  <c r="AB25"/>
  <c r="AB125" s="1"/>
  <c r="AA105"/>
  <c r="X55"/>
  <c r="X130" s="1"/>
  <c r="W106"/>
  <c r="W107"/>
  <c r="AD21"/>
  <c r="X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X132" i="18" l="1"/>
  <c r="X131"/>
  <c r="AB147"/>
  <c r="AB124"/>
  <c r="W226"/>
  <c r="W227" s="1"/>
  <c r="W224"/>
  <c r="W221"/>
  <c r="W222" s="1"/>
  <c r="W219"/>
  <c r="X211"/>
  <c r="X225"/>
  <c r="X220"/>
  <c r="X114"/>
  <c r="X120" s="1"/>
  <c r="X68"/>
  <c r="X110" s="1"/>
  <c r="AE236"/>
  <c r="AF236" s="1"/>
  <c r="AG236" s="1"/>
  <c r="AH236" s="1"/>
  <c r="AI236" s="1"/>
  <c r="AJ236" s="1"/>
  <c r="AK236" s="1"/>
  <c r="AL236" s="1"/>
  <c r="AM236" s="1"/>
  <c r="AN236" s="1"/>
  <c r="AO236" s="1"/>
  <c r="AP236" s="1"/>
  <c r="AQ236" s="1"/>
  <c r="AR236" s="1"/>
  <c r="AS236" s="1"/>
  <c r="AT236" s="1"/>
  <c r="AD116"/>
  <c r="AC122"/>
  <c r="AD122" s="1"/>
  <c r="X134"/>
  <c r="AB156"/>
  <c r="AB166"/>
  <c r="AB157"/>
  <c r="AB167"/>
  <c r="AF20"/>
  <c r="AB109"/>
  <c r="X160"/>
  <c r="X159"/>
  <c r="X115"/>
  <c r="X121" s="1"/>
  <c r="X155"/>
  <c r="X108"/>
  <c r="AB150"/>
  <c r="AB149"/>
  <c r="AB151"/>
  <c r="AB137"/>
  <c r="AB112"/>
  <c r="AB118" s="1"/>
  <c r="AB146"/>
  <c r="AB145"/>
  <c r="X136"/>
  <c r="X135"/>
  <c r="AC18"/>
  <c r="AD20"/>
  <c r="AC90"/>
  <c r="AC27"/>
  <c r="AC167" s="1"/>
  <c r="AD167" s="1"/>
  <c r="Y15"/>
  <c r="Y154" s="1"/>
  <c r="Y13"/>
  <c r="Y12"/>
  <c r="Y10"/>
  <c r="Y16"/>
  <c r="Y162" s="1"/>
  <c r="Y163" s="1"/>
  <c r="Y6"/>
  <c r="Y7"/>
  <c r="Y55"/>
  <c r="Y130" s="1"/>
  <c r="X107"/>
  <c r="X106"/>
  <c r="AC25"/>
  <c r="AB105"/>
  <c r="Y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Y132" i="18" l="1"/>
  <c r="Y131"/>
  <c r="AC124"/>
  <c r="AD124" s="1"/>
  <c r="AC125"/>
  <c r="AD125" s="1"/>
  <c r="X221"/>
  <c r="X222" s="1"/>
  <c r="X219"/>
  <c r="X226"/>
  <c r="X227" s="1"/>
  <c r="X224"/>
  <c r="Y211"/>
  <c r="Y225"/>
  <c r="Y220"/>
  <c r="AC109"/>
  <c r="AD109" s="1"/>
  <c r="AC147"/>
  <c r="AD147" s="1"/>
  <c r="Y114"/>
  <c r="Y120" s="1"/>
  <c r="Y68"/>
  <c r="Y110" s="1"/>
  <c r="Y134"/>
  <c r="AC156"/>
  <c r="AD156" s="1"/>
  <c r="AC166"/>
  <c r="AD166" s="1"/>
  <c r="Y115"/>
  <c r="Y121" s="1"/>
  <c r="Y155"/>
  <c r="Y160"/>
  <c r="Y159"/>
  <c r="AF27"/>
  <c r="AC157"/>
  <c r="AD157" s="1"/>
  <c r="Y108"/>
  <c r="AC149"/>
  <c r="AD149" s="1"/>
  <c r="AC151"/>
  <c r="AD151" s="1"/>
  <c r="AC150"/>
  <c r="AD150" s="1"/>
  <c r="N32" i="9"/>
  <c r="N33" s="1"/>
  <c r="N34" s="1"/>
  <c r="N35" s="1"/>
  <c r="N36" s="1"/>
  <c r="N37" s="1"/>
  <c r="N38" s="1"/>
  <c r="N39" s="1"/>
  <c r="N40" s="1"/>
  <c r="N41" s="1"/>
  <c r="N42" s="1"/>
  <c r="M45"/>
  <c r="AC137" i="18"/>
  <c r="AD137" s="1"/>
  <c r="AC112"/>
  <c r="AC146"/>
  <c r="AD146" s="1"/>
  <c r="AC145"/>
  <c r="AD145" s="1"/>
  <c r="Y136"/>
  <c r="Y135"/>
  <c r="AF25"/>
  <c r="AF18"/>
  <c r="AD18"/>
  <c r="T190"/>
  <c r="AF90"/>
  <c r="AD90"/>
  <c r="M32" i="9"/>
  <c r="M33" s="1"/>
  <c r="M34" s="1"/>
  <c r="M35" s="1"/>
  <c r="M36" s="1"/>
  <c r="M37" s="1"/>
  <c r="M38" s="1"/>
  <c r="M39" s="1"/>
  <c r="M40" s="1"/>
  <c r="M41" s="1"/>
  <c r="P32"/>
  <c r="AD27" i="18"/>
  <c r="Z12"/>
  <c r="Z15"/>
  <c r="Z154" s="1"/>
  <c r="Z13"/>
  <c r="Z10"/>
  <c r="Z16"/>
  <c r="Z162" s="1"/>
  <c r="Z163" s="1"/>
  <c r="Z7"/>
  <c r="Z6"/>
  <c r="AD25"/>
  <c r="AC105"/>
  <c r="AD105" s="1"/>
  <c r="Z55"/>
  <c r="Z130" s="1"/>
  <c r="Y107"/>
  <c r="Y106"/>
  <c r="O31" i="9"/>
  <c r="O32" s="1"/>
  <c r="Z201" i="18"/>
  <c r="P31" i="11"/>
  <c r="N32"/>
  <c r="T19" i="9"/>
  <c r="D22"/>
  <c r="Z131" i="18" l="1"/>
  <c r="Z132"/>
  <c r="Y221"/>
  <c r="Y222" s="1"/>
  <c r="Y219"/>
  <c r="Y226"/>
  <c r="Y227" s="1"/>
  <c r="Y224"/>
  <c r="Z211"/>
  <c r="Z220"/>
  <c r="Z225"/>
  <c r="Z114"/>
  <c r="Z120" s="1"/>
  <c r="Z68"/>
  <c r="Z110" s="1"/>
  <c r="AD112"/>
  <c r="AC118"/>
  <c r="AD118" s="1"/>
  <c r="Z134"/>
  <c r="Z160"/>
  <c r="Z159"/>
  <c r="Z115"/>
  <c r="Z121" s="1"/>
  <c r="Z155"/>
  <c r="Z108"/>
  <c r="Z135"/>
  <c r="Z136"/>
  <c r="U190"/>
  <c r="S190" s="1"/>
  <c r="AA13"/>
  <c r="AA12"/>
  <c r="AA15"/>
  <c r="AA154" s="1"/>
  <c r="AA10"/>
  <c r="AA16"/>
  <c r="AA162" s="1"/>
  <c r="AA163" s="1"/>
  <c r="AA6"/>
  <c r="AA7"/>
  <c r="AA55"/>
  <c r="AA130" s="1"/>
  <c r="Z107"/>
  <c r="Z106"/>
  <c r="AA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A132" i="18" l="1"/>
  <c r="AA131"/>
  <c r="Z226"/>
  <c r="Z227" s="1"/>
  <c r="Z224"/>
  <c r="Z221"/>
  <c r="Z222" s="1"/>
  <c r="Z219"/>
  <c r="AA211"/>
  <c r="AA225"/>
  <c r="AA220"/>
  <c r="AA114"/>
  <c r="AA120" s="1"/>
  <c r="AA68"/>
  <c r="AA110" s="1"/>
  <c r="AA134"/>
  <c r="AA115"/>
  <c r="AA121" s="1"/>
  <c r="AA155"/>
  <c r="AA159"/>
  <c r="AA160"/>
  <c r="AA108"/>
  <c r="AA135"/>
  <c r="AA136"/>
  <c r="AB12"/>
  <c r="AB15"/>
  <c r="AB154" s="1"/>
  <c r="AB13"/>
  <c r="AB10"/>
  <c r="AB16"/>
  <c r="AB162" s="1"/>
  <c r="AB163" s="1"/>
  <c r="AB7"/>
  <c r="AB6"/>
  <c r="AB55"/>
  <c r="AB130" s="1"/>
  <c r="AA106"/>
  <c r="AA107"/>
  <c r="AB201"/>
  <c r="N34" i="11"/>
  <c r="O33"/>
  <c r="D25" i="8"/>
  <c r="D23"/>
  <c r="AB132" i="18" l="1"/>
  <c r="AB131"/>
  <c r="AA221"/>
  <c r="AA222" s="1"/>
  <c r="AA219"/>
  <c r="AA226"/>
  <c r="AA227" s="1"/>
  <c r="AA224"/>
  <c r="AB211"/>
  <c r="AB225"/>
  <c r="AB220"/>
  <c r="AB114"/>
  <c r="AB120" s="1"/>
  <c r="AB68"/>
  <c r="AB110" s="1"/>
  <c r="AB134"/>
  <c r="AB108"/>
  <c r="AB159"/>
  <c r="AB160"/>
  <c r="AB115"/>
  <c r="AB121" s="1"/>
  <c r="AB155"/>
  <c r="AB135"/>
  <c r="AB136"/>
  <c r="AC15"/>
  <c r="AC13"/>
  <c r="AF13" s="1"/>
  <c r="AC12"/>
  <c r="AC155" s="1"/>
  <c r="AD155" s="1"/>
  <c r="AC10"/>
  <c r="AC16"/>
  <c r="AC6"/>
  <c r="AF6" s="1"/>
  <c r="AC7"/>
  <c r="AF7" s="1"/>
  <c r="AC55"/>
  <c r="AC130" s="1"/>
  <c r="AD130" s="1"/>
  <c r="AB107"/>
  <c r="AB106"/>
  <c r="AC201"/>
  <c r="N35" i="11"/>
  <c r="O34"/>
  <c r="D35" i="8"/>
  <c r="E5"/>
  <c r="E18" s="1"/>
  <c r="D18"/>
  <c r="D19"/>
  <c r="D21"/>
  <c r="D20"/>
  <c r="AC132" i="18" l="1"/>
  <c r="AD132" s="1"/>
  <c r="AC131"/>
  <c r="AD131" s="1"/>
  <c r="AB221"/>
  <c r="AB222" s="1"/>
  <c r="AB219"/>
  <c r="AB226"/>
  <c r="AB227" s="1"/>
  <c r="AB224"/>
  <c r="AC211"/>
  <c r="AD211" s="1"/>
  <c r="AF211" s="1"/>
  <c r="AF227" s="1"/>
  <c r="AC225"/>
  <c r="AC224" s="1"/>
  <c r="AD224" s="1"/>
  <c r="AC220"/>
  <c r="AC219" s="1"/>
  <c r="AD219" s="1"/>
  <c r="AC114"/>
  <c r="AC120" s="1"/>
  <c r="AD120" s="1"/>
  <c r="AC68"/>
  <c r="AC134"/>
  <c r="AD134" s="1"/>
  <c r="AF16"/>
  <c r="AC162"/>
  <c r="AC160"/>
  <c r="AD160" s="1"/>
  <c r="AC159"/>
  <c r="AD159" s="1"/>
  <c r="AF15"/>
  <c r="AC154"/>
  <c r="AD154" s="1"/>
  <c r="AC108"/>
  <c r="AD108" s="1"/>
  <c r="AF10"/>
  <c r="AF12"/>
  <c r="AC115"/>
  <c r="AF55"/>
  <c r="AC135"/>
  <c r="AD135" s="1"/>
  <c r="AC136"/>
  <c r="AD136" s="1"/>
  <c r="AD15"/>
  <c r="AD13"/>
  <c r="T184"/>
  <c r="AD12"/>
  <c r="AD10"/>
  <c r="AD16"/>
  <c r="AD7"/>
  <c r="AD6"/>
  <c r="AC107"/>
  <c r="AD107" s="1"/>
  <c r="AC106"/>
  <c r="AD106" s="1"/>
  <c r="AD55"/>
  <c r="AD201"/>
  <c r="AF201" s="1"/>
  <c r="N36" i="11"/>
  <c r="O35"/>
  <c r="F5" i="8"/>
  <c r="G5" s="1"/>
  <c r="H5" s="1"/>
  <c r="I5" s="1"/>
  <c r="AC221" i="18" l="1"/>
  <c r="AD220"/>
  <c r="AD225"/>
  <c r="AC226"/>
  <c r="AD68"/>
  <c r="AF68"/>
  <c r="AD114"/>
  <c r="AC110"/>
  <c r="AD110" s="1"/>
  <c r="AD115"/>
  <c r="AC121"/>
  <c r="AD121" s="1"/>
  <c r="AD162"/>
  <c r="AC163"/>
  <c r="AD163" s="1"/>
  <c r="U184"/>
  <c r="U185" s="1"/>
  <c r="T185"/>
  <c r="Q233" s="1"/>
  <c r="N37" i="11"/>
  <c r="O36"/>
  <c r="F18" i="8"/>
  <c r="G18"/>
  <c r="AD221" i="18" l="1"/>
  <c r="AC222"/>
  <c r="AD222" s="1"/>
  <c r="AC227"/>
  <c r="AD227" s="1"/>
  <c r="AD226"/>
  <c r="S184"/>
  <c r="S185"/>
  <c r="N38" i="11"/>
  <c r="O37"/>
  <c r="H18" i="8"/>
  <c r="M233" i="18" l="1"/>
  <c r="P233"/>
  <c r="N39" i="11"/>
  <c r="O38"/>
  <c r="I18" i="8"/>
  <c r="N40" i="11" l="1"/>
  <c r="O39"/>
  <c r="N41" l="1"/>
  <c r="O40"/>
  <c r="N42" l="1"/>
  <c r="O41"/>
  <c r="T212" i="18"/>
  <c r="T93"/>
  <c r="T74"/>
  <c r="T79"/>
  <c r="T100"/>
  <c r="T102"/>
  <c r="T95"/>
  <c r="T92"/>
  <c r="T78"/>
  <c r="T73"/>
  <c r="T67"/>
  <c r="T85"/>
  <c r="T99"/>
  <c r="T83"/>
  <c r="T76"/>
  <c r="T94"/>
  <c r="T96"/>
  <c r="T80"/>
  <c r="T209" s="1"/>
  <c r="T66"/>
  <c r="T202" s="1"/>
  <c r="T71"/>
  <c r="T205" s="1"/>
  <c r="T86"/>
  <c r="T208" s="1"/>
  <c r="T98"/>
  <c r="T164" s="1"/>
  <c r="T70"/>
  <c r="T204" s="1"/>
  <c r="T82"/>
  <c r="T139"/>
  <c r="T140" s="1"/>
  <c r="T72"/>
  <c r="T214" s="1"/>
  <c r="T75"/>
  <c r="T206" s="1"/>
  <c r="U57"/>
  <c r="T84" l="1"/>
  <c r="T207" s="1"/>
  <c r="U76"/>
  <c r="U99"/>
  <c r="U83"/>
  <c r="U95"/>
  <c r="U79"/>
  <c r="U78"/>
  <c r="U212"/>
  <c r="U94"/>
  <c r="U74"/>
  <c r="U98"/>
  <c r="U164" s="1"/>
  <c r="U86"/>
  <c r="U208" s="1"/>
  <c r="U70"/>
  <c r="U204" s="1"/>
  <c r="U139"/>
  <c r="U140" s="1"/>
  <c r="U92"/>
  <c r="U73"/>
  <c r="U102"/>
  <c r="U85"/>
  <c r="U100"/>
  <c r="U93"/>
  <c r="U96"/>
  <c r="U67"/>
  <c r="U75"/>
  <c r="U206" s="1"/>
  <c r="U66"/>
  <c r="U202" s="1"/>
  <c r="U80"/>
  <c r="U209" s="1"/>
  <c r="U71"/>
  <c r="U205" s="1"/>
  <c r="U72"/>
  <c r="U214" s="1"/>
  <c r="V57"/>
  <c r="U82"/>
  <c r="T141"/>
  <c r="T142" s="1"/>
  <c r="T143"/>
  <c r="T203"/>
  <c r="U84" l="1"/>
  <c r="U207" s="1"/>
  <c r="T216"/>
  <c r="T217" s="1"/>
  <c r="T215"/>
  <c r="V93"/>
  <c r="V70"/>
  <c r="V204" s="1"/>
  <c r="V94"/>
  <c r="V95"/>
  <c r="V99"/>
  <c r="V79"/>
  <c r="V76"/>
  <c r="V102"/>
  <c r="V85"/>
  <c r="V83"/>
  <c r="V66"/>
  <c r="V202" s="1"/>
  <c r="V75"/>
  <c r="V206" s="1"/>
  <c r="V71"/>
  <c r="V205" s="1"/>
  <c r="V74"/>
  <c r="V73"/>
  <c r="V92"/>
  <c r="V96"/>
  <c r="V67"/>
  <c r="V80"/>
  <c r="V209" s="1"/>
  <c r="V100"/>
  <c r="V78"/>
  <c r="V212"/>
  <c r="V98"/>
  <c r="V164" s="1"/>
  <c r="V86"/>
  <c r="V208" s="1"/>
  <c r="V82"/>
  <c r="V139"/>
  <c r="V140" s="1"/>
  <c r="V72"/>
  <c r="V214" s="1"/>
  <c r="W57"/>
  <c r="U203"/>
  <c r="U143"/>
  <c r="U141"/>
  <c r="U142" s="1"/>
  <c r="U216" l="1"/>
  <c r="U217" s="1"/>
  <c r="U215"/>
  <c r="W93"/>
  <c r="W212"/>
  <c r="W67"/>
  <c r="W94"/>
  <c r="W79"/>
  <c r="W74"/>
  <c r="W78"/>
  <c r="W92"/>
  <c r="W98"/>
  <c r="W164" s="1"/>
  <c r="W70"/>
  <c r="W204" s="1"/>
  <c r="W71"/>
  <c r="W205" s="1"/>
  <c r="W86"/>
  <c r="W208" s="1"/>
  <c r="W102"/>
  <c r="W73"/>
  <c r="W96"/>
  <c r="W100"/>
  <c r="W99"/>
  <c r="W76"/>
  <c r="W95"/>
  <c r="W85"/>
  <c r="W83"/>
  <c r="W80"/>
  <c r="W209" s="1"/>
  <c r="W66"/>
  <c r="W202" s="1"/>
  <c r="W139"/>
  <c r="W140" s="1"/>
  <c r="W72"/>
  <c r="W214" s="1"/>
  <c r="W75"/>
  <c r="W206" s="1"/>
  <c r="X57"/>
  <c r="W82"/>
  <c r="V203"/>
  <c r="V141"/>
  <c r="V142" s="1"/>
  <c r="V143"/>
  <c r="V84"/>
  <c r="V207" s="1"/>
  <c r="V216" l="1"/>
  <c r="V217" s="1"/>
  <c r="V215"/>
  <c r="W203"/>
  <c r="W84"/>
  <c r="W207" s="1"/>
  <c r="W143"/>
  <c r="W141"/>
  <c r="W142" s="1"/>
  <c r="X73"/>
  <c r="X94"/>
  <c r="X83"/>
  <c r="X93"/>
  <c r="X92"/>
  <c r="X78"/>
  <c r="X67"/>
  <c r="X76"/>
  <c r="X75"/>
  <c r="X206" s="1"/>
  <c r="X66"/>
  <c r="X202" s="1"/>
  <c r="X98"/>
  <c r="X164" s="1"/>
  <c r="X212"/>
  <c r="X96"/>
  <c r="X74"/>
  <c r="X102"/>
  <c r="X95"/>
  <c r="X79"/>
  <c r="X85"/>
  <c r="X99"/>
  <c r="X100"/>
  <c r="X70"/>
  <c r="X204" s="1"/>
  <c r="X71"/>
  <c r="X205" s="1"/>
  <c r="X86"/>
  <c r="X208" s="1"/>
  <c r="X80"/>
  <c r="X209" s="1"/>
  <c r="X82"/>
  <c r="X72"/>
  <c r="X214" s="1"/>
  <c r="X139"/>
  <c r="X140" s="1"/>
  <c r="Y57"/>
  <c r="X84" l="1"/>
  <c r="X207" s="1"/>
  <c r="W216"/>
  <c r="W217" s="1"/>
  <c r="W215"/>
  <c r="Y73"/>
  <c r="Y76"/>
  <c r="Y78"/>
  <c r="Y67"/>
  <c r="Y80"/>
  <c r="Y209" s="1"/>
  <c r="Y92"/>
  <c r="Y85"/>
  <c r="Y93"/>
  <c r="Y83"/>
  <c r="Y71"/>
  <c r="Y205" s="1"/>
  <c r="Y66"/>
  <c r="Y202" s="1"/>
  <c r="Y75"/>
  <c r="Y206" s="1"/>
  <c r="Y95"/>
  <c r="Y94"/>
  <c r="Y74"/>
  <c r="Y100"/>
  <c r="Y86"/>
  <c r="Y208" s="1"/>
  <c r="Y102"/>
  <c r="Y212"/>
  <c r="Y99"/>
  <c r="Y96"/>
  <c r="Y79"/>
  <c r="Y98"/>
  <c r="Y164" s="1"/>
  <c r="Y70"/>
  <c r="Y204" s="1"/>
  <c r="Z57"/>
  <c r="Y139"/>
  <c r="Y140" s="1"/>
  <c r="Y82"/>
  <c r="Y72"/>
  <c r="Y214" s="1"/>
  <c r="X141"/>
  <c r="X142" s="1"/>
  <c r="X143"/>
  <c r="X203"/>
  <c r="X216" l="1"/>
  <c r="X217" s="1"/>
  <c r="X215"/>
  <c r="Y84"/>
  <c r="Y207" s="1"/>
  <c r="Z92"/>
  <c r="Z79"/>
  <c r="Z212"/>
  <c r="Z78"/>
  <c r="Z80"/>
  <c r="Z209" s="1"/>
  <c r="Z95"/>
  <c r="Z67"/>
  <c r="Z83"/>
  <c r="Z100"/>
  <c r="Z98"/>
  <c r="Z164" s="1"/>
  <c r="Z66"/>
  <c r="Z202" s="1"/>
  <c r="Z99"/>
  <c r="Z74"/>
  <c r="Z76"/>
  <c r="Z96"/>
  <c r="Z86"/>
  <c r="Z208" s="1"/>
  <c r="Z73"/>
  <c r="Z102"/>
  <c r="Z94"/>
  <c r="Z93"/>
  <c r="Z85"/>
  <c r="Z70"/>
  <c r="Z204" s="1"/>
  <c r="Z71"/>
  <c r="Z205" s="1"/>
  <c r="Z75"/>
  <c r="Z206" s="1"/>
  <c r="Z139"/>
  <c r="Z140" s="1"/>
  <c r="Z72"/>
  <c r="Z214" s="1"/>
  <c r="Z82"/>
  <c r="AA57"/>
  <c r="Y203"/>
  <c r="Y141"/>
  <c r="Y142" s="1"/>
  <c r="Y143"/>
  <c r="Y216" l="1"/>
  <c r="Y217" s="1"/>
  <c r="Y215"/>
  <c r="Z84"/>
  <c r="Z207" s="1"/>
  <c r="Z143"/>
  <c r="Z141"/>
  <c r="Z142" s="1"/>
  <c r="AA92"/>
  <c r="AA94"/>
  <c r="AA76"/>
  <c r="AA96"/>
  <c r="AA66"/>
  <c r="AA202" s="1"/>
  <c r="AA74"/>
  <c r="AA83"/>
  <c r="AA100"/>
  <c r="AA95"/>
  <c r="AA70"/>
  <c r="AA204" s="1"/>
  <c r="AA80"/>
  <c r="AA209" s="1"/>
  <c r="AA85"/>
  <c r="AA79"/>
  <c r="AA212"/>
  <c r="AA99"/>
  <c r="AA102"/>
  <c r="AA93"/>
  <c r="AA67"/>
  <c r="AA73"/>
  <c r="AA78"/>
  <c r="AA71"/>
  <c r="AA205" s="1"/>
  <c r="AA86"/>
  <c r="AA208" s="1"/>
  <c r="AA98"/>
  <c r="AA164" s="1"/>
  <c r="AA75"/>
  <c r="AA206" s="1"/>
  <c r="AA139"/>
  <c r="AA140" s="1"/>
  <c r="AA82"/>
  <c r="AA72"/>
  <c r="AA214" s="1"/>
  <c r="AB57"/>
  <c r="Z203"/>
  <c r="Z216" l="1"/>
  <c r="Z217" s="1"/>
  <c r="Z215"/>
  <c r="AA203"/>
  <c r="AA84"/>
  <c r="AA207" s="1"/>
  <c r="AA141"/>
  <c r="AA142" s="1"/>
  <c r="AA143"/>
  <c r="AB79"/>
  <c r="AB92"/>
  <c r="AB83"/>
  <c r="AB73"/>
  <c r="AB98"/>
  <c r="AB164" s="1"/>
  <c r="AB100"/>
  <c r="AB93"/>
  <c r="AB99"/>
  <c r="AB76"/>
  <c r="AB66"/>
  <c r="AB202" s="1"/>
  <c r="AB86"/>
  <c r="AB208" s="1"/>
  <c r="AB96"/>
  <c r="AB71"/>
  <c r="AB205" s="1"/>
  <c r="AB102"/>
  <c r="AB94"/>
  <c r="AB95"/>
  <c r="AB85"/>
  <c r="AB78"/>
  <c r="AB67"/>
  <c r="AB212"/>
  <c r="AB74"/>
  <c r="AB70"/>
  <c r="AB204" s="1"/>
  <c r="AB80"/>
  <c r="AB209" s="1"/>
  <c r="AB75"/>
  <c r="AB206" s="1"/>
  <c r="AB139"/>
  <c r="AB140" s="1"/>
  <c r="AB72"/>
  <c r="AB214" s="1"/>
  <c r="AC57"/>
  <c r="AB82"/>
  <c r="AA216" l="1"/>
  <c r="AA217" s="1"/>
  <c r="AA215"/>
  <c r="AB84"/>
  <c r="AB207" s="1"/>
  <c r="AB203"/>
  <c r="AC212"/>
  <c r="AC99"/>
  <c r="AC100"/>
  <c r="AC67"/>
  <c r="AD57"/>
  <c r="AC73"/>
  <c r="AF57"/>
  <c r="AC102"/>
  <c r="AC98"/>
  <c r="AC70"/>
  <c r="AC66"/>
  <c r="AC71"/>
  <c r="AC75"/>
  <c r="AC85"/>
  <c r="AC72"/>
  <c r="AC214" s="1"/>
  <c r="AC86"/>
  <c r="AC93"/>
  <c r="AC95"/>
  <c r="AC80"/>
  <c r="AC82"/>
  <c r="AC78"/>
  <c r="AC83"/>
  <c r="AC94"/>
  <c r="AC92"/>
  <c r="AC76"/>
  <c r="AC96"/>
  <c r="AC139"/>
  <c r="AC74"/>
  <c r="AC79"/>
  <c r="AB143"/>
  <c r="AB141"/>
  <c r="AB142" s="1"/>
  <c r="AB216" l="1"/>
  <c r="AB217" s="1"/>
  <c r="AB215"/>
  <c r="AC140"/>
  <c r="AD139"/>
  <c r="AD94"/>
  <c r="T194"/>
  <c r="AF94"/>
  <c r="U194" s="1"/>
  <c r="AF80"/>
  <c r="U179" s="1"/>
  <c r="AC209"/>
  <c r="AD80"/>
  <c r="T179"/>
  <c r="AD72"/>
  <c r="AF72"/>
  <c r="U171" s="1"/>
  <c r="T171"/>
  <c r="AC203"/>
  <c r="AC215" s="1"/>
  <c r="AD215" s="1"/>
  <c r="AF66"/>
  <c r="AD66"/>
  <c r="AC202"/>
  <c r="AD100"/>
  <c r="AF100"/>
  <c r="T198"/>
  <c r="AF96"/>
  <c r="U198" s="1"/>
  <c r="AD96"/>
  <c r="AF83"/>
  <c r="AD83"/>
  <c r="AF95"/>
  <c r="U195" s="1"/>
  <c r="AD95"/>
  <c r="T195"/>
  <c r="AD85"/>
  <c r="T181"/>
  <c r="AF85"/>
  <c r="U181" s="1"/>
  <c r="AD70"/>
  <c r="AF70"/>
  <c r="AC204"/>
  <c r="AD73"/>
  <c r="AF73"/>
  <c r="AF99"/>
  <c r="AD99"/>
  <c r="AD79"/>
  <c r="AF79"/>
  <c r="U178" s="1"/>
  <c r="T178"/>
  <c r="AD76"/>
  <c r="T174"/>
  <c r="AF76"/>
  <c r="U174" s="1"/>
  <c r="T177"/>
  <c r="AD78"/>
  <c r="AF78"/>
  <c r="U177" s="1"/>
  <c r="AD93"/>
  <c r="T193"/>
  <c r="AF93"/>
  <c r="U193" s="1"/>
  <c r="AD75"/>
  <c r="AF75"/>
  <c r="U173" s="1"/>
  <c r="AC206"/>
  <c r="T173"/>
  <c r="AF98"/>
  <c r="AD98"/>
  <c r="AC164"/>
  <c r="AD164" s="1"/>
  <c r="AD212"/>
  <c r="AF212" s="1"/>
  <c r="T172"/>
  <c r="AF74"/>
  <c r="U172" s="1"/>
  <c r="AD74"/>
  <c r="AD92"/>
  <c r="T192"/>
  <c r="AF92"/>
  <c r="U192" s="1"/>
  <c r="AD82"/>
  <c r="AF82"/>
  <c r="U175" s="1"/>
  <c r="T175"/>
  <c r="AC84"/>
  <c r="AD86"/>
  <c r="AC208"/>
  <c r="T182"/>
  <c r="AF86"/>
  <c r="U182" s="1"/>
  <c r="AD71"/>
  <c r="AF71"/>
  <c r="AC205"/>
  <c r="AD67"/>
  <c r="AF67"/>
  <c r="S175" l="1"/>
  <c r="U196"/>
  <c r="AD214"/>
  <c r="AF214" s="1"/>
  <c r="S192"/>
  <c r="S177"/>
  <c r="S173"/>
  <c r="S181"/>
  <c r="AF84"/>
  <c r="AC207"/>
  <c r="AD84"/>
  <c r="AD206"/>
  <c r="AF206" s="1"/>
  <c r="T196"/>
  <c r="S193"/>
  <c r="S178"/>
  <c r="Q234"/>
  <c r="S198"/>
  <c r="AF226"/>
  <c r="S194"/>
  <c r="AD205"/>
  <c r="AF205" s="1"/>
  <c r="S182"/>
  <c r="Q232"/>
  <c r="S172"/>
  <c r="S195"/>
  <c r="AD209"/>
  <c r="AF209" s="1"/>
  <c r="AD208"/>
  <c r="AF208" s="1"/>
  <c r="AF222" s="1"/>
  <c r="S174"/>
  <c r="AC216"/>
  <c r="AD203"/>
  <c r="AF203" s="1"/>
  <c r="AF216" s="1"/>
  <c r="AD204"/>
  <c r="AF204" s="1"/>
  <c r="AF217" s="1"/>
  <c r="AD202"/>
  <c r="AF202" s="1"/>
  <c r="AF215" s="1"/>
  <c r="S171"/>
  <c r="P235" s="1"/>
  <c r="P236" s="1"/>
  <c r="Q235"/>
  <c r="Q236" s="1"/>
  <c r="S179"/>
  <c r="Q231"/>
  <c r="AC143"/>
  <c r="AD140"/>
  <c r="AC141"/>
  <c r="AF220" l="1"/>
  <c r="AF219"/>
  <c r="AD216"/>
  <c r="AC217"/>
  <c r="AD217" s="1"/>
  <c r="S196"/>
  <c r="AD141"/>
  <c r="AC142"/>
  <c r="AD142" s="1"/>
  <c r="P231"/>
  <c r="M231"/>
  <c r="M232"/>
  <c r="P232"/>
  <c r="M234"/>
  <c r="P234"/>
  <c r="AD207"/>
  <c r="AF207" s="1"/>
  <c r="AF221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Q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S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<sst xmlns="http://schemas.openxmlformats.org/spreadsheetml/2006/main" count="698" uniqueCount="496">
  <si>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</si>
  <si>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</si>
  <si>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</si>
  <si>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</si>
  <si>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</si>
  <si>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</si>
  <si>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</si>
  <si>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</si>
  <si>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</si>
  <si>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</si>
  <si>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</si>
  <si>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</si>
  <si>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</si>
  <si>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</si>
  <si>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</si>
  <si>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</si>
  <si>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</si>
  <si>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</si>
  <si>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</si>
  <si>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</si>
  <si>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</si>
  <si>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</si>
  <si>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</si>
  <si>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</si>
  <si>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</si>
  <si>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</si>
  <si>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</si>
  <si>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</si>
  <si>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</si>
  <si>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</si>
  <si>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</si>
  <si>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</si>
  <si>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</si>
  <si>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</si>
  <si>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</si>
  <si>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</si>
  <si>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</si>
  <si>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</si>
  <si>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</si>
  <si>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</si>
  <si>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</si>
  <si>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</si>
  <si>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</si>
  <si>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</si>
  <si>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</si>
  <si>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</si>
  <si>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</si>
  <si>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</si>
  <si>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</si>
  <si>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</si>
  <si>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</si>
  <si>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</si>
  <si>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</si>
  <si>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</si>
  <si>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</si>
  <si>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</si>
  <si>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</si>
  <si>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</si>
  <si>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</si>
  <si>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</si>
  <si>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</si>
  <si>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</si>
  <si>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</si>
  <si>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</si>
  <si>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</si>
  <si>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</si>
  <si>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</si>
  <si>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</si>
  <si>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</si>
  <si>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</si>
  <si>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</si>
  <si>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</si>
  <si>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</si>
  <si>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</si>
  <si>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</si>
  <si>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</si>
  <si>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</si>
  <si>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</si>
  <si>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</si>
  <si>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</si>
  <si>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</si>
  <si>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</si>
  <si>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</si>
  <si>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</si>
  <si>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</si>
  <si>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</si>
  <si>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</si>
  <si>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</si>
  <si>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</si>
  <si>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</si>
  <si>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</si>
  <si>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</si>
  <si>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</si>
  <si>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</si>
  <si>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</si>
  <si>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</si>
  <si>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</si>
  <si>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</si>
  <si>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</si>
  <si>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</si>
  <si>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</si>
  <si>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</si>
  <si>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</si>
  <si>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</si>
  <si>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</si>
  <si>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</si>
  <si>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</si>
  <si>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</si>
  <si>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</si>
  <si>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</si>
  <si>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</si>
  <si>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</si>
  <si>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</si>
  <si>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</si>
  <si>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</si>
  <si>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</si>
  <si>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</si>
  <si>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</si>
  <si>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</si>
  <si>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</si>
  <si>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</si>
  <si>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</si>
  <si>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</si>
  <si>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</si>
  <si>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</si>
  <si>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</si>
  <si>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</si>
  <si>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</si>
  <si>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</si>
  <si>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</si>
  <si>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</si>
  <si>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</si>
  <si>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</si>
  <si>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</si>
  <si>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</si>
  <si>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</si>
  <si>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</si>
  <si>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</si>
  <si>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</si>
  <si>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</si>
  <si>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</si>
  <si>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</si>
  <si>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</si>
  <si>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</si>
  <si>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</si>
  <si>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</si>
  <si>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</si>
  <si>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</si>
  <si>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</si>
  <si>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</si>
  <si>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</si>
  <si>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</si>
  <si>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</si>
  <si>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</si>
  <si>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</si>
  <si>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</si>
  <si>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</si>
  <si>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</si>
  <si>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</si>
  <si>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</si>
  <si>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</si>
  <si>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</si>
  <si>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</si>
  <si>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</si>
  <si>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</si>
  <si>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</si>
  <si>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</si>
  <si>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</si>
  <si>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</si>
  <si>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</si>
  <si>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</si>
  <si>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</si>
  <si>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</si>
  <si>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</si>
  <si>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</si>
  <si>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</si>
  <si>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</si>
  <si>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</si>
  <si>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</si>
  <si>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</si>
  <si>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</si>
  <si>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</si>
  <si>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</si>
  <si>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</si>
  <si>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</si>
  <si>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</si>
  <si>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</si>
  <si>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</si>
  <si>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</si>
  <si>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</si>
  <si>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</si>
  <si>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</si>
  <si>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</si>
  <si>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</si>
  <si>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</si>
  <si>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</si>
  <si>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</si>
  <si>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</si>
  <si>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</si>
  <si>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</si>
  <si>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</si>
  <si>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</si>
  <si>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</si>
  <si>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</si>
  <si>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</si>
  <si>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</si>
  <si>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</si>
  <si>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</si>
  <si>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</si>
  <si>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</si>
  <si>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</si>
  <si>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</si>
  <si>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</si>
  <si>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</si>
  <si>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</si>
  <si>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</si>
  <si>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</si>
  <si>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</si>
  <si>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</si>
  <si>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</si>
  <si>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</si>
  <si>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</si>
  <si>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</si>
  <si>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</si>
  <si>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</si>
  <si>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</si>
  <si>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</si>
  <si>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</si>
  <si>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</si>
  <si>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</si>
  <si>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</si>
  <si>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</si>
  <si>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</si>
  <si>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</si>
  <si>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</si>
  <si>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</si>
  <si>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</si>
  <si>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</si>
  <si>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</si>
  <si>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</si>
  <si>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</si>
  <si>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</si>
  <si>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</si>
  <si>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</si>
  <si>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</si>
  <si>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</si>
  <si>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</si>
  <si>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</si>
  <si>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</si>
  <si>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</si>
  <si>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</si>
  <si>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</si>
  <si>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</si>
  <si>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</si>
  <si>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</si>
  <si>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</si>
  <si>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</si>
  <si>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</si>
  <si>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</si>
  <si>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</si>
  <si>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</si>
  <si>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</si>
  <si>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</si>
  <si>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</si>
  <si>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</si>
  <si>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</si>
  <si>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</si>
  <si>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</si>
  <si>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</si>
  <si>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</si>
  <si>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</si>
  <si>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</si>
  <si>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</si>
  <si>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</si>
  <si>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</si>
  <si>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</si>
  <si>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</si>
  <si>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</si>
  <si>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</si>
  <si>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</si>
  <si>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</si>
  <si>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</si>
  <si>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</si>
  <si>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</si>
  <si>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</si>
  <si>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</si>
  <si>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</si>
  <si>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</si>
  <si>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</si>
  <si>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</si>
  <si>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</si>
  <si>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</si>
  <si>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</si>
  <si>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</si>
  <si>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</si>
  <si>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</si>
  <si>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</si>
  <si>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</si>
  <si>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</si>
  <si>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</si>
  <si>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</si>
  <si>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</si>
  <si>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</si>
  <si>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</si>
  <si>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</si>
  <si>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</si>
  <si>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</si>
  <si>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</si>
  <si>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</si>
  <si>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</si>
  <si>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</si>
  <si>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</si>
  <si>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</si>
  <si>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</si>
  <si>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</si>
  <si>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</si>
  <si>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</si>
  <si>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</si>
  <si>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</si>
  <si>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</si>
  <si>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</si>
  <si>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</si>
  <si>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</si>
  <si>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</si>
  <si>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</si>
  <si>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</si>
  <si>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</si>
  <si>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</si>
  <si>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</si>
  <si>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</si>
  <si>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</si>
  <si>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</si>
  <si>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</si>
  <si>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</si>
  <si>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</si>
  <si>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</si>
  <si>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</si>
  <si>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</si>
  <si>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</si>
  <si>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</si>
  <si>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</si>
  <si>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</si>
  <si>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</si>
  <si>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</si>
  <si>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</si>
  <si>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</si>
  <si>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</si>
  <si>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</si>
  <si>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</si>
  <si>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</si>
  <si>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</si>
  <si>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</si>
  <si>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</si>
  <si>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</si>
  <si>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</si>
  <si>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</si>
  <si>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</si>
  <si>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</si>
  <si>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</si>
  <si>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</si>
  <si>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</si>
  <si>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</si>
  <si>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</si>
  <si>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</si>
  <si>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</si>
  <si>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</si>
  <si>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</si>
  <si>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</si>
  <si>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</si>
  <si>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</si>
  <si>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</si>
  <si>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</si>
  <si>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</si>
  <si>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</si>
  <si>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</si>
  <si>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</si>
  <si>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</si>
  <si>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</si>
  <si>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</si>
  <si>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</si>
  <si>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</si>
  <si>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</si>
  <si>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</si>
  <si>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</si>
  <si>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</si>
  <si>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</si>
  <si>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</si>
  <si>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</si>
  <si>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</si>
  <si>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</si>
  <si>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</si>
  <si>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</si>
  <si>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</si>
  <si>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</si>
  <si>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</si>
  <si>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</si>
  <si>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</si>
  <si>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</si>
  <si>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</si>
  <si>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</si>
  <si>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</si>
  <si>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</si>
  <si>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</si>
  <si>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</si>
  <si>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</si>
  <si>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</si>
  <si>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</si>
  <si>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</si>
  <si>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</si>
  <si>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</si>
  <si>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</si>
  <si>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</si>
  <si>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</si>
  <si>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</si>
  <si>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</si>
  <si>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</si>
  <si>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</si>
  <si>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</si>
  <si>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</si>
  <si>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</si>
  <si>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</si>
  <si>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</si>
  <si>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</si>
  <si>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</si>
  <si>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</si>
  <si>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</si>
  <si>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</si>
  <si>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</si>
  <si>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</si>
  <si>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</si>
  <si>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</si>
  <si>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</si>
  <si>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</si>
  <si>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</si>
  <si>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</si>
  <si>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</si>
  <si>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</si>
  <si>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</si>
  <si>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</si>
  <si>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</si>
  <si>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</si>
  <si>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</si>
  <si>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</si>
  <si>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</si>
  <si>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</si>
  <si>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</si>
  <si>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</si>
  <si>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</si>
  <si>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</si>
  <si>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</si>
  <si>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</si>
  <si>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</si>
  <si>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</si>
  <si>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</si>
  <si>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</si>
  <si>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</si>
  <si>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</si>
  <si>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</si>
  <si>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</si>
  <si>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</si>
  <si>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</si>
  <si>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</si>
  <si>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</si>
  <si>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</si>
  <si>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</si>
  <si>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</si>
  <si>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</si>
  <si>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</si>
  <si>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PEG (avg)</t>
  </si>
  <si>
    <t>Discount/Prem to PEG (avg)</t>
  </si>
  <si>
    <t>Temp</t>
  </si>
  <si>
    <t>Avg 5 yrs</t>
  </si>
  <si>
    <t>Avg 10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</si>
  <si>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</si>
  <si>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</si>
  <si>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</si>
  <si>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</si>
  <si>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</si>
  <si>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</si>
  <si>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</si>
  <si>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</si>
  <si>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</si>
  <si>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</si>
  <si>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</si>
  <si>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</si>
  <si>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</si>
  <si>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</si>
  <si>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</si>
  <si>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</si>
  <si>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Dummy</t>
  </si>
  <si>
    <t>Top Expenses ( Interest Out gol 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</si>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</sst>
</file>

<file path=xl/styles.xml><?xml version="1.0" encoding="utf-8"?>
<styleSheet xmlns="http://schemas.openxmlformats.org/spreadsheetml/2006/main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b/>
      <sz val="12"/>
      <color rgb="FFFF0000"/>
      <name val="Cambria"/>
      <family val="1"/>
      <scheme val="maj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0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8" fillId="5" borderId="1" xfId="0" applyFont="1" applyFill="1" applyBorder="1" applyAlignment="1">
      <alignment horizontal="right"/>
    </xf>
    <xf numFmtId="0" fontId="21" fillId="5" borderId="1" xfId="0" applyFont="1" applyFill="1" applyBorder="1"/>
    <xf numFmtId="0" fontId="4" fillId="14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8" fillId="5" borderId="1" xfId="2" applyNumberFormat="1" applyFont="1" applyFill="1" applyBorder="1"/>
    <xf numFmtId="0" fontId="22" fillId="13" borderId="1" xfId="0" applyFont="1" applyFill="1" applyBorder="1" applyAlignment="1">
      <alignment horizontal="center"/>
    </xf>
    <xf numFmtId="2" fontId="8" fillId="5" borderId="1" xfId="2" applyNumberFormat="1" applyFont="1" applyFill="1" applyBorder="1"/>
    <xf numFmtId="172" fontId="8" fillId="5" borderId="1" xfId="2" applyNumberFormat="1" applyFont="1" applyFill="1" applyBorder="1"/>
    <xf numFmtId="172" fontId="8" fillId="15" borderId="1" xfId="2" applyNumberFormat="1" applyFont="1" applyFill="1" applyBorder="1"/>
    <xf numFmtId="0" fontId="4" fillId="5" borderId="1" xfId="1" applyNumberFormat="1" applyFont="1" applyFill="1" applyBorder="1"/>
    <xf numFmtId="0" fontId="4" fillId="14" borderId="18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dLbls/>
        <c:marker val="1"/>
        <c:axId val="81596416"/>
        <c:axId val="81597952"/>
      </c:lineChart>
      <c:catAx>
        <c:axId val="81596416"/>
        <c:scaling>
          <c:orientation val="minMax"/>
        </c:scaling>
        <c:axPos val="b"/>
        <c:tickLblPos val="nextTo"/>
        <c:crossAx val="81597952"/>
        <c:crosses val="autoZero"/>
        <c:auto val="1"/>
        <c:lblAlgn val="ctr"/>
        <c:lblOffset val="100"/>
      </c:catAx>
      <c:valAx>
        <c:axId val="81597952"/>
        <c:scaling>
          <c:orientation val="minMax"/>
        </c:scaling>
        <c:axPos val="l"/>
        <c:majorGridlines/>
        <c:numFmt formatCode="General" sourceLinked="1"/>
        <c:tickLblPos val="nextTo"/>
        <c:crossAx val="81596416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279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317</v>
      </c>
      <c r="C9" s="150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267</v>
      </c>
      <c r="C33" s="132">
        <v>3.44E-2</v>
      </c>
      <c r="D33" s="20"/>
      <c r="E33" s="20"/>
      <c r="F33" s="20"/>
      <c r="G33" s="20"/>
    </row>
    <row r="34" spans="2:7">
      <c r="B34" s="20" t="s">
        <v>266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272"/>
  <sheetViews>
    <sheetView tabSelected="1" zoomScale="80" zoomScaleNormal="80" workbookViewId="0">
      <pane xSplit="2" ySplit="3" topLeftCell="G4" activePane="bottomRight" state="frozen"/>
      <selection pane="topRight" activeCell="C1" sqref="C1"/>
      <selection pane="bottomLeft" activeCell="A5" sqref="A5"/>
      <selection pane="bottomRight" activeCell="I37" sqref="I37"/>
    </sheetView>
  </sheetViews>
  <sheetFormatPr defaultRowHeight="12.75"/>
  <cols>
    <col min="1" max="1" width="4.7109375" style="104" customWidth="1"/>
    <col min="2" max="2" width="37.140625" style="104" customWidth="1"/>
    <col min="3" max="3" width="7.85546875" style="104" customWidth="1"/>
    <col min="4" max="4" width="11.28515625" style="104" customWidth="1"/>
    <col min="5" max="5" width="8.42578125" style="104" bestFit="1" customWidth="1"/>
    <col min="6" max="6" width="9" style="104" bestFit="1" customWidth="1"/>
    <col min="7" max="7" width="13.5703125" style="104" bestFit="1" customWidth="1"/>
    <col min="8" max="8" width="11.28515625" style="104" bestFit="1" customWidth="1"/>
    <col min="9" max="16" width="12.2851562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>
      <c r="B1" s="123" t="s">
        <v>241</v>
      </c>
      <c r="C1" s="124">
        <f>P2</f>
        <v>0.22</v>
      </c>
      <c r="F1" s="104" t="s">
        <v>252</v>
      </c>
      <c r="H1" s="126">
        <v>2004</v>
      </c>
      <c r="J1" s="104" t="s">
        <v>325</v>
      </c>
      <c r="L1" s="162">
        <v>0.05</v>
      </c>
      <c r="N1" s="104" t="s">
        <v>396</v>
      </c>
      <c r="P1" s="162">
        <v>0.05</v>
      </c>
    </row>
    <row r="2" spans="2:32">
      <c r="B2" s="151" t="s">
        <v>314</v>
      </c>
      <c r="C2" s="120"/>
      <c r="F2" s="104" t="s">
        <v>253</v>
      </c>
      <c r="H2" s="126">
        <v>2014</v>
      </c>
      <c r="J2" s="104" t="s">
        <v>326</v>
      </c>
      <c r="L2" s="162">
        <v>0.25</v>
      </c>
      <c r="N2" s="104" t="s">
        <v>464</v>
      </c>
      <c r="P2" s="162">
        <v>0.22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213" t="s">
        <v>290</v>
      </c>
      <c r="AF2" s="214"/>
    </row>
    <row r="3" spans="2:3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5" t="s">
        <v>1</v>
      </c>
      <c r="AE3" s="215" t="s">
        <v>291</v>
      </c>
      <c r="AF3" s="216"/>
    </row>
    <row r="4" spans="2:3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6"/>
      <c r="AE4" s="20"/>
      <c r="AF4" s="20"/>
    </row>
    <row r="5" spans="2:32" ht="15.75">
      <c r="B5" s="108" t="s">
        <v>242</v>
      </c>
      <c r="C5" s="20"/>
      <c r="D5" s="20"/>
      <c r="E5" s="145"/>
      <c r="F5" s="145"/>
      <c r="G5" s="204" t="s">
        <v>489</v>
      </c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20"/>
      <c r="S5" s="20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36"/>
      <c r="AE5" s="20"/>
      <c r="AF5" s="152"/>
    </row>
    <row r="6" spans="2:32">
      <c r="B6" s="20" t="s">
        <v>16</v>
      </c>
      <c r="C6" s="140"/>
      <c r="D6" s="140"/>
      <c r="E6" s="146"/>
      <c r="F6" s="146"/>
      <c r="G6" s="203">
        <f>H6</f>
        <v>17</v>
      </c>
      <c r="H6" s="203">
        <v>17</v>
      </c>
      <c r="I6" s="203">
        <v>303</v>
      </c>
      <c r="J6" s="203">
        <v>507</v>
      </c>
      <c r="K6" s="203">
        <v>1023</v>
      </c>
      <c r="L6" s="203">
        <v>1327</v>
      </c>
      <c r="M6" s="203">
        <v>2749</v>
      </c>
      <c r="N6" s="203">
        <v>3446</v>
      </c>
      <c r="O6" s="203">
        <v>4323</v>
      </c>
      <c r="P6" s="203">
        <v>5449</v>
      </c>
      <c r="Q6" s="203">
        <v>6761</v>
      </c>
      <c r="R6" s="118">
        <f>((Q6/G6)^(1/($H$2-$H$1) ))-1</f>
        <v>0.81951735125934722</v>
      </c>
      <c r="S6" s="31">
        <f>$L$2</f>
        <v>0.25</v>
      </c>
      <c r="T6" s="152">
        <f>Q6*(1+$S6)</f>
        <v>8451.25</v>
      </c>
      <c r="U6" s="152">
        <f>T6*(1+$S6)</f>
        <v>10564.0625</v>
      </c>
      <c r="V6" s="152">
        <f t="shared" ref="V6:AC6" si="0">U6*(1+$S6)</f>
        <v>13205.078125</v>
      </c>
      <c r="W6" s="152">
        <f t="shared" si="0"/>
        <v>16506.34765625</v>
      </c>
      <c r="X6" s="152">
        <f t="shared" si="0"/>
        <v>20632.9345703125</v>
      </c>
      <c r="Y6" s="152">
        <f t="shared" si="0"/>
        <v>25791.168212890625</v>
      </c>
      <c r="Z6" s="152">
        <f t="shared" si="0"/>
        <v>32238.960266113281</v>
      </c>
      <c r="AA6" s="152">
        <f t="shared" si="0"/>
        <v>40298.700332641602</v>
      </c>
      <c r="AB6" s="152">
        <f t="shared" si="0"/>
        <v>50373.375415802002</v>
      </c>
      <c r="AC6" s="152">
        <f t="shared" si="0"/>
        <v>62966.719269752502</v>
      </c>
      <c r="AD6" s="137">
        <f>((AC6/G6)^(1/($AC$3-$H$1) ))-1</f>
        <v>0.50811030401432644</v>
      </c>
      <c r="AE6" s="31">
        <f>$L$1</f>
        <v>0.05</v>
      </c>
      <c r="AF6" s="145">
        <f t="shared" ref="AF6:AF59" si="1">(AC6*(1+AE6))/($C$1-AE6)</f>
        <v>388912.08960729488</v>
      </c>
    </row>
    <row r="7" spans="2:32">
      <c r="B7" s="20" t="s">
        <v>240</v>
      </c>
      <c r="C7" s="140"/>
      <c r="D7" s="140"/>
      <c r="E7" s="146"/>
      <c r="F7" s="146"/>
      <c r="G7" s="203">
        <f>H7</f>
        <v>217</v>
      </c>
      <c r="H7" s="203">
        <v>217</v>
      </c>
      <c r="I7" s="203">
        <v>572</v>
      </c>
      <c r="J7" s="203">
        <v>787</v>
      </c>
      <c r="K7" s="203">
        <v>1319</v>
      </c>
      <c r="L7" s="203">
        <v>1624</v>
      </c>
      <c r="M7" s="203">
        <v>3089</v>
      </c>
      <c r="N7" s="203">
        <v>3794</v>
      </c>
      <c r="O7" s="203">
        <v>4676</v>
      </c>
      <c r="P7" s="203">
        <v>5807</v>
      </c>
      <c r="Q7" s="203">
        <v>7115</v>
      </c>
      <c r="R7" s="118">
        <f>((Q7/G7)^(1/($H$2-$H$1) ))-1</f>
        <v>0.41765814381491118</v>
      </c>
      <c r="S7" s="31">
        <f>$L$2</f>
        <v>0.25</v>
      </c>
      <c r="T7" s="152">
        <f t="shared" ref="T7:T59" si="2">Q7*(1+$S7)</f>
        <v>8893.75</v>
      </c>
      <c r="U7" s="152">
        <f t="shared" ref="U7:AC7" si="3">T7*(1+$S7)</f>
        <v>11117.1875</v>
      </c>
      <c r="V7" s="152">
        <f t="shared" si="3"/>
        <v>13896.484375</v>
      </c>
      <c r="W7" s="152">
        <f t="shared" si="3"/>
        <v>17370.60546875</v>
      </c>
      <c r="X7" s="152">
        <f t="shared" si="3"/>
        <v>21713.2568359375</v>
      </c>
      <c r="Y7" s="152">
        <f t="shared" si="3"/>
        <v>27141.571044921875</v>
      </c>
      <c r="Z7" s="152">
        <f t="shared" si="3"/>
        <v>33926.963806152344</v>
      </c>
      <c r="AA7" s="152">
        <f t="shared" si="3"/>
        <v>42408.70475769043</v>
      </c>
      <c r="AB7" s="152">
        <f t="shared" si="3"/>
        <v>53010.880947113037</v>
      </c>
      <c r="AC7" s="152">
        <f t="shared" si="3"/>
        <v>66263.601183891296</v>
      </c>
      <c r="AD7" s="137">
        <f>((AC7/G7)^(1/($AC$3-$H$1) ))-1</f>
        <v>0.3311922024143017</v>
      </c>
      <c r="AE7" s="31">
        <f>$L$1</f>
        <v>0.05</v>
      </c>
      <c r="AF7" s="145">
        <f t="shared" si="1"/>
        <v>409275.18378285802</v>
      </c>
    </row>
    <row r="8" spans="2:32">
      <c r="B8" s="20"/>
      <c r="C8" s="140"/>
      <c r="D8" s="140"/>
      <c r="E8" s="146"/>
      <c r="F8" s="146"/>
      <c r="G8" s="149" t="e">
        <f t="shared" ref="G8:Q8" si="4">(G7-F7)/F7</f>
        <v>#DIV/0!</v>
      </c>
      <c r="H8" s="149">
        <f t="shared" si="4"/>
        <v>0</v>
      </c>
      <c r="I8" s="149">
        <f t="shared" si="4"/>
        <v>1.6359447004608294</v>
      </c>
      <c r="J8" s="149">
        <f t="shared" si="4"/>
        <v>0.37587412587412589</v>
      </c>
      <c r="K8" s="149">
        <f t="shared" si="4"/>
        <v>0.67598475222363408</v>
      </c>
      <c r="L8" s="149">
        <f t="shared" si="4"/>
        <v>0.23123578468536771</v>
      </c>
      <c r="M8" s="149">
        <f t="shared" si="4"/>
        <v>0.90209359605911332</v>
      </c>
      <c r="N8" s="149">
        <f t="shared" si="4"/>
        <v>0.22822920038847525</v>
      </c>
      <c r="O8" s="149">
        <f t="shared" si="4"/>
        <v>0.23247232472324722</v>
      </c>
      <c r="P8" s="149">
        <f t="shared" si="4"/>
        <v>0.24187339606501282</v>
      </c>
      <c r="Q8" s="149">
        <f t="shared" si="4"/>
        <v>0.22524539349061479</v>
      </c>
      <c r="R8" s="128"/>
      <c r="S8" s="20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36"/>
      <c r="AE8" s="136"/>
      <c r="AF8" s="145"/>
    </row>
    <row r="9" spans="2:32">
      <c r="B9" s="20" t="s">
        <v>269</v>
      </c>
      <c r="C9" s="140"/>
      <c r="D9" s="140"/>
      <c r="E9" s="146"/>
      <c r="F9" s="146"/>
      <c r="G9" s="203">
        <f>H9</f>
        <v>0</v>
      </c>
      <c r="H9" s="203">
        <v>0</v>
      </c>
      <c r="I9" s="203">
        <v>0</v>
      </c>
      <c r="J9" s="203">
        <v>0</v>
      </c>
      <c r="K9" s="203">
        <v>0</v>
      </c>
      <c r="L9" s="203">
        <v>0</v>
      </c>
      <c r="M9" s="203">
        <v>0</v>
      </c>
      <c r="N9" s="203">
        <v>0</v>
      </c>
      <c r="O9" s="203">
        <v>0</v>
      </c>
      <c r="P9" s="203">
        <v>0</v>
      </c>
      <c r="Q9" s="203">
        <v>0</v>
      </c>
      <c r="R9" s="118" t="e">
        <f>((Q9/G9)^(1/($H$2-$H$1) ))-1</f>
        <v>#DIV/0!</v>
      </c>
      <c r="S9" s="31">
        <f t="shared" ref="S9:S55" si="5">$L$2</f>
        <v>0.25</v>
      </c>
      <c r="T9" s="152">
        <f t="shared" si="2"/>
        <v>0</v>
      </c>
      <c r="U9" s="152">
        <f t="shared" ref="U9" si="6">T9*(1+$S9)</f>
        <v>0</v>
      </c>
      <c r="V9" s="152">
        <f t="shared" ref="V9" si="7">U9*(1+$S9)</f>
        <v>0</v>
      </c>
      <c r="W9" s="152">
        <f t="shared" ref="W9" si="8">V9*(1+$S9)</f>
        <v>0</v>
      </c>
      <c r="X9" s="152">
        <f t="shared" ref="X9" si="9">W9*(1+$S9)</f>
        <v>0</v>
      </c>
      <c r="Y9" s="152">
        <f t="shared" ref="Y9" si="10">X9*(1+$S9)</f>
        <v>0</v>
      </c>
      <c r="Z9" s="152">
        <f t="shared" ref="Z9" si="11">Y9*(1+$S9)</f>
        <v>0</v>
      </c>
      <c r="AA9" s="152">
        <f t="shared" ref="AA9" si="12">Z9*(1+$S9)</f>
        <v>0</v>
      </c>
      <c r="AB9" s="152">
        <f t="shared" ref="AB9" si="13">AA9*(1+$S9)</f>
        <v>0</v>
      </c>
      <c r="AC9" s="152">
        <f t="shared" ref="AC9" si="14">AB9*(1+$S9)</f>
        <v>0</v>
      </c>
      <c r="AD9" s="137" t="e">
        <f>((AC9/G9)^(1/($AC$3-$H$1) ))-1</f>
        <v>#DIV/0!</v>
      </c>
      <c r="AE9" s="31">
        <f t="shared" ref="AE9:AE99" si="15">$L$1</f>
        <v>0.05</v>
      </c>
      <c r="AF9" s="145">
        <f t="shared" si="1"/>
        <v>0</v>
      </c>
    </row>
    <row r="10" spans="2:32">
      <c r="B10" s="20" t="s">
        <v>4</v>
      </c>
      <c r="C10" s="140"/>
      <c r="D10" s="140"/>
      <c r="E10" s="146"/>
      <c r="F10" s="146"/>
      <c r="G10" s="203">
        <f>H10</f>
        <v>1032</v>
      </c>
      <c r="H10" s="203">
        <v>1032</v>
      </c>
      <c r="I10" s="203">
        <v>3375</v>
      </c>
      <c r="J10" s="203">
        <v>9087</v>
      </c>
      <c r="K10" s="203">
        <v>14259</v>
      </c>
      <c r="L10" s="203">
        <v>18358</v>
      </c>
      <c r="M10" s="203">
        <v>31547</v>
      </c>
      <c r="N10" s="203">
        <v>52629</v>
      </c>
      <c r="O10" s="203">
        <v>63308</v>
      </c>
      <c r="P10" s="203">
        <v>87877</v>
      </c>
      <c r="Q10" s="203">
        <v>95499</v>
      </c>
      <c r="R10" s="118">
        <f>((Q10/G10)^(1/($H$2-$H$1) ))-1</f>
        <v>0.57264939667890324</v>
      </c>
      <c r="S10" s="31">
        <f t="shared" si="5"/>
        <v>0.25</v>
      </c>
      <c r="T10" s="152">
        <f t="shared" si="2"/>
        <v>119373.75</v>
      </c>
      <c r="U10" s="152">
        <f t="shared" ref="U10:AC10" si="16">T10*(1+$S10)</f>
        <v>149217.1875</v>
      </c>
      <c r="V10" s="152">
        <f t="shared" si="16"/>
        <v>186521.484375</v>
      </c>
      <c r="W10" s="152">
        <f t="shared" si="16"/>
        <v>233151.85546875</v>
      </c>
      <c r="X10" s="152">
        <f t="shared" si="16"/>
        <v>291439.8193359375</v>
      </c>
      <c r="Y10" s="152">
        <f t="shared" si="16"/>
        <v>364299.77416992188</v>
      </c>
      <c r="Z10" s="152">
        <f t="shared" si="16"/>
        <v>455374.71771240234</v>
      </c>
      <c r="AA10" s="152">
        <f t="shared" si="16"/>
        <v>569218.39714050293</v>
      </c>
      <c r="AB10" s="152">
        <f t="shared" si="16"/>
        <v>711522.99642562866</v>
      </c>
      <c r="AC10" s="152">
        <f t="shared" si="16"/>
        <v>889403.74553203583</v>
      </c>
      <c r="AD10" s="137">
        <f t="shared" ref="AD10:AD57" si="17">((AC10/G10)^(1/($AC$3-$H$1) ))-1</f>
        <v>0.40207408714683446</v>
      </c>
      <c r="AE10" s="31">
        <f t="shared" si="15"/>
        <v>0.05</v>
      </c>
      <c r="AF10" s="145">
        <f t="shared" si="1"/>
        <v>5493376.0753449276</v>
      </c>
    </row>
    <row r="11" spans="2:32">
      <c r="B11" s="20"/>
      <c r="C11" s="140"/>
      <c r="D11" s="140"/>
      <c r="E11" s="146"/>
      <c r="F11" s="146"/>
      <c r="G11" s="149" t="e">
        <f t="shared" ref="G11:Q11" si="18">(G10-F10)/F10</f>
        <v>#DIV/0!</v>
      </c>
      <c r="H11" s="149">
        <f t="shared" si="18"/>
        <v>0</v>
      </c>
      <c r="I11" s="149">
        <f t="shared" si="18"/>
        <v>2.2703488372093021</v>
      </c>
      <c r="J11" s="149">
        <f t="shared" si="18"/>
        <v>1.6924444444444444</v>
      </c>
      <c r="K11" s="149">
        <f t="shared" si="18"/>
        <v>0.56916474083856061</v>
      </c>
      <c r="L11" s="149">
        <f t="shared" si="18"/>
        <v>0.28746756434532578</v>
      </c>
      <c r="M11" s="149">
        <f t="shared" si="18"/>
        <v>0.7184333805425428</v>
      </c>
      <c r="N11" s="149">
        <f t="shared" si="18"/>
        <v>0.66827273591783687</v>
      </c>
      <c r="O11" s="149">
        <f t="shared" si="18"/>
        <v>0.20291094263618917</v>
      </c>
      <c r="P11" s="149">
        <f t="shared" si="18"/>
        <v>0.38808681367283754</v>
      </c>
      <c r="Q11" s="149">
        <f t="shared" si="18"/>
        <v>8.6734868054212141E-2</v>
      </c>
      <c r="R11" s="128"/>
      <c r="S11" s="20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19"/>
      <c r="AE11" s="31">
        <f t="shared" si="15"/>
        <v>0.05</v>
      </c>
      <c r="AF11" s="152"/>
    </row>
    <row r="12" spans="2:32">
      <c r="B12" s="20" t="s">
        <v>2</v>
      </c>
      <c r="C12" s="140"/>
      <c r="D12" s="140"/>
      <c r="E12" s="146"/>
      <c r="F12" s="146"/>
      <c r="G12" s="203">
        <f>H12</f>
        <v>0</v>
      </c>
      <c r="H12" s="203">
        <v>0</v>
      </c>
      <c r="I12" s="203">
        <v>0</v>
      </c>
      <c r="J12" s="203">
        <v>0</v>
      </c>
      <c r="K12" s="203">
        <v>0</v>
      </c>
      <c r="L12" s="203">
        <v>0</v>
      </c>
      <c r="M12" s="203">
        <v>0</v>
      </c>
      <c r="N12" s="203">
        <v>0</v>
      </c>
      <c r="O12" s="203">
        <v>0</v>
      </c>
      <c r="P12" s="203">
        <v>0</v>
      </c>
      <c r="Q12" s="203">
        <v>0</v>
      </c>
      <c r="R12" s="118" t="e">
        <f>((Q12/G12)^(1/($H$2-$H$1) ))-1</f>
        <v>#DIV/0!</v>
      </c>
      <c r="S12" s="31">
        <f t="shared" si="5"/>
        <v>0.25</v>
      </c>
      <c r="T12" s="152">
        <f t="shared" si="2"/>
        <v>0</v>
      </c>
      <c r="U12" s="152">
        <f t="shared" ref="U12:AC12" si="19">T12*(1+$S12)</f>
        <v>0</v>
      </c>
      <c r="V12" s="152">
        <f t="shared" si="19"/>
        <v>0</v>
      </c>
      <c r="W12" s="152">
        <f t="shared" si="19"/>
        <v>0</v>
      </c>
      <c r="X12" s="152">
        <f t="shared" si="19"/>
        <v>0</v>
      </c>
      <c r="Y12" s="152">
        <f t="shared" si="19"/>
        <v>0</v>
      </c>
      <c r="Z12" s="152">
        <f t="shared" si="19"/>
        <v>0</v>
      </c>
      <c r="AA12" s="152">
        <f t="shared" si="19"/>
        <v>0</v>
      </c>
      <c r="AB12" s="152">
        <f t="shared" si="19"/>
        <v>0</v>
      </c>
      <c r="AC12" s="152">
        <f t="shared" si="19"/>
        <v>0</v>
      </c>
      <c r="AD12" s="137" t="e">
        <f t="shared" si="17"/>
        <v>#DIV/0!</v>
      </c>
      <c r="AE12" s="31">
        <f t="shared" si="15"/>
        <v>0.05</v>
      </c>
      <c r="AF12" s="145">
        <f t="shared" si="1"/>
        <v>0</v>
      </c>
    </row>
    <row r="13" spans="2:32">
      <c r="B13" s="20" t="s">
        <v>218</v>
      </c>
      <c r="C13" s="140"/>
      <c r="D13" s="140"/>
      <c r="E13" s="146"/>
      <c r="F13" s="146"/>
      <c r="G13" s="203">
        <f>H13</f>
        <v>395</v>
      </c>
      <c r="H13" s="203">
        <v>395</v>
      </c>
      <c r="I13" s="203">
        <v>1350</v>
      </c>
      <c r="J13" s="203">
        <v>3073</v>
      </c>
      <c r="K13" s="203">
        <v>5093</v>
      </c>
      <c r="L13" s="203">
        <v>7117</v>
      </c>
      <c r="M13" s="203">
        <v>10209</v>
      </c>
      <c r="N13" s="203">
        <v>18828</v>
      </c>
      <c r="O13" s="203">
        <v>27757</v>
      </c>
      <c r="P13" s="203">
        <v>42975</v>
      </c>
      <c r="Q13" s="203">
        <v>40932</v>
      </c>
      <c r="R13" s="118">
        <f>((Q13/G13)^(1/($H$2-$H$1) ))-1</f>
        <v>0.59054729346273271</v>
      </c>
      <c r="S13" s="31">
        <f t="shared" si="5"/>
        <v>0.25</v>
      </c>
      <c r="T13" s="152">
        <f t="shared" si="2"/>
        <v>51165</v>
      </c>
      <c r="U13" s="152">
        <f t="shared" ref="U13:AC13" si="20">T13*(1+$S13)</f>
        <v>63956.25</v>
      </c>
      <c r="V13" s="152">
        <f t="shared" si="20"/>
        <v>79945.3125</v>
      </c>
      <c r="W13" s="152">
        <f t="shared" si="20"/>
        <v>99931.640625</v>
      </c>
      <c r="X13" s="152">
        <f t="shared" si="20"/>
        <v>124914.55078125</v>
      </c>
      <c r="Y13" s="152">
        <f t="shared" si="20"/>
        <v>156143.1884765625</v>
      </c>
      <c r="Z13" s="152">
        <f t="shared" si="20"/>
        <v>195178.98559570313</v>
      </c>
      <c r="AA13" s="152">
        <f t="shared" si="20"/>
        <v>243973.73199462891</v>
      </c>
      <c r="AB13" s="152">
        <f t="shared" si="20"/>
        <v>304967.16499328613</v>
      </c>
      <c r="AC13" s="152">
        <f t="shared" si="20"/>
        <v>381208.95624160767</v>
      </c>
      <c r="AD13" s="137">
        <f t="shared" si="17"/>
        <v>0.41002982834705159</v>
      </c>
      <c r="AE13" s="31">
        <f t="shared" si="15"/>
        <v>0.05</v>
      </c>
      <c r="AF13" s="145">
        <f t="shared" si="1"/>
        <v>2354525.9061981654</v>
      </c>
    </row>
    <row r="14" spans="2:32">
      <c r="B14" s="20" t="s">
        <v>371</v>
      </c>
      <c r="C14" s="140"/>
      <c r="D14" s="140"/>
      <c r="E14" s="146"/>
      <c r="F14" s="146"/>
      <c r="G14" s="203">
        <f>H14</f>
        <v>0</v>
      </c>
      <c r="H14" s="203">
        <v>0</v>
      </c>
      <c r="I14" s="203">
        <v>0</v>
      </c>
      <c r="J14" s="203">
        <v>0</v>
      </c>
      <c r="K14" s="203">
        <v>0</v>
      </c>
      <c r="L14" s="203">
        <v>0</v>
      </c>
      <c r="M14" s="203">
        <v>0</v>
      </c>
      <c r="N14" s="203">
        <v>0</v>
      </c>
      <c r="O14" s="203">
        <v>0</v>
      </c>
      <c r="P14" s="203">
        <v>0</v>
      </c>
      <c r="Q14" s="203">
        <v>0</v>
      </c>
      <c r="R14" s="118" t="e">
        <f>((Q14/G14)^(1/($H$2-$H$1) ))-1</f>
        <v>#DIV/0!</v>
      </c>
      <c r="S14" s="31">
        <f t="shared" si="5"/>
        <v>0.25</v>
      </c>
      <c r="T14" s="152">
        <f t="shared" si="2"/>
        <v>0</v>
      </c>
      <c r="U14" s="152">
        <f t="shared" ref="U14" si="21">T14*(1+$S14)</f>
        <v>0</v>
      </c>
      <c r="V14" s="152">
        <f t="shared" ref="V14" si="22">U14*(1+$S14)</f>
        <v>0</v>
      </c>
      <c r="W14" s="152">
        <f t="shared" ref="W14" si="23">V14*(1+$S14)</f>
        <v>0</v>
      </c>
      <c r="X14" s="152">
        <f t="shared" ref="X14" si="24">W14*(1+$S14)</f>
        <v>0</v>
      </c>
      <c r="Y14" s="152">
        <f t="shared" ref="Y14" si="25">X14*(1+$S14)</f>
        <v>0</v>
      </c>
      <c r="Z14" s="152">
        <f t="shared" ref="Z14" si="26">Y14*(1+$S14)</f>
        <v>0</v>
      </c>
      <c r="AA14" s="152">
        <f t="shared" ref="AA14" si="27">Z14*(1+$S14)</f>
        <v>0</v>
      </c>
      <c r="AB14" s="152">
        <f t="shared" ref="AB14" si="28">AA14*(1+$S14)</f>
        <v>0</v>
      </c>
      <c r="AC14" s="152">
        <f t="shared" ref="AC14" si="29">AB14*(1+$S14)</f>
        <v>0</v>
      </c>
      <c r="AD14" s="137" t="e">
        <f t="shared" ref="AD14" si="30">((AC14/G14)^(1/($AC$3-$H$1) ))-1</f>
        <v>#DIV/0!</v>
      </c>
      <c r="AE14" s="31">
        <f t="shared" si="15"/>
        <v>0.05</v>
      </c>
      <c r="AF14" s="145">
        <f t="shared" ref="AF14" si="31">(AC14*(1+AE14))/($C$1-AE14)</f>
        <v>0</v>
      </c>
    </row>
    <row r="15" spans="2:32">
      <c r="B15" s="20" t="s">
        <v>19</v>
      </c>
      <c r="C15" s="140"/>
      <c r="D15" s="140"/>
      <c r="E15" s="146"/>
      <c r="F15" s="146"/>
      <c r="G15" s="203">
        <f>H15</f>
        <v>0</v>
      </c>
      <c r="H15" s="203">
        <v>0</v>
      </c>
      <c r="I15" s="203">
        <v>0</v>
      </c>
      <c r="J15" s="203">
        <v>0</v>
      </c>
      <c r="K15" s="203">
        <v>0</v>
      </c>
      <c r="L15" s="203">
        <v>0</v>
      </c>
      <c r="M15" s="203">
        <v>0</v>
      </c>
      <c r="N15" s="203">
        <v>0</v>
      </c>
      <c r="O15" s="203">
        <v>0</v>
      </c>
      <c r="P15" s="203">
        <v>0</v>
      </c>
      <c r="Q15" s="203">
        <v>0</v>
      </c>
      <c r="R15" s="118" t="e">
        <f>((Q15/G15)^(1/($H$2-$H$1) ))-1</f>
        <v>#DIV/0!</v>
      </c>
      <c r="S15" s="31">
        <f t="shared" si="5"/>
        <v>0.25</v>
      </c>
      <c r="T15" s="152">
        <f t="shared" si="2"/>
        <v>0</v>
      </c>
      <c r="U15" s="152">
        <f t="shared" ref="U15:AC15" si="32">T15*(1+$S15)</f>
        <v>0</v>
      </c>
      <c r="V15" s="152">
        <f t="shared" si="32"/>
        <v>0</v>
      </c>
      <c r="W15" s="152">
        <f t="shared" si="32"/>
        <v>0</v>
      </c>
      <c r="X15" s="152">
        <f t="shared" si="32"/>
        <v>0</v>
      </c>
      <c r="Y15" s="152">
        <f t="shared" si="32"/>
        <v>0</v>
      </c>
      <c r="Z15" s="152">
        <f t="shared" si="32"/>
        <v>0</v>
      </c>
      <c r="AA15" s="152">
        <f t="shared" si="32"/>
        <v>0</v>
      </c>
      <c r="AB15" s="152">
        <f t="shared" si="32"/>
        <v>0</v>
      </c>
      <c r="AC15" s="152">
        <f t="shared" si="32"/>
        <v>0</v>
      </c>
      <c r="AD15" s="137" t="e">
        <f t="shared" si="17"/>
        <v>#DIV/0!</v>
      </c>
      <c r="AE15" s="31">
        <f t="shared" si="15"/>
        <v>0.05</v>
      </c>
      <c r="AF15" s="145">
        <f t="shared" si="1"/>
        <v>0</v>
      </c>
    </row>
    <row r="16" spans="2:32">
      <c r="B16" s="20" t="s">
        <v>23</v>
      </c>
      <c r="C16" s="140"/>
      <c r="D16" s="140"/>
      <c r="E16" s="146"/>
      <c r="F16" s="146"/>
      <c r="G16" s="203">
        <f>H16</f>
        <v>0</v>
      </c>
      <c r="H16" s="203">
        <v>0</v>
      </c>
      <c r="I16" s="203">
        <v>0</v>
      </c>
      <c r="J16" s="203">
        <v>0</v>
      </c>
      <c r="K16" s="203">
        <v>0</v>
      </c>
      <c r="L16" s="203">
        <v>0</v>
      </c>
      <c r="M16" s="203">
        <v>0</v>
      </c>
      <c r="N16" s="203">
        <v>0</v>
      </c>
      <c r="O16" s="203">
        <v>0</v>
      </c>
      <c r="P16" s="203">
        <v>0</v>
      </c>
      <c r="Q16" s="203">
        <v>0</v>
      </c>
      <c r="R16" s="118" t="e">
        <f>((Q16/G16)^(1/($H$2-$H$1) ))-1</f>
        <v>#DIV/0!</v>
      </c>
      <c r="S16" s="31">
        <f t="shared" si="5"/>
        <v>0.25</v>
      </c>
      <c r="T16" s="152">
        <f t="shared" si="2"/>
        <v>0</v>
      </c>
      <c r="U16" s="152">
        <f t="shared" ref="U16:AC16" si="33">T16*(1+$S16)</f>
        <v>0</v>
      </c>
      <c r="V16" s="152">
        <f t="shared" si="33"/>
        <v>0</v>
      </c>
      <c r="W16" s="152">
        <f t="shared" si="33"/>
        <v>0</v>
      </c>
      <c r="X16" s="152">
        <f t="shared" si="33"/>
        <v>0</v>
      </c>
      <c r="Y16" s="152">
        <f t="shared" si="33"/>
        <v>0</v>
      </c>
      <c r="Z16" s="152">
        <f t="shared" si="33"/>
        <v>0</v>
      </c>
      <c r="AA16" s="152">
        <f t="shared" si="33"/>
        <v>0</v>
      </c>
      <c r="AB16" s="152">
        <f t="shared" si="33"/>
        <v>0</v>
      </c>
      <c r="AC16" s="152">
        <f t="shared" si="33"/>
        <v>0</v>
      </c>
      <c r="AD16" s="137" t="e">
        <f t="shared" si="17"/>
        <v>#DIV/0!</v>
      </c>
      <c r="AE16" s="31">
        <f t="shared" si="15"/>
        <v>0.05</v>
      </c>
      <c r="AF16" s="145">
        <f t="shared" si="1"/>
        <v>0</v>
      </c>
    </row>
    <row r="17" spans="2:32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28"/>
      <c r="S17" s="20"/>
      <c r="T17" s="152">
        <f t="shared" si="2"/>
        <v>0</v>
      </c>
      <c r="U17" s="152"/>
      <c r="V17" s="152"/>
      <c r="W17" s="152"/>
      <c r="X17" s="152"/>
      <c r="Y17" s="152"/>
      <c r="Z17" s="152"/>
      <c r="AA17" s="152"/>
      <c r="AB17" s="152"/>
      <c r="AC17" s="152"/>
      <c r="AD17" s="138"/>
      <c r="AE17" s="136"/>
      <c r="AF17" s="152"/>
    </row>
    <row r="18" spans="2:32">
      <c r="B18" s="20" t="s">
        <v>277</v>
      </c>
      <c r="C18" s="140"/>
      <c r="D18" s="140"/>
      <c r="E18" s="146"/>
      <c r="F18" s="146"/>
      <c r="G18" s="203">
        <f>H18</f>
        <v>16</v>
      </c>
      <c r="H18" s="203">
        <v>16</v>
      </c>
      <c r="I18" s="203">
        <v>29</v>
      </c>
      <c r="J18" s="203">
        <v>69</v>
      </c>
      <c r="K18" s="203">
        <v>97</v>
      </c>
      <c r="L18" s="203">
        <v>130</v>
      </c>
      <c r="M18" s="203">
        <v>114</v>
      </c>
      <c r="N18" s="203">
        <v>129</v>
      </c>
      <c r="O18" s="203">
        <v>169</v>
      </c>
      <c r="P18" s="203">
        <v>218</v>
      </c>
      <c r="Q18" s="203">
        <v>277</v>
      </c>
      <c r="R18" s="118">
        <f>((Q18/G18)^(1/($H$2-$H$1) ))-1</f>
        <v>0.32995203595914302</v>
      </c>
      <c r="S18" s="31">
        <f t="shared" si="5"/>
        <v>0.25</v>
      </c>
      <c r="T18" s="152">
        <f t="shared" si="2"/>
        <v>346.25</v>
      </c>
      <c r="U18" s="152">
        <f t="shared" ref="U18:U34" si="34">T18*(1+$S18)</f>
        <v>432.8125</v>
      </c>
      <c r="V18" s="152">
        <f t="shared" ref="V18:V34" si="35">U18*(1+$S18)</f>
        <v>541.015625</v>
      </c>
      <c r="W18" s="152">
        <f t="shared" ref="W18:W34" si="36">V18*(1+$S18)</f>
        <v>676.26953125</v>
      </c>
      <c r="X18" s="152">
        <f t="shared" ref="X18:X51" si="37">W18*(1+$S18)</f>
        <v>845.3369140625</v>
      </c>
      <c r="Y18" s="152">
        <f t="shared" ref="Y18:Y51" si="38">X18*(1+$S18)</f>
        <v>1056.671142578125</v>
      </c>
      <c r="Z18" s="152">
        <f t="shared" ref="Z18:Z51" si="39">Y18*(1+$S18)</f>
        <v>1320.8389282226562</v>
      </c>
      <c r="AA18" s="152">
        <f t="shared" ref="AA18:AA51" si="40">Z18*(1+$S18)</f>
        <v>1651.0486602783203</v>
      </c>
      <c r="AB18" s="152">
        <f t="shared" ref="AB18:AB51" si="41">AA18*(1+$S18)</f>
        <v>2063.8108253479004</v>
      </c>
      <c r="AC18" s="152">
        <f t="shared" ref="AC18:AC51" si="42">AB18*(1+$S18)</f>
        <v>2579.7635316848755</v>
      </c>
      <c r="AD18" s="137">
        <f t="shared" si="17"/>
        <v>0.28935644604156252</v>
      </c>
      <c r="AE18" s="31">
        <f t="shared" si="15"/>
        <v>0.05</v>
      </c>
      <c r="AF18" s="145">
        <f t="shared" si="1"/>
        <v>15933.833578053644</v>
      </c>
    </row>
    <row r="19" spans="2:32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28"/>
      <c r="S19" s="20"/>
      <c r="T19" s="152">
        <f t="shared" si="2"/>
        <v>0</v>
      </c>
      <c r="U19" s="152"/>
      <c r="V19" s="152"/>
      <c r="W19" s="152"/>
      <c r="X19" s="152"/>
      <c r="Y19" s="152"/>
      <c r="Z19" s="152"/>
      <c r="AA19" s="152"/>
      <c r="AB19" s="152"/>
      <c r="AC19" s="152"/>
      <c r="AD19" s="138"/>
      <c r="AE19" s="136"/>
      <c r="AF19" s="152"/>
    </row>
    <row r="20" spans="2:32">
      <c r="B20" s="20" t="s">
        <v>283</v>
      </c>
      <c r="C20" s="140"/>
      <c r="D20" s="140"/>
      <c r="E20" s="146"/>
      <c r="F20" s="146"/>
      <c r="G20" s="146">
        <f>H20</f>
        <v>-55</v>
      </c>
      <c r="H20" s="146">
        <v>-55</v>
      </c>
      <c r="I20" s="146">
        <v>-166</v>
      </c>
      <c r="J20" s="146">
        <v>1801</v>
      </c>
      <c r="K20" s="146">
        <v>-196</v>
      </c>
      <c r="L20" s="146">
        <v>-365</v>
      </c>
      <c r="M20" s="146">
        <v>960</v>
      </c>
      <c r="N20" s="146">
        <v>3050</v>
      </c>
      <c r="O20" s="146">
        <v>3588</v>
      </c>
      <c r="P20" s="146">
        <v>540</v>
      </c>
      <c r="Q20" s="146">
        <v>4448</v>
      </c>
      <c r="R20" s="118" t="e">
        <f>((Q20/G20)^(1/($H$2-$H$1) ))-1</f>
        <v>#NUM!</v>
      </c>
      <c r="S20" s="31">
        <f t="shared" si="5"/>
        <v>0.25</v>
      </c>
      <c r="T20" s="152">
        <f t="shared" si="2"/>
        <v>5560</v>
      </c>
      <c r="U20" s="152">
        <f t="shared" ref="U20:U22" si="43">T20*(1+$S20)</f>
        <v>6950</v>
      </c>
      <c r="V20" s="152">
        <f t="shared" ref="V20:V22" si="44">U20*(1+$S20)</f>
        <v>8687.5</v>
      </c>
      <c r="W20" s="152">
        <f t="shared" ref="W20:W22" si="45">V20*(1+$S20)</f>
        <v>10859.375</v>
      </c>
      <c r="X20" s="152">
        <f t="shared" ref="X20:X22" si="46">W20*(1+$S20)</f>
        <v>13574.21875</v>
      </c>
      <c r="Y20" s="152">
        <f t="shared" ref="Y20:Y22" si="47">X20*(1+$S20)</f>
        <v>16967.7734375</v>
      </c>
      <c r="Z20" s="152">
        <f t="shared" ref="Z20:Z22" si="48">Y20*(1+$S20)</f>
        <v>21209.716796875</v>
      </c>
      <c r="AA20" s="152">
        <f t="shared" ref="AA20:AA22" si="49">Z20*(1+$S20)</f>
        <v>26512.14599609375</v>
      </c>
      <c r="AB20" s="152">
        <f t="shared" ref="AB20:AB22" si="50">AA20*(1+$S20)</f>
        <v>33140.182495117188</v>
      </c>
      <c r="AC20" s="152">
        <f t="shared" ref="AC20:AC22" si="51">AB20*(1+$S20)</f>
        <v>41425.228118896484</v>
      </c>
      <c r="AD20" s="137" t="e">
        <f t="shared" ref="AD20:AD22" si="52">((AC20/G20)^(1/($AC$3-$H$1) ))-1</f>
        <v>#NUM!</v>
      </c>
      <c r="AE20" s="31">
        <f t="shared" si="15"/>
        <v>0.05</v>
      </c>
      <c r="AF20" s="145">
        <f t="shared" si="1"/>
        <v>255861.70308730184</v>
      </c>
    </row>
    <row r="21" spans="2:32">
      <c r="B21" s="20" t="s">
        <v>284</v>
      </c>
      <c r="C21" s="140"/>
      <c r="D21" s="140"/>
      <c r="E21" s="146"/>
      <c r="F21" s="146"/>
      <c r="G21" s="146">
        <f>H21</f>
        <v>-108</v>
      </c>
      <c r="H21" s="146">
        <v>-108</v>
      </c>
      <c r="I21" s="146">
        <v>-70</v>
      </c>
      <c r="J21" s="146">
        <v>-1222</v>
      </c>
      <c r="K21" s="146">
        <v>-49</v>
      </c>
      <c r="L21" s="146">
        <v>-60</v>
      </c>
      <c r="M21" s="146">
        <v>-2006</v>
      </c>
      <c r="N21" s="146">
        <v>-3423</v>
      </c>
      <c r="O21" s="146">
        <v>-4863</v>
      </c>
      <c r="P21" s="146">
        <v>-6741</v>
      </c>
      <c r="Q21" s="146">
        <v>-2798</v>
      </c>
      <c r="R21" s="118">
        <f>((Q21/G21)^(1/($H$2-$H$1) ))-1</f>
        <v>0.38465760547130912</v>
      </c>
      <c r="S21" s="31">
        <f t="shared" si="5"/>
        <v>0.25</v>
      </c>
      <c r="T21" s="152">
        <f t="shared" si="2"/>
        <v>-3497.5</v>
      </c>
      <c r="U21" s="152">
        <f t="shared" si="43"/>
        <v>-4371.875</v>
      </c>
      <c r="V21" s="152">
        <f t="shared" si="44"/>
        <v>-5464.84375</v>
      </c>
      <c r="W21" s="152">
        <f t="shared" si="45"/>
        <v>-6831.0546875</v>
      </c>
      <c r="X21" s="152">
        <f t="shared" si="46"/>
        <v>-8538.818359375</v>
      </c>
      <c r="Y21" s="152">
        <f t="shared" si="47"/>
        <v>-10673.52294921875</v>
      </c>
      <c r="Z21" s="152">
        <f t="shared" si="48"/>
        <v>-13341.903686523438</v>
      </c>
      <c r="AA21" s="152">
        <f t="shared" si="49"/>
        <v>-16677.379608154297</v>
      </c>
      <c r="AB21" s="152">
        <f t="shared" si="50"/>
        <v>-20846.724510192871</v>
      </c>
      <c r="AC21" s="152">
        <f t="shared" si="51"/>
        <v>-26058.405637741089</v>
      </c>
      <c r="AD21" s="137">
        <f t="shared" si="52"/>
        <v>0.31560708680028648</v>
      </c>
      <c r="AE21" s="31">
        <f t="shared" si="15"/>
        <v>0.05</v>
      </c>
      <c r="AF21" s="145">
        <f t="shared" si="1"/>
        <v>-160948.97599781261</v>
      </c>
    </row>
    <row r="22" spans="2:32">
      <c r="B22" s="20" t="s">
        <v>285</v>
      </c>
      <c r="C22" s="140"/>
      <c r="D22" s="140"/>
      <c r="E22" s="146"/>
      <c r="F22" s="146"/>
      <c r="G22" s="146">
        <f>H22</f>
        <v>217</v>
      </c>
      <c r="H22" s="146">
        <v>217</v>
      </c>
      <c r="I22" s="146">
        <v>398</v>
      </c>
      <c r="J22" s="146">
        <v>498</v>
      </c>
      <c r="K22" s="146">
        <v>580</v>
      </c>
      <c r="L22" s="146">
        <v>720</v>
      </c>
      <c r="M22" s="146">
        <v>1796</v>
      </c>
      <c r="N22" s="146">
        <v>1195</v>
      </c>
      <c r="O22" s="146">
        <v>1364</v>
      </c>
      <c r="P22" s="146">
        <v>6681</v>
      </c>
      <c r="Q22" s="146">
        <v>175</v>
      </c>
      <c r="R22" s="118">
        <f>((Q22/G22)^(1/($H$2-$H$1) ))-1</f>
        <v>-2.128142352157425E-2</v>
      </c>
      <c r="S22" s="31">
        <f t="shared" si="5"/>
        <v>0.25</v>
      </c>
      <c r="T22" s="152">
        <f t="shared" si="2"/>
        <v>218.75</v>
      </c>
      <c r="U22" s="152">
        <f t="shared" si="43"/>
        <v>273.4375</v>
      </c>
      <c r="V22" s="152">
        <f t="shared" si="44"/>
        <v>341.796875</v>
      </c>
      <c r="W22" s="152">
        <f t="shared" si="45"/>
        <v>427.24609375</v>
      </c>
      <c r="X22" s="152">
        <f t="shared" si="46"/>
        <v>534.0576171875</v>
      </c>
      <c r="Y22" s="152">
        <f t="shared" si="47"/>
        <v>667.572021484375</v>
      </c>
      <c r="Z22" s="152">
        <f t="shared" si="48"/>
        <v>834.46502685546875</v>
      </c>
      <c r="AA22" s="152">
        <f t="shared" si="49"/>
        <v>1043.0812835693359</v>
      </c>
      <c r="AB22" s="152">
        <f t="shared" si="50"/>
        <v>1303.8516044616699</v>
      </c>
      <c r="AC22" s="152">
        <f t="shared" si="51"/>
        <v>1629.8145055770874</v>
      </c>
      <c r="AD22" s="137">
        <f t="shared" si="52"/>
        <v>0.10607333418631515</v>
      </c>
      <c r="AE22" s="31">
        <f t="shared" si="15"/>
        <v>0.05</v>
      </c>
      <c r="AF22" s="145">
        <f t="shared" si="1"/>
        <v>10066.501357976129</v>
      </c>
    </row>
    <row r="23" spans="2:32">
      <c r="B23" s="20" t="s">
        <v>294</v>
      </c>
      <c r="C23" s="140"/>
      <c r="D23" s="140"/>
      <c r="E23" s="146"/>
      <c r="F23" s="146"/>
      <c r="G23" s="146">
        <f>H23</f>
        <v>53</v>
      </c>
      <c r="H23" s="146">
        <v>53</v>
      </c>
      <c r="I23" s="146">
        <v>216</v>
      </c>
      <c r="J23" s="146">
        <v>1292</v>
      </c>
      <c r="K23" s="146">
        <v>1627</v>
      </c>
      <c r="L23" s="146">
        <v>1922</v>
      </c>
      <c r="M23" s="146">
        <v>2673</v>
      </c>
      <c r="N23" s="146">
        <v>3495</v>
      </c>
      <c r="O23" s="146">
        <v>3585</v>
      </c>
      <c r="P23" s="146">
        <v>4065</v>
      </c>
      <c r="Q23" s="146">
        <v>5891</v>
      </c>
      <c r="R23" s="118">
        <f>((Q23/G23)^(1/($H$2-$H$1) ))-1</f>
        <v>0.60173739629523304</v>
      </c>
      <c r="S23" s="31">
        <f t="shared" si="5"/>
        <v>0.25</v>
      </c>
      <c r="T23" s="152">
        <f t="shared" si="2"/>
        <v>7363.75</v>
      </c>
      <c r="U23" s="152">
        <f t="shared" ref="U23" si="53">T23*(1+$S23)</f>
        <v>9204.6875</v>
      </c>
      <c r="V23" s="152">
        <f t="shared" ref="V23" si="54">U23*(1+$S23)</f>
        <v>11505.859375</v>
      </c>
      <c r="W23" s="152">
        <f t="shared" ref="W23" si="55">V23*(1+$S23)</f>
        <v>14382.32421875</v>
      </c>
      <c r="X23" s="152">
        <f t="shared" ref="X23" si="56">W23*(1+$S23)</f>
        <v>17977.9052734375</v>
      </c>
      <c r="Y23" s="152">
        <f t="shared" ref="Y23" si="57">X23*(1+$S23)</f>
        <v>22472.381591796875</v>
      </c>
      <c r="Z23" s="152">
        <f t="shared" ref="Z23" si="58">Y23*(1+$S23)</f>
        <v>28090.476989746094</v>
      </c>
      <c r="AA23" s="152">
        <f t="shared" ref="AA23" si="59">Z23*(1+$S23)</f>
        <v>35113.096237182617</v>
      </c>
      <c r="AB23" s="152">
        <f t="shared" ref="AB23" si="60">AA23*(1+$S23)</f>
        <v>43891.370296478271</v>
      </c>
      <c r="AC23" s="152">
        <f t="shared" ref="AC23" si="61">AB23*(1+$S23)</f>
        <v>54864.212870597839</v>
      </c>
      <c r="AD23" s="137">
        <f t="shared" ref="AD23" si="62">((AC23/G23)^(1/($AC$3-$H$1) ))-1</f>
        <v>0.41498118198407186</v>
      </c>
      <c r="AE23" s="31">
        <f t="shared" si="15"/>
        <v>0.05</v>
      </c>
      <c r="AF23" s="145">
        <f t="shared" si="1"/>
        <v>338867.19714192784</v>
      </c>
    </row>
    <row r="24" spans="2:32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28"/>
      <c r="S24" s="20"/>
      <c r="T24" s="152">
        <f t="shared" si="2"/>
        <v>0</v>
      </c>
      <c r="U24" s="152"/>
      <c r="V24" s="152"/>
      <c r="W24" s="152"/>
      <c r="X24" s="152"/>
      <c r="Y24" s="152"/>
      <c r="Z24" s="152"/>
      <c r="AA24" s="152"/>
      <c r="AB24" s="152"/>
      <c r="AC24" s="152"/>
      <c r="AD24" s="119"/>
      <c r="AE24" s="136"/>
      <c r="AF24" s="152"/>
    </row>
    <row r="25" spans="2:32">
      <c r="B25" s="20" t="s">
        <v>89</v>
      </c>
      <c r="C25" s="140"/>
      <c r="D25" s="140"/>
      <c r="E25" s="146"/>
      <c r="F25" s="146"/>
      <c r="G25" s="142">
        <f>H25</f>
        <v>48</v>
      </c>
      <c r="H25" s="205">
        <v>48</v>
      </c>
      <c r="I25" s="205">
        <v>289</v>
      </c>
      <c r="J25" s="142">
        <v>788</v>
      </c>
      <c r="K25" s="142">
        <v>1671</v>
      </c>
      <c r="L25" s="206">
        <v>2438</v>
      </c>
      <c r="M25" s="206">
        <v>2945</v>
      </c>
      <c r="N25" s="206">
        <v>4665</v>
      </c>
      <c r="O25" s="206">
        <v>7164</v>
      </c>
      <c r="P25" s="206">
        <v>9551</v>
      </c>
      <c r="Q25" s="206">
        <v>11702</v>
      </c>
      <c r="R25" s="118">
        <f>((Q25/G25)^(1/($H$2-$H$1) ))-1</f>
        <v>0.73261426467602164</v>
      </c>
      <c r="S25" s="31">
        <f t="shared" si="5"/>
        <v>0.25</v>
      </c>
      <c r="T25" s="152">
        <f t="shared" si="2"/>
        <v>14627.5</v>
      </c>
      <c r="U25" s="152">
        <f t="shared" si="34"/>
        <v>18284.375</v>
      </c>
      <c r="V25" s="152">
        <f t="shared" si="35"/>
        <v>22855.46875</v>
      </c>
      <c r="W25" s="152">
        <f t="shared" si="36"/>
        <v>28569.3359375</v>
      </c>
      <c r="X25" s="152">
        <f t="shared" si="37"/>
        <v>35711.669921875</v>
      </c>
      <c r="Y25" s="152">
        <f t="shared" si="38"/>
        <v>44639.58740234375</v>
      </c>
      <c r="Z25" s="152">
        <f t="shared" si="39"/>
        <v>55799.484252929688</v>
      </c>
      <c r="AA25" s="152">
        <f t="shared" si="40"/>
        <v>69749.355316162109</v>
      </c>
      <c r="AB25" s="152">
        <f t="shared" si="41"/>
        <v>87186.694145202637</v>
      </c>
      <c r="AC25" s="152">
        <f t="shared" si="42"/>
        <v>108983.3676815033</v>
      </c>
      <c r="AD25" s="137">
        <f t="shared" si="17"/>
        <v>0.47165479336868499</v>
      </c>
      <c r="AE25" s="31">
        <f t="shared" si="15"/>
        <v>0.05</v>
      </c>
      <c r="AF25" s="145">
        <f t="shared" si="1"/>
        <v>673132.56509163801</v>
      </c>
    </row>
    <row r="26" spans="2:32" s="123" customFormat="1">
      <c r="B26" s="23"/>
      <c r="C26" s="147"/>
      <c r="D26" s="147"/>
      <c r="E26" s="148"/>
      <c r="F26" s="148"/>
      <c r="G26" s="149" t="e">
        <f t="shared" ref="G26:Q26" si="63">(G25-F25)/F25</f>
        <v>#DIV/0!</v>
      </c>
      <c r="H26" s="149">
        <f t="shared" si="63"/>
        <v>0</v>
      </c>
      <c r="I26" s="149">
        <f t="shared" si="63"/>
        <v>5.020833333333333</v>
      </c>
      <c r="J26" s="149">
        <f t="shared" si="63"/>
        <v>1.726643598615917</v>
      </c>
      <c r="K26" s="149">
        <f t="shared" si="63"/>
        <v>1.1205583756345177</v>
      </c>
      <c r="L26" s="149">
        <f t="shared" si="63"/>
        <v>0.4590065828845003</v>
      </c>
      <c r="M26" s="149">
        <f t="shared" si="63"/>
        <v>0.20795734208367514</v>
      </c>
      <c r="N26" s="149">
        <f t="shared" si="63"/>
        <v>0.58404074702886244</v>
      </c>
      <c r="O26" s="149">
        <f t="shared" si="63"/>
        <v>0.53569131832797423</v>
      </c>
      <c r="P26" s="149">
        <f t="shared" si="63"/>
        <v>0.3331937465103294</v>
      </c>
      <c r="Q26" s="149">
        <f t="shared" si="63"/>
        <v>0.22521201968380275</v>
      </c>
      <c r="R26" s="128"/>
      <c r="S26" s="20"/>
      <c r="T26" s="152"/>
      <c r="U26" s="153"/>
      <c r="V26" s="153"/>
      <c r="W26" s="153"/>
      <c r="X26" s="153"/>
      <c r="Y26" s="153"/>
      <c r="Z26" s="153"/>
      <c r="AA26" s="153"/>
      <c r="AB26" s="153"/>
      <c r="AC26" s="153"/>
      <c r="AD26" s="119"/>
      <c r="AE26" s="136"/>
      <c r="AF26" s="152"/>
    </row>
    <row r="27" spans="2:32">
      <c r="B27" s="20" t="s">
        <v>261</v>
      </c>
      <c r="C27" s="140"/>
      <c r="D27" s="140"/>
      <c r="E27" s="146"/>
      <c r="F27" s="146"/>
      <c r="G27" s="142">
        <f>H27</f>
        <v>11.85</v>
      </c>
      <c r="H27" s="205">
        <v>11.85</v>
      </c>
      <c r="I27" s="205">
        <v>105</v>
      </c>
      <c r="J27" s="142">
        <v>416</v>
      </c>
      <c r="K27" s="142">
        <v>974</v>
      </c>
      <c r="L27" s="206">
        <v>1492</v>
      </c>
      <c r="M27" s="206">
        <v>2467</v>
      </c>
      <c r="N27" s="206">
        <v>3937</v>
      </c>
      <c r="O27" s="206">
        <v>6187</v>
      </c>
      <c r="P27" s="206">
        <v>8250</v>
      </c>
      <c r="Q27" s="206">
        <v>10091</v>
      </c>
      <c r="R27" s="118">
        <f>((Q27/G27)^(1/($H$2-$H$1) ))-1</f>
        <v>0.96345786345234008</v>
      </c>
      <c r="S27" s="31">
        <f t="shared" si="5"/>
        <v>0.25</v>
      </c>
      <c r="T27" s="152">
        <f t="shared" si="2"/>
        <v>12613.75</v>
      </c>
      <c r="U27" s="152">
        <f t="shared" si="34"/>
        <v>15767.1875</v>
      </c>
      <c r="V27" s="152">
        <f t="shared" si="35"/>
        <v>19708.984375</v>
      </c>
      <c r="W27" s="152">
        <f t="shared" si="36"/>
        <v>24636.23046875</v>
      </c>
      <c r="X27" s="152">
        <f t="shared" si="37"/>
        <v>30795.2880859375</v>
      </c>
      <c r="Y27" s="152">
        <f t="shared" si="38"/>
        <v>38494.110107421875</v>
      </c>
      <c r="Z27" s="152">
        <f t="shared" si="39"/>
        <v>48117.637634277344</v>
      </c>
      <c r="AA27" s="152">
        <f t="shared" si="40"/>
        <v>60147.04704284668</v>
      </c>
      <c r="AB27" s="152">
        <f t="shared" si="41"/>
        <v>75183.80880355835</v>
      </c>
      <c r="AC27" s="152">
        <f t="shared" si="42"/>
        <v>93979.761004447937</v>
      </c>
      <c r="AD27" s="137">
        <f t="shared" si="17"/>
        <v>0.56662769326838647</v>
      </c>
      <c r="AE27" s="31">
        <f t="shared" si="15"/>
        <v>0.05</v>
      </c>
      <c r="AF27" s="145">
        <f t="shared" si="1"/>
        <v>580463.22973335499</v>
      </c>
    </row>
    <row r="28" spans="2:32" s="123" customFormat="1">
      <c r="B28" s="23"/>
      <c r="C28" s="147"/>
      <c r="D28" s="147"/>
      <c r="E28" s="148"/>
      <c r="F28" s="148"/>
      <c r="G28" s="149" t="e">
        <f t="shared" ref="G28:Q28" si="64">(G27-F27)/F27</f>
        <v>#DIV/0!</v>
      </c>
      <c r="H28" s="149">
        <f t="shared" si="64"/>
        <v>0</v>
      </c>
      <c r="I28" s="149">
        <f t="shared" si="64"/>
        <v>7.8607594936708871</v>
      </c>
      <c r="J28" s="149">
        <f t="shared" si="64"/>
        <v>2.961904761904762</v>
      </c>
      <c r="K28" s="149">
        <f t="shared" si="64"/>
        <v>1.3413461538461537</v>
      </c>
      <c r="L28" s="149">
        <f t="shared" si="64"/>
        <v>0.53182751540041073</v>
      </c>
      <c r="M28" s="149">
        <f t="shared" si="64"/>
        <v>0.65348525469168905</v>
      </c>
      <c r="N28" s="149">
        <f t="shared" si="64"/>
        <v>0.5958654235914066</v>
      </c>
      <c r="O28" s="149">
        <f t="shared" si="64"/>
        <v>0.57150114300228605</v>
      </c>
      <c r="P28" s="149">
        <f t="shared" si="64"/>
        <v>0.33344108614837564</v>
      </c>
      <c r="Q28" s="149">
        <f t="shared" si="64"/>
        <v>0.22315151515151516</v>
      </c>
      <c r="R28" s="128"/>
      <c r="S28" s="20"/>
      <c r="T28" s="152"/>
      <c r="U28" s="153"/>
      <c r="V28" s="153"/>
      <c r="W28" s="153"/>
      <c r="X28" s="153"/>
      <c r="Y28" s="153"/>
      <c r="Z28" s="153"/>
      <c r="AA28" s="153"/>
      <c r="AB28" s="153"/>
      <c r="AC28" s="153"/>
      <c r="AD28" s="119"/>
      <c r="AE28" s="136"/>
      <c r="AF28" s="152"/>
    </row>
    <row r="29" spans="2:32" s="123" customFormat="1">
      <c r="B29" s="20" t="s">
        <v>322</v>
      </c>
      <c r="C29" s="147"/>
      <c r="D29" s="147"/>
      <c r="E29" s="148"/>
      <c r="F29" s="146"/>
      <c r="G29" s="146">
        <f>H29</f>
        <v>12</v>
      </c>
      <c r="H29" s="146">
        <v>12</v>
      </c>
      <c r="I29" s="146">
        <v>105</v>
      </c>
      <c r="J29" s="146">
        <v>416</v>
      </c>
      <c r="K29" s="146">
        <v>974</v>
      </c>
      <c r="L29" s="146">
        <v>1492</v>
      </c>
      <c r="M29" s="146">
        <v>1581</v>
      </c>
      <c r="N29" s="146">
        <v>2794</v>
      </c>
      <c r="O29" s="146">
        <v>4691</v>
      </c>
      <c r="P29" s="146">
        <v>6075</v>
      </c>
      <c r="Q29" s="146">
        <v>7265</v>
      </c>
      <c r="R29" s="118">
        <f>((Q29/G29)^(1/($H$2-$H$1) ))-1</f>
        <v>0.89760334509292883</v>
      </c>
      <c r="S29" s="31">
        <f t="shared" si="5"/>
        <v>0.25</v>
      </c>
      <c r="T29" s="152">
        <f t="shared" si="2"/>
        <v>9081.25</v>
      </c>
      <c r="U29" s="152">
        <f t="shared" ref="U29" si="65">T29*(1+$S29)</f>
        <v>11351.5625</v>
      </c>
      <c r="V29" s="152">
        <f t="shared" ref="V29" si="66">U29*(1+$S29)</f>
        <v>14189.453125</v>
      </c>
      <c r="W29" s="152">
        <f t="shared" ref="W29" si="67">V29*(1+$S29)</f>
        <v>17736.81640625</v>
      </c>
      <c r="X29" s="152">
        <f t="shared" ref="X29" si="68">W29*(1+$S29)</f>
        <v>22171.0205078125</v>
      </c>
      <c r="Y29" s="152">
        <f t="shared" ref="Y29" si="69">X29*(1+$S29)</f>
        <v>27713.775634765625</v>
      </c>
      <c r="Z29" s="152">
        <f t="shared" ref="Z29" si="70">Y29*(1+$S29)</f>
        <v>34642.219543457031</v>
      </c>
      <c r="AA29" s="152">
        <f t="shared" ref="AA29" si="71">Z29*(1+$S29)</f>
        <v>43302.774429321289</v>
      </c>
      <c r="AB29" s="152">
        <f t="shared" ref="AB29" si="72">AA29*(1+$S29)</f>
        <v>54128.468036651611</v>
      </c>
      <c r="AC29" s="152">
        <f t="shared" ref="AC29" si="73">AB29*(1+$S29)</f>
        <v>67660.585045814514</v>
      </c>
      <c r="AD29" s="137">
        <f t="shared" ref="AD29" si="74">((AC29/G29)^(1/($AC$3-$H$1) ))-1</f>
        <v>0.54013122212562159</v>
      </c>
      <c r="AE29" s="31">
        <f t="shared" si="15"/>
        <v>0.05</v>
      </c>
      <c r="AF29" s="145">
        <f t="shared" ref="AF29" si="75">(AC29*(1+AE29))/($C$1-AE29)</f>
        <v>417903.61351826618</v>
      </c>
    </row>
    <row r="30" spans="2:32" s="123" customFormat="1">
      <c r="B30" s="23"/>
      <c r="C30" s="147"/>
      <c r="D30" s="147"/>
      <c r="E30" s="148"/>
      <c r="F30" s="148"/>
      <c r="G30" s="149" t="e">
        <f t="shared" ref="G30:Q30" si="76">(G29-F29)/F29</f>
        <v>#DIV/0!</v>
      </c>
      <c r="H30" s="149">
        <f t="shared" si="76"/>
        <v>0</v>
      </c>
      <c r="I30" s="149">
        <f t="shared" si="76"/>
        <v>7.75</v>
      </c>
      <c r="J30" s="149">
        <f t="shared" si="76"/>
        <v>2.961904761904762</v>
      </c>
      <c r="K30" s="149">
        <f t="shared" si="76"/>
        <v>1.3413461538461537</v>
      </c>
      <c r="L30" s="149">
        <f t="shared" si="76"/>
        <v>0.53182751540041073</v>
      </c>
      <c r="M30" s="149">
        <f t="shared" si="76"/>
        <v>5.9651474530831097E-2</v>
      </c>
      <c r="N30" s="149">
        <f t="shared" si="76"/>
        <v>0.76723592662871598</v>
      </c>
      <c r="O30" s="149">
        <f t="shared" si="76"/>
        <v>0.67895490336435216</v>
      </c>
      <c r="P30" s="149">
        <f t="shared" si="76"/>
        <v>0.29503304199531016</v>
      </c>
      <c r="Q30" s="149">
        <f t="shared" si="76"/>
        <v>0.19588477366255144</v>
      </c>
      <c r="R30" s="128"/>
      <c r="S30" s="20"/>
      <c r="T30" s="152"/>
      <c r="U30" s="153"/>
      <c r="V30" s="153"/>
      <c r="W30" s="153"/>
      <c r="X30" s="153"/>
      <c r="Y30" s="153"/>
      <c r="Z30" s="153"/>
      <c r="AA30" s="153"/>
      <c r="AB30" s="153"/>
      <c r="AC30" s="153"/>
      <c r="AD30" s="160"/>
      <c r="AE30" s="136"/>
      <c r="AF30" s="152"/>
    </row>
    <row r="31" spans="2:32">
      <c r="B31" s="20" t="s">
        <v>330</v>
      </c>
      <c r="C31" s="140"/>
      <c r="D31" s="140"/>
      <c r="E31" s="146"/>
      <c r="F31" s="146"/>
      <c r="G31" s="203">
        <f>H31</f>
        <v>0</v>
      </c>
      <c r="H31" s="203">
        <v>0</v>
      </c>
      <c r="I31" s="203">
        <v>0</v>
      </c>
      <c r="J31" s="203">
        <v>0</v>
      </c>
      <c r="K31" s="203">
        <v>0</v>
      </c>
      <c r="L31" s="203">
        <v>0</v>
      </c>
      <c r="M31" s="203">
        <v>0</v>
      </c>
      <c r="N31" s="203">
        <v>0</v>
      </c>
      <c r="O31" s="203">
        <v>0</v>
      </c>
      <c r="P31" s="203">
        <v>0</v>
      </c>
      <c r="Q31" s="203">
        <v>0</v>
      </c>
      <c r="R31" s="118" t="e">
        <f>((Q31/G31)^(1/($H$2-$H$1) ))-1</f>
        <v>#DIV/0!</v>
      </c>
      <c r="S31" s="31">
        <f t="shared" si="5"/>
        <v>0.25</v>
      </c>
      <c r="T31" s="152">
        <f t="shared" si="2"/>
        <v>0</v>
      </c>
      <c r="U31" s="152">
        <f>T31*(1+$S31)</f>
        <v>0</v>
      </c>
      <c r="V31" s="152">
        <f t="shared" ref="V31:AC32" si="77">U31*(1+$S31)</f>
        <v>0</v>
      </c>
      <c r="W31" s="152">
        <f t="shared" si="77"/>
        <v>0</v>
      </c>
      <c r="X31" s="152">
        <f t="shared" si="77"/>
        <v>0</v>
      </c>
      <c r="Y31" s="152">
        <f t="shared" si="77"/>
        <v>0</v>
      </c>
      <c r="Z31" s="152">
        <f t="shared" si="77"/>
        <v>0</v>
      </c>
      <c r="AA31" s="152">
        <f t="shared" si="77"/>
        <v>0</v>
      </c>
      <c r="AB31" s="152">
        <f t="shared" si="77"/>
        <v>0</v>
      </c>
      <c r="AC31" s="152">
        <f t="shared" si="77"/>
        <v>0</v>
      </c>
      <c r="AD31" s="137" t="e">
        <f t="shared" ref="AD31" si="78">((AC31/G31)^(1/($AC$3-$H$1) ))-1</f>
        <v>#DIV/0!</v>
      </c>
      <c r="AE31" s="31">
        <f t="shared" si="15"/>
        <v>0.05</v>
      </c>
      <c r="AF31" s="145">
        <f t="shared" si="1"/>
        <v>0</v>
      </c>
    </row>
    <row r="32" spans="2:32">
      <c r="B32" s="20" t="s">
        <v>329</v>
      </c>
      <c r="C32" s="140"/>
      <c r="D32" s="140"/>
      <c r="E32" s="146"/>
      <c r="F32" s="146"/>
      <c r="G32" s="203">
        <f>H32</f>
        <v>0</v>
      </c>
      <c r="H32" s="203">
        <v>0</v>
      </c>
      <c r="I32" s="203">
        <v>0</v>
      </c>
      <c r="J32" s="203">
        <v>0</v>
      </c>
      <c r="K32" s="203">
        <v>0</v>
      </c>
      <c r="L32" s="203">
        <v>0</v>
      </c>
      <c r="M32" s="203">
        <v>0</v>
      </c>
      <c r="N32" s="203">
        <v>0</v>
      </c>
      <c r="O32" s="203">
        <v>0</v>
      </c>
      <c r="P32" s="203">
        <v>0</v>
      </c>
      <c r="Q32" s="203">
        <v>0</v>
      </c>
      <c r="R32" s="118" t="e">
        <f>((Q32/G32)^(1/($H$2-$H$1) ))-1</f>
        <v>#DIV/0!</v>
      </c>
      <c r="S32" s="31">
        <f t="shared" si="5"/>
        <v>0.25</v>
      </c>
      <c r="T32" s="152">
        <f t="shared" si="2"/>
        <v>0</v>
      </c>
      <c r="U32" s="152">
        <f>T32*(1+$S32)</f>
        <v>0</v>
      </c>
      <c r="V32" s="152">
        <f t="shared" si="77"/>
        <v>0</v>
      </c>
      <c r="W32" s="152">
        <f t="shared" si="77"/>
        <v>0</v>
      </c>
      <c r="X32" s="152">
        <f t="shared" si="77"/>
        <v>0</v>
      </c>
      <c r="Y32" s="152">
        <f t="shared" si="77"/>
        <v>0</v>
      </c>
      <c r="Z32" s="152">
        <f t="shared" si="77"/>
        <v>0</v>
      </c>
      <c r="AA32" s="152">
        <f t="shared" si="77"/>
        <v>0</v>
      </c>
      <c r="AB32" s="152">
        <f t="shared" si="77"/>
        <v>0</v>
      </c>
      <c r="AC32" s="152">
        <f t="shared" si="77"/>
        <v>0</v>
      </c>
      <c r="AD32" s="137" t="e">
        <f t="shared" ref="AD32" si="79">((AC32/G32)^(1/($AC$3-$H$1) ))-1</f>
        <v>#DIV/0!</v>
      </c>
      <c r="AE32" s="31">
        <f t="shared" si="15"/>
        <v>0.05</v>
      </c>
      <c r="AF32" s="145">
        <f t="shared" si="1"/>
        <v>0</v>
      </c>
    </row>
    <row r="33" spans="1:32">
      <c r="B33" s="20" t="s">
        <v>490</v>
      </c>
      <c r="C33" s="140"/>
      <c r="D33" s="140"/>
      <c r="E33" s="146"/>
      <c r="F33" s="146"/>
      <c r="G33" s="146">
        <f>H33</f>
        <v>12</v>
      </c>
      <c r="H33" s="146">
        <v>12</v>
      </c>
      <c r="I33" s="146">
        <v>105</v>
      </c>
      <c r="J33" s="146">
        <v>416</v>
      </c>
      <c r="K33" s="146">
        <v>974</v>
      </c>
      <c r="L33" s="206">
        <v>1492</v>
      </c>
      <c r="M33" s="146">
        <v>1581</v>
      </c>
      <c r="N33" s="146">
        <v>2794</v>
      </c>
      <c r="O33" s="146">
        <v>4691</v>
      </c>
      <c r="P33" s="146">
        <v>6075</v>
      </c>
      <c r="Q33" s="146">
        <v>7265</v>
      </c>
      <c r="R33" s="118">
        <f>((Q33/G33)^(1/($H$2-$H$1) ))-1</f>
        <v>0.89760334509292883</v>
      </c>
      <c r="S33" s="31">
        <f t="shared" si="5"/>
        <v>0.25</v>
      </c>
      <c r="T33" s="152">
        <f t="shared" si="2"/>
        <v>9081.25</v>
      </c>
      <c r="U33" s="152">
        <f t="shared" si="34"/>
        <v>11351.5625</v>
      </c>
      <c r="V33" s="152">
        <f t="shared" si="35"/>
        <v>14189.453125</v>
      </c>
      <c r="W33" s="152">
        <f t="shared" si="36"/>
        <v>17736.81640625</v>
      </c>
      <c r="X33" s="152">
        <f t="shared" si="37"/>
        <v>22171.0205078125</v>
      </c>
      <c r="Y33" s="152">
        <f t="shared" si="38"/>
        <v>27713.775634765625</v>
      </c>
      <c r="Z33" s="152">
        <f t="shared" si="39"/>
        <v>34642.219543457031</v>
      </c>
      <c r="AA33" s="152">
        <f t="shared" si="40"/>
        <v>43302.774429321289</v>
      </c>
      <c r="AB33" s="152">
        <f t="shared" si="41"/>
        <v>54128.468036651611</v>
      </c>
      <c r="AC33" s="152">
        <f t="shared" si="42"/>
        <v>67660.585045814514</v>
      </c>
      <c r="AD33" s="137">
        <f t="shared" si="17"/>
        <v>0.54013122212562159</v>
      </c>
      <c r="AE33" s="31">
        <f t="shared" si="15"/>
        <v>0.05</v>
      </c>
      <c r="AF33" s="145">
        <f t="shared" si="1"/>
        <v>417903.61351826618</v>
      </c>
    </row>
    <row r="34" spans="1:32">
      <c r="B34" s="20" t="s">
        <v>307</v>
      </c>
      <c r="C34" s="140"/>
      <c r="D34" s="140"/>
      <c r="E34" s="146"/>
      <c r="F34" s="146"/>
      <c r="G34" s="205">
        <v>21</v>
      </c>
      <c r="H34" s="205">
        <v>21</v>
      </c>
      <c r="I34" s="205">
        <v>50</v>
      </c>
      <c r="J34" s="205">
        <v>118</v>
      </c>
      <c r="K34" s="142">
        <v>202</v>
      </c>
      <c r="L34" s="142">
        <v>218</v>
      </c>
      <c r="M34" s="206">
        <v>257</v>
      </c>
      <c r="N34" s="206">
        <v>362</v>
      </c>
      <c r="O34" s="206">
        <v>475</v>
      </c>
      <c r="P34" s="206">
        <v>655</v>
      </c>
      <c r="Q34" s="206">
        <v>786</v>
      </c>
      <c r="R34" s="118">
        <f>((Q34/G34)^(1/($H$2-$H$1) ))-1</f>
        <v>0.43654860628425496</v>
      </c>
      <c r="S34" s="31">
        <f t="shared" si="5"/>
        <v>0.25</v>
      </c>
      <c r="T34" s="152">
        <f t="shared" si="2"/>
        <v>982.5</v>
      </c>
      <c r="U34" s="152">
        <f t="shared" si="34"/>
        <v>1228.125</v>
      </c>
      <c r="V34" s="152">
        <f t="shared" si="35"/>
        <v>1535.15625</v>
      </c>
      <c r="W34" s="152">
        <f t="shared" si="36"/>
        <v>1918.9453125</v>
      </c>
      <c r="X34" s="152">
        <f t="shared" si="37"/>
        <v>2398.681640625</v>
      </c>
      <c r="Y34" s="152">
        <f t="shared" si="38"/>
        <v>2998.35205078125</v>
      </c>
      <c r="Z34" s="152">
        <f t="shared" si="39"/>
        <v>3747.9400634765625</v>
      </c>
      <c r="AA34" s="152">
        <f t="shared" si="40"/>
        <v>4684.9250793457031</v>
      </c>
      <c r="AB34" s="152">
        <f t="shared" si="41"/>
        <v>5856.1563491821289</v>
      </c>
      <c r="AC34" s="152">
        <f t="shared" si="42"/>
        <v>7320.1954364776611</v>
      </c>
      <c r="AD34" s="137">
        <f t="shared" si="17"/>
        <v>0.34003199881768453</v>
      </c>
      <c r="AE34" s="31">
        <f t="shared" si="15"/>
        <v>0.05</v>
      </c>
      <c r="AF34" s="145">
        <f t="shared" si="1"/>
        <v>45212.971813538497</v>
      </c>
    </row>
    <row r="35" spans="1:32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38"/>
      <c r="AE35" s="136"/>
      <c r="AF35" s="152"/>
    </row>
    <row r="36" spans="1:32">
      <c r="A36" s="209" t="s">
        <v>482</v>
      </c>
      <c r="B36" s="200" t="s">
        <v>476</v>
      </c>
      <c r="C36" s="140"/>
      <c r="D36" s="140"/>
      <c r="E36" s="146"/>
      <c r="F36" s="146"/>
      <c r="G36" s="142">
        <f>H36</f>
        <v>663</v>
      </c>
      <c r="H36" s="146">
        <v>663</v>
      </c>
      <c r="I36" s="146">
        <v>2910</v>
      </c>
      <c r="J36" s="146">
        <v>8220</v>
      </c>
      <c r="K36" s="146">
        <v>13273</v>
      </c>
      <c r="L36" s="146">
        <v>16169</v>
      </c>
      <c r="M36" s="146">
        <v>26798</v>
      </c>
      <c r="N36" s="146">
        <v>45938</v>
      </c>
      <c r="O36" s="146">
        <v>49151</v>
      </c>
      <c r="P36" s="146">
        <v>66955</v>
      </c>
      <c r="Q36" s="146">
        <v>74192</v>
      </c>
      <c r="R36" s="118">
        <f t="shared" ref="R36:R45" si="80">((Q36/G36)^(1/($H$2-$H$1) ))-1</f>
        <v>0.60281853146384701</v>
      </c>
      <c r="S36" s="31">
        <f t="shared" si="5"/>
        <v>0.25</v>
      </c>
      <c r="T36" s="152">
        <f t="shared" ref="T36:T49" si="81">Q36*(1+$S36)</f>
        <v>92740</v>
      </c>
      <c r="U36" s="152">
        <f t="shared" ref="U36:U49" si="82">T36*(1+$S36)</f>
        <v>115925</v>
      </c>
      <c r="V36" s="152">
        <f t="shared" ref="V36:V49" si="83">U36*(1+$S36)</f>
        <v>144906.25</v>
      </c>
      <c r="W36" s="152">
        <f t="shared" ref="W36:W49" si="84">V36*(1+$S36)</f>
        <v>181132.8125</v>
      </c>
      <c r="X36" s="152">
        <f t="shared" ref="X36:X49" si="85">W36*(1+$S36)</f>
        <v>226416.015625</v>
      </c>
      <c r="Y36" s="152">
        <f t="shared" ref="Y36:Y49" si="86">X36*(1+$S36)</f>
        <v>283020.01953125</v>
      </c>
      <c r="Z36" s="152">
        <f t="shared" ref="Z36:Z49" si="87">Y36*(1+$S36)</f>
        <v>353775.0244140625</v>
      </c>
      <c r="AA36" s="152">
        <f t="shared" ref="AA36:AA49" si="88">Z36*(1+$S36)</f>
        <v>442218.78051757813</v>
      </c>
      <c r="AB36" s="152">
        <f t="shared" ref="AB36:AB49" si="89">AA36*(1+$S36)</f>
        <v>552773.47564697266</v>
      </c>
      <c r="AC36" s="152">
        <f t="shared" ref="AC36:AC49" si="90">AB36*(1+$S36)</f>
        <v>690966.84455871582</v>
      </c>
      <c r="AD36" s="137">
        <f t="shared" ref="AD36:AD49" si="91">((AC36/G36)^(1/($AC$3-$H$1) ))-1</f>
        <v>0.4154586409817167</v>
      </c>
      <c r="AE36" s="31">
        <f t="shared" si="15"/>
        <v>0.05</v>
      </c>
      <c r="AF36" s="145">
        <f t="shared" ref="AF36:AF49" si="92">(AC36*(1+AE36))/($C$1-AE36)</f>
        <v>4267736.3928626571</v>
      </c>
    </row>
    <row r="37" spans="1:32">
      <c r="A37" s="209"/>
      <c r="B37" s="200"/>
      <c r="C37" s="140"/>
      <c r="D37" s="140"/>
      <c r="E37" s="146"/>
      <c r="F37" s="146"/>
      <c r="G37" s="149" t="e">
        <f t="shared" ref="G37" si="93">(G36-F36)/F36</f>
        <v>#DIV/0!</v>
      </c>
      <c r="H37" s="149">
        <f t="shared" ref="H37" si="94">(H36-G36)/G36</f>
        <v>0</v>
      </c>
      <c r="I37" s="149">
        <f t="shared" ref="I37" si="95">(I36-H36)/H36</f>
        <v>3.3891402714932126</v>
      </c>
      <c r="J37" s="149">
        <f t="shared" ref="J37" si="96">(J36-I36)/I36</f>
        <v>1.8247422680412371</v>
      </c>
      <c r="K37" s="149">
        <f t="shared" ref="K37" si="97">(K36-J36)/J36</f>
        <v>0.61472019464720196</v>
      </c>
      <c r="L37" s="149">
        <f t="shared" ref="L37" si="98">(L36-K36)/K36</f>
        <v>0.2181872975212838</v>
      </c>
      <c r="M37" s="149">
        <f t="shared" ref="M37" si="99">(M36-L36)/L36</f>
        <v>0.65736903952006931</v>
      </c>
      <c r="N37" s="149">
        <f t="shared" ref="N37" si="100">(N36-M36)/M36</f>
        <v>0.71423240540338828</v>
      </c>
      <c r="O37" s="149">
        <f t="shared" ref="O37" si="101">(O36-N36)/N36</f>
        <v>6.9942095868344295E-2</v>
      </c>
      <c r="P37" s="149">
        <f t="shared" ref="P37" si="102">(P36-O36)/O36</f>
        <v>0.36223067689365424</v>
      </c>
      <c r="Q37" s="149">
        <f t="shared" ref="Q37" si="103">(Q36-P36)/P36</f>
        <v>0.10808752146964379</v>
      </c>
      <c r="R37" s="128"/>
      <c r="S37" s="20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45"/>
    </row>
    <row r="38" spans="1:32">
      <c r="A38" s="209"/>
      <c r="B38" s="200" t="s">
        <v>477</v>
      </c>
      <c r="C38" s="140"/>
      <c r="D38" s="140"/>
      <c r="E38" s="146"/>
      <c r="F38" s="146"/>
      <c r="G38" s="142">
        <f>H38</f>
        <v>4749</v>
      </c>
      <c r="H38" s="146">
        <v>4749</v>
      </c>
      <c r="I38" s="146">
        <v>6690</v>
      </c>
      <c r="J38" s="146">
        <v>14156</v>
      </c>
      <c r="K38" s="146">
        <v>20922</v>
      </c>
      <c r="L38" s="146">
        <v>21314</v>
      </c>
      <c r="M38" s="146">
        <v>4749</v>
      </c>
      <c r="N38" s="146">
        <v>6690</v>
      </c>
      <c r="O38" s="146">
        <v>14156</v>
      </c>
      <c r="P38" s="146">
        <v>20922</v>
      </c>
      <c r="Q38" s="146">
        <v>21314</v>
      </c>
      <c r="R38" s="118">
        <f t="shared" si="80"/>
        <v>0.16200040436846908</v>
      </c>
      <c r="S38" s="31">
        <f t="shared" si="5"/>
        <v>0.25</v>
      </c>
      <c r="T38" s="152">
        <f t="shared" si="81"/>
        <v>26642.5</v>
      </c>
      <c r="U38" s="152">
        <f t="shared" si="82"/>
        <v>33303.125</v>
      </c>
      <c r="V38" s="152">
        <f t="shared" si="83"/>
        <v>41628.90625</v>
      </c>
      <c r="W38" s="152">
        <f t="shared" si="84"/>
        <v>52036.1328125</v>
      </c>
      <c r="X38" s="152">
        <f t="shared" si="85"/>
        <v>65045.166015625</v>
      </c>
      <c r="Y38" s="152">
        <f t="shared" si="86"/>
        <v>81306.45751953125</v>
      </c>
      <c r="Z38" s="152">
        <f t="shared" si="87"/>
        <v>101633.07189941406</v>
      </c>
      <c r="AA38" s="152">
        <f t="shared" si="88"/>
        <v>127041.33987426758</v>
      </c>
      <c r="AB38" s="152">
        <f t="shared" si="89"/>
        <v>158801.67484283447</v>
      </c>
      <c r="AC38" s="152">
        <f t="shared" si="90"/>
        <v>198502.09355354309</v>
      </c>
      <c r="AD38" s="137">
        <f t="shared" si="91"/>
        <v>0.20519728901976308</v>
      </c>
      <c r="AE38" s="31">
        <f t="shared" si="15"/>
        <v>0.05</v>
      </c>
      <c r="AF38" s="145">
        <f t="shared" si="92"/>
        <v>1226042.3425365898</v>
      </c>
    </row>
    <row r="39" spans="1:32">
      <c r="A39" s="209"/>
      <c r="B39" s="200"/>
      <c r="C39" s="140"/>
      <c r="D39" s="140"/>
      <c r="E39" s="146"/>
      <c r="F39" s="146"/>
      <c r="G39" s="149" t="e">
        <f t="shared" ref="G39" si="104">(G38-F38)/F38</f>
        <v>#DIV/0!</v>
      </c>
      <c r="H39" s="149">
        <f t="shared" ref="H39" si="105">(H38-G38)/G38</f>
        <v>0</v>
      </c>
      <c r="I39" s="149">
        <f t="shared" ref="I39" si="106">(I38-H38)/H38</f>
        <v>0.40871762476310802</v>
      </c>
      <c r="J39" s="149">
        <f t="shared" ref="J39" si="107">(J38-I38)/I38</f>
        <v>1.1159940209267563</v>
      </c>
      <c r="K39" s="149">
        <f t="shared" ref="K39" si="108">(K38-J38)/J38</f>
        <v>0.47795987567109355</v>
      </c>
      <c r="L39" s="149">
        <f t="shared" ref="L39" si="109">(L38-K38)/K38</f>
        <v>1.8736258483892553E-2</v>
      </c>
      <c r="M39" s="149">
        <f t="shared" ref="M39" si="110">(M38-L38)/L38</f>
        <v>-0.77718870226142445</v>
      </c>
      <c r="N39" s="149">
        <f t="shared" ref="N39" si="111">(N38-M38)/M38</f>
        <v>0.40871762476310802</v>
      </c>
      <c r="O39" s="149">
        <f t="shared" ref="O39" si="112">(O38-N38)/N38</f>
        <v>1.1159940209267563</v>
      </c>
      <c r="P39" s="149">
        <f t="shared" ref="P39" si="113">(P38-O38)/O38</f>
        <v>0.47795987567109355</v>
      </c>
      <c r="Q39" s="149">
        <f t="shared" ref="Q39" si="114">(Q38-P38)/P38</f>
        <v>1.8736258483892553E-2</v>
      </c>
      <c r="R39" s="128"/>
      <c r="S39" s="20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45"/>
    </row>
    <row r="40" spans="1:32">
      <c r="A40" s="209"/>
      <c r="B40" s="200" t="s">
        <v>481</v>
      </c>
      <c r="C40" s="140"/>
      <c r="D40" s="140"/>
      <c r="E40" s="146"/>
      <c r="F40" s="146"/>
      <c r="G40" s="142">
        <f>H40</f>
        <v>1745</v>
      </c>
      <c r="H40" s="146">
        <v>1745</v>
      </c>
      <c r="I40" s="146">
        <v>2583</v>
      </c>
      <c r="J40" s="146">
        <v>5677</v>
      </c>
      <c r="K40" s="146">
        <v>5418</v>
      </c>
      <c r="L40" s="146">
        <v>6387</v>
      </c>
      <c r="M40" s="146">
        <v>1745</v>
      </c>
      <c r="N40" s="146">
        <v>2583</v>
      </c>
      <c r="O40" s="146">
        <v>5677</v>
      </c>
      <c r="P40" s="146">
        <v>5418</v>
      </c>
      <c r="Q40" s="146">
        <v>6387</v>
      </c>
      <c r="R40" s="118">
        <f t="shared" si="80"/>
        <v>0.13854486389864507</v>
      </c>
      <c r="S40" s="31">
        <f t="shared" si="5"/>
        <v>0.25</v>
      </c>
      <c r="T40" s="152">
        <f t="shared" si="81"/>
        <v>7983.75</v>
      </c>
      <c r="U40" s="152">
        <f t="shared" si="82"/>
        <v>9979.6875</v>
      </c>
      <c r="V40" s="152">
        <f t="shared" si="83"/>
        <v>12474.609375</v>
      </c>
      <c r="W40" s="152">
        <f t="shared" si="84"/>
        <v>15593.26171875</v>
      </c>
      <c r="X40" s="152">
        <f t="shared" si="85"/>
        <v>19491.5771484375</v>
      </c>
      <c r="Y40" s="152">
        <f t="shared" si="86"/>
        <v>24364.471435546875</v>
      </c>
      <c r="Z40" s="152">
        <f t="shared" si="87"/>
        <v>30455.589294433594</v>
      </c>
      <c r="AA40" s="152">
        <f t="shared" si="88"/>
        <v>38069.486618041992</v>
      </c>
      <c r="AB40" s="152">
        <f t="shared" si="89"/>
        <v>47586.85827255249</v>
      </c>
      <c r="AC40" s="152">
        <f t="shared" si="90"/>
        <v>59483.572840690613</v>
      </c>
      <c r="AD40" s="137">
        <f t="shared" si="91"/>
        <v>0.19297153355530927</v>
      </c>
      <c r="AE40" s="31">
        <f t="shared" si="15"/>
        <v>0.05</v>
      </c>
      <c r="AF40" s="145">
        <f t="shared" si="92"/>
        <v>367398.53813367733</v>
      </c>
    </row>
    <row r="41" spans="1:32">
      <c r="A41" s="209"/>
      <c r="B41" s="200" t="s">
        <v>478</v>
      </c>
      <c r="C41" s="140"/>
      <c r="D41" s="140"/>
      <c r="E41" s="146"/>
      <c r="F41" s="146"/>
      <c r="G41" s="203">
        <f>H41</f>
        <v>41</v>
      </c>
      <c r="H41" s="203">
        <v>41</v>
      </c>
      <c r="I41" s="203">
        <v>88</v>
      </c>
      <c r="J41" s="203">
        <v>390</v>
      </c>
      <c r="K41" s="203">
        <v>959</v>
      </c>
      <c r="L41" s="203">
        <v>1277</v>
      </c>
      <c r="M41" s="203">
        <v>1995</v>
      </c>
      <c r="N41" s="203">
        <v>3076</v>
      </c>
      <c r="O41" s="203">
        <v>2332</v>
      </c>
      <c r="P41" s="203">
        <v>3339</v>
      </c>
      <c r="Q41" s="203">
        <v>4541</v>
      </c>
      <c r="R41" s="118">
        <f t="shared" si="80"/>
        <v>0.60116749325286856</v>
      </c>
      <c r="S41" s="31">
        <f t="shared" si="5"/>
        <v>0.25</v>
      </c>
      <c r="T41" s="152">
        <f t="shared" si="81"/>
        <v>5676.25</v>
      </c>
      <c r="U41" s="152">
        <f t="shared" si="82"/>
        <v>7095.3125</v>
      </c>
      <c r="V41" s="152">
        <f t="shared" si="83"/>
        <v>8869.140625</v>
      </c>
      <c r="W41" s="152">
        <f t="shared" si="84"/>
        <v>11086.42578125</v>
      </c>
      <c r="X41" s="152">
        <f t="shared" si="85"/>
        <v>13858.0322265625</v>
      </c>
      <c r="Y41" s="152">
        <f t="shared" si="86"/>
        <v>17322.540283203125</v>
      </c>
      <c r="Z41" s="152">
        <f t="shared" si="87"/>
        <v>21653.175354003906</v>
      </c>
      <c r="AA41" s="152">
        <f t="shared" si="88"/>
        <v>27066.469192504883</v>
      </c>
      <c r="AB41" s="152">
        <f t="shared" si="89"/>
        <v>33833.086490631104</v>
      </c>
      <c r="AC41" s="152">
        <f t="shared" si="90"/>
        <v>42291.358113288879</v>
      </c>
      <c r="AD41" s="137">
        <f t="shared" si="91"/>
        <v>0.41472943228240133</v>
      </c>
      <c r="AE41" s="31">
        <f t="shared" si="15"/>
        <v>0.05</v>
      </c>
      <c r="AF41" s="145">
        <f t="shared" si="92"/>
        <v>261211.32952325486</v>
      </c>
    </row>
    <row r="42" spans="1:32">
      <c r="A42" s="209"/>
      <c r="B42" s="200" t="s">
        <v>480</v>
      </c>
      <c r="C42" s="140"/>
      <c r="D42" s="140"/>
      <c r="E42" s="146"/>
      <c r="F42" s="146"/>
      <c r="G42" s="203">
        <f>H42</f>
        <v>12</v>
      </c>
      <c r="H42" s="203">
        <v>12</v>
      </c>
      <c r="I42" s="203">
        <v>128</v>
      </c>
      <c r="J42" s="203">
        <v>904</v>
      </c>
      <c r="K42" s="203">
        <v>668</v>
      </c>
      <c r="L42" s="203">
        <v>645</v>
      </c>
      <c r="M42" s="203">
        <v>677</v>
      </c>
      <c r="N42" s="203">
        <v>420</v>
      </c>
      <c r="O42" s="203">
        <v>1253</v>
      </c>
      <c r="P42" s="203">
        <v>727</v>
      </c>
      <c r="Q42" s="203">
        <v>1350</v>
      </c>
      <c r="R42" s="118">
        <f t="shared" si="80"/>
        <v>0.6036709133664302</v>
      </c>
      <c r="S42" s="31">
        <f t="shared" si="5"/>
        <v>0.25</v>
      </c>
      <c r="T42" s="152">
        <f t="shared" si="81"/>
        <v>1687.5</v>
      </c>
      <c r="U42" s="152">
        <f t="shared" si="82"/>
        <v>2109.375</v>
      </c>
      <c r="V42" s="152">
        <f t="shared" si="83"/>
        <v>2636.71875</v>
      </c>
      <c r="W42" s="152">
        <f t="shared" si="84"/>
        <v>3295.8984375</v>
      </c>
      <c r="X42" s="152">
        <f t="shared" si="85"/>
        <v>4119.873046875</v>
      </c>
      <c r="Y42" s="152">
        <f t="shared" si="86"/>
        <v>5149.84130859375</v>
      </c>
      <c r="Z42" s="152">
        <f t="shared" si="87"/>
        <v>6437.3016357421875</v>
      </c>
      <c r="AA42" s="152">
        <f t="shared" si="88"/>
        <v>8046.6270446777344</v>
      </c>
      <c r="AB42" s="152">
        <f t="shared" si="89"/>
        <v>10058.283805847168</v>
      </c>
      <c r="AC42" s="152">
        <f t="shared" si="90"/>
        <v>12572.85475730896</v>
      </c>
      <c r="AD42" s="137">
        <f t="shared" si="91"/>
        <v>0.41583496273684317</v>
      </c>
      <c r="AE42" s="31">
        <f t="shared" si="15"/>
        <v>0.05</v>
      </c>
      <c r="AF42" s="145">
        <f t="shared" si="92"/>
        <v>77655.867618673001</v>
      </c>
    </row>
    <row r="43" spans="1:32">
      <c r="A43" s="209"/>
      <c r="B43" s="200" t="s">
        <v>479</v>
      </c>
      <c r="C43" s="140"/>
      <c r="D43" s="140"/>
      <c r="E43" s="146"/>
      <c r="F43" s="146"/>
      <c r="G43" s="142">
        <f>H43</f>
        <v>22193</v>
      </c>
      <c r="H43" s="146">
        <v>22193</v>
      </c>
      <c r="I43" s="146">
        <v>34363</v>
      </c>
      <c r="J43" s="146">
        <v>37988</v>
      </c>
      <c r="K43" s="146">
        <v>46999</v>
      </c>
      <c r="L43" s="146">
        <v>55632</v>
      </c>
      <c r="M43" s="146">
        <v>22193</v>
      </c>
      <c r="N43" s="146">
        <v>34363</v>
      </c>
      <c r="O43" s="146">
        <v>37988</v>
      </c>
      <c r="P43" s="146">
        <v>46999</v>
      </c>
      <c r="Q43" s="146">
        <v>55632</v>
      </c>
      <c r="R43" s="118">
        <f t="shared" si="80"/>
        <v>9.6253179610026995E-2</v>
      </c>
      <c r="S43" s="31">
        <f t="shared" si="5"/>
        <v>0.25</v>
      </c>
      <c r="T43" s="152">
        <f t="shared" si="81"/>
        <v>69540</v>
      </c>
      <c r="U43" s="152">
        <f t="shared" si="82"/>
        <v>86925</v>
      </c>
      <c r="V43" s="152">
        <f t="shared" si="83"/>
        <v>108656.25</v>
      </c>
      <c r="W43" s="152">
        <f t="shared" si="84"/>
        <v>135820.3125</v>
      </c>
      <c r="X43" s="152">
        <f t="shared" si="85"/>
        <v>169775.390625</v>
      </c>
      <c r="Y43" s="152">
        <f t="shared" si="86"/>
        <v>212219.23828125</v>
      </c>
      <c r="Z43" s="152">
        <f t="shared" si="87"/>
        <v>265274.0478515625</v>
      </c>
      <c r="AA43" s="152">
        <f t="shared" si="88"/>
        <v>331592.55981445313</v>
      </c>
      <c r="AB43" s="152">
        <f t="shared" si="89"/>
        <v>414490.69976806641</v>
      </c>
      <c r="AC43" s="152">
        <f t="shared" si="90"/>
        <v>518113.37471008301</v>
      </c>
      <c r="AD43" s="137">
        <f t="shared" si="91"/>
        <v>0.17060517447708801</v>
      </c>
      <c r="AE43" s="31">
        <f t="shared" si="15"/>
        <v>0.05</v>
      </c>
      <c r="AF43" s="145">
        <f t="shared" si="92"/>
        <v>3200112.0202681599</v>
      </c>
    </row>
    <row r="44" spans="1:32">
      <c r="A44" s="209"/>
      <c r="B44" s="200"/>
      <c r="C44" s="140"/>
      <c r="D44" s="140"/>
      <c r="E44" s="146"/>
      <c r="F44" s="146"/>
      <c r="G44" s="149" t="e">
        <f t="shared" ref="G44" si="115">(G43-F43)/F43</f>
        <v>#DIV/0!</v>
      </c>
      <c r="H44" s="149">
        <f t="shared" ref="H44" si="116">(H43-G43)/G43</f>
        <v>0</v>
      </c>
      <c r="I44" s="149">
        <f t="shared" ref="I44" si="117">(I43-H43)/H43</f>
        <v>0.54837110800702926</v>
      </c>
      <c r="J44" s="149">
        <f t="shared" ref="J44" si="118">(J43-I43)/I43</f>
        <v>0.10549137153333528</v>
      </c>
      <c r="K44" s="149">
        <f t="shared" ref="K44" si="119">(K43-J43)/J43</f>
        <v>0.23720648625881857</v>
      </c>
      <c r="L44" s="149">
        <f t="shared" ref="L44" si="120">(L43-K43)/K43</f>
        <v>0.18368475925019681</v>
      </c>
      <c r="M44" s="149">
        <f t="shared" ref="M44" si="121">(M43-L43)/L43</f>
        <v>-0.60107492090882941</v>
      </c>
      <c r="N44" s="149">
        <f t="shared" ref="N44" si="122">(N43-M43)/M43</f>
        <v>0.54837110800702926</v>
      </c>
      <c r="O44" s="149">
        <f t="shared" ref="O44" si="123">(O43-N43)/N43</f>
        <v>0.10549137153333528</v>
      </c>
      <c r="P44" s="149">
        <f t="shared" ref="P44" si="124">(P43-O43)/O43</f>
        <v>0.23720648625881857</v>
      </c>
      <c r="Q44" s="149">
        <f t="shared" ref="Q44" si="125">(Q43-P43)/P43</f>
        <v>0.18368475925019681</v>
      </c>
      <c r="R44" s="128"/>
      <c r="S44" s="20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45"/>
    </row>
    <row r="45" spans="1:32">
      <c r="A45" s="209"/>
      <c r="B45" s="200" t="s">
        <v>218</v>
      </c>
      <c r="C45" s="140"/>
      <c r="D45" s="140"/>
      <c r="E45" s="146"/>
      <c r="F45" s="146"/>
      <c r="G45" s="203">
        <f>H45</f>
        <v>395</v>
      </c>
      <c r="H45" s="203">
        <v>395</v>
      </c>
      <c r="I45" s="203">
        <v>1350</v>
      </c>
      <c r="J45" s="203">
        <v>3073</v>
      </c>
      <c r="K45" s="203">
        <v>5093</v>
      </c>
      <c r="L45" s="203">
        <v>7117</v>
      </c>
      <c r="M45" s="203">
        <v>10209</v>
      </c>
      <c r="N45" s="203">
        <v>18828</v>
      </c>
      <c r="O45" s="203">
        <v>27757</v>
      </c>
      <c r="P45" s="203">
        <v>42975</v>
      </c>
      <c r="Q45" s="203">
        <v>40932</v>
      </c>
      <c r="R45" s="118">
        <f t="shared" si="80"/>
        <v>0.59054729346273271</v>
      </c>
      <c r="S45" s="31">
        <f t="shared" si="5"/>
        <v>0.25</v>
      </c>
      <c r="T45" s="152">
        <f t="shared" si="81"/>
        <v>51165</v>
      </c>
      <c r="U45" s="152">
        <f t="shared" si="82"/>
        <v>63956.25</v>
      </c>
      <c r="V45" s="152">
        <f t="shared" si="83"/>
        <v>79945.3125</v>
      </c>
      <c r="W45" s="152">
        <f t="shared" si="84"/>
        <v>99931.640625</v>
      </c>
      <c r="X45" s="152">
        <f t="shared" si="85"/>
        <v>124914.55078125</v>
      </c>
      <c r="Y45" s="152">
        <f t="shared" si="86"/>
        <v>156143.1884765625</v>
      </c>
      <c r="Z45" s="152">
        <f t="shared" si="87"/>
        <v>195178.98559570313</v>
      </c>
      <c r="AA45" s="152">
        <f t="shared" si="88"/>
        <v>243973.73199462891</v>
      </c>
      <c r="AB45" s="152">
        <f t="shared" si="89"/>
        <v>304967.16499328613</v>
      </c>
      <c r="AC45" s="152">
        <f t="shared" si="90"/>
        <v>381208.95624160767</v>
      </c>
      <c r="AD45" s="137">
        <f t="shared" si="91"/>
        <v>0.41002982834705159</v>
      </c>
      <c r="AE45" s="31">
        <f t="shared" si="15"/>
        <v>0.05</v>
      </c>
      <c r="AF45" s="145">
        <f t="shared" si="92"/>
        <v>2354525.9061981654</v>
      </c>
    </row>
    <row r="46" spans="1:32">
      <c r="A46" s="201"/>
      <c r="B46" s="200"/>
      <c r="C46" s="140"/>
      <c r="D46" s="140"/>
      <c r="E46" s="146"/>
      <c r="F46" s="146"/>
      <c r="G46" s="149" t="e">
        <f t="shared" ref="G46" si="126">(G45-F45)/F45</f>
        <v>#DIV/0!</v>
      </c>
      <c r="H46" s="149">
        <f t="shared" ref="H46" si="127">(H45-G45)/G45</f>
        <v>0</v>
      </c>
      <c r="I46" s="149">
        <f t="shared" ref="I46" si="128">(I45-H45)/H45</f>
        <v>2.4177215189873418</v>
      </c>
      <c r="J46" s="149">
        <f t="shared" ref="J46" si="129">(J45-I45)/I45</f>
        <v>1.2762962962962963</v>
      </c>
      <c r="K46" s="149">
        <f t="shared" ref="K46" si="130">(K45-J45)/J45</f>
        <v>0.65733810608525867</v>
      </c>
      <c r="L46" s="149">
        <f t="shared" ref="L46" si="131">(L45-K45)/K45</f>
        <v>0.39740820734341253</v>
      </c>
      <c r="M46" s="149">
        <f t="shared" ref="M46" si="132">(M45-L45)/L45</f>
        <v>0.43445271884220882</v>
      </c>
      <c r="N46" s="149">
        <f t="shared" ref="N46" si="133">(N45-M45)/M45</f>
        <v>0.84425506905671466</v>
      </c>
      <c r="O46" s="149">
        <f t="shared" ref="O46" si="134">(O45-N45)/N45</f>
        <v>0.47424049288294029</v>
      </c>
      <c r="P46" s="149">
        <f t="shared" ref="P46" si="135">(P45-O45)/O45</f>
        <v>0.54825809705659834</v>
      </c>
      <c r="Q46" s="149">
        <f t="shared" ref="Q46" si="136">(Q45-P45)/P45</f>
        <v>-4.7539267015706807E-2</v>
      </c>
      <c r="R46" s="128"/>
      <c r="S46" s="20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45"/>
    </row>
    <row r="47" spans="1:32">
      <c r="A47" s="201"/>
      <c r="B47" s="200" t="s">
        <v>494</v>
      </c>
      <c r="C47" s="140"/>
      <c r="D47" s="140"/>
      <c r="E47" s="146"/>
      <c r="F47" s="146"/>
      <c r="G47" s="146">
        <v>18</v>
      </c>
      <c r="H47" s="146">
        <v>18</v>
      </c>
      <c r="I47" s="146">
        <v>100</v>
      </c>
      <c r="J47" s="146">
        <v>200</v>
      </c>
      <c r="K47" s="146">
        <v>360</v>
      </c>
      <c r="L47" s="146">
        <v>435</v>
      </c>
      <c r="M47" s="146">
        <v>575</v>
      </c>
      <c r="N47" s="146">
        <v>623</v>
      </c>
      <c r="O47" s="146">
        <v>857</v>
      </c>
      <c r="P47" s="146">
        <v>1257</v>
      </c>
      <c r="Q47" s="146">
        <v>1721</v>
      </c>
      <c r="R47" s="118">
        <f t="shared" ref="R47" si="137">((Q47/G47)^(1/($H$2-$H$1) ))-1</f>
        <v>0.5777959484557087</v>
      </c>
      <c r="S47" s="31">
        <f t="shared" si="5"/>
        <v>0.25</v>
      </c>
      <c r="T47" s="152">
        <f t="shared" ref="T47" si="138">Q47*(1+$S47)</f>
        <v>2151.25</v>
      </c>
      <c r="U47" s="152">
        <f t="shared" ref="U47" si="139">T47*(1+$S47)</f>
        <v>2689.0625</v>
      </c>
      <c r="V47" s="152">
        <f t="shared" ref="V47" si="140">U47*(1+$S47)</f>
        <v>3361.328125</v>
      </c>
      <c r="W47" s="152">
        <f t="shared" ref="W47" si="141">V47*(1+$S47)</f>
        <v>4201.66015625</v>
      </c>
      <c r="X47" s="152">
        <f t="shared" ref="X47" si="142">W47*(1+$S47)</f>
        <v>5252.0751953125</v>
      </c>
      <c r="Y47" s="152">
        <f t="shared" ref="Y47" si="143">X47*(1+$S47)</f>
        <v>6565.093994140625</v>
      </c>
      <c r="Z47" s="152">
        <f t="shared" ref="Z47" si="144">Y47*(1+$S47)</f>
        <v>8206.3674926757812</v>
      </c>
      <c r="AA47" s="152">
        <f t="shared" ref="AA47" si="145">Z47*(1+$S47)</f>
        <v>10257.959365844727</v>
      </c>
      <c r="AB47" s="152">
        <f t="shared" ref="AB47" si="146">AA47*(1+$S47)</f>
        <v>12822.449207305908</v>
      </c>
      <c r="AC47" s="152">
        <f t="shared" ref="AC47" si="147">AB47*(1+$S47)</f>
        <v>16028.061509132385</v>
      </c>
      <c r="AD47" s="137">
        <f t="shared" ref="AD47" si="148">((AC47/G47)^(1/($AC$3-$H$1) ))-1</f>
        <v>0.40436638224134236</v>
      </c>
      <c r="AE47" s="31">
        <f t="shared" si="15"/>
        <v>0.05</v>
      </c>
      <c r="AF47" s="145">
        <f t="shared" si="92"/>
        <v>98996.850497582389</v>
      </c>
    </row>
    <row r="48" spans="1:32">
      <c r="A48" s="201"/>
      <c r="B48" s="200"/>
      <c r="C48" s="140"/>
      <c r="D48" s="140"/>
      <c r="E48" s="146"/>
      <c r="F48" s="146"/>
      <c r="G48" s="149" t="e">
        <f t="shared" ref="G48" si="149">(G47-F47)/F47</f>
        <v>#DIV/0!</v>
      </c>
      <c r="H48" s="149">
        <f t="shared" ref="H48" si="150">(H47-G47)/G47</f>
        <v>0</v>
      </c>
      <c r="I48" s="149">
        <f t="shared" ref="I48" si="151">(I47-H47)/H47</f>
        <v>4.5555555555555554</v>
      </c>
      <c r="J48" s="149">
        <f t="shared" ref="J48" si="152">(J47-I47)/I47</f>
        <v>1</v>
      </c>
      <c r="K48" s="149">
        <f t="shared" ref="K48" si="153">(K47-J47)/J47</f>
        <v>0.8</v>
      </c>
      <c r="L48" s="149">
        <f t="shared" ref="L48" si="154">(L47-K47)/K47</f>
        <v>0.20833333333333334</v>
      </c>
      <c r="M48" s="149">
        <f t="shared" ref="M48" si="155">(M47-L47)/L47</f>
        <v>0.32183908045977011</v>
      </c>
      <c r="N48" s="149">
        <f t="shared" ref="N48" si="156">(N47-M47)/M47</f>
        <v>8.3478260869565224E-2</v>
      </c>
      <c r="O48" s="149">
        <f t="shared" ref="O48" si="157">(O47-N47)/N47</f>
        <v>0.3756019261637239</v>
      </c>
      <c r="P48" s="149">
        <f t="shared" ref="P48" si="158">(P47-O47)/O47</f>
        <v>0.46674445740956827</v>
      </c>
      <c r="Q48" s="149">
        <f t="shared" ref="Q48" si="159">(Q47-P47)/P47</f>
        <v>0.36913285600636436</v>
      </c>
      <c r="R48" s="128"/>
      <c r="S48" s="20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45"/>
    </row>
    <row r="49" spans="1:32">
      <c r="A49" s="201"/>
      <c r="B49" s="200" t="s">
        <v>483</v>
      </c>
      <c r="C49" s="140"/>
      <c r="D49" s="140"/>
      <c r="E49" s="146"/>
      <c r="F49" s="146"/>
      <c r="G49" s="203">
        <f>H49</f>
        <v>0</v>
      </c>
      <c r="H49" s="203">
        <v>0</v>
      </c>
      <c r="I49" s="203">
        <v>0</v>
      </c>
      <c r="J49" s="203">
        <v>0</v>
      </c>
      <c r="K49" s="203">
        <v>0</v>
      </c>
      <c r="L49" s="203">
        <v>0</v>
      </c>
      <c r="M49" s="203">
        <v>0</v>
      </c>
      <c r="N49" s="203">
        <v>0</v>
      </c>
      <c r="O49" s="203">
        <v>0</v>
      </c>
      <c r="P49" s="203">
        <v>0</v>
      </c>
      <c r="Q49" s="203">
        <v>0</v>
      </c>
      <c r="R49" s="118" t="e">
        <f t="shared" ref="R49" si="160">((Q49/G49)^(1/($H$2-$H$1) ))-1</f>
        <v>#DIV/0!</v>
      </c>
      <c r="S49" s="31">
        <f t="shared" si="5"/>
        <v>0.25</v>
      </c>
      <c r="T49" s="152">
        <f t="shared" si="81"/>
        <v>0</v>
      </c>
      <c r="U49" s="152">
        <f t="shared" si="82"/>
        <v>0</v>
      </c>
      <c r="V49" s="152">
        <f t="shared" si="83"/>
        <v>0</v>
      </c>
      <c r="W49" s="152">
        <f t="shared" si="84"/>
        <v>0</v>
      </c>
      <c r="X49" s="152">
        <f t="shared" si="85"/>
        <v>0</v>
      </c>
      <c r="Y49" s="152">
        <f t="shared" si="86"/>
        <v>0</v>
      </c>
      <c r="Z49" s="152">
        <f t="shared" si="87"/>
        <v>0</v>
      </c>
      <c r="AA49" s="152">
        <f t="shared" si="88"/>
        <v>0</v>
      </c>
      <c r="AB49" s="152">
        <f t="shared" si="89"/>
        <v>0</v>
      </c>
      <c r="AC49" s="152">
        <f t="shared" si="90"/>
        <v>0</v>
      </c>
      <c r="AD49" s="137" t="e">
        <f t="shared" si="91"/>
        <v>#DIV/0!</v>
      </c>
      <c r="AE49" s="31">
        <f t="shared" si="15"/>
        <v>0.05</v>
      </c>
      <c r="AF49" s="145">
        <f t="shared" si="92"/>
        <v>0</v>
      </c>
    </row>
    <row r="50" spans="1:32">
      <c r="B50" s="20"/>
      <c r="C50" s="140"/>
      <c r="D50" s="140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28"/>
      <c r="S50" s="20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38"/>
      <c r="AE50" s="136"/>
      <c r="AF50" s="152"/>
    </row>
    <row r="51" spans="1:32">
      <c r="B51" s="20" t="s">
        <v>278</v>
      </c>
      <c r="C51" s="140"/>
      <c r="D51" s="140"/>
      <c r="E51" s="146"/>
      <c r="F51" s="146"/>
      <c r="G51" s="203">
        <f>H51</f>
        <v>0</v>
      </c>
      <c r="H51" s="203">
        <v>0</v>
      </c>
      <c r="I51" s="203">
        <v>0</v>
      </c>
      <c r="J51" s="203">
        <v>0</v>
      </c>
      <c r="K51" s="203">
        <v>0</v>
      </c>
      <c r="L51" s="203">
        <v>0</v>
      </c>
      <c r="M51" s="203">
        <v>0</v>
      </c>
      <c r="N51" s="203">
        <v>0</v>
      </c>
      <c r="O51" s="203">
        <v>0</v>
      </c>
      <c r="P51" s="203">
        <v>0</v>
      </c>
      <c r="Q51" s="203">
        <v>0</v>
      </c>
      <c r="R51" s="118" t="e">
        <f>((Q51/G51)^(1/($H$2-$H$1) ))-1</f>
        <v>#DIV/0!</v>
      </c>
      <c r="S51" s="31">
        <f t="shared" si="5"/>
        <v>0.25</v>
      </c>
      <c r="T51" s="152">
        <f t="shared" si="2"/>
        <v>0</v>
      </c>
      <c r="U51" s="152">
        <f t="shared" ref="U51" si="161">T51*(1+$S51)</f>
        <v>0</v>
      </c>
      <c r="V51" s="152">
        <f t="shared" ref="V51" si="162">U51*(1+$S51)</f>
        <v>0</v>
      </c>
      <c r="W51" s="152">
        <f t="shared" ref="W51" si="163">V51*(1+$S51)</f>
        <v>0</v>
      </c>
      <c r="X51" s="152">
        <f t="shared" si="37"/>
        <v>0</v>
      </c>
      <c r="Y51" s="152">
        <f t="shared" si="38"/>
        <v>0</v>
      </c>
      <c r="Z51" s="152">
        <f t="shared" si="39"/>
        <v>0</v>
      </c>
      <c r="AA51" s="152">
        <f t="shared" si="40"/>
        <v>0</v>
      </c>
      <c r="AB51" s="152">
        <f t="shared" si="41"/>
        <v>0</v>
      </c>
      <c r="AC51" s="152">
        <f t="shared" si="42"/>
        <v>0</v>
      </c>
      <c r="AD51" s="137" t="e">
        <f t="shared" si="17"/>
        <v>#DIV/0!</v>
      </c>
      <c r="AE51" s="31">
        <f t="shared" si="15"/>
        <v>0.05</v>
      </c>
      <c r="AF51" s="145">
        <f t="shared" si="1"/>
        <v>0</v>
      </c>
    </row>
    <row r="52" spans="1:32" s="123" customFormat="1">
      <c r="B52" s="23"/>
      <c r="C52" s="147"/>
      <c r="D52" s="147"/>
      <c r="E52" s="148"/>
      <c r="F52" s="148"/>
      <c r="G52" s="149" t="e">
        <f t="shared" ref="G52:Q52" si="164">(G51-F51)/F51</f>
        <v>#DIV/0!</v>
      </c>
      <c r="H52" s="149" t="e">
        <f t="shared" si="164"/>
        <v>#DIV/0!</v>
      </c>
      <c r="I52" s="149" t="e">
        <f t="shared" si="164"/>
        <v>#DIV/0!</v>
      </c>
      <c r="J52" s="149" t="e">
        <f t="shared" si="164"/>
        <v>#DIV/0!</v>
      </c>
      <c r="K52" s="149" t="e">
        <f t="shared" si="164"/>
        <v>#DIV/0!</v>
      </c>
      <c r="L52" s="149" t="e">
        <f t="shared" si="164"/>
        <v>#DIV/0!</v>
      </c>
      <c r="M52" s="149" t="e">
        <f t="shared" si="164"/>
        <v>#DIV/0!</v>
      </c>
      <c r="N52" s="149" t="e">
        <f t="shared" si="164"/>
        <v>#DIV/0!</v>
      </c>
      <c r="O52" s="149" t="e">
        <f t="shared" si="164"/>
        <v>#DIV/0!</v>
      </c>
      <c r="P52" s="149" t="e">
        <f t="shared" si="164"/>
        <v>#DIV/0!</v>
      </c>
      <c r="Q52" s="149" t="e">
        <f t="shared" si="164"/>
        <v>#DIV/0!</v>
      </c>
      <c r="R52" s="128"/>
      <c r="S52" s="20"/>
      <c r="T52" s="152"/>
      <c r="U52" s="153"/>
      <c r="V52" s="153"/>
      <c r="W52" s="153"/>
      <c r="X52" s="153"/>
      <c r="Y52" s="153"/>
      <c r="Z52" s="153"/>
      <c r="AA52" s="153"/>
      <c r="AB52" s="153"/>
      <c r="AC52" s="153"/>
      <c r="AD52" s="138"/>
      <c r="AE52" s="136"/>
      <c r="AF52" s="154"/>
    </row>
    <row r="53" spans="1:32" s="123" customFormat="1">
      <c r="B53" s="20" t="s">
        <v>398</v>
      </c>
      <c r="C53" s="147"/>
      <c r="D53" s="147"/>
      <c r="E53" s="148"/>
      <c r="F53" s="148"/>
      <c r="G53" s="203">
        <f>H53</f>
        <v>0</v>
      </c>
      <c r="H53" s="203">
        <v>0</v>
      </c>
      <c r="I53" s="203">
        <v>0</v>
      </c>
      <c r="J53" s="203">
        <v>0</v>
      </c>
      <c r="K53" s="203">
        <v>0</v>
      </c>
      <c r="L53" s="203">
        <v>0</v>
      </c>
      <c r="M53" s="203">
        <v>0</v>
      </c>
      <c r="N53" s="203">
        <v>0</v>
      </c>
      <c r="O53" s="203">
        <v>0</v>
      </c>
      <c r="P53" s="203">
        <v>0</v>
      </c>
      <c r="Q53" s="203">
        <v>0</v>
      </c>
      <c r="R53" s="118" t="e">
        <f>((Q53/G53)^(1/($H$2-$H$1) ))-1</f>
        <v>#DIV/0!</v>
      </c>
      <c r="S53" s="31">
        <f t="shared" si="5"/>
        <v>0.25</v>
      </c>
      <c r="T53" s="152">
        <f t="shared" si="2"/>
        <v>0</v>
      </c>
      <c r="U53" s="152">
        <f t="shared" ref="U53" si="165">T53*(1+$S53)</f>
        <v>0</v>
      </c>
      <c r="V53" s="152">
        <f t="shared" ref="V53" si="166">U53*(1+$S53)</f>
        <v>0</v>
      </c>
      <c r="W53" s="152">
        <f t="shared" ref="W53" si="167">V53*(1+$S53)</f>
        <v>0</v>
      </c>
      <c r="X53" s="152">
        <f t="shared" ref="X53" si="168">W53*(1+$S53)</f>
        <v>0</v>
      </c>
      <c r="Y53" s="152">
        <f t="shared" ref="Y53" si="169">X53*(1+$S53)</f>
        <v>0</v>
      </c>
      <c r="Z53" s="152">
        <f t="shared" ref="Z53" si="170">Y53*(1+$S53)</f>
        <v>0</v>
      </c>
      <c r="AA53" s="152">
        <f t="shared" ref="AA53" si="171">Z53*(1+$S53)</f>
        <v>0</v>
      </c>
      <c r="AB53" s="152">
        <f t="shared" ref="AB53" si="172">AA53*(1+$S53)</f>
        <v>0</v>
      </c>
      <c r="AC53" s="152">
        <f t="shared" ref="AC53" si="173">AB53*(1+$S53)</f>
        <v>0</v>
      </c>
      <c r="AD53" s="137" t="e">
        <f t="shared" ref="AD53" si="174">((AC53/G53)^(1/($AC$3-$H$1) ))-1</f>
        <v>#DIV/0!</v>
      </c>
      <c r="AE53" s="31">
        <f t="shared" si="15"/>
        <v>0.05</v>
      </c>
      <c r="AF53" s="145">
        <f t="shared" ref="AF53" si="175">(AC53*(1+AE53))/($C$1-AE53)</f>
        <v>0</v>
      </c>
    </row>
    <row r="54" spans="1:32" s="123" customFormat="1">
      <c r="B54" s="23"/>
      <c r="C54" s="147"/>
      <c r="D54" s="147"/>
      <c r="E54" s="148"/>
      <c r="F54" s="148"/>
      <c r="G54" s="149" t="e">
        <f t="shared" ref="G54:Q54" si="176">(G53-F53)/F53</f>
        <v>#DIV/0!</v>
      </c>
      <c r="H54" s="149" t="e">
        <f t="shared" si="176"/>
        <v>#DIV/0!</v>
      </c>
      <c r="I54" s="149" t="e">
        <f t="shared" si="176"/>
        <v>#DIV/0!</v>
      </c>
      <c r="J54" s="149" t="e">
        <f t="shared" si="176"/>
        <v>#DIV/0!</v>
      </c>
      <c r="K54" s="149" t="e">
        <f t="shared" si="176"/>
        <v>#DIV/0!</v>
      </c>
      <c r="L54" s="149" t="e">
        <f t="shared" si="176"/>
        <v>#DIV/0!</v>
      </c>
      <c r="M54" s="149" t="e">
        <f t="shared" si="176"/>
        <v>#DIV/0!</v>
      </c>
      <c r="N54" s="149" t="e">
        <f t="shared" si="176"/>
        <v>#DIV/0!</v>
      </c>
      <c r="O54" s="149" t="e">
        <f t="shared" si="176"/>
        <v>#DIV/0!</v>
      </c>
      <c r="P54" s="149" t="e">
        <f t="shared" si="176"/>
        <v>#DIV/0!</v>
      </c>
      <c r="Q54" s="149" t="e">
        <f t="shared" si="176"/>
        <v>#DIV/0!</v>
      </c>
      <c r="R54" s="128"/>
      <c r="S54" s="20"/>
      <c r="T54" s="152"/>
      <c r="U54" s="153"/>
      <c r="V54" s="153"/>
      <c r="W54" s="153"/>
      <c r="X54" s="153"/>
      <c r="Y54" s="153"/>
      <c r="Z54" s="153"/>
      <c r="AA54" s="153"/>
      <c r="AB54" s="153"/>
      <c r="AC54" s="153"/>
      <c r="AD54" s="138"/>
      <c r="AE54" s="136"/>
      <c r="AF54" s="154"/>
    </row>
    <row r="55" spans="1:32">
      <c r="B55" s="20" t="s">
        <v>399</v>
      </c>
      <c r="C55" s="140"/>
      <c r="D55" s="140"/>
      <c r="E55" s="146"/>
      <c r="F55" s="146"/>
      <c r="G55" s="205">
        <f>H55</f>
        <v>-4</v>
      </c>
      <c r="H55" s="205">
        <v>-4</v>
      </c>
      <c r="I55" s="205">
        <v>55</v>
      </c>
      <c r="J55" s="142">
        <v>94</v>
      </c>
      <c r="K55" s="142">
        <v>200</v>
      </c>
      <c r="L55" s="206">
        <v>304</v>
      </c>
      <c r="M55" s="206">
        <v>478</v>
      </c>
      <c r="N55" s="206">
        <v>727</v>
      </c>
      <c r="O55" s="206">
        <v>977</v>
      </c>
      <c r="P55" s="206">
        <v>1300</v>
      </c>
      <c r="Q55" s="206">
        <v>1611</v>
      </c>
      <c r="R55" s="118" t="e">
        <f>((Q55/G55)^(1/($H$2-$H$1) ))-1</f>
        <v>#NUM!</v>
      </c>
      <c r="S55" s="31">
        <f t="shared" si="5"/>
        <v>0.25</v>
      </c>
      <c r="T55" s="152">
        <f t="shared" si="2"/>
        <v>2013.75</v>
      </c>
      <c r="U55" s="152">
        <f t="shared" ref="U55:AC55" si="177">T55*(1+$S55)</f>
        <v>2517.1875</v>
      </c>
      <c r="V55" s="152">
        <f t="shared" si="177"/>
        <v>3146.484375</v>
      </c>
      <c r="W55" s="152">
        <f t="shared" si="177"/>
        <v>3933.10546875</v>
      </c>
      <c r="X55" s="152">
        <f t="shared" si="177"/>
        <v>4916.3818359375</v>
      </c>
      <c r="Y55" s="152">
        <f t="shared" si="177"/>
        <v>6145.477294921875</v>
      </c>
      <c r="Z55" s="152">
        <f t="shared" si="177"/>
        <v>7681.8466186523437</v>
      </c>
      <c r="AA55" s="152">
        <f t="shared" si="177"/>
        <v>9602.3082733154297</v>
      </c>
      <c r="AB55" s="152">
        <f t="shared" si="177"/>
        <v>12002.885341644287</v>
      </c>
      <c r="AC55" s="152">
        <f t="shared" si="177"/>
        <v>15003.606677055359</v>
      </c>
      <c r="AD55" s="137" t="e">
        <f t="shared" si="17"/>
        <v>#NUM!</v>
      </c>
      <c r="AE55" s="31">
        <f t="shared" si="15"/>
        <v>0.05</v>
      </c>
      <c r="AF55" s="145">
        <f t="shared" si="1"/>
        <v>92669.335358283104</v>
      </c>
    </row>
    <row r="56" spans="1:32" s="123" customFormat="1">
      <c r="B56" s="23"/>
      <c r="C56" s="147"/>
      <c r="D56" s="147"/>
      <c r="E56" s="148"/>
      <c r="F56" s="148"/>
      <c r="G56" s="149" t="e">
        <f t="shared" ref="G56:Q56" si="178">(G55-F55)/F55</f>
        <v>#DIV/0!</v>
      </c>
      <c r="H56" s="149">
        <f t="shared" si="178"/>
        <v>0</v>
      </c>
      <c r="I56" s="149">
        <f t="shared" si="178"/>
        <v>-14.75</v>
      </c>
      <c r="J56" s="149">
        <f t="shared" si="178"/>
        <v>0.70909090909090911</v>
      </c>
      <c r="K56" s="149">
        <f t="shared" si="178"/>
        <v>1.1276595744680851</v>
      </c>
      <c r="L56" s="149">
        <f t="shared" si="178"/>
        <v>0.52</v>
      </c>
      <c r="M56" s="149">
        <f t="shared" si="178"/>
        <v>0.57236842105263153</v>
      </c>
      <c r="N56" s="149">
        <f t="shared" si="178"/>
        <v>0.52092050209205021</v>
      </c>
      <c r="O56" s="149">
        <f t="shared" si="178"/>
        <v>0.34387895460797802</v>
      </c>
      <c r="P56" s="149">
        <f t="shared" si="178"/>
        <v>0.330603889457523</v>
      </c>
      <c r="Q56" s="149">
        <f t="shared" si="178"/>
        <v>0.23923076923076922</v>
      </c>
      <c r="R56" s="128"/>
      <c r="S56" s="20"/>
      <c r="T56" s="152"/>
      <c r="U56" s="153"/>
      <c r="V56" s="153"/>
      <c r="W56" s="153"/>
      <c r="X56" s="153"/>
      <c r="Y56" s="153"/>
      <c r="Z56" s="153"/>
      <c r="AA56" s="153"/>
      <c r="AB56" s="153"/>
      <c r="AC56" s="153"/>
      <c r="AD56" s="138"/>
      <c r="AE56" s="136"/>
      <c r="AF56" s="154"/>
    </row>
    <row r="57" spans="1:32">
      <c r="B57" s="20" t="s">
        <v>239</v>
      </c>
      <c r="C57" s="141"/>
      <c r="D57" s="141"/>
      <c r="E57" s="144"/>
      <c r="F57" s="144"/>
      <c r="G57" s="205">
        <v>20</v>
      </c>
      <c r="H57" s="205">
        <v>20</v>
      </c>
      <c r="I57" s="205">
        <v>27</v>
      </c>
      <c r="J57" s="142">
        <v>28</v>
      </c>
      <c r="K57" s="142">
        <v>29.7</v>
      </c>
      <c r="L57" s="206">
        <v>29.69</v>
      </c>
      <c r="M57" s="206">
        <v>33.96</v>
      </c>
      <c r="N57" s="206">
        <v>34.700000000000003</v>
      </c>
      <c r="O57" s="206">
        <v>35.29</v>
      </c>
      <c r="P57" s="206">
        <v>35.86</v>
      </c>
      <c r="Q57" s="207">
        <v>41</v>
      </c>
      <c r="R57" s="118">
        <f>((Q57/G57)^(1/($H$2-$H$1) ))-1</f>
        <v>7.4423221352840185E-2</v>
      </c>
      <c r="S57" s="31">
        <v>0.02</v>
      </c>
      <c r="T57" s="152">
        <f t="shared" si="2"/>
        <v>41.82</v>
      </c>
      <c r="U57" s="152">
        <f>T57*(1+$S57)</f>
        <v>42.656399999999998</v>
      </c>
      <c r="V57" s="152">
        <f t="shared" ref="V57:AC57" si="179">U57*(1+$S57)</f>
        <v>43.509527999999996</v>
      </c>
      <c r="W57" s="152">
        <f t="shared" si="179"/>
        <v>44.379718559999993</v>
      </c>
      <c r="X57" s="152">
        <f t="shared" si="179"/>
        <v>45.267312931199996</v>
      </c>
      <c r="Y57" s="152">
        <f t="shared" si="179"/>
        <v>46.172659189823996</v>
      </c>
      <c r="Z57" s="152">
        <f t="shared" si="179"/>
        <v>47.096112373620478</v>
      </c>
      <c r="AA57" s="152">
        <f t="shared" si="179"/>
        <v>48.038034621092891</v>
      </c>
      <c r="AB57" s="152">
        <f t="shared" si="179"/>
        <v>48.998795313514748</v>
      </c>
      <c r="AC57" s="152">
        <f t="shared" si="179"/>
        <v>49.978771219785045</v>
      </c>
      <c r="AD57" s="137">
        <f t="shared" si="17"/>
        <v>4.6858006503220695E-2</v>
      </c>
      <c r="AE57" s="31">
        <f t="shared" si="15"/>
        <v>0.05</v>
      </c>
      <c r="AF57" s="145">
        <f t="shared" si="1"/>
        <v>308.69241047514294</v>
      </c>
    </row>
    <row r="58" spans="1:32">
      <c r="B58" s="20"/>
      <c r="C58" s="141"/>
      <c r="D58" s="141"/>
      <c r="E58" s="142"/>
      <c r="F58" s="146"/>
      <c r="G58" s="149" t="e">
        <f t="shared" ref="G58:Q58" si="180">(G57-F57)/F57</f>
        <v>#DIV/0!</v>
      </c>
      <c r="H58" s="149">
        <f t="shared" si="180"/>
        <v>0</v>
      </c>
      <c r="I58" s="149">
        <f t="shared" si="180"/>
        <v>0.35</v>
      </c>
      <c r="J58" s="149">
        <f t="shared" si="180"/>
        <v>3.7037037037037035E-2</v>
      </c>
      <c r="K58" s="149">
        <f t="shared" si="180"/>
        <v>6.0714285714285686E-2</v>
      </c>
      <c r="L58" s="149">
        <f t="shared" si="180"/>
        <v>-3.3670033670026971E-4</v>
      </c>
      <c r="M58" s="149">
        <f t="shared" si="180"/>
        <v>0.14381946783428762</v>
      </c>
      <c r="N58" s="149">
        <f t="shared" si="180"/>
        <v>2.1790341578327502E-2</v>
      </c>
      <c r="O58" s="149">
        <f t="shared" si="180"/>
        <v>1.7002881844380296E-2</v>
      </c>
      <c r="P58" s="149">
        <f t="shared" si="180"/>
        <v>1.6151884386511769E-2</v>
      </c>
      <c r="Q58" s="149">
        <f t="shared" si="180"/>
        <v>0.14333519241494702</v>
      </c>
      <c r="R58" s="128"/>
      <c r="S58" s="20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38"/>
      <c r="AE58" s="136"/>
      <c r="AF58" s="145"/>
    </row>
    <row r="59" spans="1:32">
      <c r="B59" s="20" t="s">
        <v>282</v>
      </c>
      <c r="C59" s="144"/>
      <c r="D59" s="144"/>
      <c r="E59" s="144"/>
      <c r="F59" s="146"/>
      <c r="G59" s="146">
        <v>0</v>
      </c>
      <c r="H59" s="146">
        <v>0</v>
      </c>
      <c r="I59" s="146">
        <v>0</v>
      </c>
      <c r="J59" s="146">
        <v>0</v>
      </c>
      <c r="K59" s="146">
        <v>0</v>
      </c>
      <c r="L59" s="146">
        <v>0</v>
      </c>
      <c r="M59" s="146">
        <v>1.5</v>
      </c>
      <c r="N59" s="146">
        <v>2.5</v>
      </c>
      <c r="O59" s="146">
        <v>4</v>
      </c>
      <c r="P59" s="146">
        <v>6</v>
      </c>
      <c r="Q59" s="146">
        <v>8</v>
      </c>
      <c r="R59" s="118" t="e">
        <f>((Q59/G59)^(1/($H$2-$H$1) ))-1</f>
        <v>#DIV/0!</v>
      </c>
      <c r="S59" s="31">
        <f>P1</f>
        <v>0.05</v>
      </c>
      <c r="T59" s="152">
        <f t="shared" si="2"/>
        <v>8.4</v>
      </c>
      <c r="U59" s="152">
        <f t="shared" ref="U59" si="181">T59*(1+$S59)</f>
        <v>8.82</v>
      </c>
      <c r="V59" s="152">
        <f t="shared" ref="V59" si="182">U59*(1+$S59)</f>
        <v>9.261000000000001</v>
      </c>
      <c r="W59" s="152">
        <f t="shared" ref="W59" si="183">V59*(1+$S59)</f>
        <v>9.7240500000000019</v>
      </c>
      <c r="X59" s="152">
        <f t="shared" ref="X59" si="184">W59*(1+$S59)</f>
        <v>10.210252500000003</v>
      </c>
      <c r="Y59" s="152">
        <f t="shared" ref="Y59" si="185">X59*(1+$S59)</f>
        <v>10.720765125000003</v>
      </c>
      <c r="Z59" s="152">
        <f t="shared" ref="Z59" si="186">Y59*(1+$S59)</f>
        <v>11.256803381250004</v>
      </c>
      <c r="AA59" s="152">
        <f t="shared" ref="AA59" si="187">Z59*(1+$S59)</f>
        <v>11.819643550312504</v>
      </c>
      <c r="AB59" s="152">
        <f t="shared" ref="AB59" si="188">AA59*(1+$S59)</f>
        <v>12.41062572782813</v>
      </c>
      <c r="AC59" s="152">
        <f t="shared" ref="AC59" si="189">AB59*(1+$S59)</f>
        <v>13.031157014219536</v>
      </c>
      <c r="AD59" s="137" t="e">
        <f t="shared" ref="AD59" si="190">((AC59/G59)^(1/($AC$3-$H$1) ))-1</f>
        <v>#DIV/0!</v>
      </c>
      <c r="AE59" s="31">
        <f t="shared" si="15"/>
        <v>0.05</v>
      </c>
      <c r="AF59" s="145">
        <f t="shared" si="1"/>
        <v>80.486558029003035</v>
      </c>
    </row>
    <row r="60" spans="1:32">
      <c r="B60" s="20"/>
      <c r="C60" s="144"/>
      <c r="D60" s="144"/>
      <c r="E60" s="144"/>
      <c r="F60" s="146"/>
      <c r="G60" s="149" t="e">
        <f t="shared" ref="G60:Q60" si="191">(G59-F59)/F59</f>
        <v>#DIV/0!</v>
      </c>
      <c r="H60" s="149" t="e">
        <f t="shared" si="191"/>
        <v>#DIV/0!</v>
      </c>
      <c r="I60" s="149" t="e">
        <f t="shared" si="191"/>
        <v>#DIV/0!</v>
      </c>
      <c r="J60" s="149" t="e">
        <f t="shared" si="191"/>
        <v>#DIV/0!</v>
      </c>
      <c r="K60" s="149" t="e">
        <f t="shared" si="191"/>
        <v>#DIV/0!</v>
      </c>
      <c r="L60" s="149" t="e">
        <f t="shared" si="191"/>
        <v>#DIV/0!</v>
      </c>
      <c r="M60" s="149" t="e">
        <f t="shared" si="191"/>
        <v>#DIV/0!</v>
      </c>
      <c r="N60" s="149">
        <f t="shared" si="191"/>
        <v>0.66666666666666663</v>
      </c>
      <c r="O60" s="149">
        <f t="shared" si="191"/>
        <v>0.6</v>
      </c>
      <c r="P60" s="149">
        <f t="shared" si="191"/>
        <v>0.5</v>
      </c>
      <c r="Q60" s="149">
        <f t="shared" si="191"/>
        <v>0.33333333333333331</v>
      </c>
      <c r="R60" s="128"/>
      <c r="S60" s="20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38"/>
      <c r="AE60" s="136"/>
      <c r="AF60" s="145"/>
    </row>
    <row r="61" spans="1:32">
      <c r="B61" s="20" t="s">
        <v>424</v>
      </c>
      <c r="C61" s="20"/>
      <c r="D61" s="20"/>
      <c r="E61" s="127"/>
      <c r="F61" s="127"/>
      <c r="G61" s="146">
        <v>0</v>
      </c>
      <c r="H61" s="146">
        <v>0</v>
      </c>
      <c r="I61" s="146">
        <v>0</v>
      </c>
      <c r="J61" s="146">
        <v>0</v>
      </c>
      <c r="K61" s="146">
        <v>0</v>
      </c>
      <c r="L61" s="146">
        <v>0</v>
      </c>
      <c r="M61" s="146">
        <v>0</v>
      </c>
      <c r="N61" s="146">
        <v>0</v>
      </c>
      <c r="O61" s="146">
        <v>0</v>
      </c>
      <c r="P61" s="146">
        <v>0</v>
      </c>
      <c r="Q61" s="146">
        <v>0</v>
      </c>
      <c r="R61" s="146">
        <v>0</v>
      </c>
      <c r="S61" s="128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38"/>
      <c r="AE61" s="136"/>
      <c r="AF61" s="152"/>
    </row>
    <row r="62" spans="1:32">
      <c r="B62" s="20" t="s">
        <v>422</v>
      </c>
      <c r="C62" s="20"/>
      <c r="D62" s="20"/>
      <c r="E62" s="127"/>
      <c r="F62" s="127"/>
      <c r="G62" s="146">
        <v>0</v>
      </c>
      <c r="H62" s="146">
        <v>0</v>
      </c>
      <c r="I62" s="146">
        <v>0</v>
      </c>
      <c r="J62" s="146">
        <v>0</v>
      </c>
      <c r="K62" s="146">
        <v>0</v>
      </c>
      <c r="L62" s="146">
        <v>0</v>
      </c>
      <c r="M62" s="146">
        <v>0</v>
      </c>
      <c r="N62" s="146">
        <v>0</v>
      </c>
      <c r="O62" s="146">
        <v>0</v>
      </c>
      <c r="P62" s="146">
        <v>0</v>
      </c>
      <c r="Q62" s="146">
        <v>0</v>
      </c>
      <c r="R62" s="146">
        <v>0</v>
      </c>
      <c r="S62" s="128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38"/>
      <c r="AE62" s="136"/>
      <c r="AF62" s="152"/>
    </row>
    <row r="63" spans="1:32">
      <c r="B63" s="20" t="s">
        <v>423</v>
      </c>
      <c r="C63" s="20"/>
      <c r="D63" s="20"/>
      <c r="E63" s="127"/>
      <c r="F63" s="127"/>
      <c r="G63" s="146">
        <v>0</v>
      </c>
      <c r="H63" s="146">
        <v>0</v>
      </c>
      <c r="I63" s="146">
        <v>0</v>
      </c>
      <c r="J63" s="146">
        <v>0</v>
      </c>
      <c r="K63" s="146">
        <v>0</v>
      </c>
      <c r="L63" s="146">
        <v>0</v>
      </c>
      <c r="M63" s="146">
        <v>0</v>
      </c>
      <c r="N63" s="146">
        <v>0</v>
      </c>
      <c r="O63" s="146">
        <v>0</v>
      </c>
      <c r="P63" s="146">
        <v>0</v>
      </c>
      <c r="Q63" s="146">
        <v>0</v>
      </c>
      <c r="R63" s="146">
        <v>0</v>
      </c>
      <c r="S63" s="128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38"/>
      <c r="AE63" s="136"/>
      <c r="AF63" s="152"/>
    </row>
    <row r="64" spans="1:32">
      <c r="B64" s="20"/>
      <c r="C64" s="20"/>
      <c r="D64" s="20"/>
      <c r="E64" s="127"/>
      <c r="F64" s="127"/>
      <c r="G64" s="127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128"/>
      <c r="S64" s="128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38"/>
      <c r="AE64" s="136"/>
      <c r="AF64" s="152"/>
    </row>
    <row r="65" spans="2:32">
      <c r="B65" s="108" t="s">
        <v>243</v>
      </c>
      <c r="C65" s="20"/>
      <c r="D65" s="20"/>
      <c r="E65" s="127"/>
      <c r="F65" s="127"/>
      <c r="G65" s="127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128"/>
      <c r="S65" s="128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38"/>
      <c r="AE65" s="136"/>
      <c r="AF65" s="152"/>
    </row>
    <row r="66" spans="2:32">
      <c r="B66" s="20" t="s">
        <v>302</v>
      </c>
      <c r="C66" s="133"/>
      <c r="D66" s="133"/>
      <c r="E66" s="133"/>
      <c r="F66" s="133"/>
      <c r="G66" s="133">
        <f t="shared" ref="G66:P66" si="192">G25/G57</f>
        <v>2.4</v>
      </c>
      <c r="H66" s="133">
        <f t="shared" si="192"/>
        <v>2.4</v>
      </c>
      <c r="I66" s="133">
        <f t="shared" si="192"/>
        <v>10.703703703703704</v>
      </c>
      <c r="J66" s="133">
        <f t="shared" si="192"/>
        <v>28.142857142857142</v>
      </c>
      <c r="K66" s="133">
        <f t="shared" si="192"/>
        <v>56.262626262626263</v>
      </c>
      <c r="L66" s="133">
        <f t="shared" si="192"/>
        <v>82.115190299764222</v>
      </c>
      <c r="M66" s="133">
        <f t="shared" si="192"/>
        <v>86.719670200235569</v>
      </c>
      <c r="N66" s="133">
        <f t="shared" si="192"/>
        <v>134.43804034582132</v>
      </c>
      <c r="O66" s="133">
        <f t="shared" si="192"/>
        <v>203.0036837631057</v>
      </c>
      <c r="P66" s="133">
        <f t="shared" si="192"/>
        <v>266.34132738427218</v>
      </c>
      <c r="Q66" s="133">
        <f t="shared" ref="Q66" si="193">Q25/Q57</f>
        <v>285.41463414634148</v>
      </c>
      <c r="R66" s="118">
        <f>((P66/G66)^(1/($H$2-$H$1) ))-1</f>
        <v>0.60148447094365953</v>
      </c>
      <c r="S66" s="128"/>
      <c r="T66" s="156">
        <f t="shared" ref="T66:AC66" si="194">T25/T57</f>
        <v>349.77283596365373</v>
      </c>
      <c r="U66" s="156">
        <f t="shared" si="194"/>
        <v>428.64318132800707</v>
      </c>
      <c r="V66" s="156">
        <f t="shared" si="194"/>
        <v>525.29801633334205</v>
      </c>
      <c r="W66" s="156">
        <f t="shared" si="194"/>
        <v>643.74756903595835</v>
      </c>
      <c r="X66" s="156">
        <f t="shared" si="194"/>
        <v>788.90633460289018</v>
      </c>
      <c r="Y66" s="156">
        <f t="shared" si="194"/>
        <v>966.79697868001244</v>
      </c>
      <c r="Z66" s="156">
        <f t="shared" si="194"/>
        <v>1184.8002189706035</v>
      </c>
      <c r="AA66" s="156">
        <f t="shared" si="194"/>
        <v>1451.9610526600532</v>
      </c>
      <c r="AB66" s="156">
        <f t="shared" si="194"/>
        <v>1779.364035122614</v>
      </c>
      <c r="AC66" s="156">
        <f t="shared" si="194"/>
        <v>2180.5931802973209</v>
      </c>
      <c r="AD66" s="137">
        <f t="shared" ref="AD66" si="195">((AC66/G66)^(1/($AC$3-$H$1) ))-1</f>
        <v>0.40578262211930416</v>
      </c>
      <c r="AE66" s="31">
        <f t="shared" si="15"/>
        <v>0.05</v>
      </c>
      <c r="AF66" s="145">
        <f t="shared" ref="AF66:AF67" si="196">(AC66*(1+AE66))/($C$1-AE66)</f>
        <v>13468.369643012866</v>
      </c>
    </row>
    <row r="67" spans="2:32">
      <c r="B67" s="20" t="s">
        <v>303</v>
      </c>
      <c r="C67" s="133"/>
      <c r="D67" s="133"/>
      <c r="E67" s="133"/>
      <c r="F67" s="133"/>
      <c r="G67" s="133">
        <f t="shared" ref="G67:P67" si="197">G27/G57</f>
        <v>0.59250000000000003</v>
      </c>
      <c r="H67" s="133">
        <f t="shared" si="197"/>
        <v>0.59250000000000003</v>
      </c>
      <c r="I67" s="133">
        <f t="shared" si="197"/>
        <v>3.8888888888888888</v>
      </c>
      <c r="J67" s="133">
        <f t="shared" si="197"/>
        <v>14.857142857142858</v>
      </c>
      <c r="K67" s="133">
        <f t="shared" si="197"/>
        <v>32.794612794612796</v>
      </c>
      <c r="L67" s="133">
        <f t="shared" si="197"/>
        <v>50.2526103065005</v>
      </c>
      <c r="M67" s="133">
        <f t="shared" si="197"/>
        <v>72.644287396937571</v>
      </c>
      <c r="N67" s="133">
        <f t="shared" si="197"/>
        <v>113.45821325648414</v>
      </c>
      <c r="O67" s="133">
        <f t="shared" si="197"/>
        <v>175.31878719183905</v>
      </c>
      <c r="P67" s="133">
        <f t="shared" si="197"/>
        <v>230.06134969325154</v>
      </c>
      <c r="Q67" s="133">
        <f t="shared" ref="Q67" si="198">Q27/Q57</f>
        <v>246.1219512195122</v>
      </c>
      <c r="R67" s="118">
        <f>((P67/G67)^(1/($H$2-$H$1) ))-1</f>
        <v>0.81516258408363984</v>
      </c>
      <c r="S67" s="128"/>
      <c r="T67" s="156">
        <f t="shared" ref="T67:AC67" si="199">T27/T57</f>
        <v>301.62003825920613</v>
      </c>
      <c r="U67" s="156">
        <f t="shared" si="199"/>
        <v>369.63239982745853</v>
      </c>
      <c r="V67" s="156">
        <f t="shared" si="199"/>
        <v>452.98088214149328</v>
      </c>
      <c r="W67" s="156">
        <f t="shared" si="199"/>
        <v>555.12363007535942</v>
      </c>
      <c r="X67" s="156">
        <f t="shared" si="199"/>
        <v>680.29856626882281</v>
      </c>
      <c r="Y67" s="156">
        <f t="shared" si="199"/>
        <v>833.69922336865545</v>
      </c>
      <c r="Z67" s="156">
        <f t="shared" si="199"/>
        <v>1021.6902247164894</v>
      </c>
      <c r="AA67" s="156">
        <f t="shared" si="199"/>
        <v>1252.0713538192272</v>
      </c>
      <c r="AB67" s="156">
        <f t="shared" si="199"/>
        <v>1534.4011688961118</v>
      </c>
      <c r="AC67" s="156">
        <f t="shared" si="199"/>
        <v>1880.3935893334701</v>
      </c>
      <c r="AD67" s="137">
        <f t="shared" ref="AD67" si="200">((AC67/G67)^(1/($AC$3-$H$1) ))-1</f>
        <v>0.4965044767640765</v>
      </c>
      <c r="AE67" s="31">
        <f t="shared" si="15"/>
        <v>0.05</v>
      </c>
      <c r="AF67" s="145">
        <f t="shared" si="196"/>
        <v>11614.195698824376</v>
      </c>
    </row>
    <row r="68" spans="2:32">
      <c r="B68" s="20" t="s">
        <v>425</v>
      </c>
      <c r="C68" s="133"/>
      <c r="D68" s="133"/>
      <c r="E68" s="133"/>
      <c r="F68" s="133"/>
      <c r="G68" s="133">
        <f>G53-G55</f>
        <v>4</v>
      </c>
      <c r="H68" s="133">
        <f t="shared" ref="H68:P68" si="201">H53-H55</f>
        <v>4</v>
      </c>
      <c r="I68" s="133">
        <f t="shared" si="201"/>
        <v>-55</v>
      </c>
      <c r="J68" s="133">
        <f t="shared" si="201"/>
        <v>-94</v>
      </c>
      <c r="K68" s="133">
        <f t="shared" si="201"/>
        <v>-200</v>
      </c>
      <c r="L68" s="133">
        <f t="shared" si="201"/>
        <v>-304</v>
      </c>
      <c r="M68" s="133">
        <f t="shared" si="201"/>
        <v>-478</v>
      </c>
      <c r="N68" s="133">
        <f t="shared" si="201"/>
        <v>-727</v>
      </c>
      <c r="O68" s="133">
        <f t="shared" si="201"/>
        <v>-977</v>
      </c>
      <c r="P68" s="133">
        <f t="shared" si="201"/>
        <v>-1300</v>
      </c>
      <c r="Q68" s="133">
        <f t="shared" ref="Q68" si="202">Q53-Q55</f>
        <v>-1611</v>
      </c>
      <c r="R68" s="118" t="e">
        <f>((P68/G68)^(1/($H$2-$H$1) ))-1</f>
        <v>#NUM!</v>
      </c>
      <c r="S68" s="128"/>
      <c r="T68" s="133">
        <f t="shared" ref="T68:AC68" si="203">T53-T55</f>
        <v>-2013.75</v>
      </c>
      <c r="U68" s="133">
        <f t="shared" si="203"/>
        <v>-2517.1875</v>
      </c>
      <c r="V68" s="133">
        <f t="shared" si="203"/>
        <v>-3146.484375</v>
      </c>
      <c r="W68" s="133">
        <f t="shared" si="203"/>
        <v>-3933.10546875</v>
      </c>
      <c r="X68" s="133">
        <f t="shared" si="203"/>
        <v>-4916.3818359375</v>
      </c>
      <c r="Y68" s="133">
        <f t="shared" si="203"/>
        <v>-6145.477294921875</v>
      </c>
      <c r="Z68" s="133">
        <f t="shared" si="203"/>
        <v>-7681.8466186523437</v>
      </c>
      <c r="AA68" s="133">
        <f t="shared" si="203"/>
        <v>-9602.3082733154297</v>
      </c>
      <c r="AB68" s="133">
        <f t="shared" si="203"/>
        <v>-12002.885341644287</v>
      </c>
      <c r="AC68" s="133">
        <f t="shared" si="203"/>
        <v>-15003.606677055359</v>
      </c>
      <c r="AD68" s="137" t="e">
        <f t="shared" ref="AD68" si="204">((AC68/G68)^(1/($AC$3-$H$1) ))-1</f>
        <v>#NUM!</v>
      </c>
      <c r="AE68" s="31">
        <f t="shared" si="15"/>
        <v>0.05</v>
      </c>
      <c r="AF68" s="145">
        <f t="shared" ref="AF68" si="205">(AC68*(1+AE68))/($C$1-AE68)</f>
        <v>-92669.335358283104</v>
      </c>
    </row>
    <row r="69" spans="2:32">
      <c r="B69" s="20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28"/>
      <c r="S69" s="128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19"/>
      <c r="AE69" s="136"/>
      <c r="AF69" s="145"/>
    </row>
    <row r="70" spans="2:32">
      <c r="B70" s="20" t="s">
        <v>460</v>
      </c>
      <c r="C70" s="133"/>
      <c r="D70" s="133"/>
      <c r="E70" s="133"/>
      <c r="F70" s="133"/>
      <c r="G70" s="25">
        <f t="shared" ref="G70:P70" si="206">G51/G57</f>
        <v>0</v>
      </c>
      <c r="H70" s="25">
        <f t="shared" si="206"/>
        <v>0</v>
      </c>
      <c r="I70" s="25">
        <f t="shared" si="206"/>
        <v>0</v>
      </c>
      <c r="J70" s="25">
        <f t="shared" si="206"/>
        <v>0</v>
      </c>
      <c r="K70" s="25">
        <f t="shared" si="206"/>
        <v>0</v>
      </c>
      <c r="L70" s="25">
        <f t="shared" si="206"/>
        <v>0</v>
      </c>
      <c r="M70" s="25">
        <f t="shared" si="206"/>
        <v>0</v>
      </c>
      <c r="N70" s="25">
        <f t="shared" si="206"/>
        <v>0</v>
      </c>
      <c r="O70" s="25">
        <f t="shared" si="206"/>
        <v>0</v>
      </c>
      <c r="P70" s="25">
        <f t="shared" si="206"/>
        <v>0</v>
      </c>
      <c r="Q70" s="25">
        <f>Q51/Q57</f>
        <v>0</v>
      </c>
      <c r="R70" s="118" t="e">
        <f t="shared" ref="R70:R76" si="207">((P70/G70)^(1/($H$2-$H$1) ))-1</f>
        <v>#DIV/0!</v>
      </c>
      <c r="S70" s="128"/>
      <c r="T70" s="112">
        <f>T51/T57</f>
        <v>0</v>
      </c>
      <c r="U70" s="112">
        <f t="shared" ref="U70:AC70" si="208">U51/U57</f>
        <v>0</v>
      </c>
      <c r="V70" s="112">
        <f t="shared" si="208"/>
        <v>0</v>
      </c>
      <c r="W70" s="112">
        <f t="shared" si="208"/>
        <v>0</v>
      </c>
      <c r="X70" s="112">
        <f t="shared" si="208"/>
        <v>0</v>
      </c>
      <c r="Y70" s="112">
        <f t="shared" si="208"/>
        <v>0</v>
      </c>
      <c r="Z70" s="112">
        <f t="shared" si="208"/>
        <v>0</v>
      </c>
      <c r="AA70" s="112">
        <f t="shared" si="208"/>
        <v>0</v>
      </c>
      <c r="AB70" s="112">
        <f t="shared" si="208"/>
        <v>0</v>
      </c>
      <c r="AC70" s="112">
        <f t="shared" si="208"/>
        <v>0</v>
      </c>
      <c r="AD70" s="137" t="e">
        <f t="shared" ref="AD70:AD71" si="209">((AC70/G70)^(1/($AC$3-$H$1) ))-1</f>
        <v>#DIV/0!</v>
      </c>
      <c r="AE70" s="31">
        <f t="shared" si="15"/>
        <v>0.05</v>
      </c>
      <c r="AF70" s="145">
        <f t="shared" ref="AF70:AF71" si="210">(AC70*(1+AE70))/($C$1-AE70)</f>
        <v>0</v>
      </c>
    </row>
    <row r="71" spans="2:32">
      <c r="B71" s="20" t="s">
        <v>461</v>
      </c>
      <c r="C71" s="133"/>
      <c r="D71" s="133"/>
      <c r="E71" s="133"/>
      <c r="F71" s="133"/>
      <c r="G71" s="25">
        <f t="shared" ref="G71:P71" si="211">G53/G57</f>
        <v>0</v>
      </c>
      <c r="H71" s="25">
        <f t="shared" si="211"/>
        <v>0</v>
      </c>
      <c r="I71" s="25">
        <f t="shared" si="211"/>
        <v>0</v>
      </c>
      <c r="J71" s="25">
        <f t="shared" si="211"/>
        <v>0</v>
      </c>
      <c r="K71" s="25">
        <f t="shared" si="211"/>
        <v>0</v>
      </c>
      <c r="L71" s="25">
        <f t="shared" si="211"/>
        <v>0</v>
      </c>
      <c r="M71" s="25">
        <f t="shared" si="211"/>
        <v>0</v>
      </c>
      <c r="N71" s="25">
        <f t="shared" si="211"/>
        <v>0</v>
      </c>
      <c r="O71" s="25">
        <f t="shared" si="211"/>
        <v>0</v>
      </c>
      <c r="P71" s="25">
        <f t="shared" si="211"/>
        <v>0</v>
      </c>
      <c r="Q71" s="25">
        <f>Q53/Q57</f>
        <v>0</v>
      </c>
      <c r="R71" s="118" t="e">
        <f t="shared" si="207"/>
        <v>#DIV/0!</v>
      </c>
      <c r="S71" s="128"/>
      <c r="T71" s="112">
        <f>T53/T57</f>
        <v>0</v>
      </c>
      <c r="U71" s="112">
        <f t="shared" ref="U71:AC71" si="212">U53/U57</f>
        <v>0</v>
      </c>
      <c r="V71" s="112">
        <f t="shared" si="212"/>
        <v>0</v>
      </c>
      <c r="W71" s="112">
        <f t="shared" si="212"/>
        <v>0</v>
      </c>
      <c r="X71" s="112">
        <f t="shared" si="212"/>
        <v>0</v>
      </c>
      <c r="Y71" s="112">
        <f t="shared" si="212"/>
        <v>0</v>
      </c>
      <c r="Z71" s="112">
        <f t="shared" si="212"/>
        <v>0</v>
      </c>
      <c r="AA71" s="112">
        <f t="shared" si="212"/>
        <v>0</v>
      </c>
      <c r="AB71" s="112">
        <f t="shared" si="212"/>
        <v>0</v>
      </c>
      <c r="AC71" s="112">
        <f t="shared" si="212"/>
        <v>0</v>
      </c>
      <c r="AD71" s="137" t="e">
        <f t="shared" si="209"/>
        <v>#DIV/0!</v>
      </c>
      <c r="AE71" s="31">
        <f t="shared" si="15"/>
        <v>0.05</v>
      </c>
      <c r="AF71" s="145">
        <f t="shared" si="210"/>
        <v>0</v>
      </c>
    </row>
    <row r="72" spans="2:32">
      <c r="B72" s="20" t="s">
        <v>257</v>
      </c>
      <c r="C72" s="25"/>
      <c r="D72" s="25"/>
      <c r="E72" s="25"/>
      <c r="F72" s="133"/>
      <c r="G72" s="133">
        <f t="shared" ref="G72:P72" si="213">G55/G57</f>
        <v>-0.2</v>
      </c>
      <c r="H72" s="133">
        <f t="shared" si="213"/>
        <v>-0.2</v>
      </c>
      <c r="I72" s="133">
        <f t="shared" si="213"/>
        <v>2.0370370370370372</v>
      </c>
      <c r="J72" s="133">
        <f t="shared" si="213"/>
        <v>3.3571428571428572</v>
      </c>
      <c r="K72" s="133">
        <f t="shared" si="213"/>
        <v>6.7340067340067344</v>
      </c>
      <c r="L72" s="133">
        <f t="shared" si="213"/>
        <v>10.239137756820478</v>
      </c>
      <c r="M72" s="133">
        <f t="shared" si="213"/>
        <v>14.075382803297996</v>
      </c>
      <c r="N72" s="133">
        <f t="shared" si="213"/>
        <v>20.95100864553314</v>
      </c>
      <c r="O72" s="133">
        <f t="shared" si="213"/>
        <v>27.684896571266648</v>
      </c>
      <c r="P72" s="133">
        <f t="shared" si="213"/>
        <v>36.252091466815394</v>
      </c>
      <c r="Q72" s="133">
        <f t="shared" ref="Q72" si="214">Q55/Q57</f>
        <v>39.292682926829265</v>
      </c>
      <c r="R72" s="118" t="e">
        <f t="shared" si="207"/>
        <v>#NUM!</v>
      </c>
      <c r="S72" s="128"/>
      <c r="T72" s="156">
        <f t="shared" ref="T72:AC72" si="215">T55/T57</f>
        <v>48.152797704447636</v>
      </c>
      <c r="U72" s="156">
        <f t="shared" si="215"/>
        <v>59.010781500548575</v>
      </c>
      <c r="V72" s="156">
        <f t="shared" si="215"/>
        <v>72.317134191848737</v>
      </c>
      <c r="W72" s="156">
        <f t="shared" si="215"/>
        <v>88.623938960598949</v>
      </c>
      <c r="X72" s="156">
        <f t="shared" si="215"/>
        <v>108.60776833406734</v>
      </c>
      <c r="Y72" s="156">
        <f t="shared" si="215"/>
        <v>133.09775531135705</v>
      </c>
      <c r="Z72" s="156">
        <f t="shared" si="215"/>
        <v>163.10999425411401</v>
      </c>
      <c r="AA72" s="156">
        <f t="shared" si="215"/>
        <v>199.88969884082599</v>
      </c>
      <c r="AB72" s="156">
        <f t="shared" si="215"/>
        <v>244.96286622650243</v>
      </c>
      <c r="AC72" s="156">
        <f t="shared" si="215"/>
        <v>300.19959096385099</v>
      </c>
      <c r="AD72" s="137" t="e">
        <f t="shared" ref="AD72:AD86" si="216">((AC72/G72)^(1/($AC$3-$H$1) ))-1</f>
        <v>#NUM!</v>
      </c>
      <c r="AE72" s="31">
        <f t="shared" si="15"/>
        <v>0.05</v>
      </c>
      <c r="AF72" s="145">
        <f t="shared" ref="AF72:AF100" si="217">(AC72*(1+AE72))/($C$1-AE72)</f>
        <v>1854.1739441884918</v>
      </c>
    </row>
    <row r="73" spans="2:32">
      <c r="B73" s="20" t="s">
        <v>386</v>
      </c>
      <c r="C73" s="133"/>
      <c r="D73" s="133"/>
      <c r="E73" s="133"/>
      <c r="F73" s="133"/>
      <c r="G73" s="133">
        <f>G20/G57</f>
        <v>-2.75</v>
      </c>
      <c r="H73" s="133">
        <f t="shared" ref="H73:P73" si="218">H20/H57</f>
        <v>-2.75</v>
      </c>
      <c r="I73" s="133">
        <f t="shared" si="218"/>
        <v>-6.1481481481481479</v>
      </c>
      <c r="J73" s="133">
        <f t="shared" si="218"/>
        <v>64.321428571428569</v>
      </c>
      <c r="K73" s="133">
        <f t="shared" si="218"/>
        <v>-6.5993265993265995</v>
      </c>
      <c r="L73" s="133">
        <f t="shared" si="218"/>
        <v>-12.293701583024587</v>
      </c>
      <c r="M73" s="133">
        <f t="shared" si="218"/>
        <v>28.268551236749115</v>
      </c>
      <c r="N73" s="133">
        <f t="shared" si="218"/>
        <v>87.896253602305464</v>
      </c>
      <c r="O73" s="133">
        <f t="shared" si="218"/>
        <v>101.67186171720034</v>
      </c>
      <c r="P73" s="133">
        <f t="shared" si="218"/>
        <v>15.05856107083101</v>
      </c>
      <c r="Q73" s="133">
        <f t="shared" ref="Q73" si="219">Q20/Q57</f>
        <v>108.48780487804878</v>
      </c>
      <c r="R73" s="118" t="e">
        <f t="shared" si="207"/>
        <v>#NUM!</v>
      </c>
      <c r="S73" s="128"/>
      <c r="T73" s="133">
        <f t="shared" ref="T73:AC73" si="220">T20/T57</f>
        <v>132.95074127211859</v>
      </c>
      <c r="U73" s="133">
        <f t="shared" si="220"/>
        <v>162.92982999034143</v>
      </c>
      <c r="V73" s="133">
        <f t="shared" si="220"/>
        <v>199.66890930188902</v>
      </c>
      <c r="W73" s="133">
        <f t="shared" si="220"/>
        <v>244.69229081113852</v>
      </c>
      <c r="X73" s="133">
        <f t="shared" si="220"/>
        <v>299.86800344502268</v>
      </c>
      <c r="Y73" s="133">
        <f t="shared" si="220"/>
        <v>367.48529833948857</v>
      </c>
      <c r="Z73" s="133">
        <f t="shared" si="220"/>
        <v>450.34963031800066</v>
      </c>
      <c r="AA73" s="133">
        <f t="shared" si="220"/>
        <v>551.89905676225567</v>
      </c>
      <c r="AB73" s="133">
        <f t="shared" si="220"/>
        <v>676.34688328707807</v>
      </c>
      <c r="AC73" s="133">
        <f t="shared" si="220"/>
        <v>828.85647461651718</v>
      </c>
      <c r="AD73" s="137" t="e">
        <f t="shared" ref="AD73" si="221">((AC73/G73)^(1/($AC$3-$H$1) ))-1</f>
        <v>#NUM!</v>
      </c>
      <c r="AE73" s="31">
        <f t="shared" si="15"/>
        <v>0.05</v>
      </c>
      <c r="AF73" s="145">
        <f t="shared" si="217"/>
        <v>5119.4076373373127</v>
      </c>
    </row>
    <row r="74" spans="2:32">
      <c r="B74" s="20" t="s">
        <v>245</v>
      </c>
      <c r="C74" s="25"/>
      <c r="D74" s="25"/>
      <c r="E74" s="25"/>
      <c r="F74" s="133"/>
      <c r="G74" s="133">
        <f t="shared" ref="G74:P74" si="222">G7/G57</f>
        <v>10.85</v>
      </c>
      <c r="H74" s="133">
        <f t="shared" si="222"/>
        <v>10.85</v>
      </c>
      <c r="I74" s="133">
        <f t="shared" si="222"/>
        <v>21.185185185185187</v>
      </c>
      <c r="J74" s="133">
        <f t="shared" si="222"/>
        <v>28.107142857142858</v>
      </c>
      <c r="K74" s="133">
        <f t="shared" si="222"/>
        <v>44.410774410774415</v>
      </c>
      <c r="L74" s="133">
        <f t="shared" si="222"/>
        <v>54.698551700909398</v>
      </c>
      <c r="M74" s="133">
        <f t="shared" si="222"/>
        <v>90.959952885747938</v>
      </c>
      <c r="N74" s="133">
        <f t="shared" si="222"/>
        <v>109.3371757925072</v>
      </c>
      <c r="O74" s="133">
        <f t="shared" si="222"/>
        <v>132.5021252479456</v>
      </c>
      <c r="P74" s="133">
        <f t="shared" si="222"/>
        <v>161.93530395984385</v>
      </c>
      <c r="Q74" s="133">
        <f t="shared" ref="Q74" si="223">Q7/Q57</f>
        <v>173.53658536585365</v>
      </c>
      <c r="R74" s="118">
        <f t="shared" si="207"/>
        <v>0.31036166822118361</v>
      </c>
      <c r="S74" s="128"/>
      <c r="T74" s="156">
        <f t="shared" ref="T74:AC74" si="224">T7/T57</f>
        <v>212.66738402678143</v>
      </c>
      <c r="U74" s="156">
        <f t="shared" si="224"/>
        <v>260.62179415046745</v>
      </c>
      <c r="V74" s="156">
        <f t="shared" si="224"/>
        <v>319.38945361576896</v>
      </c>
      <c r="W74" s="156">
        <f t="shared" si="224"/>
        <v>391.40864413697182</v>
      </c>
      <c r="X74" s="156">
        <f t="shared" si="224"/>
        <v>479.66745605021049</v>
      </c>
      <c r="Y74" s="156">
        <f t="shared" si="224"/>
        <v>587.82776476741481</v>
      </c>
      <c r="Z74" s="156">
        <f t="shared" si="224"/>
        <v>720.37716270516523</v>
      </c>
      <c r="AA74" s="156">
        <f t="shared" si="224"/>
        <v>882.81515037397696</v>
      </c>
      <c r="AB74" s="156">
        <f t="shared" si="224"/>
        <v>1081.8813117328148</v>
      </c>
      <c r="AC74" s="156">
        <f t="shared" si="224"/>
        <v>1325.8349408490378</v>
      </c>
      <c r="AD74" s="137">
        <f t="shared" si="216"/>
        <v>0.27160722289437467</v>
      </c>
      <c r="AE74" s="31">
        <f t="shared" si="15"/>
        <v>0.05</v>
      </c>
      <c r="AF74" s="145">
        <f t="shared" si="217"/>
        <v>8188.9805170087648</v>
      </c>
    </row>
    <row r="75" spans="2:32">
      <c r="B75" s="20" t="s">
        <v>246</v>
      </c>
      <c r="C75" s="127"/>
      <c r="D75" s="127"/>
      <c r="E75" s="127"/>
      <c r="F75" s="143"/>
      <c r="G75" s="143">
        <f t="shared" ref="G75:P75" si="225">G6/G57</f>
        <v>0.85</v>
      </c>
      <c r="H75" s="143">
        <f t="shared" si="225"/>
        <v>0.85</v>
      </c>
      <c r="I75" s="143">
        <f t="shared" si="225"/>
        <v>11.222222222222221</v>
      </c>
      <c r="J75" s="143">
        <f t="shared" si="225"/>
        <v>18.107142857142858</v>
      </c>
      <c r="K75" s="143">
        <f t="shared" si="225"/>
        <v>34.444444444444443</v>
      </c>
      <c r="L75" s="143">
        <f t="shared" si="225"/>
        <v>44.695183563489387</v>
      </c>
      <c r="M75" s="143">
        <f t="shared" si="225"/>
        <v>80.948174322732626</v>
      </c>
      <c r="N75" s="143">
        <f t="shared" si="225"/>
        <v>99.308357348703169</v>
      </c>
      <c r="O75" s="143">
        <f t="shared" si="225"/>
        <v>122.49929158401814</v>
      </c>
      <c r="P75" s="143">
        <f t="shared" si="225"/>
        <v>151.952035694367</v>
      </c>
      <c r="Q75" s="143">
        <f t="shared" ref="Q75" si="226">Q6/Q57</f>
        <v>164.90243902439025</v>
      </c>
      <c r="R75" s="118">
        <f t="shared" si="207"/>
        <v>0.67968854204879015</v>
      </c>
      <c r="S75" s="128"/>
      <c r="T75" s="155">
        <f t="shared" ref="T75:AC75" si="227">T6/T57</f>
        <v>202.08632233381158</v>
      </c>
      <c r="U75" s="155">
        <f t="shared" si="227"/>
        <v>247.65480678163183</v>
      </c>
      <c r="V75" s="155">
        <f t="shared" si="227"/>
        <v>303.49853772258808</v>
      </c>
      <c r="W75" s="155">
        <f t="shared" si="227"/>
        <v>371.93448250317164</v>
      </c>
      <c r="X75" s="155">
        <f t="shared" si="227"/>
        <v>455.8020618911417</v>
      </c>
      <c r="Y75" s="155">
        <f t="shared" si="227"/>
        <v>558.58095819992855</v>
      </c>
      <c r="Z75" s="155">
        <f t="shared" si="227"/>
        <v>684.53548799010855</v>
      </c>
      <c r="AA75" s="155">
        <f t="shared" si="227"/>
        <v>838.89152939964276</v>
      </c>
      <c r="AB75" s="155">
        <f t="shared" si="227"/>
        <v>1028.0533448525034</v>
      </c>
      <c r="AC75" s="155">
        <f t="shared" si="227"/>
        <v>1259.8692951623814</v>
      </c>
      <c r="AD75" s="137">
        <f t="shared" si="216"/>
        <v>0.4406063617470044</v>
      </c>
      <c r="AE75" s="31">
        <f t="shared" si="15"/>
        <v>0.05</v>
      </c>
      <c r="AF75" s="145">
        <f t="shared" si="217"/>
        <v>7781.5456465911802</v>
      </c>
    </row>
    <row r="76" spans="2:32">
      <c r="B76" s="20" t="s">
        <v>247</v>
      </c>
      <c r="C76" s="127"/>
      <c r="D76" s="127"/>
      <c r="E76" s="127"/>
      <c r="F76" s="143"/>
      <c r="G76" s="143">
        <f t="shared" ref="G76:P76" si="228">G10/G57</f>
        <v>51.6</v>
      </c>
      <c r="H76" s="143">
        <f t="shared" si="228"/>
        <v>51.6</v>
      </c>
      <c r="I76" s="143">
        <f t="shared" si="228"/>
        <v>125</v>
      </c>
      <c r="J76" s="143">
        <f t="shared" si="228"/>
        <v>324.53571428571428</v>
      </c>
      <c r="K76" s="143">
        <f t="shared" si="228"/>
        <v>480.1010101010101</v>
      </c>
      <c r="L76" s="143">
        <f t="shared" si="228"/>
        <v>618.32266756483659</v>
      </c>
      <c r="M76" s="143">
        <f t="shared" si="228"/>
        <v>928.94581861012955</v>
      </c>
      <c r="N76" s="143">
        <f t="shared" si="228"/>
        <v>1516.685878962536</v>
      </c>
      <c r="O76" s="143">
        <f t="shared" si="228"/>
        <v>1793.9359591952395</v>
      </c>
      <c r="P76" s="143">
        <f t="shared" si="228"/>
        <v>2450.5577244841047</v>
      </c>
      <c r="Q76" s="143">
        <f t="shared" ref="Q76" si="229">Q10/Q57</f>
        <v>2329.2439024390242</v>
      </c>
      <c r="R76" s="118">
        <f t="shared" si="207"/>
        <v>0.47116547203432479</v>
      </c>
      <c r="S76" s="128"/>
      <c r="T76" s="155">
        <f t="shared" ref="T76:AC76" si="230">T10/T57</f>
        <v>2854.4655667144907</v>
      </c>
      <c r="U76" s="155">
        <f t="shared" si="230"/>
        <v>3498.1195670520719</v>
      </c>
      <c r="V76" s="155">
        <f t="shared" si="230"/>
        <v>4286.9112341324417</v>
      </c>
      <c r="W76" s="155">
        <f t="shared" si="230"/>
        <v>5253.5676888877961</v>
      </c>
      <c r="X76" s="155">
        <f t="shared" si="230"/>
        <v>6438.1956971664167</v>
      </c>
      <c r="Y76" s="155">
        <f t="shared" si="230"/>
        <v>7889.9457073117846</v>
      </c>
      <c r="Z76" s="155">
        <f t="shared" si="230"/>
        <v>9669.0511119016974</v>
      </c>
      <c r="AA76" s="155">
        <f t="shared" si="230"/>
        <v>11849.327343016785</v>
      </c>
      <c r="AB76" s="155">
        <f t="shared" si="230"/>
        <v>14521.234488991158</v>
      </c>
      <c r="AC76" s="155">
        <f t="shared" si="230"/>
        <v>17795.630501214655</v>
      </c>
      <c r="AD76" s="137">
        <f t="shared" si="216"/>
        <v>0.33931639098804656</v>
      </c>
      <c r="AE76" s="31">
        <f t="shared" si="15"/>
        <v>0.05</v>
      </c>
      <c r="AF76" s="145">
        <f t="shared" si="217"/>
        <v>109914.18838985525</v>
      </c>
    </row>
    <row r="77" spans="2:32">
      <c r="B77" s="20"/>
      <c r="C77" s="127"/>
      <c r="D77" s="127"/>
      <c r="E77" s="127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28"/>
      <c r="S77" s="128"/>
      <c r="T77" s="155"/>
      <c r="U77" s="155"/>
      <c r="V77" s="155"/>
      <c r="W77" s="155"/>
      <c r="X77" s="155"/>
      <c r="Y77" s="155"/>
      <c r="Z77" s="155"/>
      <c r="AA77" s="155"/>
      <c r="AB77" s="155"/>
      <c r="AC77" s="155"/>
      <c r="AD77" s="138"/>
      <c r="AE77" s="136"/>
      <c r="AF77" s="145"/>
    </row>
    <row r="78" spans="2:32">
      <c r="B78" s="20" t="s">
        <v>270</v>
      </c>
      <c r="C78" s="127"/>
      <c r="D78" s="127"/>
      <c r="E78" s="127"/>
      <c r="F78" s="143"/>
      <c r="G78" s="143">
        <f t="shared" ref="G78:P78" si="231">(G7-G10)/G57</f>
        <v>-40.75</v>
      </c>
      <c r="H78" s="143">
        <f t="shared" si="231"/>
        <v>-40.75</v>
      </c>
      <c r="I78" s="143">
        <f t="shared" si="231"/>
        <v>-103.81481481481481</v>
      </c>
      <c r="J78" s="143">
        <f t="shared" si="231"/>
        <v>-296.42857142857144</v>
      </c>
      <c r="K78" s="143">
        <f t="shared" si="231"/>
        <v>-435.69023569023568</v>
      </c>
      <c r="L78" s="143">
        <f t="shared" si="231"/>
        <v>-563.62411586392727</v>
      </c>
      <c r="M78" s="143">
        <f t="shared" si="231"/>
        <v>-837.9858657243816</v>
      </c>
      <c r="N78" s="143">
        <f t="shared" si="231"/>
        <v>-1407.3487031700288</v>
      </c>
      <c r="O78" s="143">
        <f t="shared" si="231"/>
        <v>-1661.4338339472938</v>
      </c>
      <c r="P78" s="143">
        <f t="shared" si="231"/>
        <v>-2288.6224205242611</v>
      </c>
      <c r="Q78" s="143">
        <f t="shared" ref="Q78" si="232">(Q7-Q10)/Q57</f>
        <v>-2155.7073170731705</v>
      </c>
      <c r="R78" s="118">
        <f>((P78/G78)^(1/($H$2-$H$1) ))-1</f>
        <v>0.49604498797509144</v>
      </c>
      <c r="S78" s="128"/>
      <c r="T78" s="155">
        <f t="shared" ref="T78:AC78" si="233">(T7-T10)/T57</f>
        <v>-2641.7981826877094</v>
      </c>
      <c r="U78" s="155">
        <f t="shared" si="233"/>
        <v>-3237.4977729016045</v>
      </c>
      <c r="V78" s="155">
        <f t="shared" si="233"/>
        <v>-3967.5217805166726</v>
      </c>
      <c r="W78" s="155">
        <f t="shared" si="233"/>
        <v>-4862.1590447508243</v>
      </c>
      <c r="X78" s="155">
        <f t="shared" si="233"/>
        <v>-5958.5282411162061</v>
      </c>
      <c r="Y78" s="155">
        <f t="shared" si="233"/>
        <v>-7302.1179425443697</v>
      </c>
      <c r="Z78" s="155">
        <f t="shared" si="233"/>
        <v>-8948.6739491965309</v>
      </c>
      <c r="AA78" s="155">
        <f t="shared" si="233"/>
        <v>-10966.512192642807</v>
      </c>
      <c r="AB78" s="155">
        <f t="shared" si="233"/>
        <v>-13439.353177258343</v>
      </c>
      <c r="AC78" s="155">
        <f t="shared" si="233"/>
        <v>-16469.795560365616</v>
      </c>
      <c r="AD78" s="137">
        <f t="shared" si="216"/>
        <v>0.34998216132257398</v>
      </c>
      <c r="AE78" s="31">
        <f t="shared" si="15"/>
        <v>0.05</v>
      </c>
      <c r="AF78" s="145">
        <f t="shared" si="217"/>
        <v>-101725.20787284645</v>
      </c>
    </row>
    <row r="79" spans="2:32">
      <c r="B79" s="20" t="s">
        <v>271</v>
      </c>
      <c r="C79" s="127"/>
      <c r="D79" s="127"/>
      <c r="E79" s="127"/>
      <c r="F79" s="143"/>
      <c r="G79" s="143">
        <f t="shared" ref="G79:P79" si="234">(G7-G10-G9)/G57</f>
        <v>-40.75</v>
      </c>
      <c r="H79" s="143">
        <f t="shared" si="234"/>
        <v>-40.75</v>
      </c>
      <c r="I79" s="143">
        <f t="shared" si="234"/>
        <v>-103.81481481481481</v>
      </c>
      <c r="J79" s="143">
        <f t="shared" si="234"/>
        <v>-296.42857142857144</v>
      </c>
      <c r="K79" s="143">
        <f t="shared" si="234"/>
        <v>-435.69023569023568</v>
      </c>
      <c r="L79" s="143">
        <f t="shared" si="234"/>
        <v>-563.62411586392727</v>
      </c>
      <c r="M79" s="143">
        <f t="shared" si="234"/>
        <v>-837.9858657243816</v>
      </c>
      <c r="N79" s="143">
        <f t="shared" si="234"/>
        <v>-1407.3487031700288</v>
      </c>
      <c r="O79" s="143">
        <f t="shared" si="234"/>
        <v>-1661.4338339472938</v>
      </c>
      <c r="P79" s="143">
        <f t="shared" si="234"/>
        <v>-2288.6224205242611</v>
      </c>
      <c r="Q79" s="143">
        <f t="shared" ref="Q79" si="235">(Q7-Q10-Q9)/Q57</f>
        <v>-2155.7073170731705</v>
      </c>
      <c r="R79" s="118">
        <f>((P79/G79)^(1/($H$2-$H$1) ))-1</f>
        <v>0.49604498797509144</v>
      </c>
      <c r="S79" s="128"/>
      <c r="T79" s="155">
        <f t="shared" ref="T79:AC79" si="236">(T7-T10-T9)/T57</f>
        <v>-2641.7981826877094</v>
      </c>
      <c r="U79" s="155">
        <f t="shared" si="236"/>
        <v>-3237.4977729016045</v>
      </c>
      <c r="V79" s="155">
        <f t="shared" si="236"/>
        <v>-3967.5217805166726</v>
      </c>
      <c r="W79" s="155">
        <f t="shared" si="236"/>
        <v>-4862.1590447508243</v>
      </c>
      <c r="X79" s="155">
        <f t="shared" si="236"/>
        <v>-5958.5282411162061</v>
      </c>
      <c r="Y79" s="155">
        <f t="shared" si="236"/>
        <v>-7302.1179425443697</v>
      </c>
      <c r="Z79" s="155">
        <f t="shared" si="236"/>
        <v>-8948.6739491965309</v>
      </c>
      <c r="AA79" s="155">
        <f t="shared" si="236"/>
        <v>-10966.512192642807</v>
      </c>
      <c r="AB79" s="155">
        <f t="shared" si="236"/>
        <v>-13439.353177258343</v>
      </c>
      <c r="AC79" s="155">
        <f t="shared" si="236"/>
        <v>-16469.795560365616</v>
      </c>
      <c r="AD79" s="137">
        <f t="shared" si="216"/>
        <v>0.34998216132257398</v>
      </c>
      <c r="AE79" s="31">
        <f t="shared" si="15"/>
        <v>0.05</v>
      </c>
      <c r="AF79" s="145">
        <f t="shared" si="217"/>
        <v>-101725.20787284645</v>
      </c>
    </row>
    <row r="80" spans="2:32">
      <c r="B80" s="20" t="s">
        <v>276</v>
      </c>
      <c r="C80" s="127"/>
      <c r="D80" s="127"/>
      <c r="E80" s="127"/>
      <c r="F80" s="143"/>
      <c r="G80" s="143">
        <f t="shared" ref="G80:P80" si="237">(G7+G15-G10-G9)/G57</f>
        <v>-40.75</v>
      </c>
      <c r="H80" s="143">
        <f t="shared" si="237"/>
        <v>-40.75</v>
      </c>
      <c r="I80" s="143">
        <f t="shared" si="237"/>
        <v>-103.81481481481481</v>
      </c>
      <c r="J80" s="143">
        <f t="shared" si="237"/>
        <v>-296.42857142857144</v>
      </c>
      <c r="K80" s="143">
        <f t="shared" si="237"/>
        <v>-435.69023569023568</v>
      </c>
      <c r="L80" s="143">
        <f t="shared" si="237"/>
        <v>-563.62411586392727</v>
      </c>
      <c r="M80" s="143">
        <f t="shared" si="237"/>
        <v>-837.9858657243816</v>
      </c>
      <c r="N80" s="143">
        <f t="shared" si="237"/>
        <v>-1407.3487031700288</v>
      </c>
      <c r="O80" s="143">
        <f t="shared" si="237"/>
        <v>-1661.4338339472938</v>
      </c>
      <c r="P80" s="143">
        <f t="shared" si="237"/>
        <v>-2288.6224205242611</v>
      </c>
      <c r="Q80" s="143">
        <f t="shared" ref="Q80" si="238">(Q7+Q15-Q10-Q9)/Q57</f>
        <v>-2155.7073170731705</v>
      </c>
      <c r="R80" s="118">
        <f>((P80/G80)^(1/($H$2-$H$1) ))-1</f>
        <v>0.49604498797509144</v>
      </c>
      <c r="S80" s="128"/>
      <c r="T80" s="155">
        <f t="shared" ref="T80:AC80" si="239">(T7+T15-T10-T9)/T57</f>
        <v>-2641.7981826877094</v>
      </c>
      <c r="U80" s="155">
        <f t="shared" si="239"/>
        <v>-3237.4977729016045</v>
      </c>
      <c r="V80" s="155">
        <f t="shared" si="239"/>
        <v>-3967.5217805166726</v>
      </c>
      <c r="W80" s="155">
        <f t="shared" si="239"/>
        <v>-4862.1590447508243</v>
      </c>
      <c r="X80" s="155">
        <f t="shared" si="239"/>
        <v>-5958.5282411162061</v>
      </c>
      <c r="Y80" s="155">
        <f t="shared" si="239"/>
        <v>-7302.1179425443697</v>
      </c>
      <c r="Z80" s="155">
        <f t="shared" si="239"/>
        <v>-8948.6739491965309</v>
      </c>
      <c r="AA80" s="155">
        <f t="shared" si="239"/>
        <v>-10966.512192642807</v>
      </c>
      <c r="AB80" s="155">
        <f t="shared" si="239"/>
        <v>-13439.353177258343</v>
      </c>
      <c r="AC80" s="155">
        <f t="shared" si="239"/>
        <v>-16469.795560365616</v>
      </c>
      <c r="AD80" s="137">
        <f t="shared" si="216"/>
        <v>0.34998216132257398</v>
      </c>
      <c r="AE80" s="31">
        <f t="shared" si="15"/>
        <v>0.05</v>
      </c>
      <c r="AF80" s="145">
        <f t="shared" si="217"/>
        <v>-101725.20787284645</v>
      </c>
    </row>
    <row r="81" spans="2:32">
      <c r="B81" s="20"/>
      <c r="C81" s="127"/>
      <c r="D81" s="127"/>
      <c r="E81" s="127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28"/>
      <c r="S81" s="128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38"/>
      <c r="AE81" s="136"/>
      <c r="AF81" s="152"/>
    </row>
    <row r="82" spans="2:32">
      <c r="B82" s="20" t="s">
        <v>248</v>
      </c>
      <c r="C82" s="127"/>
      <c r="D82" s="127"/>
      <c r="E82" s="127"/>
      <c r="F82" s="143"/>
      <c r="G82" s="143">
        <f t="shared" ref="G82:P82" si="240">G12/G57</f>
        <v>0</v>
      </c>
      <c r="H82" s="143">
        <f t="shared" si="240"/>
        <v>0</v>
      </c>
      <c r="I82" s="143">
        <f t="shared" si="240"/>
        <v>0</v>
      </c>
      <c r="J82" s="143">
        <f t="shared" si="240"/>
        <v>0</v>
      </c>
      <c r="K82" s="143">
        <f t="shared" si="240"/>
        <v>0</v>
      </c>
      <c r="L82" s="143">
        <f t="shared" si="240"/>
        <v>0</v>
      </c>
      <c r="M82" s="143">
        <f t="shared" si="240"/>
        <v>0</v>
      </c>
      <c r="N82" s="143">
        <f t="shared" si="240"/>
        <v>0</v>
      </c>
      <c r="O82" s="143">
        <f t="shared" si="240"/>
        <v>0</v>
      </c>
      <c r="P82" s="143">
        <f t="shared" si="240"/>
        <v>0</v>
      </c>
      <c r="Q82" s="143">
        <f t="shared" ref="Q82" si="241">Q12/Q57</f>
        <v>0</v>
      </c>
      <c r="R82" s="118" t="e">
        <f>((P82/G82)^(1/($H$2-$H$1) ))-1</f>
        <v>#DIV/0!</v>
      </c>
      <c r="S82" s="128"/>
      <c r="T82" s="155">
        <f t="shared" ref="T82:AC82" si="242">T12/T57</f>
        <v>0</v>
      </c>
      <c r="U82" s="155">
        <f t="shared" si="242"/>
        <v>0</v>
      </c>
      <c r="V82" s="155">
        <f t="shared" si="242"/>
        <v>0</v>
      </c>
      <c r="W82" s="155">
        <f t="shared" si="242"/>
        <v>0</v>
      </c>
      <c r="X82" s="155">
        <f t="shared" si="242"/>
        <v>0</v>
      </c>
      <c r="Y82" s="155">
        <f t="shared" si="242"/>
        <v>0</v>
      </c>
      <c r="Z82" s="155">
        <f t="shared" si="242"/>
        <v>0</v>
      </c>
      <c r="AA82" s="155">
        <f t="shared" si="242"/>
        <v>0</v>
      </c>
      <c r="AB82" s="155">
        <f t="shared" si="242"/>
        <v>0</v>
      </c>
      <c r="AC82" s="155">
        <f t="shared" si="242"/>
        <v>0</v>
      </c>
      <c r="AD82" s="137" t="e">
        <f t="shared" si="216"/>
        <v>#DIV/0!</v>
      </c>
      <c r="AE82" s="31">
        <f t="shared" si="15"/>
        <v>0.05</v>
      </c>
      <c r="AF82" s="145">
        <f t="shared" si="217"/>
        <v>0</v>
      </c>
    </row>
    <row r="83" spans="2:32">
      <c r="B83" s="20" t="s">
        <v>255</v>
      </c>
      <c r="C83" s="127"/>
      <c r="D83" s="127"/>
      <c r="E83" s="127"/>
      <c r="F83" s="143"/>
      <c r="G83" s="143">
        <f t="shared" ref="G83:P83" si="243">G13/G57</f>
        <v>19.75</v>
      </c>
      <c r="H83" s="143">
        <f t="shared" si="243"/>
        <v>19.75</v>
      </c>
      <c r="I83" s="143">
        <f t="shared" si="243"/>
        <v>50</v>
      </c>
      <c r="J83" s="143">
        <f t="shared" si="243"/>
        <v>109.75</v>
      </c>
      <c r="K83" s="143">
        <f t="shared" si="243"/>
        <v>171.4814814814815</v>
      </c>
      <c r="L83" s="143">
        <f t="shared" si="243"/>
        <v>239.71034018187942</v>
      </c>
      <c r="M83" s="143">
        <f t="shared" si="243"/>
        <v>300.61837455830386</v>
      </c>
      <c r="N83" s="143">
        <f t="shared" si="243"/>
        <v>542.59365994236305</v>
      </c>
      <c r="O83" s="143">
        <f t="shared" si="243"/>
        <v>786.5400963445735</v>
      </c>
      <c r="P83" s="143">
        <f t="shared" si="243"/>
        <v>1198.4104852203011</v>
      </c>
      <c r="Q83" s="143">
        <f t="shared" ref="Q83" si="244">Q13/Q57</f>
        <v>998.34146341463418</v>
      </c>
      <c r="R83" s="118">
        <f>((P83/G83)^(1/($H$2-$H$1) ))-1</f>
        <v>0.50766151836331441</v>
      </c>
      <c r="S83" s="128"/>
      <c r="T83" s="155">
        <f t="shared" ref="T83:AC83" si="245">T13/T57</f>
        <v>1223.4576757532282</v>
      </c>
      <c r="U83" s="155">
        <f t="shared" si="245"/>
        <v>1499.3353869524856</v>
      </c>
      <c r="V83" s="155">
        <f t="shared" si="245"/>
        <v>1837.4208173437323</v>
      </c>
      <c r="W83" s="155">
        <f t="shared" si="245"/>
        <v>2251.7411977251622</v>
      </c>
      <c r="X83" s="155">
        <f t="shared" si="245"/>
        <v>2759.4867619180909</v>
      </c>
      <c r="Y83" s="155">
        <f t="shared" si="245"/>
        <v>3381.7239729388371</v>
      </c>
      <c r="Z83" s="155">
        <f t="shared" si="245"/>
        <v>4144.2695746799473</v>
      </c>
      <c r="AA83" s="155">
        <f t="shared" si="245"/>
        <v>5078.7617336764051</v>
      </c>
      <c r="AB83" s="155">
        <f t="shared" si="245"/>
        <v>6223.9727128387321</v>
      </c>
      <c r="AC83" s="155">
        <f t="shared" si="245"/>
        <v>7627.417540243544</v>
      </c>
      <c r="AD83" s="137">
        <f t="shared" si="216"/>
        <v>0.34691602833217083</v>
      </c>
      <c r="AE83" s="31">
        <f t="shared" si="15"/>
        <v>0.05</v>
      </c>
      <c r="AF83" s="145">
        <f t="shared" si="217"/>
        <v>47110.520101504248</v>
      </c>
    </row>
    <row r="84" spans="2:32">
      <c r="B84" s="20" t="s">
        <v>256</v>
      </c>
      <c r="C84" s="127"/>
      <c r="D84" s="127"/>
      <c r="E84" s="127"/>
      <c r="F84" s="143"/>
      <c r="G84" s="143">
        <f t="shared" ref="G84:P84" si="246">(G82+G83)</f>
        <v>19.75</v>
      </c>
      <c r="H84" s="143">
        <f t="shared" si="246"/>
        <v>19.75</v>
      </c>
      <c r="I84" s="143">
        <f t="shared" si="246"/>
        <v>50</v>
      </c>
      <c r="J84" s="143">
        <f t="shared" si="246"/>
        <v>109.75</v>
      </c>
      <c r="K84" s="143">
        <f t="shared" si="246"/>
        <v>171.4814814814815</v>
      </c>
      <c r="L84" s="143">
        <f t="shared" si="246"/>
        <v>239.71034018187942</v>
      </c>
      <c r="M84" s="143">
        <f t="shared" si="246"/>
        <v>300.61837455830386</v>
      </c>
      <c r="N84" s="143">
        <f t="shared" si="246"/>
        <v>542.59365994236305</v>
      </c>
      <c r="O84" s="143">
        <f t="shared" ref="O84" si="247">(O82+O83)</f>
        <v>786.5400963445735</v>
      </c>
      <c r="P84" s="143">
        <f t="shared" si="246"/>
        <v>1198.4104852203011</v>
      </c>
      <c r="Q84" s="143">
        <f t="shared" ref="Q84" si="248">(Q82+Q83)</f>
        <v>998.34146341463418</v>
      </c>
      <c r="R84" s="118">
        <f>((P84/G84)^(1/($H$2-$H$1) ))-1</f>
        <v>0.50766151836331441</v>
      </c>
      <c r="S84" s="128"/>
      <c r="T84" s="155">
        <f t="shared" ref="T84:AC84" si="249">(T82+T83)</f>
        <v>1223.4576757532282</v>
      </c>
      <c r="U84" s="155">
        <f t="shared" si="249"/>
        <v>1499.3353869524856</v>
      </c>
      <c r="V84" s="155">
        <f t="shared" si="249"/>
        <v>1837.4208173437323</v>
      </c>
      <c r="W84" s="155">
        <f t="shared" si="249"/>
        <v>2251.7411977251622</v>
      </c>
      <c r="X84" s="155">
        <f t="shared" si="249"/>
        <v>2759.4867619180909</v>
      </c>
      <c r="Y84" s="155">
        <f t="shared" si="249"/>
        <v>3381.7239729388371</v>
      </c>
      <c r="Z84" s="155">
        <f t="shared" si="249"/>
        <v>4144.2695746799473</v>
      </c>
      <c r="AA84" s="155">
        <f t="shared" si="249"/>
        <v>5078.7617336764051</v>
      </c>
      <c r="AB84" s="155">
        <f t="shared" si="249"/>
        <v>6223.9727128387321</v>
      </c>
      <c r="AC84" s="155">
        <f t="shared" si="249"/>
        <v>7627.417540243544</v>
      </c>
      <c r="AD84" s="137">
        <f t="shared" si="216"/>
        <v>0.34691602833217083</v>
      </c>
      <c r="AE84" s="31">
        <f t="shared" si="15"/>
        <v>0.05</v>
      </c>
      <c r="AF84" s="145">
        <f t="shared" si="217"/>
        <v>47110.520101504248</v>
      </c>
    </row>
    <row r="85" spans="2:32">
      <c r="B85" s="20" t="s">
        <v>249</v>
      </c>
      <c r="C85" s="127"/>
      <c r="D85" s="127"/>
      <c r="E85" s="127"/>
      <c r="F85" s="143"/>
      <c r="G85" s="143">
        <f t="shared" ref="G85:P85" si="250">G15/G57</f>
        <v>0</v>
      </c>
      <c r="H85" s="143">
        <f t="shared" si="250"/>
        <v>0</v>
      </c>
      <c r="I85" s="143">
        <f t="shared" si="250"/>
        <v>0</v>
      </c>
      <c r="J85" s="143">
        <f t="shared" si="250"/>
        <v>0</v>
      </c>
      <c r="K85" s="143">
        <f t="shared" si="250"/>
        <v>0</v>
      </c>
      <c r="L85" s="143">
        <f t="shared" si="250"/>
        <v>0</v>
      </c>
      <c r="M85" s="143">
        <f t="shared" si="250"/>
        <v>0</v>
      </c>
      <c r="N85" s="143">
        <f t="shared" si="250"/>
        <v>0</v>
      </c>
      <c r="O85" s="143">
        <f t="shared" si="250"/>
        <v>0</v>
      </c>
      <c r="P85" s="143">
        <f t="shared" si="250"/>
        <v>0</v>
      </c>
      <c r="Q85" s="143">
        <f t="shared" ref="Q85" si="251">Q15/Q57</f>
        <v>0</v>
      </c>
      <c r="R85" s="118" t="e">
        <f>((P85/G85)^(1/($H$2-$H$1) ))-1</f>
        <v>#DIV/0!</v>
      </c>
      <c r="S85" s="128"/>
      <c r="T85" s="155">
        <f t="shared" ref="T85:AC85" si="252">T15/T57</f>
        <v>0</v>
      </c>
      <c r="U85" s="155">
        <f t="shared" si="252"/>
        <v>0</v>
      </c>
      <c r="V85" s="155">
        <f t="shared" si="252"/>
        <v>0</v>
      </c>
      <c r="W85" s="155">
        <f t="shared" si="252"/>
        <v>0</v>
      </c>
      <c r="X85" s="155">
        <f t="shared" si="252"/>
        <v>0</v>
      </c>
      <c r="Y85" s="155">
        <f t="shared" si="252"/>
        <v>0</v>
      </c>
      <c r="Z85" s="155">
        <f t="shared" si="252"/>
        <v>0</v>
      </c>
      <c r="AA85" s="155">
        <f t="shared" si="252"/>
        <v>0</v>
      </c>
      <c r="AB85" s="155">
        <f t="shared" si="252"/>
        <v>0</v>
      </c>
      <c r="AC85" s="155">
        <f t="shared" si="252"/>
        <v>0</v>
      </c>
      <c r="AD85" s="137" t="e">
        <f t="shared" si="216"/>
        <v>#DIV/0!</v>
      </c>
      <c r="AE85" s="31">
        <f t="shared" si="15"/>
        <v>0.05</v>
      </c>
      <c r="AF85" s="145">
        <f t="shared" si="217"/>
        <v>0</v>
      </c>
    </row>
    <row r="86" spans="2:32">
      <c r="B86" s="20" t="s">
        <v>250</v>
      </c>
      <c r="C86" s="127"/>
      <c r="D86" s="127"/>
      <c r="E86" s="127"/>
      <c r="F86" s="143"/>
      <c r="G86" s="143">
        <f t="shared" ref="G86:P86" si="253">G16/G57</f>
        <v>0</v>
      </c>
      <c r="H86" s="143">
        <f t="shared" si="253"/>
        <v>0</v>
      </c>
      <c r="I86" s="143">
        <f t="shared" si="253"/>
        <v>0</v>
      </c>
      <c r="J86" s="143">
        <f t="shared" si="253"/>
        <v>0</v>
      </c>
      <c r="K86" s="143">
        <f t="shared" si="253"/>
        <v>0</v>
      </c>
      <c r="L86" s="143">
        <f t="shared" si="253"/>
        <v>0</v>
      </c>
      <c r="M86" s="143">
        <f t="shared" si="253"/>
        <v>0</v>
      </c>
      <c r="N86" s="143">
        <f t="shared" si="253"/>
        <v>0</v>
      </c>
      <c r="O86" s="143">
        <f t="shared" si="253"/>
        <v>0</v>
      </c>
      <c r="P86" s="143">
        <f t="shared" si="253"/>
        <v>0</v>
      </c>
      <c r="Q86" s="143">
        <f t="shared" ref="Q86" si="254">Q16/Q57</f>
        <v>0</v>
      </c>
      <c r="R86" s="118" t="e">
        <f>((P86/G86)^(1/($H$2-$H$1) ))-1</f>
        <v>#DIV/0!</v>
      </c>
      <c r="S86" s="128"/>
      <c r="T86" s="155">
        <f t="shared" ref="T86:AC86" si="255">T16/T57</f>
        <v>0</v>
      </c>
      <c r="U86" s="155">
        <f t="shared" si="255"/>
        <v>0</v>
      </c>
      <c r="V86" s="155">
        <f t="shared" si="255"/>
        <v>0</v>
      </c>
      <c r="W86" s="155">
        <f t="shared" si="255"/>
        <v>0</v>
      </c>
      <c r="X86" s="155">
        <f t="shared" si="255"/>
        <v>0</v>
      </c>
      <c r="Y86" s="155">
        <f t="shared" si="255"/>
        <v>0</v>
      </c>
      <c r="Z86" s="155">
        <f t="shared" si="255"/>
        <v>0</v>
      </c>
      <c r="AA86" s="155">
        <f t="shared" si="255"/>
        <v>0</v>
      </c>
      <c r="AB86" s="155">
        <f t="shared" si="255"/>
        <v>0</v>
      </c>
      <c r="AC86" s="155">
        <f t="shared" si="255"/>
        <v>0</v>
      </c>
      <c r="AD86" s="137" t="e">
        <f t="shared" si="216"/>
        <v>#DIV/0!</v>
      </c>
      <c r="AE86" s="136"/>
      <c r="AF86" s="145">
        <f t="shared" si="217"/>
        <v>0</v>
      </c>
    </row>
    <row r="87" spans="2:32">
      <c r="B87" s="20"/>
      <c r="C87" s="127"/>
      <c r="D87" s="127"/>
      <c r="E87" s="127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28"/>
      <c r="S87" s="128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38"/>
      <c r="AE87" s="31">
        <f t="shared" si="15"/>
        <v>0.05</v>
      </c>
      <c r="AF87" s="145">
        <f t="shared" si="217"/>
        <v>0</v>
      </c>
    </row>
    <row r="88" spans="2:32">
      <c r="B88" s="20" t="s">
        <v>282</v>
      </c>
      <c r="C88" s="157"/>
      <c r="D88" s="157"/>
      <c r="E88" s="157"/>
      <c r="F88" s="157"/>
      <c r="G88" s="157">
        <f t="shared" ref="G88:P88" si="256">G59</f>
        <v>0</v>
      </c>
      <c r="H88" s="157">
        <f t="shared" si="256"/>
        <v>0</v>
      </c>
      <c r="I88" s="157">
        <f t="shared" si="256"/>
        <v>0</v>
      </c>
      <c r="J88" s="157">
        <f t="shared" si="256"/>
        <v>0</v>
      </c>
      <c r="K88" s="157">
        <f t="shared" si="256"/>
        <v>0</v>
      </c>
      <c r="L88" s="157">
        <f t="shared" si="256"/>
        <v>0</v>
      </c>
      <c r="M88" s="157">
        <f t="shared" si="256"/>
        <v>1.5</v>
      </c>
      <c r="N88" s="157">
        <f t="shared" si="256"/>
        <v>2.5</v>
      </c>
      <c r="O88" s="157">
        <f t="shared" si="256"/>
        <v>4</v>
      </c>
      <c r="P88" s="157">
        <f t="shared" si="256"/>
        <v>6</v>
      </c>
      <c r="Q88" s="157">
        <f t="shared" ref="Q88" si="257">Q59</f>
        <v>8</v>
      </c>
      <c r="R88" s="118" t="e">
        <f>((P88/G88)^(1/($H$2-$H$1) ))-1</f>
        <v>#DIV/0!</v>
      </c>
      <c r="S88" s="128"/>
      <c r="T88" s="157">
        <f t="shared" ref="T88:AC88" si="258">T59</f>
        <v>8.4</v>
      </c>
      <c r="U88" s="157">
        <f t="shared" si="258"/>
        <v>8.82</v>
      </c>
      <c r="V88" s="157">
        <f t="shared" si="258"/>
        <v>9.261000000000001</v>
      </c>
      <c r="W88" s="157">
        <f t="shared" si="258"/>
        <v>9.7240500000000019</v>
      </c>
      <c r="X88" s="157">
        <f t="shared" si="258"/>
        <v>10.210252500000003</v>
      </c>
      <c r="Y88" s="157">
        <f t="shared" si="258"/>
        <v>10.720765125000003</v>
      </c>
      <c r="Z88" s="157">
        <f t="shared" si="258"/>
        <v>11.256803381250004</v>
      </c>
      <c r="AA88" s="157">
        <f t="shared" si="258"/>
        <v>11.819643550312504</v>
      </c>
      <c r="AB88" s="157">
        <f t="shared" si="258"/>
        <v>12.41062572782813</v>
      </c>
      <c r="AC88" s="157">
        <f t="shared" si="258"/>
        <v>13.031157014219536</v>
      </c>
      <c r="AD88" s="137" t="e">
        <f t="shared" ref="AD88" si="259">((AC88/G88)^(1/($AC$3-$H$1) ))-1</f>
        <v>#DIV/0!</v>
      </c>
      <c r="AE88" s="31">
        <f t="shared" si="15"/>
        <v>0.05</v>
      </c>
      <c r="AF88" s="145">
        <f t="shared" si="217"/>
        <v>80.486558029003035</v>
      </c>
    </row>
    <row r="89" spans="2:32">
      <c r="B89" s="20"/>
      <c r="C89" s="127"/>
      <c r="D89" s="127"/>
      <c r="E89" s="127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28"/>
      <c r="S89" s="128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38"/>
      <c r="AE89" s="136"/>
      <c r="AF89" s="152"/>
    </row>
    <row r="90" spans="2:32">
      <c r="B90" s="20" t="s">
        <v>315</v>
      </c>
      <c r="C90" s="127"/>
      <c r="D90" s="127"/>
      <c r="E90" s="127"/>
      <c r="F90" s="143"/>
      <c r="G90" s="143">
        <f t="shared" ref="G90:P90" si="260">G20+G21</f>
        <v>-163</v>
      </c>
      <c r="H90" s="143">
        <f t="shared" si="260"/>
        <v>-163</v>
      </c>
      <c r="I90" s="143">
        <f t="shared" si="260"/>
        <v>-236</v>
      </c>
      <c r="J90" s="143">
        <f t="shared" si="260"/>
        <v>579</v>
      </c>
      <c r="K90" s="143">
        <f t="shared" si="260"/>
        <v>-245</v>
      </c>
      <c r="L90" s="143">
        <f t="shared" si="260"/>
        <v>-425</v>
      </c>
      <c r="M90" s="143">
        <f t="shared" si="260"/>
        <v>-1046</v>
      </c>
      <c r="N90" s="143">
        <f t="shared" si="260"/>
        <v>-373</v>
      </c>
      <c r="O90" s="143">
        <f t="shared" si="260"/>
        <v>-1275</v>
      </c>
      <c r="P90" s="143">
        <f t="shared" si="260"/>
        <v>-6201</v>
      </c>
      <c r="Q90" s="143">
        <f t="shared" ref="Q90" si="261">Q20+Q21</f>
        <v>1650</v>
      </c>
      <c r="R90" s="118">
        <f>((P90/G90)^(1/($H$2-$H$1) ))-1</f>
        <v>0.43888939817648409</v>
      </c>
      <c r="S90" s="128"/>
      <c r="T90" s="143">
        <f t="shared" ref="T90:AC90" si="262">T20+T21</f>
        <v>2062.5</v>
      </c>
      <c r="U90" s="143">
        <f t="shared" si="262"/>
        <v>2578.125</v>
      </c>
      <c r="V90" s="143">
        <f t="shared" si="262"/>
        <v>3222.65625</v>
      </c>
      <c r="W90" s="143">
        <f t="shared" si="262"/>
        <v>4028.3203125</v>
      </c>
      <c r="X90" s="143">
        <f t="shared" si="262"/>
        <v>5035.400390625</v>
      </c>
      <c r="Y90" s="143">
        <f t="shared" si="262"/>
        <v>6294.25048828125</v>
      </c>
      <c r="Z90" s="143">
        <f t="shared" si="262"/>
        <v>7867.8131103515625</v>
      </c>
      <c r="AA90" s="143">
        <f t="shared" si="262"/>
        <v>9834.7663879394531</v>
      </c>
      <c r="AB90" s="143">
        <f t="shared" si="262"/>
        <v>12293.457984924316</v>
      </c>
      <c r="AC90" s="143">
        <f t="shared" si="262"/>
        <v>15366.822481155396</v>
      </c>
      <c r="AD90" s="137" t="e">
        <f t="shared" ref="AD90:AD95" si="263">((AC90/G90)^(1/($AC$3-$H$1) ))-1</f>
        <v>#NUM!</v>
      </c>
      <c r="AE90" s="31">
        <f t="shared" si="15"/>
        <v>0.05</v>
      </c>
      <c r="AF90" s="145">
        <f t="shared" si="217"/>
        <v>94912.727089489214</v>
      </c>
    </row>
    <row r="91" spans="2:32">
      <c r="B91" s="20"/>
      <c r="C91" s="127"/>
      <c r="D91" s="127"/>
      <c r="E91" s="127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28"/>
      <c r="S91" s="128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38"/>
      <c r="AE91" s="136"/>
      <c r="AF91" s="145"/>
    </row>
    <row r="92" spans="2:32">
      <c r="B92" s="20" t="s">
        <v>316</v>
      </c>
      <c r="C92" s="127"/>
      <c r="D92" s="127"/>
      <c r="E92" s="127"/>
      <c r="F92" s="143"/>
      <c r="G92" s="143">
        <f t="shared" ref="G92:P92" si="264">G90/G57</f>
        <v>-8.15</v>
      </c>
      <c r="H92" s="143">
        <f t="shared" si="264"/>
        <v>-8.15</v>
      </c>
      <c r="I92" s="143">
        <f t="shared" si="264"/>
        <v>-8.7407407407407405</v>
      </c>
      <c r="J92" s="143">
        <f t="shared" si="264"/>
        <v>20.678571428571427</v>
      </c>
      <c r="K92" s="143">
        <f t="shared" si="264"/>
        <v>-8.2491582491582491</v>
      </c>
      <c r="L92" s="143">
        <f t="shared" si="264"/>
        <v>-14.314584035028629</v>
      </c>
      <c r="M92" s="143">
        <f t="shared" si="264"/>
        <v>-30.800942285041224</v>
      </c>
      <c r="N92" s="143">
        <f t="shared" si="264"/>
        <v>-10.749279538904899</v>
      </c>
      <c r="O92" s="143">
        <f t="shared" si="264"/>
        <v>-36.129215075092098</v>
      </c>
      <c r="P92" s="143">
        <f t="shared" si="264"/>
        <v>-172.92247629670942</v>
      </c>
      <c r="Q92" s="143">
        <f t="shared" ref="Q92" si="265">Q90/Q57</f>
        <v>40.243902439024389</v>
      </c>
      <c r="R92" s="118">
        <f>((P92/G92)^(1/($H$2-$H$1) ))-1</f>
        <v>0.35727979398489684</v>
      </c>
      <c r="S92" s="128"/>
      <c r="T92" s="145">
        <f t="shared" ref="T92:AC92" si="266">T90/T57</f>
        <v>49.318507890961264</v>
      </c>
      <c r="U92" s="145">
        <f t="shared" si="266"/>
        <v>60.439347905589784</v>
      </c>
      <c r="V92" s="145">
        <f t="shared" si="266"/>
        <v>74.067828315673765</v>
      </c>
      <c r="W92" s="145">
        <f t="shared" si="266"/>
        <v>90.769397445678635</v>
      </c>
      <c r="X92" s="145">
        <f t="shared" si="266"/>
        <v>111.23700667362577</v>
      </c>
      <c r="Y92" s="145">
        <f t="shared" si="266"/>
        <v>136.31986111963943</v>
      </c>
      <c r="Z92" s="145">
        <f t="shared" si="266"/>
        <v>167.05865333289145</v>
      </c>
      <c r="AA92" s="145">
        <f t="shared" si="266"/>
        <v>204.72874182952381</v>
      </c>
      <c r="AB92" s="145">
        <f t="shared" si="266"/>
        <v>250.8930659675537</v>
      </c>
      <c r="AC92" s="145">
        <f t="shared" si="266"/>
        <v>307.46699260729616</v>
      </c>
      <c r="AD92" s="137" t="e">
        <f t="shared" si="263"/>
        <v>#NUM!</v>
      </c>
      <c r="AE92" s="31">
        <f t="shared" si="15"/>
        <v>0.05</v>
      </c>
      <c r="AF92" s="145">
        <f t="shared" si="217"/>
        <v>1899.0608366921238</v>
      </c>
    </row>
    <row r="93" spans="2:32">
      <c r="B93" s="20" t="s">
        <v>286</v>
      </c>
      <c r="C93" s="127"/>
      <c r="D93" s="127"/>
      <c r="E93" s="127"/>
      <c r="F93" s="143"/>
      <c r="G93" s="143">
        <f t="shared" ref="G93:P93" si="267">G20/G57</f>
        <v>-2.75</v>
      </c>
      <c r="H93" s="143">
        <f t="shared" si="267"/>
        <v>-2.75</v>
      </c>
      <c r="I93" s="143">
        <f t="shared" si="267"/>
        <v>-6.1481481481481479</v>
      </c>
      <c r="J93" s="143">
        <f t="shared" si="267"/>
        <v>64.321428571428569</v>
      </c>
      <c r="K93" s="143">
        <f t="shared" si="267"/>
        <v>-6.5993265993265995</v>
      </c>
      <c r="L93" s="143">
        <f t="shared" si="267"/>
        <v>-12.293701583024587</v>
      </c>
      <c r="M93" s="143">
        <f t="shared" si="267"/>
        <v>28.268551236749115</v>
      </c>
      <c r="N93" s="143">
        <f t="shared" si="267"/>
        <v>87.896253602305464</v>
      </c>
      <c r="O93" s="143">
        <f t="shared" si="267"/>
        <v>101.67186171720034</v>
      </c>
      <c r="P93" s="143">
        <f t="shared" si="267"/>
        <v>15.05856107083101</v>
      </c>
      <c r="Q93" s="143">
        <f t="shared" ref="Q93" si="268">Q20/Q57</f>
        <v>108.48780487804878</v>
      </c>
      <c r="R93" s="118" t="e">
        <f>((P93/G93)^(1/($H$2-$H$1) ))-1</f>
        <v>#NUM!</v>
      </c>
      <c r="S93" s="128"/>
      <c r="T93" s="145">
        <f t="shared" ref="T93:AC93" si="269">T20/T57</f>
        <v>132.95074127211859</v>
      </c>
      <c r="U93" s="145">
        <f t="shared" si="269"/>
        <v>162.92982999034143</v>
      </c>
      <c r="V93" s="145">
        <f t="shared" si="269"/>
        <v>199.66890930188902</v>
      </c>
      <c r="W93" s="145">
        <f t="shared" si="269"/>
        <v>244.69229081113852</v>
      </c>
      <c r="X93" s="145">
        <f t="shared" si="269"/>
        <v>299.86800344502268</v>
      </c>
      <c r="Y93" s="145">
        <f t="shared" si="269"/>
        <v>367.48529833948857</v>
      </c>
      <c r="Z93" s="145">
        <f t="shared" si="269"/>
        <v>450.34963031800066</v>
      </c>
      <c r="AA93" s="145">
        <f t="shared" si="269"/>
        <v>551.89905676225567</v>
      </c>
      <c r="AB93" s="145">
        <f t="shared" si="269"/>
        <v>676.34688328707807</v>
      </c>
      <c r="AC93" s="145">
        <f t="shared" si="269"/>
        <v>828.85647461651718</v>
      </c>
      <c r="AD93" s="137" t="e">
        <f t="shared" si="263"/>
        <v>#NUM!</v>
      </c>
      <c r="AE93" s="31">
        <f t="shared" si="15"/>
        <v>0.05</v>
      </c>
      <c r="AF93" s="145">
        <f t="shared" si="217"/>
        <v>5119.4076373373127</v>
      </c>
    </row>
    <row r="94" spans="2:32">
      <c r="B94" s="20" t="s">
        <v>287</v>
      </c>
      <c r="C94" s="127"/>
      <c r="D94" s="127"/>
      <c r="E94" s="127"/>
      <c r="F94" s="143"/>
      <c r="G94" s="143">
        <f t="shared" ref="G94:P94" si="270">G21/G57</f>
        <v>-5.4</v>
      </c>
      <c r="H94" s="143">
        <f t="shared" si="270"/>
        <v>-5.4</v>
      </c>
      <c r="I94" s="143">
        <f t="shared" si="270"/>
        <v>-2.5925925925925926</v>
      </c>
      <c r="J94" s="143">
        <f t="shared" si="270"/>
        <v>-43.642857142857146</v>
      </c>
      <c r="K94" s="143">
        <f t="shared" si="270"/>
        <v>-1.6498316498316499</v>
      </c>
      <c r="L94" s="143">
        <f t="shared" si="270"/>
        <v>-2.0208824520040416</v>
      </c>
      <c r="M94" s="143">
        <f t="shared" si="270"/>
        <v>-59.069493521790342</v>
      </c>
      <c r="N94" s="143">
        <f t="shared" si="270"/>
        <v>-98.645533141210365</v>
      </c>
      <c r="O94" s="143">
        <f t="shared" si="270"/>
        <v>-137.80107679229243</v>
      </c>
      <c r="P94" s="143">
        <f t="shared" si="270"/>
        <v>-187.98103736754044</v>
      </c>
      <c r="Q94" s="143">
        <f t="shared" ref="Q94" si="271">Q21/Q57</f>
        <v>-68.243902439024396</v>
      </c>
      <c r="R94" s="118">
        <f>((P94/G94)^(1/($H$2-$H$1) ))-1</f>
        <v>0.42617240229661912</v>
      </c>
      <c r="S94" s="128"/>
      <c r="T94" s="145">
        <f t="shared" ref="T94:AC94" si="272">T21/T57</f>
        <v>-83.632233381157334</v>
      </c>
      <c r="U94" s="145">
        <f t="shared" si="272"/>
        <v>-102.49048208475165</v>
      </c>
      <c r="V94" s="145">
        <f t="shared" si="272"/>
        <v>-125.60108098621527</v>
      </c>
      <c r="W94" s="145">
        <f t="shared" si="272"/>
        <v>-153.92289336545988</v>
      </c>
      <c r="X94" s="145">
        <f t="shared" si="272"/>
        <v>-188.63099677139692</v>
      </c>
      <c r="Y94" s="145">
        <f t="shared" si="272"/>
        <v>-231.16543721984917</v>
      </c>
      <c r="Z94" s="145">
        <f t="shared" si="272"/>
        <v>-283.29097698510924</v>
      </c>
      <c r="AA94" s="145">
        <f t="shared" si="272"/>
        <v>-347.17031493273191</v>
      </c>
      <c r="AB94" s="145">
        <f t="shared" si="272"/>
        <v>-425.45381731952438</v>
      </c>
      <c r="AC94" s="145">
        <f t="shared" si="272"/>
        <v>-521.38948200922107</v>
      </c>
      <c r="AD94" s="137">
        <f t="shared" si="263"/>
        <v>0.25671970661499555</v>
      </c>
      <c r="AE94" s="31">
        <f t="shared" si="15"/>
        <v>0.05</v>
      </c>
      <c r="AF94" s="145">
        <f t="shared" si="217"/>
        <v>-3220.3468006451894</v>
      </c>
    </row>
    <row r="95" spans="2:32">
      <c r="B95" s="20" t="s">
        <v>288</v>
      </c>
      <c r="C95" s="127"/>
      <c r="D95" s="127"/>
      <c r="E95" s="127"/>
      <c r="F95" s="143"/>
      <c r="G95" s="143">
        <f t="shared" ref="G95:P95" si="273">G22/G57</f>
        <v>10.85</v>
      </c>
      <c r="H95" s="143">
        <f t="shared" si="273"/>
        <v>10.85</v>
      </c>
      <c r="I95" s="143">
        <f t="shared" si="273"/>
        <v>14.74074074074074</v>
      </c>
      <c r="J95" s="143">
        <f t="shared" si="273"/>
        <v>17.785714285714285</v>
      </c>
      <c r="K95" s="143">
        <f t="shared" si="273"/>
        <v>19.528619528619529</v>
      </c>
      <c r="L95" s="143">
        <f t="shared" si="273"/>
        <v>24.250589424048499</v>
      </c>
      <c r="M95" s="143">
        <f t="shared" si="273"/>
        <v>52.885747938751472</v>
      </c>
      <c r="N95" s="143">
        <f t="shared" si="273"/>
        <v>34.438040345821321</v>
      </c>
      <c r="O95" s="143">
        <f t="shared" si="273"/>
        <v>38.651175970529899</v>
      </c>
      <c r="P95" s="143">
        <f t="shared" si="273"/>
        <v>186.30786391522588</v>
      </c>
      <c r="Q95" s="143">
        <f t="shared" ref="Q95" si="274">Q22/Q57</f>
        <v>4.2682926829268295</v>
      </c>
      <c r="R95" s="118">
        <f>((P95/G95)^(1/($H$2-$H$1) ))-1</f>
        <v>0.32886280251111444</v>
      </c>
      <c r="S95" s="128"/>
      <c r="T95" s="145">
        <f t="shared" ref="T95:AC95" si="275">T22/T57</f>
        <v>5.2307508369201337</v>
      </c>
      <c r="U95" s="145">
        <f t="shared" si="275"/>
        <v>6.4102338687746743</v>
      </c>
      <c r="V95" s="145">
        <f t="shared" si="275"/>
        <v>7.8556787607532774</v>
      </c>
      <c r="W95" s="145">
        <f t="shared" si="275"/>
        <v>9.627057304844703</v>
      </c>
      <c r="X95" s="145">
        <f t="shared" si="275"/>
        <v>11.79786434417243</v>
      </c>
      <c r="Y95" s="145">
        <f t="shared" si="275"/>
        <v>14.458167088446606</v>
      </c>
      <c r="Z95" s="145">
        <f t="shared" si="275"/>
        <v>17.718342020155152</v>
      </c>
      <c r="AA95" s="145">
        <f t="shared" si="275"/>
        <v>21.713654436464648</v>
      </c>
      <c r="AB95" s="145">
        <f t="shared" si="275"/>
        <v>26.609870632922362</v>
      </c>
      <c r="AC95" s="145">
        <f t="shared" si="275"/>
        <v>32.610135579561714</v>
      </c>
      <c r="AD95" s="137">
        <f t="shared" si="263"/>
        <v>5.656481329391494E-2</v>
      </c>
      <c r="AE95" s="31">
        <f t="shared" si="15"/>
        <v>0.05</v>
      </c>
      <c r="AF95" s="145">
        <f t="shared" si="217"/>
        <v>201.41554328552826</v>
      </c>
    </row>
    <row r="96" spans="2:32">
      <c r="B96" s="20" t="s">
        <v>295</v>
      </c>
      <c r="C96" s="127"/>
      <c r="D96" s="127"/>
      <c r="E96" s="127"/>
      <c r="F96" s="143"/>
      <c r="G96" s="143">
        <f t="shared" ref="G96:P96" si="276">G23/G57</f>
        <v>2.65</v>
      </c>
      <c r="H96" s="143">
        <f t="shared" si="276"/>
        <v>2.65</v>
      </c>
      <c r="I96" s="143">
        <f t="shared" si="276"/>
        <v>8</v>
      </c>
      <c r="J96" s="143">
        <f t="shared" si="276"/>
        <v>46.142857142857146</v>
      </c>
      <c r="K96" s="143">
        <f t="shared" si="276"/>
        <v>54.781144781144782</v>
      </c>
      <c r="L96" s="143">
        <f t="shared" si="276"/>
        <v>64.735601212529474</v>
      </c>
      <c r="M96" s="143">
        <f t="shared" si="276"/>
        <v>78.710247349823319</v>
      </c>
      <c r="N96" s="143">
        <f t="shared" si="276"/>
        <v>100.72046109510086</v>
      </c>
      <c r="O96" s="143">
        <f t="shared" si="276"/>
        <v>101.5868517993766</v>
      </c>
      <c r="P96" s="143">
        <f t="shared" si="276"/>
        <v>113.35750139431121</v>
      </c>
      <c r="Q96" s="143">
        <f t="shared" ref="Q96" si="277">Q23/Q57</f>
        <v>143.6829268292683</v>
      </c>
      <c r="R96" s="118">
        <f>((P96/G96)^(1/($H$2-$H$1) ))-1</f>
        <v>0.45586276624642386</v>
      </c>
      <c r="S96" s="128"/>
      <c r="T96" s="145">
        <f t="shared" ref="T96:AC96" si="278">T23/T57</f>
        <v>176.08201817312292</v>
      </c>
      <c r="U96" s="145">
        <f t="shared" si="278"/>
        <v>215.78678697686632</v>
      </c>
      <c r="V96" s="145">
        <f t="shared" si="278"/>
        <v>264.4445918834146</v>
      </c>
      <c r="W96" s="145">
        <f t="shared" si="278"/>
        <v>324.07425475908656</v>
      </c>
      <c r="X96" s="145">
        <f t="shared" si="278"/>
        <v>397.14982200868451</v>
      </c>
      <c r="Y96" s="145">
        <f t="shared" si="278"/>
        <v>486.70321324593687</v>
      </c>
      <c r="Z96" s="145">
        <f t="shared" si="278"/>
        <v>596.45001623276573</v>
      </c>
      <c r="AA96" s="145">
        <f t="shared" si="278"/>
        <v>730.94364734407566</v>
      </c>
      <c r="AB96" s="145">
        <f t="shared" si="278"/>
        <v>895.76427370597503</v>
      </c>
      <c r="AC96" s="145">
        <f t="shared" si="278"/>
        <v>1097.7503354239889</v>
      </c>
      <c r="AD96" s="137">
        <f t="shared" ref="AD96" si="279">((AC96/G96)^(1/($AC$3-$H$1) ))-1</f>
        <v>0.35164575634328754</v>
      </c>
      <c r="AE96" s="31">
        <f t="shared" si="15"/>
        <v>0.05</v>
      </c>
      <c r="AF96" s="145">
        <f t="shared" si="217"/>
        <v>6780.2226599716969</v>
      </c>
    </row>
    <row r="97" spans="2:32">
      <c r="B97" s="20"/>
      <c r="C97" s="127"/>
      <c r="D97" s="127"/>
      <c r="E97" s="127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28"/>
      <c r="S97" s="128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38"/>
      <c r="AE97" s="136"/>
      <c r="AF97" s="152"/>
    </row>
    <row r="98" spans="2:32">
      <c r="B98" s="20" t="s">
        <v>310</v>
      </c>
      <c r="C98" s="143"/>
      <c r="D98" s="143"/>
      <c r="E98" s="143"/>
      <c r="F98" s="143"/>
      <c r="G98" s="143">
        <f t="shared" ref="G98:P98" si="280">G51/G57</f>
        <v>0</v>
      </c>
      <c r="H98" s="143">
        <f t="shared" si="280"/>
        <v>0</v>
      </c>
      <c r="I98" s="143">
        <f t="shared" si="280"/>
        <v>0</v>
      </c>
      <c r="J98" s="143">
        <f t="shared" si="280"/>
        <v>0</v>
      </c>
      <c r="K98" s="143">
        <f t="shared" si="280"/>
        <v>0</v>
      </c>
      <c r="L98" s="143">
        <f t="shared" si="280"/>
        <v>0</v>
      </c>
      <c r="M98" s="143">
        <f t="shared" si="280"/>
        <v>0</v>
      </c>
      <c r="N98" s="143">
        <f t="shared" si="280"/>
        <v>0</v>
      </c>
      <c r="O98" s="143">
        <f t="shared" si="280"/>
        <v>0</v>
      </c>
      <c r="P98" s="143">
        <f t="shared" si="280"/>
        <v>0</v>
      </c>
      <c r="Q98" s="143">
        <f t="shared" ref="Q98" si="281">Q51/Q57</f>
        <v>0</v>
      </c>
      <c r="R98" s="118" t="e">
        <f>((P98/G98)^(1/($H$2-$H$1) ))-1</f>
        <v>#DIV/0!</v>
      </c>
      <c r="S98" s="128"/>
      <c r="T98" s="143">
        <f t="shared" ref="T98:AC98" si="282">T51/T57</f>
        <v>0</v>
      </c>
      <c r="U98" s="143">
        <f t="shared" si="282"/>
        <v>0</v>
      </c>
      <c r="V98" s="143">
        <f t="shared" si="282"/>
        <v>0</v>
      </c>
      <c r="W98" s="143">
        <f t="shared" si="282"/>
        <v>0</v>
      </c>
      <c r="X98" s="143">
        <f t="shared" si="282"/>
        <v>0</v>
      </c>
      <c r="Y98" s="143">
        <f t="shared" si="282"/>
        <v>0</v>
      </c>
      <c r="Z98" s="143">
        <f t="shared" si="282"/>
        <v>0</v>
      </c>
      <c r="AA98" s="143">
        <f t="shared" si="282"/>
        <v>0</v>
      </c>
      <c r="AB98" s="143">
        <f t="shared" si="282"/>
        <v>0</v>
      </c>
      <c r="AC98" s="143">
        <f t="shared" si="282"/>
        <v>0</v>
      </c>
      <c r="AD98" s="137" t="e">
        <f t="shared" ref="AD98:AD100" si="283">((AC98/G98)^(1/($AC$3-$H$1) ))-1</f>
        <v>#DIV/0!</v>
      </c>
      <c r="AE98" s="31">
        <f t="shared" si="15"/>
        <v>0.05</v>
      </c>
      <c r="AF98" s="145">
        <f t="shared" si="217"/>
        <v>0</v>
      </c>
    </row>
    <row r="99" spans="2:32">
      <c r="B99" s="20" t="s">
        <v>311</v>
      </c>
      <c r="C99" s="143"/>
      <c r="D99" s="143"/>
      <c r="E99" s="143"/>
      <c r="F99" s="143"/>
      <c r="G99" s="143">
        <f t="shared" ref="G99:P99" si="284">G55/G57</f>
        <v>-0.2</v>
      </c>
      <c r="H99" s="143">
        <f t="shared" si="284"/>
        <v>-0.2</v>
      </c>
      <c r="I99" s="143">
        <f t="shared" si="284"/>
        <v>2.0370370370370372</v>
      </c>
      <c r="J99" s="143">
        <f t="shared" si="284"/>
        <v>3.3571428571428572</v>
      </c>
      <c r="K99" s="143">
        <f t="shared" si="284"/>
        <v>6.7340067340067344</v>
      </c>
      <c r="L99" s="143">
        <f t="shared" si="284"/>
        <v>10.239137756820478</v>
      </c>
      <c r="M99" s="143">
        <f t="shared" si="284"/>
        <v>14.075382803297996</v>
      </c>
      <c r="N99" s="143">
        <f t="shared" si="284"/>
        <v>20.95100864553314</v>
      </c>
      <c r="O99" s="143">
        <f t="shared" si="284"/>
        <v>27.684896571266648</v>
      </c>
      <c r="P99" s="143">
        <f t="shared" si="284"/>
        <v>36.252091466815394</v>
      </c>
      <c r="Q99" s="143">
        <f t="shared" ref="Q99" si="285">Q55/Q57</f>
        <v>39.292682926829265</v>
      </c>
      <c r="R99" s="118" t="e">
        <f>((P99/G99)^(1/($H$2-$H$1) ))-1</f>
        <v>#NUM!</v>
      </c>
      <c r="S99" s="128"/>
      <c r="T99" s="143">
        <f t="shared" ref="T99:AC99" si="286">T55/T57</f>
        <v>48.152797704447636</v>
      </c>
      <c r="U99" s="143">
        <f t="shared" si="286"/>
        <v>59.010781500548575</v>
      </c>
      <c r="V99" s="143">
        <f t="shared" si="286"/>
        <v>72.317134191848737</v>
      </c>
      <c r="W99" s="143">
        <f t="shared" si="286"/>
        <v>88.623938960598949</v>
      </c>
      <c r="X99" s="143">
        <f t="shared" si="286"/>
        <v>108.60776833406734</v>
      </c>
      <c r="Y99" s="143">
        <f t="shared" si="286"/>
        <v>133.09775531135705</v>
      </c>
      <c r="Z99" s="143">
        <f t="shared" si="286"/>
        <v>163.10999425411401</v>
      </c>
      <c r="AA99" s="143">
        <f t="shared" si="286"/>
        <v>199.88969884082599</v>
      </c>
      <c r="AB99" s="143">
        <f t="shared" si="286"/>
        <v>244.96286622650243</v>
      </c>
      <c r="AC99" s="143">
        <f t="shared" si="286"/>
        <v>300.19959096385099</v>
      </c>
      <c r="AD99" s="137" t="e">
        <f t="shared" si="283"/>
        <v>#NUM!</v>
      </c>
      <c r="AE99" s="31">
        <f t="shared" si="15"/>
        <v>0.05</v>
      </c>
      <c r="AF99" s="145">
        <f t="shared" si="217"/>
        <v>1854.1739441884918</v>
      </c>
    </row>
    <row r="100" spans="2:32">
      <c r="B100" s="20" t="s">
        <v>312</v>
      </c>
      <c r="C100" s="143"/>
      <c r="D100" s="143"/>
      <c r="E100" s="143"/>
      <c r="F100" s="143"/>
      <c r="G100" s="143">
        <f t="shared" ref="G100:P100" si="287">G6/G57</f>
        <v>0.85</v>
      </c>
      <c r="H100" s="143">
        <f t="shared" si="287"/>
        <v>0.85</v>
      </c>
      <c r="I100" s="143">
        <f t="shared" si="287"/>
        <v>11.222222222222221</v>
      </c>
      <c r="J100" s="143">
        <f t="shared" si="287"/>
        <v>18.107142857142858</v>
      </c>
      <c r="K100" s="143">
        <f t="shared" si="287"/>
        <v>34.444444444444443</v>
      </c>
      <c r="L100" s="143">
        <f t="shared" si="287"/>
        <v>44.695183563489387</v>
      </c>
      <c r="M100" s="143">
        <f t="shared" si="287"/>
        <v>80.948174322732626</v>
      </c>
      <c r="N100" s="143">
        <f t="shared" si="287"/>
        <v>99.308357348703169</v>
      </c>
      <c r="O100" s="143">
        <f t="shared" si="287"/>
        <v>122.49929158401814</v>
      </c>
      <c r="P100" s="143">
        <f t="shared" si="287"/>
        <v>151.952035694367</v>
      </c>
      <c r="Q100" s="143">
        <f t="shared" ref="Q100" si="288">Q6/Q57</f>
        <v>164.90243902439025</v>
      </c>
      <c r="R100" s="118">
        <f>((P100/G100)^(1/($H$2-$H$1) ))-1</f>
        <v>0.67968854204879015</v>
      </c>
      <c r="S100" s="128"/>
      <c r="T100" s="143">
        <f t="shared" ref="T100:AC100" si="289">T6/T57</f>
        <v>202.08632233381158</v>
      </c>
      <c r="U100" s="143">
        <f t="shared" si="289"/>
        <v>247.65480678163183</v>
      </c>
      <c r="V100" s="143">
        <f t="shared" si="289"/>
        <v>303.49853772258808</v>
      </c>
      <c r="W100" s="143">
        <f t="shared" si="289"/>
        <v>371.93448250317164</v>
      </c>
      <c r="X100" s="143">
        <f t="shared" si="289"/>
        <v>455.8020618911417</v>
      </c>
      <c r="Y100" s="143">
        <f t="shared" si="289"/>
        <v>558.58095819992855</v>
      </c>
      <c r="Z100" s="143">
        <f t="shared" si="289"/>
        <v>684.53548799010855</v>
      </c>
      <c r="AA100" s="143">
        <f t="shared" si="289"/>
        <v>838.89152939964276</v>
      </c>
      <c r="AB100" s="143">
        <f t="shared" si="289"/>
        <v>1028.0533448525034</v>
      </c>
      <c r="AC100" s="143">
        <f t="shared" si="289"/>
        <v>1259.8692951623814</v>
      </c>
      <c r="AD100" s="137">
        <f t="shared" si="283"/>
        <v>0.4406063617470044</v>
      </c>
      <c r="AE100" s="31">
        <f t="shared" ref="AE100" si="290">$L$1</f>
        <v>0.05</v>
      </c>
      <c r="AF100" s="145">
        <f t="shared" si="217"/>
        <v>7781.5456465911802</v>
      </c>
    </row>
    <row r="101" spans="2:32">
      <c r="B101" s="20"/>
      <c r="C101" s="127"/>
      <c r="D101" s="127"/>
      <c r="E101" s="127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28"/>
      <c r="S101" s="128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38"/>
      <c r="AE101" s="20"/>
      <c r="AF101" s="152"/>
    </row>
    <row r="102" spans="2:32">
      <c r="B102" s="20" t="s">
        <v>465</v>
      </c>
      <c r="C102" s="127"/>
      <c r="D102" s="127"/>
      <c r="E102" s="127"/>
      <c r="F102" s="143"/>
      <c r="G102" s="143">
        <f t="shared" ref="G102:Q102" si="291">G55/$Q$57</f>
        <v>-9.7560975609756101E-2</v>
      </c>
      <c r="H102" s="143">
        <f t="shared" si="291"/>
        <v>-9.7560975609756101E-2</v>
      </c>
      <c r="I102" s="143">
        <f t="shared" si="291"/>
        <v>1.3414634146341464</v>
      </c>
      <c r="J102" s="143">
        <f t="shared" si="291"/>
        <v>2.2926829268292681</v>
      </c>
      <c r="K102" s="143">
        <f t="shared" si="291"/>
        <v>4.8780487804878048</v>
      </c>
      <c r="L102" s="143">
        <f t="shared" si="291"/>
        <v>7.4146341463414638</v>
      </c>
      <c r="M102" s="143">
        <f t="shared" si="291"/>
        <v>11.658536585365853</v>
      </c>
      <c r="N102" s="143">
        <f t="shared" si="291"/>
        <v>17.73170731707317</v>
      </c>
      <c r="O102" s="143">
        <f t="shared" si="291"/>
        <v>23.829268292682926</v>
      </c>
      <c r="P102" s="143">
        <f t="shared" si="291"/>
        <v>31.707317073170731</v>
      </c>
      <c r="Q102" s="143">
        <f t="shared" si="291"/>
        <v>39.292682926829265</v>
      </c>
      <c r="R102" s="118" t="e">
        <f>((P102/G102)^(1/($H$2-$H$1) ))-1</f>
        <v>#NUM!</v>
      </c>
      <c r="S102" s="128"/>
      <c r="T102" s="143">
        <f t="shared" ref="T102:AC102" si="292">T55/T57</f>
        <v>48.152797704447636</v>
      </c>
      <c r="U102" s="143">
        <f t="shared" si="292"/>
        <v>59.010781500548575</v>
      </c>
      <c r="V102" s="143">
        <f t="shared" si="292"/>
        <v>72.317134191848737</v>
      </c>
      <c r="W102" s="143">
        <f t="shared" si="292"/>
        <v>88.623938960598949</v>
      </c>
      <c r="X102" s="143">
        <f t="shared" si="292"/>
        <v>108.60776833406734</v>
      </c>
      <c r="Y102" s="143">
        <f t="shared" si="292"/>
        <v>133.09775531135705</v>
      </c>
      <c r="Z102" s="143">
        <f t="shared" si="292"/>
        <v>163.10999425411401</v>
      </c>
      <c r="AA102" s="143">
        <f t="shared" si="292"/>
        <v>199.88969884082599</v>
      </c>
      <c r="AB102" s="143">
        <f t="shared" si="292"/>
        <v>244.96286622650243</v>
      </c>
      <c r="AC102" s="143">
        <f t="shared" si="292"/>
        <v>300.19959096385099</v>
      </c>
      <c r="AD102" s="138"/>
      <c r="AE102" s="20"/>
      <c r="AF102" s="152"/>
    </row>
    <row r="103" spans="2:32">
      <c r="B103" s="20"/>
      <c r="C103" s="127"/>
      <c r="D103" s="127"/>
      <c r="E103" s="127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28"/>
      <c r="S103" s="128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38"/>
      <c r="AE103" s="20"/>
      <c r="AF103" s="152"/>
    </row>
    <row r="104" spans="2:32">
      <c r="B104" s="108" t="s">
        <v>309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</row>
    <row r="105" spans="2:32">
      <c r="B105" s="20" t="s">
        <v>308</v>
      </c>
      <c r="C105" s="150"/>
      <c r="D105" s="150"/>
      <c r="E105" s="150"/>
      <c r="F105" s="150"/>
      <c r="G105" s="150">
        <f t="shared" ref="G105:P105" si="293">G51/G25</f>
        <v>0</v>
      </c>
      <c r="H105" s="150">
        <f t="shared" si="293"/>
        <v>0</v>
      </c>
      <c r="I105" s="150">
        <f t="shared" si="293"/>
        <v>0</v>
      </c>
      <c r="J105" s="150">
        <f t="shared" si="293"/>
        <v>0</v>
      </c>
      <c r="K105" s="150">
        <f t="shared" si="293"/>
        <v>0</v>
      </c>
      <c r="L105" s="150">
        <f t="shared" si="293"/>
        <v>0</v>
      </c>
      <c r="M105" s="150">
        <f t="shared" si="293"/>
        <v>0</v>
      </c>
      <c r="N105" s="150">
        <f t="shared" si="293"/>
        <v>0</v>
      </c>
      <c r="O105" s="150">
        <f t="shared" si="293"/>
        <v>0</v>
      </c>
      <c r="P105" s="150">
        <f t="shared" si="293"/>
        <v>0</v>
      </c>
      <c r="Q105" s="150">
        <f t="shared" ref="Q105" si="294">Q51/Q25</f>
        <v>0</v>
      </c>
      <c r="R105" s="118" t="e">
        <f t="shared" ref="R105:R167" si="295">((P105/G105)^(1/($H$2-$H$1) ))-1</f>
        <v>#DIV/0!</v>
      </c>
      <c r="S105" s="150"/>
      <c r="T105" s="150">
        <f t="shared" ref="T105:AC105" si="296">T51/T25</f>
        <v>0</v>
      </c>
      <c r="U105" s="150">
        <f t="shared" si="296"/>
        <v>0</v>
      </c>
      <c r="V105" s="150">
        <f t="shared" si="296"/>
        <v>0</v>
      </c>
      <c r="W105" s="150">
        <f t="shared" si="296"/>
        <v>0</v>
      </c>
      <c r="X105" s="150">
        <f t="shared" si="296"/>
        <v>0</v>
      </c>
      <c r="Y105" s="150">
        <f t="shared" si="296"/>
        <v>0</v>
      </c>
      <c r="Z105" s="150">
        <f t="shared" si="296"/>
        <v>0</v>
      </c>
      <c r="AA105" s="150">
        <f t="shared" si="296"/>
        <v>0</v>
      </c>
      <c r="AB105" s="150">
        <f t="shared" si="296"/>
        <v>0</v>
      </c>
      <c r="AC105" s="150">
        <f t="shared" si="296"/>
        <v>0</v>
      </c>
      <c r="AD105" s="137" t="e">
        <f t="shared" ref="AD105:AD154" si="297">((AC105/G105)^(1/($AC$3-$H$1) ))-1</f>
        <v>#DIV/0!</v>
      </c>
      <c r="AE105" s="145"/>
      <c r="AF105" s="145"/>
    </row>
    <row r="106" spans="2:32">
      <c r="B106" s="20" t="s">
        <v>266</v>
      </c>
      <c r="C106" s="150"/>
      <c r="D106" s="150"/>
      <c r="E106" s="150"/>
      <c r="F106" s="150"/>
      <c r="G106" s="150">
        <f t="shared" ref="G106:P106" si="298">G55/G25</f>
        <v>-8.3333333333333329E-2</v>
      </c>
      <c r="H106" s="150">
        <f t="shared" si="298"/>
        <v>-8.3333333333333329E-2</v>
      </c>
      <c r="I106" s="150">
        <f t="shared" si="298"/>
        <v>0.19031141868512111</v>
      </c>
      <c r="J106" s="150">
        <f t="shared" si="298"/>
        <v>0.11928934010152284</v>
      </c>
      <c r="K106" s="150">
        <f t="shared" si="298"/>
        <v>0.11968880909634949</v>
      </c>
      <c r="L106" s="150">
        <f t="shared" si="298"/>
        <v>0.12469237079573421</v>
      </c>
      <c r="M106" s="150">
        <f t="shared" si="298"/>
        <v>0.16230899830220713</v>
      </c>
      <c r="N106" s="150">
        <f t="shared" si="298"/>
        <v>0.15584137191854233</v>
      </c>
      <c r="O106" s="150">
        <f t="shared" si="298"/>
        <v>0.13637632607481853</v>
      </c>
      <c r="P106" s="150">
        <f t="shared" si="298"/>
        <v>0.13611140194744006</v>
      </c>
      <c r="Q106" s="150">
        <f t="shared" ref="Q106" si="299">Q55/Q25</f>
        <v>0.13766877456844984</v>
      </c>
      <c r="R106" s="118" t="e">
        <f t="shared" si="295"/>
        <v>#NUM!</v>
      </c>
      <c r="S106" s="150"/>
      <c r="T106" s="150">
        <f t="shared" ref="T106:AC106" si="300">T55/T25</f>
        <v>0.13766877456844984</v>
      </c>
      <c r="U106" s="150">
        <f t="shared" si="300"/>
        <v>0.13766877456844984</v>
      </c>
      <c r="V106" s="150">
        <f t="shared" si="300"/>
        <v>0.13766877456844984</v>
      </c>
      <c r="W106" s="150">
        <f t="shared" si="300"/>
        <v>0.13766877456844984</v>
      </c>
      <c r="X106" s="150">
        <f t="shared" si="300"/>
        <v>0.13766877456844984</v>
      </c>
      <c r="Y106" s="150">
        <f t="shared" si="300"/>
        <v>0.13766877456844984</v>
      </c>
      <c r="Z106" s="150">
        <f t="shared" si="300"/>
        <v>0.13766877456844984</v>
      </c>
      <c r="AA106" s="150">
        <f t="shared" si="300"/>
        <v>0.13766877456844984</v>
      </c>
      <c r="AB106" s="150">
        <f t="shared" si="300"/>
        <v>0.13766877456844984</v>
      </c>
      <c r="AC106" s="150">
        <f t="shared" si="300"/>
        <v>0.13766877456844984</v>
      </c>
      <c r="AD106" s="137" t="e">
        <f t="shared" si="297"/>
        <v>#NUM!</v>
      </c>
      <c r="AE106" s="145"/>
      <c r="AF106" s="145"/>
    </row>
    <row r="107" spans="2:32">
      <c r="B107" s="20" t="s">
        <v>357</v>
      </c>
      <c r="C107" s="150"/>
      <c r="D107" s="150"/>
      <c r="E107" s="150"/>
      <c r="F107" s="150"/>
      <c r="G107" s="150">
        <f>G55/G7</f>
        <v>-1.8433179723502304E-2</v>
      </c>
      <c r="H107" s="150">
        <f t="shared" ref="H107:O107" si="301">H55/H7</f>
        <v>-1.8433179723502304E-2</v>
      </c>
      <c r="I107" s="150">
        <f t="shared" si="301"/>
        <v>9.6153846153846159E-2</v>
      </c>
      <c r="J107" s="150">
        <f t="shared" si="301"/>
        <v>0.11944091486658195</v>
      </c>
      <c r="K107" s="150">
        <f t="shared" si="301"/>
        <v>0.15163002274450341</v>
      </c>
      <c r="L107" s="150">
        <f t="shared" si="301"/>
        <v>0.18719211822660098</v>
      </c>
      <c r="M107" s="150">
        <f t="shared" si="301"/>
        <v>0.15474263515700873</v>
      </c>
      <c r="N107" s="150">
        <f t="shared" si="301"/>
        <v>0.19161834475487613</v>
      </c>
      <c r="O107" s="150">
        <f t="shared" si="301"/>
        <v>0.20893926432848589</v>
      </c>
      <c r="P107" s="150">
        <f t="shared" ref="P107:Q107" si="302">P55/P7</f>
        <v>0.22386774582400551</v>
      </c>
      <c r="Q107" s="150">
        <f t="shared" si="302"/>
        <v>0.22642304989458889</v>
      </c>
      <c r="R107" s="118" t="e">
        <f t="shared" si="295"/>
        <v>#NUM!</v>
      </c>
      <c r="S107" s="20"/>
      <c r="T107" s="150">
        <f t="shared" ref="T107" si="303">T55/T7</f>
        <v>0.22642304989458889</v>
      </c>
      <c r="U107" s="150">
        <f t="shared" ref="U107:AC107" si="304">U55/U7</f>
        <v>0.22642304989458889</v>
      </c>
      <c r="V107" s="150">
        <f t="shared" si="304"/>
        <v>0.22642304989458889</v>
      </c>
      <c r="W107" s="150">
        <f t="shared" si="304"/>
        <v>0.22642304989458889</v>
      </c>
      <c r="X107" s="150">
        <f t="shared" si="304"/>
        <v>0.22642304989458889</v>
      </c>
      <c r="Y107" s="150">
        <f t="shared" si="304"/>
        <v>0.22642304989458889</v>
      </c>
      <c r="Z107" s="150">
        <f t="shared" si="304"/>
        <v>0.22642304989458889</v>
      </c>
      <c r="AA107" s="150">
        <f t="shared" si="304"/>
        <v>0.22642304989458889</v>
      </c>
      <c r="AB107" s="150">
        <f t="shared" si="304"/>
        <v>0.22642304989458889</v>
      </c>
      <c r="AC107" s="150">
        <f t="shared" si="304"/>
        <v>0.22642304989458889</v>
      </c>
      <c r="AD107" s="137" t="e">
        <f t="shared" si="297"/>
        <v>#NUM!</v>
      </c>
      <c r="AE107" s="145"/>
      <c r="AF107" s="145"/>
    </row>
    <row r="108" spans="2:32">
      <c r="B108" s="20" t="s">
        <v>358</v>
      </c>
      <c r="C108" s="150"/>
      <c r="D108" s="150"/>
      <c r="E108" s="150"/>
      <c r="F108" s="150"/>
      <c r="G108" s="150">
        <f>(G55)/(G7+G10)</f>
        <v>-3.2025620496397116E-3</v>
      </c>
      <c r="H108" s="150">
        <f t="shared" ref="H108:O108" si="305">(H55)/(H7+H10)</f>
        <v>-3.2025620496397116E-3</v>
      </c>
      <c r="I108" s="150">
        <f t="shared" si="305"/>
        <v>1.3934633899163922E-2</v>
      </c>
      <c r="J108" s="150">
        <f t="shared" si="305"/>
        <v>9.5199513874822759E-3</v>
      </c>
      <c r="K108" s="150">
        <f t="shared" si="305"/>
        <v>1.2838618564642445E-2</v>
      </c>
      <c r="L108" s="150">
        <f t="shared" si="305"/>
        <v>1.5213692323090782E-2</v>
      </c>
      <c r="M108" s="150">
        <f t="shared" si="305"/>
        <v>1.3800669823305231E-2</v>
      </c>
      <c r="N108" s="150">
        <f t="shared" si="305"/>
        <v>1.288481647555075E-2</v>
      </c>
      <c r="O108" s="150">
        <f t="shared" si="305"/>
        <v>1.4371028477288774E-2</v>
      </c>
      <c r="P108" s="150">
        <f t="shared" ref="P108:Q108" si="306">(P55)/(P7+P10)</f>
        <v>1.3876435677383545E-2</v>
      </c>
      <c r="Q108" s="150">
        <f t="shared" si="306"/>
        <v>1.5699612138694526E-2</v>
      </c>
      <c r="R108" s="118" t="e">
        <f t="shared" si="295"/>
        <v>#NUM!</v>
      </c>
      <c r="S108" s="20"/>
      <c r="T108" s="150">
        <f t="shared" ref="T108:AC108" si="307">(T55)/(T7+T10)</f>
        <v>1.5699612138694526E-2</v>
      </c>
      <c r="U108" s="150">
        <f t="shared" si="307"/>
        <v>1.5699612138694526E-2</v>
      </c>
      <c r="V108" s="150">
        <f t="shared" si="307"/>
        <v>1.5699612138694526E-2</v>
      </c>
      <c r="W108" s="150">
        <f t="shared" si="307"/>
        <v>1.5699612138694526E-2</v>
      </c>
      <c r="X108" s="150">
        <f t="shared" si="307"/>
        <v>1.5699612138694526E-2</v>
      </c>
      <c r="Y108" s="150">
        <f t="shared" si="307"/>
        <v>1.5699612138694526E-2</v>
      </c>
      <c r="Z108" s="150">
        <f t="shared" si="307"/>
        <v>1.5699612138694526E-2</v>
      </c>
      <c r="AA108" s="150">
        <f t="shared" si="307"/>
        <v>1.5699612138694526E-2</v>
      </c>
      <c r="AB108" s="150">
        <f t="shared" si="307"/>
        <v>1.5699612138694526E-2</v>
      </c>
      <c r="AC108" s="150">
        <f t="shared" si="307"/>
        <v>1.5699612138694526E-2</v>
      </c>
      <c r="AD108" s="137" t="e">
        <f t="shared" si="297"/>
        <v>#NUM!</v>
      </c>
      <c r="AE108" s="145"/>
      <c r="AF108" s="145"/>
    </row>
    <row r="109" spans="2:32">
      <c r="B109" s="20" t="s">
        <v>374</v>
      </c>
      <c r="C109" s="150"/>
      <c r="D109" s="150"/>
      <c r="E109" s="150"/>
      <c r="F109" s="150"/>
      <c r="G109" s="150">
        <f>G20/G25</f>
        <v>-1.1458333333333333</v>
      </c>
      <c r="H109" s="150">
        <f t="shared" ref="H109:P109" si="308">H20/H25</f>
        <v>-1.1458333333333333</v>
      </c>
      <c r="I109" s="150">
        <f t="shared" si="308"/>
        <v>-0.5743944636678201</v>
      </c>
      <c r="J109" s="150">
        <f t="shared" si="308"/>
        <v>2.2855329949238579</v>
      </c>
      <c r="K109" s="150">
        <f t="shared" si="308"/>
        <v>-0.1172950329144225</v>
      </c>
      <c r="L109" s="150">
        <f t="shared" si="308"/>
        <v>-0.14971287940935193</v>
      </c>
      <c r="M109" s="150">
        <f t="shared" si="308"/>
        <v>0.32597623089983024</v>
      </c>
      <c r="N109" s="150">
        <f t="shared" si="308"/>
        <v>0.6538049303322615</v>
      </c>
      <c r="O109" s="150">
        <f t="shared" si="308"/>
        <v>0.50083752093802347</v>
      </c>
      <c r="P109" s="150">
        <f t="shared" si="308"/>
        <v>5.6538582347398177E-2</v>
      </c>
      <c r="Q109" s="150">
        <f t="shared" ref="Q109" si="309">Q20/Q25</f>
        <v>0.38010596479234321</v>
      </c>
      <c r="R109" s="118" t="e">
        <f t="shared" si="295"/>
        <v>#NUM!</v>
      </c>
      <c r="S109" s="20"/>
      <c r="T109" s="150">
        <f t="shared" ref="T109:AC109" si="310">T20/T25</f>
        <v>0.38010596479234321</v>
      </c>
      <c r="U109" s="150">
        <f t="shared" si="310"/>
        <v>0.38010596479234321</v>
      </c>
      <c r="V109" s="150">
        <f t="shared" si="310"/>
        <v>0.38010596479234321</v>
      </c>
      <c r="W109" s="150">
        <f t="shared" si="310"/>
        <v>0.38010596479234321</v>
      </c>
      <c r="X109" s="150">
        <f t="shared" si="310"/>
        <v>0.38010596479234321</v>
      </c>
      <c r="Y109" s="150">
        <f t="shared" si="310"/>
        <v>0.38010596479234321</v>
      </c>
      <c r="Z109" s="150">
        <f t="shared" si="310"/>
        <v>0.38010596479234321</v>
      </c>
      <c r="AA109" s="150">
        <f t="shared" si="310"/>
        <v>0.38010596479234321</v>
      </c>
      <c r="AB109" s="150">
        <f t="shared" si="310"/>
        <v>0.38010596479234321</v>
      </c>
      <c r="AC109" s="150">
        <f t="shared" si="310"/>
        <v>0.38010596479234321</v>
      </c>
      <c r="AD109" s="137" t="e">
        <f t="shared" si="297"/>
        <v>#NUM!</v>
      </c>
      <c r="AE109" s="145"/>
      <c r="AF109" s="145"/>
    </row>
    <row r="110" spans="2:32">
      <c r="B110" s="20" t="s">
        <v>426</v>
      </c>
      <c r="C110" s="150"/>
      <c r="D110" s="150"/>
      <c r="E110" s="150"/>
      <c r="F110" s="150"/>
      <c r="G110" s="150">
        <f>G68/G25</f>
        <v>8.3333333333333329E-2</v>
      </c>
      <c r="H110" s="150">
        <f t="shared" ref="H110:P110" si="311">H68/H25</f>
        <v>8.3333333333333329E-2</v>
      </c>
      <c r="I110" s="150">
        <f t="shared" si="311"/>
        <v>-0.19031141868512111</v>
      </c>
      <c r="J110" s="150">
        <f t="shared" si="311"/>
        <v>-0.11928934010152284</v>
      </c>
      <c r="K110" s="150">
        <f t="shared" si="311"/>
        <v>-0.11968880909634949</v>
      </c>
      <c r="L110" s="150">
        <f t="shared" si="311"/>
        <v>-0.12469237079573421</v>
      </c>
      <c r="M110" s="150">
        <f t="shared" si="311"/>
        <v>-0.16230899830220713</v>
      </c>
      <c r="N110" s="150">
        <f t="shared" si="311"/>
        <v>-0.15584137191854233</v>
      </c>
      <c r="O110" s="150">
        <f t="shared" si="311"/>
        <v>-0.13637632607481853</v>
      </c>
      <c r="P110" s="150">
        <f t="shared" si="311"/>
        <v>-0.13611140194744006</v>
      </c>
      <c r="Q110" s="150">
        <f t="shared" ref="Q110" si="312">Q68/Q25</f>
        <v>-0.13766877456844984</v>
      </c>
      <c r="R110" s="118" t="e">
        <f t="shared" si="295"/>
        <v>#NUM!</v>
      </c>
      <c r="S110" s="20"/>
      <c r="T110" s="150">
        <f t="shared" ref="T110:AC110" si="313">T68/T25</f>
        <v>-0.13766877456844984</v>
      </c>
      <c r="U110" s="150">
        <f t="shared" si="313"/>
        <v>-0.13766877456844984</v>
      </c>
      <c r="V110" s="150">
        <f t="shared" si="313"/>
        <v>-0.13766877456844984</v>
      </c>
      <c r="W110" s="150">
        <f t="shared" si="313"/>
        <v>-0.13766877456844984</v>
      </c>
      <c r="X110" s="150">
        <f t="shared" si="313"/>
        <v>-0.13766877456844984</v>
      </c>
      <c r="Y110" s="150">
        <f t="shared" si="313"/>
        <v>-0.13766877456844984</v>
      </c>
      <c r="Z110" s="150">
        <f t="shared" si="313"/>
        <v>-0.13766877456844984</v>
      </c>
      <c r="AA110" s="150">
        <f t="shared" si="313"/>
        <v>-0.13766877456844984</v>
      </c>
      <c r="AB110" s="150">
        <f t="shared" si="313"/>
        <v>-0.13766877456844984</v>
      </c>
      <c r="AC110" s="150">
        <f t="shared" si="313"/>
        <v>-0.13766877456844984</v>
      </c>
      <c r="AD110" s="137" t="e">
        <f t="shared" si="297"/>
        <v>#NUM!</v>
      </c>
      <c r="AE110" s="145"/>
      <c r="AF110" s="145"/>
    </row>
    <row r="111" spans="2:32">
      <c r="B111" s="2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20"/>
      <c r="T111" s="150"/>
      <c r="U111" s="150"/>
      <c r="V111" s="150"/>
      <c r="W111" s="150"/>
      <c r="X111" s="150"/>
      <c r="Y111" s="150"/>
      <c r="Z111" s="150"/>
      <c r="AA111" s="150"/>
      <c r="AB111" s="150"/>
      <c r="AC111" s="150"/>
      <c r="AD111" s="3"/>
      <c r="AE111" s="145"/>
      <c r="AF111" s="145"/>
    </row>
    <row r="112" spans="2:32">
      <c r="B112" s="20" t="s">
        <v>321</v>
      </c>
      <c r="C112" s="150"/>
      <c r="D112" s="150"/>
      <c r="E112" s="150"/>
      <c r="F112" s="150"/>
      <c r="G112" s="150">
        <f>G29/G25</f>
        <v>0.25</v>
      </c>
      <c r="H112" s="150">
        <f t="shared" ref="H112:P112" si="314">H29/H25</f>
        <v>0.25</v>
      </c>
      <c r="I112" s="150">
        <f t="shared" si="314"/>
        <v>0.36332179930795849</v>
      </c>
      <c r="J112" s="150">
        <f t="shared" si="314"/>
        <v>0.52791878172588835</v>
      </c>
      <c r="K112" s="150">
        <f t="shared" si="314"/>
        <v>0.58288450029922201</v>
      </c>
      <c r="L112" s="150">
        <f t="shared" si="314"/>
        <v>0.6119770303527482</v>
      </c>
      <c r="M112" s="150">
        <f t="shared" si="314"/>
        <v>0.5368421052631579</v>
      </c>
      <c r="N112" s="150">
        <f t="shared" si="314"/>
        <v>0.5989281886387996</v>
      </c>
      <c r="O112" s="150">
        <f t="shared" si="314"/>
        <v>0.65480178671133449</v>
      </c>
      <c r="P112" s="150">
        <f t="shared" si="314"/>
        <v>0.63605905140822949</v>
      </c>
      <c r="Q112" s="150">
        <f t="shared" ref="Q112" si="315">Q29/Q25</f>
        <v>0.62083404546231413</v>
      </c>
      <c r="R112" s="118">
        <f t="shared" si="295"/>
        <v>9.7882197334454357E-2</v>
      </c>
      <c r="S112" s="20"/>
      <c r="T112" s="150">
        <f t="shared" ref="T112:AC112" si="316">T29/T25</f>
        <v>0.62083404546231413</v>
      </c>
      <c r="U112" s="150">
        <f t="shared" si="316"/>
        <v>0.62083404546231413</v>
      </c>
      <c r="V112" s="150">
        <f t="shared" si="316"/>
        <v>0.62083404546231413</v>
      </c>
      <c r="W112" s="150">
        <f t="shared" si="316"/>
        <v>0.62083404546231413</v>
      </c>
      <c r="X112" s="150">
        <f t="shared" si="316"/>
        <v>0.62083404546231413</v>
      </c>
      <c r="Y112" s="150">
        <f t="shared" si="316"/>
        <v>0.62083404546231413</v>
      </c>
      <c r="Z112" s="150">
        <f t="shared" si="316"/>
        <v>0.62083404546231413</v>
      </c>
      <c r="AA112" s="150">
        <f t="shared" si="316"/>
        <v>0.62083404546231413</v>
      </c>
      <c r="AB112" s="150">
        <f t="shared" si="316"/>
        <v>0.62083404546231413</v>
      </c>
      <c r="AC112" s="150">
        <f t="shared" si="316"/>
        <v>0.62083404546231413</v>
      </c>
      <c r="AD112" s="137">
        <f t="shared" si="297"/>
        <v>4.6530225067382025E-2</v>
      </c>
      <c r="AE112" s="145"/>
      <c r="AF112" s="145"/>
    </row>
    <row r="113" spans="1:32">
      <c r="B113" s="20" t="s">
        <v>367</v>
      </c>
      <c r="C113" s="150"/>
      <c r="D113" s="150"/>
      <c r="E113" s="150"/>
      <c r="F113" s="150"/>
      <c r="G113" s="150" t="e">
        <f>G29/G51</f>
        <v>#DIV/0!</v>
      </c>
      <c r="H113" s="150" t="e">
        <f t="shared" ref="H113:P113" si="317">H29/H51</f>
        <v>#DIV/0!</v>
      </c>
      <c r="I113" s="150" t="e">
        <f t="shared" si="317"/>
        <v>#DIV/0!</v>
      </c>
      <c r="J113" s="150" t="e">
        <f t="shared" si="317"/>
        <v>#DIV/0!</v>
      </c>
      <c r="K113" s="150" t="e">
        <f t="shared" si="317"/>
        <v>#DIV/0!</v>
      </c>
      <c r="L113" s="150" t="e">
        <f t="shared" si="317"/>
        <v>#DIV/0!</v>
      </c>
      <c r="M113" s="150" t="e">
        <f t="shared" si="317"/>
        <v>#DIV/0!</v>
      </c>
      <c r="N113" s="150" t="e">
        <f t="shared" si="317"/>
        <v>#DIV/0!</v>
      </c>
      <c r="O113" s="150" t="e">
        <f t="shared" si="317"/>
        <v>#DIV/0!</v>
      </c>
      <c r="P113" s="150" t="e">
        <f t="shared" si="317"/>
        <v>#DIV/0!</v>
      </c>
      <c r="Q113" s="150" t="e">
        <f t="shared" ref="Q113" si="318">Q29/Q51</f>
        <v>#DIV/0!</v>
      </c>
      <c r="R113" s="118" t="e">
        <f t="shared" ref="R113" si="319">((P113/G113)^(1/($H$2-$H$1) ))-1</f>
        <v>#DIV/0!</v>
      </c>
      <c r="S113" s="20"/>
      <c r="T113" s="150" t="e">
        <f t="shared" ref="T113:AC113" si="320">T29/T51</f>
        <v>#DIV/0!</v>
      </c>
      <c r="U113" s="150" t="e">
        <f t="shared" si="320"/>
        <v>#DIV/0!</v>
      </c>
      <c r="V113" s="150" t="e">
        <f t="shared" si="320"/>
        <v>#DIV/0!</v>
      </c>
      <c r="W113" s="150" t="e">
        <f t="shared" si="320"/>
        <v>#DIV/0!</v>
      </c>
      <c r="X113" s="150" t="e">
        <f t="shared" si="320"/>
        <v>#DIV/0!</v>
      </c>
      <c r="Y113" s="150" t="e">
        <f t="shared" si="320"/>
        <v>#DIV/0!</v>
      </c>
      <c r="Z113" s="150" t="e">
        <f t="shared" si="320"/>
        <v>#DIV/0!</v>
      </c>
      <c r="AA113" s="150" t="e">
        <f t="shared" si="320"/>
        <v>#DIV/0!</v>
      </c>
      <c r="AB113" s="150" t="e">
        <f t="shared" si="320"/>
        <v>#DIV/0!</v>
      </c>
      <c r="AC113" s="150" t="e">
        <f t="shared" si="320"/>
        <v>#DIV/0!</v>
      </c>
      <c r="AD113" s="137" t="e">
        <f t="shared" ref="AD113" si="321">((AC113/G113)^(1/($AC$3-$H$1) ))-1</f>
        <v>#DIV/0!</v>
      </c>
      <c r="AE113" s="145"/>
      <c r="AF113" s="145"/>
    </row>
    <row r="114" spans="1:32" ht="12" customHeight="1">
      <c r="B114" s="20" t="s">
        <v>366</v>
      </c>
      <c r="C114" s="150"/>
      <c r="D114" s="150"/>
      <c r="E114" s="150"/>
      <c r="F114" s="150"/>
      <c r="G114" s="169">
        <f t="shared" ref="G114:P114" si="322">G29/G55</f>
        <v>-3</v>
      </c>
      <c r="H114" s="169">
        <f t="shared" si="322"/>
        <v>-3</v>
      </c>
      <c r="I114" s="169">
        <f t="shared" si="322"/>
        <v>1.9090909090909092</v>
      </c>
      <c r="J114" s="169">
        <f t="shared" si="322"/>
        <v>4.4255319148936172</v>
      </c>
      <c r="K114" s="169">
        <f t="shared" si="322"/>
        <v>4.87</v>
      </c>
      <c r="L114" s="169">
        <f t="shared" si="322"/>
        <v>4.9078947368421053</v>
      </c>
      <c r="M114" s="169">
        <f t="shared" si="322"/>
        <v>3.3075313807531379</v>
      </c>
      <c r="N114" s="169">
        <f t="shared" si="322"/>
        <v>3.8431911966987622</v>
      </c>
      <c r="O114" s="169">
        <f t="shared" si="322"/>
        <v>4.8014329580348001</v>
      </c>
      <c r="P114" s="169">
        <f t="shared" si="322"/>
        <v>4.6730769230769234</v>
      </c>
      <c r="Q114" s="169">
        <f t="shared" ref="Q114" si="323">Q29/Q55</f>
        <v>4.5096213531967724</v>
      </c>
      <c r="R114" s="118" t="e">
        <f t="shared" ref="R114" si="324">((P114/G114)^(1/($H$2-$H$1) ))-1</f>
        <v>#NUM!</v>
      </c>
      <c r="S114" s="20"/>
      <c r="T114" s="169">
        <f t="shared" ref="T114:AC114" si="325">T29/T55</f>
        <v>4.5096213531967724</v>
      </c>
      <c r="U114" s="169">
        <f t="shared" si="325"/>
        <v>4.5096213531967724</v>
      </c>
      <c r="V114" s="169">
        <f t="shared" si="325"/>
        <v>4.5096213531967724</v>
      </c>
      <c r="W114" s="169">
        <f t="shared" si="325"/>
        <v>4.5096213531967724</v>
      </c>
      <c r="X114" s="169">
        <f t="shared" si="325"/>
        <v>4.5096213531967724</v>
      </c>
      <c r="Y114" s="169">
        <f t="shared" si="325"/>
        <v>4.5096213531967724</v>
      </c>
      <c r="Z114" s="169">
        <f t="shared" si="325"/>
        <v>4.5096213531967724</v>
      </c>
      <c r="AA114" s="169">
        <f t="shared" si="325"/>
        <v>4.5096213531967724</v>
      </c>
      <c r="AB114" s="169">
        <f t="shared" si="325"/>
        <v>4.5096213531967724</v>
      </c>
      <c r="AC114" s="169">
        <f t="shared" si="325"/>
        <v>4.5096213531967724</v>
      </c>
      <c r="AD114" s="137" t="e">
        <f t="shared" ref="AD114" si="326">((AC114/G114)^(1/($AC$3-$H$1) ))-1</f>
        <v>#NUM!</v>
      </c>
      <c r="AE114" s="145"/>
      <c r="AF114" s="145"/>
    </row>
    <row r="115" spans="1:32" ht="12" customHeight="1">
      <c r="B115" s="20" t="s">
        <v>323</v>
      </c>
      <c r="C115" s="150"/>
      <c r="D115" s="150"/>
      <c r="E115" s="150"/>
      <c r="F115" s="150"/>
      <c r="G115" s="169" t="e">
        <f t="shared" ref="G115:P115" si="327">G29/G12</f>
        <v>#DIV/0!</v>
      </c>
      <c r="H115" s="169" t="e">
        <f t="shared" si="327"/>
        <v>#DIV/0!</v>
      </c>
      <c r="I115" s="169" t="e">
        <f t="shared" si="327"/>
        <v>#DIV/0!</v>
      </c>
      <c r="J115" s="169" t="e">
        <f t="shared" si="327"/>
        <v>#DIV/0!</v>
      </c>
      <c r="K115" s="169" t="e">
        <f t="shared" si="327"/>
        <v>#DIV/0!</v>
      </c>
      <c r="L115" s="169" t="e">
        <f t="shared" si="327"/>
        <v>#DIV/0!</v>
      </c>
      <c r="M115" s="169" t="e">
        <f t="shared" si="327"/>
        <v>#DIV/0!</v>
      </c>
      <c r="N115" s="169" t="e">
        <f t="shared" si="327"/>
        <v>#DIV/0!</v>
      </c>
      <c r="O115" s="169" t="e">
        <f t="shared" si="327"/>
        <v>#DIV/0!</v>
      </c>
      <c r="P115" s="169" t="e">
        <f t="shared" si="327"/>
        <v>#DIV/0!</v>
      </c>
      <c r="Q115" s="169" t="e">
        <f t="shared" ref="Q115" si="328">Q29/Q12</f>
        <v>#DIV/0!</v>
      </c>
      <c r="R115" s="118" t="e">
        <f t="shared" si="295"/>
        <v>#DIV/0!</v>
      </c>
      <c r="S115" s="20"/>
      <c r="T115" s="150" t="e">
        <f t="shared" ref="T115:AC115" si="329">T29/T12</f>
        <v>#DIV/0!</v>
      </c>
      <c r="U115" s="150" t="e">
        <f t="shared" si="329"/>
        <v>#DIV/0!</v>
      </c>
      <c r="V115" s="150" t="e">
        <f t="shared" si="329"/>
        <v>#DIV/0!</v>
      </c>
      <c r="W115" s="150" t="e">
        <f t="shared" si="329"/>
        <v>#DIV/0!</v>
      </c>
      <c r="X115" s="150" t="e">
        <f t="shared" si="329"/>
        <v>#DIV/0!</v>
      </c>
      <c r="Y115" s="150" t="e">
        <f t="shared" si="329"/>
        <v>#DIV/0!</v>
      </c>
      <c r="Z115" s="150" t="e">
        <f t="shared" si="329"/>
        <v>#DIV/0!</v>
      </c>
      <c r="AA115" s="150" t="e">
        <f t="shared" si="329"/>
        <v>#DIV/0!</v>
      </c>
      <c r="AB115" s="150" t="e">
        <f t="shared" si="329"/>
        <v>#DIV/0!</v>
      </c>
      <c r="AC115" s="150" t="e">
        <f t="shared" si="329"/>
        <v>#DIV/0!</v>
      </c>
      <c r="AD115" s="137" t="e">
        <f t="shared" si="297"/>
        <v>#DIV/0!</v>
      </c>
      <c r="AE115" s="145"/>
      <c r="AF115" s="145"/>
    </row>
    <row r="116" spans="1:32" ht="12" customHeight="1">
      <c r="B116" s="20" t="s">
        <v>368</v>
      </c>
      <c r="C116" s="150"/>
      <c r="D116" s="150"/>
      <c r="E116" s="150"/>
      <c r="F116" s="150"/>
      <c r="G116" s="169">
        <f>G29/G23</f>
        <v>0.22641509433962265</v>
      </c>
      <c r="H116" s="169">
        <f t="shared" ref="H116:P116" si="330">H29/H23</f>
        <v>0.22641509433962265</v>
      </c>
      <c r="I116" s="169">
        <f t="shared" si="330"/>
        <v>0.4861111111111111</v>
      </c>
      <c r="J116" s="169">
        <f t="shared" si="330"/>
        <v>0.32198142414860681</v>
      </c>
      <c r="K116" s="169">
        <f t="shared" si="330"/>
        <v>0.59864781807006762</v>
      </c>
      <c r="L116" s="169">
        <f t="shared" si="330"/>
        <v>0.77627471383975022</v>
      </c>
      <c r="M116" s="169">
        <f t="shared" si="330"/>
        <v>0.59147025813692478</v>
      </c>
      <c r="N116" s="169">
        <f t="shared" si="330"/>
        <v>0.79942775393419174</v>
      </c>
      <c r="O116" s="169">
        <f t="shared" si="330"/>
        <v>1.308507670850767</v>
      </c>
      <c r="P116" s="169">
        <f t="shared" si="330"/>
        <v>1.4944649446494465</v>
      </c>
      <c r="Q116" s="169">
        <f t="shared" ref="Q116" si="331">Q29/Q23</f>
        <v>1.2332371414021388</v>
      </c>
      <c r="R116" s="118">
        <f t="shared" ref="R116" si="332">((P116/G116)^(1/($H$2-$H$1) ))-1</f>
        <v>0.20769713376887466</v>
      </c>
      <c r="S116" s="20"/>
      <c r="T116" s="169">
        <f t="shared" ref="T116:AC116" si="333">T29/T23</f>
        <v>1.2332371414021388</v>
      </c>
      <c r="U116" s="169">
        <f t="shared" si="333"/>
        <v>1.2332371414021388</v>
      </c>
      <c r="V116" s="169">
        <f t="shared" si="333"/>
        <v>1.2332371414021388</v>
      </c>
      <c r="W116" s="169">
        <f t="shared" si="333"/>
        <v>1.2332371414021388</v>
      </c>
      <c r="X116" s="169">
        <f t="shared" si="333"/>
        <v>1.2332371414021388</v>
      </c>
      <c r="Y116" s="169">
        <f t="shared" si="333"/>
        <v>1.2332371414021388</v>
      </c>
      <c r="Z116" s="169">
        <f t="shared" si="333"/>
        <v>1.2332371414021388</v>
      </c>
      <c r="AA116" s="169">
        <f t="shared" si="333"/>
        <v>1.2332371414021388</v>
      </c>
      <c r="AB116" s="169">
        <f t="shared" si="333"/>
        <v>1.2332371414021388</v>
      </c>
      <c r="AC116" s="169">
        <f t="shared" si="333"/>
        <v>1.2332371414021388</v>
      </c>
      <c r="AD116" s="137">
        <f t="shared" ref="AD116" si="334">((AC116/G116)^(1/($AC$3-$H$1) ))-1</f>
        <v>8.8446434295377463E-2</v>
      </c>
      <c r="AE116" s="145"/>
      <c r="AF116" s="145"/>
    </row>
    <row r="117" spans="1:32" ht="12" customHeight="1">
      <c r="B117" s="20"/>
      <c r="C117" s="150"/>
      <c r="D117" s="150"/>
      <c r="E117" s="150"/>
      <c r="F117" s="150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2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50"/>
      <c r="AE117" s="145"/>
      <c r="AF117" s="145"/>
    </row>
    <row r="118" spans="1:32" ht="12" customHeight="1">
      <c r="B118" s="20" t="s">
        <v>400</v>
      </c>
      <c r="C118" s="150"/>
      <c r="D118" s="150"/>
      <c r="E118" s="150"/>
      <c r="F118" s="150"/>
      <c r="G118" s="127">
        <f>1/G112</f>
        <v>4</v>
      </c>
      <c r="H118" s="127">
        <f t="shared" ref="H118:P118" si="335">1/H112</f>
        <v>4</v>
      </c>
      <c r="I118" s="127">
        <f t="shared" si="335"/>
        <v>2.7523809523809524</v>
      </c>
      <c r="J118" s="127">
        <f t="shared" si="335"/>
        <v>1.8942307692307692</v>
      </c>
      <c r="K118" s="127">
        <f t="shared" si="335"/>
        <v>1.715605749486653</v>
      </c>
      <c r="L118" s="127">
        <f t="shared" si="335"/>
        <v>1.634048257372654</v>
      </c>
      <c r="M118" s="127">
        <f t="shared" si="335"/>
        <v>1.8627450980392157</v>
      </c>
      <c r="N118" s="127">
        <f t="shared" si="335"/>
        <v>1.6696492483894059</v>
      </c>
      <c r="O118" s="127">
        <f t="shared" si="335"/>
        <v>1.5271797058196546</v>
      </c>
      <c r="P118" s="127">
        <f t="shared" si="335"/>
        <v>1.5721810699588479</v>
      </c>
      <c r="Q118" s="127">
        <f t="shared" ref="Q118" si="336">1/Q112</f>
        <v>1.6107364074328974</v>
      </c>
      <c r="R118" s="118">
        <f t="shared" si="295"/>
        <v>-8.915546455904122E-2</v>
      </c>
      <c r="S118" s="20"/>
      <c r="T118" s="127">
        <f t="shared" ref="T118:AC118" si="337">1/T112</f>
        <v>1.6107364074328974</v>
      </c>
      <c r="U118" s="127">
        <f t="shared" si="337"/>
        <v>1.6107364074328974</v>
      </c>
      <c r="V118" s="127">
        <f t="shared" si="337"/>
        <v>1.6107364074328974</v>
      </c>
      <c r="W118" s="127">
        <f t="shared" si="337"/>
        <v>1.6107364074328974</v>
      </c>
      <c r="X118" s="127">
        <f t="shared" si="337"/>
        <v>1.6107364074328974</v>
      </c>
      <c r="Y118" s="127">
        <f t="shared" si="337"/>
        <v>1.6107364074328974</v>
      </c>
      <c r="Z118" s="127">
        <f t="shared" si="337"/>
        <v>1.6107364074328974</v>
      </c>
      <c r="AA118" s="127">
        <f t="shared" si="337"/>
        <v>1.6107364074328974</v>
      </c>
      <c r="AB118" s="127">
        <f t="shared" si="337"/>
        <v>1.6107364074328974</v>
      </c>
      <c r="AC118" s="127">
        <f t="shared" si="337"/>
        <v>1.6107364074328974</v>
      </c>
      <c r="AD118" s="137">
        <f t="shared" si="297"/>
        <v>-4.446142495730232E-2</v>
      </c>
      <c r="AE118" s="145"/>
      <c r="AF118" s="145"/>
    </row>
    <row r="119" spans="1:32" ht="12" customHeight="1">
      <c r="B119" s="20" t="s">
        <v>401</v>
      </c>
      <c r="C119" s="150"/>
      <c r="D119" s="150"/>
      <c r="E119" s="150"/>
      <c r="F119" s="150"/>
      <c r="G119" s="127" t="e">
        <f t="shared" ref="G119:P122" si="338">1/G113</f>
        <v>#DIV/0!</v>
      </c>
      <c r="H119" s="127" t="e">
        <f t="shared" si="338"/>
        <v>#DIV/0!</v>
      </c>
      <c r="I119" s="127" t="e">
        <f t="shared" si="338"/>
        <v>#DIV/0!</v>
      </c>
      <c r="J119" s="127" t="e">
        <f t="shared" si="338"/>
        <v>#DIV/0!</v>
      </c>
      <c r="K119" s="127" t="e">
        <f t="shared" si="338"/>
        <v>#DIV/0!</v>
      </c>
      <c r="L119" s="127" t="e">
        <f t="shared" si="338"/>
        <v>#DIV/0!</v>
      </c>
      <c r="M119" s="127" t="e">
        <f t="shared" si="338"/>
        <v>#DIV/0!</v>
      </c>
      <c r="N119" s="127" t="e">
        <f t="shared" si="338"/>
        <v>#DIV/0!</v>
      </c>
      <c r="O119" s="127" t="e">
        <f t="shared" si="338"/>
        <v>#DIV/0!</v>
      </c>
      <c r="P119" s="127" t="e">
        <f t="shared" si="338"/>
        <v>#DIV/0!</v>
      </c>
      <c r="Q119" s="127" t="e">
        <f t="shared" ref="Q119" si="339">1/Q113</f>
        <v>#DIV/0!</v>
      </c>
      <c r="R119" s="118" t="e">
        <f t="shared" si="295"/>
        <v>#DIV/0!</v>
      </c>
      <c r="S119" s="20"/>
      <c r="T119" s="127" t="e">
        <f t="shared" ref="T119:AC119" si="340">1/T113</f>
        <v>#DIV/0!</v>
      </c>
      <c r="U119" s="127" t="e">
        <f t="shared" si="340"/>
        <v>#DIV/0!</v>
      </c>
      <c r="V119" s="127" t="e">
        <f t="shared" si="340"/>
        <v>#DIV/0!</v>
      </c>
      <c r="W119" s="127" t="e">
        <f t="shared" si="340"/>
        <v>#DIV/0!</v>
      </c>
      <c r="X119" s="127" t="e">
        <f t="shared" si="340"/>
        <v>#DIV/0!</v>
      </c>
      <c r="Y119" s="127" t="e">
        <f t="shared" si="340"/>
        <v>#DIV/0!</v>
      </c>
      <c r="Z119" s="127" t="e">
        <f t="shared" si="340"/>
        <v>#DIV/0!</v>
      </c>
      <c r="AA119" s="127" t="e">
        <f t="shared" si="340"/>
        <v>#DIV/0!</v>
      </c>
      <c r="AB119" s="127" t="e">
        <f t="shared" si="340"/>
        <v>#DIV/0!</v>
      </c>
      <c r="AC119" s="127" t="e">
        <f t="shared" si="340"/>
        <v>#DIV/0!</v>
      </c>
      <c r="AD119" s="137" t="e">
        <f t="shared" si="297"/>
        <v>#DIV/0!</v>
      </c>
      <c r="AE119" s="145"/>
      <c r="AF119" s="145"/>
    </row>
    <row r="120" spans="1:32" ht="12" customHeight="1">
      <c r="B120" s="20" t="s">
        <v>402</v>
      </c>
      <c r="C120" s="150"/>
      <c r="D120" s="150"/>
      <c r="E120" s="150"/>
      <c r="F120" s="150"/>
      <c r="G120" s="127">
        <f t="shared" si="338"/>
        <v>-0.33333333333333331</v>
      </c>
      <c r="H120" s="127">
        <f t="shared" si="338"/>
        <v>-0.33333333333333331</v>
      </c>
      <c r="I120" s="127">
        <f t="shared" si="338"/>
        <v>0.52380952380952384</v>
      </c>
      <c r="J120" s="127">
        <f t="shared" si="338"/>
        <v>0.22596153846153846</v>
      </c>
      <c r="K120" s="127">
        <f t="shared" si="338"/>
        <v>0.20533880903490759</v>
      </c>
      <c r="L120" s="127">
        <f t="shared" si="338"/>
        <v>0.20375335120643431</v>
      </c>
      <c r="M120" s="127">
        <f t="shared" si="338"/>
        <v>0.30234029095509174</v>
      </c>
      <c r="N120" s="127">
        <f t="shared" si="338"/>
        <v>0.26020042949176808</v>
      </c>
      <c r="O120" s="127">
        <f t="shared" si="338"/>
        <v>0.20827115753570669</v>
      </c>
      <c r="P120" s="127">
        <f t="shared" si="338"/>
        <v>0.2139917695473251</v>
      </c>
      <c r="Q120" s="127">
        <f t="shared" ref="Q120" si="341">1/Q114</f>
        <v>0.22174810736407433</v>
      </c>
      <c r="R120" s="118" t="e">
        <f t="shared" si="295"/>
        <v>#NUM!</v>
      </c>
      <c r="S120" s="20"/>
      <c r="T120" s="127">
        <f t="shared" ref="T120:AC120" si="342">1/T114</f>
        <v>0.22174810736407433</v>
      </c>
      <c r="U120" s="127">
        <f t="shared" si="342"/>
        <v>0.22174810736407433</v>
      </c>
      <c r="V120" s="127">
        <f t="shared" si="342"/>
        <v>0.22174810736407433</v>
      </c>
      <c r="W120" s="127">
        <f t="shared" si="342"/>
        <v>0.22174810736407433</v>
      </c>
      <c r="X120" s="127">
        <f t="shared" si="342"/>
        <v>0.22174810736407433</v>
      </c>
      <c r="Y120" s="127">
        <f t="shared" si="342"/>
        <v>0.22174810736407433</v>
      </c>
      <c r="Z120" s="127">
        <f t="shared" si="342"/>
        <v>0.22174810736407433</v>
      </c>
      <c r="AA120" s="127">
        <f t="shared" si="342"/>
        <v>0.22174810736407433</v>
      </c>
      <c r="AB120" s="127">
        <f t="shared" si="342"/>
        <v>0.22174810736407433</v>
      </c>
      <c r="AC120" s="127">
        <f t="shared" si="342"/>
        <v>0.22174810736407433</v>
      </c>
      <c r="AD120" s="137" t="e">
        <f t="shared" si="297"/>
        <v>#NUM!</v>
      </c>
      <c r="AE120" s="145"/>
      <c r="AF120" s="145"/>
    </row>
    <row r="121" spans="1:32" ht="12" customHeight="1">
      <c r="B121" s="20" t="s">
        <v>403</v>
      </c>
      <c r="C121" s="150"/>
      <c r="D121" s="150"/>
      <c r="E121" s="150"/>
      <c r="F121" s="150"/>
      <c r="G121" s="127" t="e">
        <f t="shared" si="338"/>
        <v>#DIV/0!</v>
      </c>
      <c r="H121" s="127" t="e">
        <f t="shared" si="338"/>
        <v>#DIV/0!</v>
      </c>
      <c r="I121" s="127" t="e">
        <f t="shared" si="338"/>
        <v>#DIV/0!</v>
      </c>
      <c r="J121" s="127" t="e">
        <f t="shared" si="338"/>
        <v>#DIV/0!</v>
      </c>
      <c r="K121" s="127" t="e">
        <f t="shared" si="338"/>
        <v>#DIV/0!</v>
      </c>
      <c r="L121" s="127" t="e">
        <f t="shared" si="338"/>
        <v>#DIV/0!</v>
      </c>
      <c r="M121" s="127" t="e">
        <f t="shared" si="338"/>
        <v>#DIV/0!</v>
      </c>
      <c r="N121" s="127" t="e">
        <f t="shared" si="338"/>
        <v>#DIV/0!</v>
      </c>
      <c r="O121" s="127" t="e">
        <f t="shared" si="338"/>
        <v>#DIV/0!</v>
      </c>
      <c r="P121" s="127" t="e">
        <f t="shared" si="338"/>
        <v>#DIV/0!</v>
      </c>
      <c r="Q121" s="127" t="e">
        <f t="shared" ref="Q121" si="343">1/Q115</f>
        <v>#DIV/0!</v>
      </c>
      <c r="R121" s="118" t="e">
        <f t="shared" si="295"/>
        <v>#DIV/0!</v>
      </c>
      <c r="S121" s="20"/>
      <c r="T121" s="127" t="e">
        <f t="shared" ref="T121:AC121" si="344">1/T115</f>
        <v>#DIV/0!</v>
      </c>
      <c r="U121" s="127" t="e">
        <f t="shared" si="344"/>
        <v>#DIV/0!</v>
      </c>
      <c r="V121" s="127" t="e">
        <f t="shared" si="344"/>
        <v>#DIV/0!</v>
      </c>
      <c r="W121" s="127" t="e">
        <f t="shared" si="344"/>
        <v>#DIV/0!</v>
      </c>
      <c r="X121" s="127" t="e">
        <f t="shared" si="344"/>
        <v>#DIV/0!</v>
      </c>
      <c r="Y121" s="127" t="e">
        <f t="shared" si="344"/>
        <v>#DIV/0!</v>
      </c>
      <c r="Z121" s="127" t="e">
        <f t="shared" si="344"/>
        <v>#DIV/0!</v>
      </c>
      <c r="AA121" s="127" t="e">
        <f t="shared" si="344"/>
        <v>#DIV/0!</v>
      </c>
      <c r="AB121" s="127" t="e">
        <f t="shared" si="344"/>
        <v>#DIV/0!</v>
      </c>
      <c r="AC121" s="127" t="e">
        <f t="shared" si="344"/>
        <v>#DIV/0!</v>
      </c>
      <c r="AD121" s="137" t="e">
        <f t="shared" si="297"/>
        <v>#DIV/0!</v>
      </c>
      <c r="AE121" s="145"/>
      <c r="AF121" s="145"/>
    </row>
    <row r="122" spans="1:32" ht="12" customHeight="1">
      <c r="B122" s="20" t="s">
        <v>404</v>
      </c>
      <c r="C122" s="150"/>
      <c r="D122" s="150"/>
      <c r="E122" s="150"/>
      <c r="F122" s="150"/>
      <c r="G122" s="127">
        <f t="shared" si="338"/>
        <v>4.416666666666667</v>
      </c>
      <c r="H122" s="127">
        <f t="shared" si="338"/>
        <v>4.416666666666667</v>
      </c>
      <c r="I122" s="127">
        <f t="shared" si="338"/>
        <v>2.0571428571428574</v>
      </c>
      <c r="J122" s="127">
        <f t="shared" si="338"/>
        <v>3.1057692307692308</v>
      </c>
      <c r="K122" s="127">
        <f t="shared" si="338"/>
        <v>1.6704312114989732</v>
      </c>
      <c r="L122" s="127">
        <f t="shared" si="338"/>
        <v>1.2882037533512065</v>
      </c>
      <c r="M122" s="127">
        <f t="shared" si="338"/>
        <v>1.6907020872865275</v>
      </c>
      <c r="N122" s="127">
        <f t="shared" si="338"/>
        <v>1.2508947745168217</v>
      </c>
      <c r="O122" s="127">
        <f t="shared" si="338"/>
        <v>0.76422937539970159</v>
      </c>
      <c r="P122" s="127">
        <f t="shared" si="338"/>
        <v>0.66913580246913584</v>
      </c>
      <c r="Q122" s="127">
        <f t="shared" ref="Q122" si="345">1/Q116</f>
        <v>0.81087405368203724</v>
      </c>
      <c r="R122" s="118">
        <f t="shared" si="295"/>
        <v>-0.17197783116426857</v>
      </c>
      <c r="S122" s="20"/>
      <c r="T122" s="127">
        <f t="shared" ref="T122:AC122" si="346">1/T116</f>
        <v>0.81087405368203724</v>
      </c>
      <c r="U122" s="127">
        <f t="shared" si="346"/>
        <v>0.81087405368203724</v>
      </c>
      <c r="V122" s="127">
        <f t="shared" si="346"/>
        <v>0.81087405368203724</v>
      </c>
      <c r="W122" s="127">
        <f t="shared" si="346"/>
        <v>0.81087405368203724</v>
      </c>
      <c r="X122" s="127">
        <f t="shared" si="346"/>
        <v>0.81087405368203724</v>
      </c>
      <c r="Y122" s="127">
        <f t="shared" si="346"/>
        <v>0.81087405368203724</v>
      </c>
      <c r="Z122" s="127">
        <f t="shared" si="346"/>
        <v>0.81087405368203724</v>
      </c>
      <c r="AA122" s="127">
        <f t="shared" si="346"/>
        <v>0.81087405368203724</v>
      </c>
      <c r="AB122" s="127">
        <f t="shared" si="346"/>
        <v>0.81087405368203724</v>
      </c>
      <c r="AC122" s="127">
        <f t="shared" si="346"/>
        <v>0.81087405368203724</v>
      </c>
      <c r="AD122" s="137">
        <f t="shared" si="297"/>
        <v>-8.1259335791415976E-2</v>
      </c>
      <c r="AE122" s="145"/>
      <c r="AF122" s="145"/>
    </row>
    <row r="123" spans="1:32" ht="12" customHeight="1">
      <c r="B123" s="20"/>
      <c r="C123" s="150"/>
      <c r="D123" s="150"/>
      <c r="E123" s="150"/>
      <c r="F123" s="150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20"/>
      <c r="T123" s="150"/>
      <c r="U123" s="150"/>
      <c r="V123" s="150"/>
      <c r="W123" s="150"/>
      <c r="X123" s="150"/>
      <c r="Y123" s="150"/>
      <c r="Z123" s="150"/>
      <c r="AA123" s="150"/>
      <c r="AB123" s="150"/>
      <c r="AC123" s="150"/>
      <c r="AD123" s="150"/>
      <c r="AE123" s="145"/>
      <c r="AF123" s="145"/>
    </row>
    <row r="124" spans="1:32" ht="12" customHeight="1">
      <c r="A124" s="209" t="s">
        <v>482</v>
      </c>
      <c r="B124" s="200" t="s">
        <v>491</v>
      </c>
      <c r="C124" s="150"/>
      <c r="D124" s="150"/>
      <c r="E124" s="150"/>
      <c r="F124" s="150"/>
      <c r="G124" s="169">
        <f t="shared" ref="G124:Q124" si="347">G25/(G36+G38)</f>
        <v>8.869179600886918E-3</v>
      </c>
      <c r="H124" s="169">
        <f t="shared" si="347"/>
        <v>8.869179600886918E-3</v>
      </c>
      <c r="I124" s="169">
        <f t="shared" si="347"/>
        <v>3.0104166666666668E-2</v>
      </c>
      <c r="J124" s="169">
        <f t="shared" si="347"/>
        <v>3.5216303181980692E-2</v>
      </c>
      <c r="K124" s="169">
        <f t="shared" si="347"/>
        <v>4.8866793390846618E-2</v>
      </c>
      <c r="L124" s="169">
        <f t="shared" si="347"/>
        <v>6.5042819411466529E-2</v>
      </c>
      <c r="M124" s="169">
        <f t="shared" si="347"/>
        <v>9.3352775224268547E-2</v>
      </c>
      <c r="N124" s="169">
        <f t="shared" si="347"/>
        <v>8.8641027589876117E-2</v>
      </c>
      <c r="O124" s="169">
        <f t="shared" si="347"/>
        <v>0.11316284139194718</v>
      </c>
      <c r="P124" s="169">
        <f t="shared" si="347"/>
        <v>0.10868600430146683</v>
      </c>
      <c r="Q124" s="169">
        <f t="shared" si="347"/>
        <v>0.12252633342407807</v>
      </c>
      <c r="R124" s="118">
        <f t="shared" ref="R124:R132" si="348">((P124/G124)^(1/($H$2-$H$1) ))-1</f>
        <v>0.28478073943239757</v>
      </c>
      <c r="S124" s="20"/>
      <c r="T124" s="169">
        <f t="shared" ref="T124:AC124" si="349">T25/(T36+T38)</f>
        <v>0.12252633342407807</v>
      </c>
      <c r="U124" s="169">
        <f t="shared" si="349"/>
        <v>0.12252633342407807</v>
      </c>
      <c r="V124" s="169">
        <f t="shared" si="349"/>
        <v>0.12252633342407807</v>
      </c>
      <c r="W124" s="169">
        <f t="shared" si="349"/>
        <v>0.12252633342407807</v>
      </c>
      <c r="X124" s="169">
        <f t="shared" si="349"/>
        <v>0.12252633342407807</v>
      </c>
      <c r="Y124" s="169">
        <f t="shared" si="349"/>
        <v>0.12252633342407807</v>
      </c>
      <c r="Z124" s="169">
        <f t="shared" si="349"/>
        <v>0.12252633342407807</v>
      </c>
      <c r="AA124" s="169">
        <f t="shared" si="349"/>
        <v>0.12252633342407807</v>
      </c>
      <c r="AB124" s="169">
        <f t="shared" si="349"/>
        <v>0.12252633342407807</v>
      </c>
      <c r="AC124" s="169">
        <f t="shared" si="349"/>
        <v>0.12252633342407807</v>
      </c>
      <c r="AD124" s="137">
        <f t="shared" ref="AD124:AD132" si="350">((AC124/G124)^(1/($AC$3-$H$1) ))-1</f>
        <v>0.14029520843451992</v>
      </c>
      <c r="AE124" s="145"/>
      <c r="AF124" s="145"/>
    </row>
    <row r="125" spans="1:32" ht="12" customHeight="1">
      <c r="A125" s="209"/>
      <c r="B125" s="200" t="s">
        <v>484</v>
      </c>
      <c r="C125" s="150"/>
      <c r="D125" s="150"/>
      <c r="E125" s="150"/>
      <c r="F125" s="150"/>
      <c r="G125" s="169">
        <f t="shared" ref="G125:Q125" si="351">G25/G43</f>
        <v>2.1628441400441583E-3</v>
      </c>
      <c r="H125" s="169">
        <f t="shared" si="351"/>
        <v>2.1628441400441583E-3</v>
      </c>
      <c r="I125" s="169">
        <f t="shared" si="351"/>
        <v>8.4102086546576256E-3</v>
      </c>
      <c r="J125" s="169">
        <f t="shared" si="351"/>
        <v>2.0743392650310624E-2</v>
      </c>
      <c r="K125" s="169">
        <f t="shared" si="351"/>
        <v>3.5553947956339496E-2</v>
      </c>
      <c r="L125" s="169">
        <f t="shared" si="351"/>
        <v>4.3823698590739146E-2</v>
      </c>
      <c r="M125" s="169">
        <f t="shared" si="351"/>
        <v>0.13269949984229262</v>
      </c>
      <c r="N125" s="169">
        <f t="shared" si="351"/>
        <v>0.13575648226289905</v>
      </c>
      <c r="O125" s="169">
        <f t="shared" si="351"/>
        <v>0.18858586922185955</v>
      </c>
      <c r="P125" s="169">
        <f t="shared" si="351"/>
        <v>0.2032170897253133</v>
      </c>
      <c r="Q125" s="169">
        <f t="shared" si="351"/>
        <v>0.2103465631291343</v>
      </c>
      <c r="R125" s="118">
        <f t="shared" si="348"/>
        <v>0.57504693653466643</v>
      </c>
      <c r="S125" s="20"/>
      <c r="T125" s="169">
        <f t="shared" ref="T125:AC125" si="352">T25/T43</f>
        <v>0.2103465631291343</v>
      </c>
      <c r="U125" s="169">
        <f t="shared" si="352"/>
        <v>0.2103465631291343</v>
      </c>
      <c r="V125" s="169">
        <f t="shared" si="352"/>
        <v>0.2103465631291343</v>
      </c>
      <c r="W125" s="169">
        <f t="shared" si="352"/>
        <v>0.2103465631291343</v>
      </c>
      <c r="X125" s="169">
        <f t="shared" si="352"/>
        <v>0.2103465631291343</v>
      </c>
      <c r="Y125" s="169">
        <f t="shared" si="352"/>
        <v>0.2103465631291343</v>
      </c>
      <c r="Z125" s="169">
        <f t="shared" si="352"/>
        <v>0.2103465631291343</v>
      </c>
      <c r="AA125" s="169">
        <f t="shared" si="352"/>
        <v>0.2103465631291343</v>
      </c>
      <c r="AB125" s="169">
        <f t="shared" si="352"/>
        <v>0.2103465631291343</v>
      </c>
      <c r="AC125" s="169">
        <f t="shared" si="352"/>
        <v>0.2103465631291343</v>
      </c>
      <c r="AD125" s="137">
        <f t="shared" si="350"/>
        <v>0.25717434490760449</v>
      </c>
      <c r="AE125" s="145"/>
      <c r="AF125" s="145"/>
    </row>
    <row r="126" spans="1:32" ht="12" customHeight="1">
      <c r="A126" s="209"/>
      <c r="B126" s="200" t="s">
        <v>492</v>
      </c>
      <c r="C126" s="150"/>
      <c r="D126" s="150"/>
      <c r="E126" s="150"/>
      <c r="F126" s="150"/>
      <c r="G126" s="169">
        <f t="shared" ref="G126:Q126" si="353">G43/(G36)</f>
        <v>33.473604826546001</v>
      </c>
      <c r="H126" s="169">
        <f t="shared" si="353"/>
        <v>33.473604826546001</v>
      </c>
      <c r="I126" s="169">
        <f t="shared" si="353"/>
        <v>11.808591065292097</v>
      </c>
      <c r="J126" s="169">
        <f t="shared" si="353"/>
        <v>4.6214111922141123</v>
      </c>
      <c r="K126" s="169">
        <f t="shared" si="353"/>
        <v>3.540947788744067</v>
      </c>
      <c r="L126" s="169">
        <f t="shared" si="353"/>
        <v>3.4406580493537016</v>
      </c>
      <c r="M126" s="169">
        <f t="shared" si="353"/>
        <v>0.82815881782222556</v>
      </c>
      <c r="N126" s="169">
        <f t="shared" si="353"/>
        <v>0.74802995341547307</v>
      </c>
      <c r="O126" s="169">
        <f t="shared" si="353"/>
        <v>0.77288356289800819</v>
      </c>
      <c r="P126" s="169">
        <f t="shared" si="353"/>
        <v>0.70194907027107756</v>
      </c>
      <c r="Q126" s="169">
        <f t="shared" si="353"/>
        <v>0.7498382574940694</v>
      </c>
      <c r="R126" s="118">
        <f t="shared" si="348"/>
        <v>-0.32054560554372302</v>
      </c>
      <c r="S126" s="20"/>
      <c r="T126" s="169">
        <f t="shared" ref="T126:AC126" si="354">T43/(T36+T38)</f>
        <v>0.58249743471614346</v>
      </c>
      <c r="U126" s="169">
        <f t="shared" si="354"/>
        <v>0.58249743471614346</v>
      </c>
      <c r="V126" s="169">
        <f t="shared" si="354"/>
        <v>0.58249743471614346</v>
      </c>
      <c r="W126" s="169">
        <f t="shared" si="354"/>
        <v>0.58249743471614346</v>
      </c>
      <c r="X126" s="169">
        <f t="shared" si="354"/>
        <v>0.58249743471614346</v>
      </c>
      <c r="Y126" s="169">
        <f t="shared" si="354"/>
        <v>0.58249743471614346</v>
      </c>
      <c r="Z126" s="169">
        <f t="shared" si="354"/>
        <v>0.58249743471614346</v>
      </c>
      <c r="AA126" s="169">
        <f t="shared" si="354"/>
        <v>0.58249743471614346</v>
      </c>
      <c r="AB126" s="169">
        <f t="shared" si="354"/>
        <v>0.58249743471614346</v>
      </c>
      <c r="AC126" s="169">
        <f t="shared" si="354"/>
        <v>0.58249743471614346</v>
      </c>
      <c r="AD126" s="137">
        <f t="shared" si="350"/>
        <v>-0.18336201530142771</v>
      </c>
      <c r="AE126" s="145"/>
      <c r="AF126" s="145"/>
    </row>
    <row r="127" spans="1:32" ht="12" customHeight="1">
      <c r="A127" s="209"/>
      <c r="B127" s="200" t="s">
        <v>488</v>
      </c>
      <c r="C127" s="150"/>
      <c r="D127" s="150"/>
      <c r="E127" s="150"/>
      <c r="F127" s="150"/>
      <c r="G127" s="169">
        <f t="shared" ref="G127:Q127" si="355">G43/G38</f>
        <v>4.6731943567066754</v>
      </c>
      <c r="H127" s="169">
        <f t="shared" si="355"/>
        <v>4.6731943567066754</v>
      </c>
      <c r="I127" s="169">
        <f t="shared" si="355"/>
        <v>5.1364723467862481</v>
      </c>
      <c r="J127" s="169">
        <f t="shared" si="355"/>
        <v>2.6835264198926252</v>
      </c>
      <c r="K127" s="169">
        <f t="shared" si="355"/>
        <v>2.24639135837874</v>
      </c>
      <c r="L127" s="169">
        <f t="shared" si="355"/>
        <v>2.6101154170967438</v>
      </c>
      <c r="M127" s="169">
        <f t="shared" si="355"/>
        <v>4.6731943567066754</v>
      </c>
      <c r="N127" s="169">
        <f t="shared" si="355"/>
        <v>5.1364723467862481</v>
      </c>
      <c r="O127" s="169">
        <f t="shared" si="355"/>
        <v>2.6835264198926252</v>
      </c>
      <c r="P127" s="169">
        <f t="shared" si="355"/>
        <v>2.24639135837874</v>
      </c>
      <c r="Q127" s="169">
        <f t="shared" si="355"/>
        <v>2.6101154170967438</v>
      </c>
      <c r="R127" s="118">
        <f t="shared" si="348"/>
        <v>-7.063319227719711E-2</v>
      </c>
      <c r="S127" s="20"/>
      <c r="T127" s="169">
        <f t="shared" ref="T127:AC127" si="356">T43/T38</f>
        <v>2.6101154170967438</v>
      </c>
      <c r="U127" s="169">
        <f t="shared" si="356"/>
        <v>2.6101154170967438</v>
      </c>
      <c r="V127" s="169">
        <f t="shared" si="356"/>
        <v>2.6101154170967438</v>
      </c>
      <c r="W127" s="169">
        <f t="shared" si="356"/>
        <v>2.6101154170967438</v>
      </c>
      <c r="X127" s="169">
        <f t="shared" si="356"/>
        <v>2.6101154170967438</v>
      </c>
      <c r="Y127" s="169">
        <f t="shared" si="356"/>
        <v>2.6101154170967438</v>
      </c>
      <c r="Z127" s="169">
        <f t="shared" si="356"/>
        <v>2.6101154170967438</v>
      </c>
      <c r="AA127" s="169">
        <f t="shared" si="356"/>
        <v>2.6101154170967438</v>
      </c>
      <c r="AB127" s="169">
        <f t="shared" si="356"/>
        <v>2.6101154170967438</v>
      </c>
      <c r="AC127" s="169">
        <f t="shared" si="356"/>
        <v>2.6101154170967438</v>
      </c>
      <c r="AD127" s="137">
        <f t="shared" si="350"/>
        <v>-2.8702449680093722E-2</v>
      </c>
      <c r="AE127" s="145"/>
      <c r="AF127" s="145"/>
    </row>
    <row r="128" spans="1:32" ht="12" customHeight="1">
      <c r="A128" s="209"/>
      <c r="B128" s="200" t="s">
        <v>487</v>
      </c>
      <c r="C128" s="150"/>
      <c r="D128" s="150"/>
      <c r="E128" s="150"/>
      <c r="F128" s="150"/>
      <c r="G128" s="169">
        <f t="shared" ref="G128:Q128" si="357">G43/(G36+G38)</f>
        <v>4.1007021433850701</v>
      </c>
      <c r="H128" s="169">
        <f t="shared" si="357"/>
        <v>4.1007021433850701</v>
      </c>
      <c r="I128" s="169">
        <f t="shared" si="357"/>
        <v>3.5794791666666668</v>
      </c>
      <c r="J128" s="169">
        <f t="shared" si="357"/>
        <v>1.6977118341079729</v>
      </c>
      <c r="K128" s="169">
        <f t="shared" si="357"/>
        <v>1.374440707705805</v>
      </c>
      <c r="L128" s="169">
        <f t="shared" si="357"/>
        <v>1.4841928340847852</v>
      </c>
      <c r="M128" s="169">
        <f t="shared" si="357"/>
        <v>0.70349003074777317</v>
      </c>
      <c r="N128" s="169">
        <f t="shared" si="357"/>
        <v>0.65294140001520107</v>
      </c>
      <c r="O128" s="169">
        <f t="shared" si="357"/>
        <v>0.60006002495774557</v>
      </c>
      <c r="P128" s="169">
        <f t="shared" si="357"/>
        <v>0.53482708786144273</v>
      </c>
      <c r="Q128" s="169">
        <f t="shared" si="357"/>
        <v>0.58249743471614346</v>
      </c>
      <c r="R128" s="118">
        <f>((P128/G128)^(1/($H$2-$H$1) ))-1</f>
        <v>-0.18429050612351716</v>
      </c>
      <c r="S128" s="20"/>
      <c r="T128" s="169">
        <f t="shared" ref="T128:AC128" si="358">T43/(T36+T38)</f>
        <v>0.58249743471614346</v>
      </c>
      <c r="U128" s="169">
        <f t="shared" si="358"/>
        <v>0.58249743471614346</v>
      </c>
      <c r="V128" s="169">
        <f t="shared" si="358"/>
        <v>0.58249743471614346</v>
      </c>
      <c r="W128" s="169">
        <f t="shared" si="358"/>
        <v>0.58249743471614346</v>
      </c>
      <c r="X128" s="169">
        <f t="shared" si="358"/>
        <v>0.58249743471614346</v>
      </c>
      <c r="Y128" s="169">
        <f t="shared" si="358"/>
        <v>0.58249743471614346</v>
      </c>
      <c r="Z128" s="169">
        <f t="shared" si="358"/>
        <v>0.58249743471614346</v>
      </c>
      <c r="AA128" s="169">
        <f t="shared" si="358"/>
        <v>0.58249743471614346</v>
      </c>
      <c r="AB128" s="169">
        <f t="shared" si="358"/>
        <v>0.58249743471614346</v>
      </c>
      <c r="AC128" s="169">
        <f t="shared" si="358"/>
        <v>0.58249743471614346</v>
      </c>
      <c r="AD128" s="137">
        <f>((AC128/G128)^(1/($AC$3-$H$1) ))-1</f>
        <v>-9.2969711755989226E-2</v>
      </c>
      <c r="AE128" s="145"/>
      <c r="AF128" s="145"/>
    </row>
    <row r="129" spans="1:32" ht="12" customHeight="1">
      <c r="A129" s="209"/>
      <c r="B129" s="200" t="s">
        <v>495</v>
      </c>
      <c r="C129" s="150"/>
      <c r="D129" s="150"/>
      <c r="E129" s="150"/>
      <c r="F129" s="150"/>
      <c r="G129" s="169">
        <f t="shared" ref="G129:Q129" si="359">G47/G25</f>
        <v>0.375</v>
      </c>
      <c r="H129" s="169">
        <f t="shared" si="359"/>
        <v>0.375</v>
      </c>
      <c r="I129" s="169">
        <f t="shared" si="359"/>
        <v>0.34602076124567471</v>
      </c>
      <c r="J129" s="169">
        <f t="shared" si="359"/>
        <v>0.25380710659898476</v>
      </c>
      <c r="K129" s="169">
        <f t="shared" si="359"/>
        <v>0.21543985637342908</v>
      </c>
      <c r="L129" s="169">
        <f t="shared" si="359"/>
        <v>0.17842493847415913</v>
      </c>
      <c r="M129" s="169">
        <f t="shared" si="359"/>
        <v>0.19524617996604415</v>
      </c>
      <c r="N129" s="169">
        <f t="shared" si="359"/>
        <v>0.13354769560557342</v>
      </c>
      <c r="O129" s="169">
        <f t="shared" si="359"/>
        <v>0.11962590731434952</v>
      </c>
      <c r="P129" s="169">
        <f t="shared" si="359"/>
        <v>0.13160925557533243</v>
      </c>
      <c r="Q129" s="169">
        <f t="shared" si="359"/>
        <v>0.14706887711502306</v>
      </c>
      <c r="R129" s="118">
        <f>((P129/G129)^(1/($H$2-$H$1) ))-1</f>
        <v>-9.9413325835197131E-2</v>
      </c>
      <c r="S129" s="20"/>
      <c r="T129" s="169">
        <f t="shared" ref="T129:AC129" si="360">T47/T25</f>
        <v>0.14706887711502306</v>
      </c>
      <c r="U129" s="169">
        <f t="shared" si="360"/>
        <v>0.14706887711502306</v>
      </c>
      <c r="V129" s="169">
        <f t="shared" si="360"/>
        <v>0.14706887711502306</v>
      </c>
      <c r="W129" s="169">
        <f t="shared" si="360"/>
        <v>0.14706887711502306</v>
      </c>
      <c r="X129" s="169">
        <f t="shared" si="360"/>
        <v>0.14706887711502306</v>
      </c>
      <c r="Y129" s="169">
        <f t="shared" si="360"/>
        <v>0.14706887711502306</v>
      </c>
      <c r="Z129" s="169">
        <f t="shared" si="360"/>
        <v>0.14706887711502306</v>
      </c>
      <c r="AA129" s="169">
        <f t="shared" si="360"/>
        <v>0.14706887711502306</v>
      </c>
      <c r="AB129" s="169">
        <f t="shared" si="360"/>
        <v>0.14706887711502306</v>
      </c>
      <c r="AC129" s="169">
        <f t="shared" si="360"/>
        <v>0.14706887711502306</v>
      </c>
      <c r="AD129" s="137">
        <f>((AC129/G129)^(1/($AC$3-$H$1) ))-1</f>
        <v>-4.5722958556956517E-2</v>
      </c>
      <c r="AE129" s="145"/>
      <c r="AF129" s="145"/>
    </row>
    <row r="130" spans="1:32" ht="12" customHeight="1">
      <c r="A130" s="209"/>
      <c r="B130" s="200" t="s">
        <v>493</v>
      </c>
      <c r="C130" s="150"/>
      <c r="D130" s="150"/>
      <c r="E130" s="150"/>
      <c r="F130" s="150"/>
      <c r="G130" s="208" t="e">
        <f t="shared" ref="G130:Q130" si="361">G55/G49</f>
        <v>#DIV/0!</v>
      </c>
      <c r="H130" s="208" t="e">
        <f t="shared" si="361"/>
        <v>#DIV/0!</v>
      </c>
      <c r="I130" s="208" t="e">
        <f t="shared" si="361"/>
        <v>#DIV/0!</v>
      </c>
      <c r="J130" s="208" t="e">
        <f t="shared" si="361"/>
        <v>#DIV/0!</v>
      </c>
      <c r="K130" s="208" t="e">
        <f t="shared" si="361"/>
        <v>#DIV/0!</v>
      </c>
      <c r="L130" s="208" t="e">
        <f t="shared" si="361"/>
        <v>#DIV/0!</v>
      </c>
      <c r="M130" s="208" t="e">
        <f t="shared" si="361"/>
        <v>#DIV/0!</v>
      </c>
      <c r="N130" s="208" t="e">
        <f t="shared" si="361"/>
        <v>#DIV/0!</v>
      </c>
      <c r="O130" s="208" t="e">
        <f t="shared" si="361"/>
        <v>#DIV/0!</v>
      </c>
      <c r="P130" s="208" t="e">
        <f t="shared" si="361"/>
        <v>#DIV/0!</v>
      </c>
      <c r="Q130" s="208" t="e">
        <f t="shared" si="361"/>
        <v>#DIV/0!</v>
      </c>
      <c r="R130" s="118" t="e">
        <f>((P130/G130)^(1/($H$2-$H$1) ))-1</f>
        <v>#DIV/0!</v>
      </c>
      <c r="S130" s="20"/>
      <c r="T130" s="208" t="e">
        <f t="shared" ref="T130:AC130" si="362">T55/T49</f>
        <v>#DIV/0!</v>
      </c>
      <c r="U130" s="208" t="e">
        <f t="shared" si="362"/>
        <v>#DIV/0!</v>
      </c>
      <c r="V130" s="208" t="e">
        <f t="shared" si="362"/>
        <v>#DIV/0!</v>
      </c>
      <c r="W130" s="208" t="e">
        <f t="shared" si="362"/>
        <v>#DIV/0!</v>
      </c>
      <c r="X130" s="208" t="e">
        <f t="shared" si="362"/>
        <v>#DIV/0!</v>
      </c>
      <c r="Y130" s="208" t="e">
        <f t="shared" si="362"/>
        <v>#DIV/0!</v>
      </c>
      <c r="Z130" s="208" t="e">
        <f t="shared" si="362"/>
        <v>#DIV/0!</v>
      </c>
      <c r="AA130" s="208" t="e">
        <f t="shared" si="362"/>
        <v>#DIV/0!</v>
      </c>
      <c r="AB130" s="208" t="e">
        <f t="shared" si="362"/>
        <v>#DIV/0!</v>
      </c>
      <c r="AC130" s="208" t="e">
        <f t="shared" si="362"/>
        <v>#DIV/0!</v>
      </c>
      <c r="AD130" s="137" t="e">
        <f>((AC130/G130)^(1/($AC$3-$H$1) ))-1</f>
        <v>#DIV/0!</v>
      </c>
      <c r="AE130" s="145"/>
      <c r="AF130" s="145"/>
    </row>
    <row r="131" spans="1:32" ht="12" customHeight="1">
      <c r="A131" s="209"/>
      <c r="B131" s="200" t="s">
        <v>485</v>
      </c>
      <c r="C131" s="150"/>
      <c r="D131" s="150"/>
      <c r="E131" s="150"/>
      <c r="F131" s="150"/>
      <c r="G131" s="169">
        <f t="shared" ref="G131:Q131" si="363">G55/G43</f>
        <v>-1.802370116703465E-4</v>
      </c>
      <c r="H131" s="169">
        <f t="shared" si="363"/>
        <v>-1.802370116703465E-4</v>
      </c>
      <c r="I131" s="169">
        <f t="shared" si="363"/>
        <v>1.6005587405057765E-3</v>
      </c>
      <c r="J131" s="169">
        <f t="shared" si="363"/>
        <v>2.4744656207223333E-3</v>
      </c>
      <c r="K131" s="169">
        <f t="shared" si="363"/>
        <v>4.2554096895678628E-3</v>
      </c>
      <c r="L131" s="169">
        <f t="shared" si="363"/>
        <v>5.4644808743169399E-3</v>
      </c>
      <c r="M131" s="169">
        <f t="shared" si="363"/>
        <v>2.1538322894606408E-2</v>
      </c>
      <c r="N131" s="169">
        <f t="shared" si="363"/>
        <v>2.1156476442685448E-2</v>
      </c>
      <c r="O131" s="169">
        <f t="shared" si="363"/>
        <v>2.5718647994103401E-2</v>
      </c>
      <c r="P131" s="169">
        <f t="shared" si="363"/>
        <v>2.7660162982191112E-2</v>
      </c>
      <c r="Q131" s="169">
        <f t="shared" si="363"/>
        <v>2.8958153580672993E-2</v>
      </c>
      <c r="R131" s="118" t="e">
        <f t="shared" si="348"/>
        <v>#NUM!</v>
      </c>
      <c r="S131" s="20"/>
      <c r="T131" s="169">
        <f t="shared" ref="T131:AC131" si="364">T55/T43</f>
        <v>2.8958153580672993E-2</v>
      </c>
      <c r="U131" s="169">
        <f t="shared" si="364"/>
        <v>2.8958153580672993E-2</v>
      </c>
      <c r="V131" s="169">
        <f t="shared" si="364"/>
        <v>2.8958153580672993E-2</v>
      </c>
      <c r="W131" s="169">
        <f t="shared" si="364"/>
        <v>2.8958153580672993E-2</v>
      </c>
      <c r="X131" s="169">
        <f t="shared" si="364"/>
        <v>2.8958153580672993E-2</v>
      </c>
      <c r="Y131" s="169">
        <f t="shared" si="364"/>
        <v>2.8958153580672993E-2</v>
      </c>
      <c r="Z131" s="169">
        <f t="shared" si="364"/>
        <v>2.8958153580672993E-2</v>
      </c>
      <c r="AA131" s="169">
        <f t="shared" si="364"/>
        <v>2.8958153580672993E-2</v>
      </c>
      <c r="AB131" s="169">
        <f t="shared" si="364"/>
        <v>2.8958153580672993E-2</v>
      </c>
      <c r="AC131" s="169">
        <f t="shared" si="364"/>
        <v>2.8958153580672993E-2</v>
      </c>
      <c r="AD131" s="137" t="e">
        <f t="shared" si="350"/>
        <v>#NUM!</v>
      </c>
      <c r="AE131" s="145"/>
      <c r="AF131" s="145"/>
    </row>
    <row r="132" spans="1:32" ht="12" customHeight="1">
      <c r="A132" s="209"/>
      <c r="B132" s="200" t="s">
        <v>486</v>
      </c>
      <c r="C132" s="150"/>
      <c r="D132" s="150"/>
      <c r="E132" s="150"/>
      <c r="F132" s="150"/>
      <c r="G132" s="169">
        <f t="shared" ref="G132:Q132" si="365">G55/(G36+G38)</f>
        <v>-7.3909830007390983E-4</v>
      </c>
      <c r="H132" s="169">
        <f t="shared" si="365"/>
        <v>-7.3909830007390983E-4</v>
      </c>
      <c r="I132" s="169">
        <f t="shared" si="365"/>
        <v>5.7291666666666663E-3</v>
      </c>
      <c r="J132" s="169">
        <f t="shared" si="365"/>
        <v>4.2009295673936364E-3</v>
      </c>
      <c r="K132" s="169">
        <f t="shared" si="365"/>
        <v>5.8488083053077934E-3</v>
      </c>
      <c r="L132" s="169">
        <f t="shared" si="365"/>
        <v>8.1103433556545639E-3</v>
      </c>
      <c r="M132" s="169">
        <f t="shared" si="365"/>
        <v>1.5151995435382128E-2</v>
      </c>
      <c r="N132" s="169">
        <f t="shared" si="365"/>
        <v>1.3813939347875656E-2</v>
      </c>
      <c r="O132" s="169">
        <f t="shared" si="365"/>
        <v>1.5432732557221161E-2</v>
      </c>
      <c r="P132" s="169">
        <f t="shared" si="365"/>
        <v>1.4793404417538149E-2</v>
      </c>
      <c r="Q132" s="169">
        <f t="shared" si="365"/>
        <v>1.6868050174858124E-2</v>
      </c>
      <c r="R132" s="118" t="e">
        <f t="shared" si="348"/>
        <v>#NUM!</v>
      </c>
      <c r="S132" s="20"/>
      <c r="T132" s="169">
        <f t="shared" ref="T132:AC132" si="366">T55/(T36+T38)</f>
        <v>1.6868050174858124E-2</v>
      </c>
      <c r="U132" s="169">
        <f t="shared" si="366"/>
        <v>1.6868050174858124E-2</v>
      </c>
      <c r="V132" s="169">
        <f t="shared" si="366"/>
        <v>1.6868050174858124E-2</v>
      </c>
      <c r="W132" s="169">
        <f t="shared" si="366"/>
        <v>1.6868050174858124E-2</v>
      </c>
      <c r="X132" s="169">
        <f t="shared" si="366"/>
        <v>1.6868050174858124E-2</v>
      </c>
      <c r="Y132" s="169">
        <f t="shared" si="366"/>
        <v>1.6868050174858124E-2</v>
      </c>
      <c r="Z132" s="169">
        <f t="shared" si="366"/>
        <v>1.6868050174858124E-2</v>
      </c>
      <c r="AA132" s="169">
        <f t="shared" si="366"/>
        <v>1.6868050174858124E-2</v>
      </c>
      <c r="AB132" s="169">
        <f t="shared" si="366"/>
        <v>1.6868050174858124E-2</v>
      </c>
      <c r="AC132" s="169">
        <f t="shared" si="366"/>
        <v>1.6868050174858124E-2</v>
      </c>
      <c r="AD132" s="137" t="e">
        <f t="shared" si="350"/>
        <v>#NUM!</v>
      </c>
      <c r="AE132" s="145"/>
      <c r="AF132" s="145"/>
    </row>
    <row r="133" spans="1:32" ht="12" customHeight="1">
      <c r="B133" s="20"/>
      <c r="C133" s="150"/>
      <c r="D133" s="150"/>
      <c r="E133" s="150"/>
      <c r="F133" s="150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20"/>
      <c r="T133" s="150"/>
      <c r="U133" s="150"/>
      <c r="V133" s="150"/>
      <c r="W133" s="150"/>
      <c r="X133" s="150"/>
      <c r="Y133" s="150"/>
      <c r="Z133" s="150"/>
      <c r="AA133" s="150"/>
      <c r="AB133" s="150"/>
      <c r="AC133" s="150"/>
      <c r="AD133" s="202"/>
      <c r="AE133" s="145"/>
      <c r="AF133" s="145"/>
    </row>
    <row r="134" spans="1:32">
      <c r="B134" s="20" t="s">
        <v>324</v>
      </c>
      <c r="C134" s="150"/>
      <c r="D134" s="150"/>
      <c r="E134" s="150"/>
      <c r="F134" s="161"/>
      <c r="G134" s="161">
        <f t="shared" ref="G134:Q134" si="367">G10-(G12+G13)</f>
        <v>637</v>
      </c>
      <c r="H134" s="161">
        <f t="shared" si="367"/>
        <v>637</v>
      </c>
      <c r="I134" s="161">
        <f t="shared" si="367"/>
        <v>2025</v>
      </c>
      <c r="J134" s="161">
        <f t="shared" si="367"/>
        <v>6014</v>
      </c>
      <c r="K134" s="161">
        <f t="shared" si="367"/>
        <v>9166</v>
      </c>
      <c r="L134" s="161">
        <f t="shared" si="367"/>
        <v>11241</v>
      </c>
      <c r="M134" s="161">
        <f t="shared" si="367"/>
        <v>21338</v>
      </c>
      <c r="N134" s="161">
        <f t="shared" si="367"/>
        <v>33801</v>
      </c>
      <c r="O134" s="161">
        <f t="shared" si="367"/>
        <v>35551</v>
      </c>
      <c r="P134" s="161">
        <f t="shared" si="367"/>
        <v>44902</v>
      </c>
      <c r="Q134" s="161">
        <f t="shared" si="367"/>
        <v>54567</v>
      </c>
      <c r="R134" s="118">
        <f t="shared" si="295"/>
        <v>0.53042702238234285</v>
      </c>
      <c r="S134" s="20"/>
      <c r="T134" s="161">
        <f t="shared" ref="T134:AC134" si="368">T10-(T12+T13)</f>
        <v>68208.75</v>
      </c>
      <c r="U134" s="161">
        <f t="shared" si="368"/>
        <v>85260.9375</v>
      </c>
      <c r="V134" s="161">
        <f t="shared" si="368"/>
        <v>106576.171875</v>
      </c>
      <c r="W134" s="161">
        <f t="shared" si="368"/>
        <v>133220.21484375</v>
      </c>
      <c r="X134" s="161">
        <f t="shared" si="368"/>
        <v>166525.2685546875</v>
      </c>
      <c r="Y134" s="161">
        <f t="shared" si="368"/>
        <v>208156.58569335938</v>
      </c>
      <c r="Z134" s="161">
        <f t="shared" si="368"/>
        <v>260195.73211669922</v>
      </c>
      <c r="AA134" s="161">
        <f t="shared" si="368"/>
        <v>325244.66514587402</v>
      </c>
      <c r="AB134" s="161">
        <f t="shared" si="368"/>
        <v>406555.83143234253</v>
      </c>
      <c r="AC134" s="161">
        <f t="shared" si="368"/>
        <v>508194.78929042816</v>
      </c>
      <c r="AD134" s="137">
        <f t="shared" si="297"/>
        <v>0.39667236058513722</v>
      </c>
      <c r="AE134" s="145"/>
      <c r="AF134" s="145"/>
    </row>
    <row r="135" spans="1:32" ht="12" customHeight="1">
      <c r="B135" s="20" t="s">
        <v>319</v>
      </c>
      <c r="C135" s="20"/>
      <c r="D135" s="20"/>
      <c r="E135" s="20"/>
      <c r="F135" s="20"/>
      <c r="G135" s="150">
        <f t="shared" ref="G135:Q135" si="369">G55/G18</f>
        <v>-0.25</v>
      </c>
      <c r="H135" s="150">
        <f t="shared" si="369"/>
        <v>-0.25</v>
      </c>
      <c r="I135" s="150">
        <f t="shared" si="369"/>
        <v>1.896551724137931</v>
      </c>
      <c r="J135" s="150">
        <f t="shared" si="369"/>
        <v>1.3623188405797102</v>
      </c>
      <c r="K135" s="150">
        <f t="shared" si="369"/>
        <v>2.0618556701030926</v>
      </c>
      <c r="L135" s="150">
        <f t="shared" si="369"/>
        <v>2.3384615384615386</v>
      </c>
      <c r="M135" s="150">
        <f t="shared" si="369"/>
        <v>4.192982456140351</v>
      </c>
      <c r="N135" s="150">
        <f t="shared" si="369"/>
        <v>5.6356589147286824</v>
      </c>
      <c r="O135" s="150">
        <f t="shared" si="369"/>
        <v>5.7810650887573969</v>
      </c>
      <c r="P135" s="150">
        <f t="shared" si="369"/>
        <v>5.9633027522935782</v>
      </c>
      <c r="Q135" s="150">
        <f t="shared" si="369"/>
        <v>5.8158844765342961</v>
      </c>
      <c r="R135" s="118" t="e">
        <f t="shared" si="295"/>
        <v>#NUM!</v>
      </c>
      <c r="S135" s="20"/>
      <c r="T135" s="150">
        <f t="shared" ref="T135:AC135" si="370">T55/T18</f>
        <v>5.8158844765342961</v>
      </c>
      <c r="U135" s="150">
        <f t="shared" si="370"/>
        <v>5.8158844765342961</v>
      </c>
      <c r="V135" s="150">
        <f t="shared" si="370"/>
        <v>5.8158844765342961</v>
      </c>
      <c r="W135" s="150">
        <f t="shared" si="370"/>
        <v>5.8158844765342961</v>
      </c>
      <c r="X135" s="150">
        <f t="shared" si="370"/>
        <v>5.8158844765342961</v>
      </c>
      <c r="Y135" s="150">
        <f t="shared" si="370"/>
        <v>5.8158844765342961</v>
      </c>
      <c r="Z135" s="150">
        <f t="shared" si="370"/>
        <v>5.8158844765342961</v>
      </c>
      <c r="AA135" s="150">
        <f t="shared" si="370"/>
        <v>5.8158844765342961</v>
      </c>
      <c r="AB135" s="150">
        <f t="shared" si="370"/>
        <v>5.8158844765342961</v>
      </c>
      <c r="AC135" s="150">
        <f t="shared" si="370"/>
        <v>5.8158844765342961</v>
      </c>
      <c r="AD135" s="137" t="e">
        <f t="shared" si="297"/>
        <v>#NUM!</v>
      </c>
      <c r="AE135" s="20"/>
      <c r="AF135" s="20"/>
    </row>
    <row r="136" spans="1:32">
      <c r="B136" s="20" t="s">
        <v>320</v>
      </c>
      <c r="C136" s="20"/>
      <c r="D136" s="20"/>
      <c r="E136" s="20"/>
      <c r="F136" s="20"/>
      <c r="G136" s="150">
        <f t="shared" ref="G136:Q136" si="371">G55/G25</f>
        <v>-8.3333333333333329E-2</v>
      </c>
      <c r="H136" s="150">
        <f t="shared" si="371"/>
        <v>-8.3333333333333329E-2</v>
      </c>
      <c r="I136" s="150">
        <f t="shared" si="371"/>
        <v>0.19031141868512111</v>
      </c>
      <c r="J136" s="150">
        <f t="shared" si="371"/>
        <v>0.11928934010152284</v>
      </c>
      <c r="K136" s="150">
        <f t="shared" si="371"/>
        <v>0.11968880909634949</v>
      </c>
      <c r="L136" s="150">
        <f t="shared" si="371"/>
        <v>0.12469237079573421</v>
      </c>
      <c r="M136" s="150">
        <f t="shared" si="371"/>
        <v>0.16230899830220713</v>
      </c>
      <c r="N136" s="150">
        <f t="shared" si="371"/>
        <v>0.15584137191854233</v>
      </c>
      <c r="O136" s="150">
        <f t="shared" si="371"/>
        <v>0.13637632607481853</v>
      </c>
      <c r="P136" s="150">
        <f t="shared" si="371"/>
        <v>0.13611140194744006</v>
      </c>
      <c r="Q136" s="150">
        <f t="shared" si="371"/>
        <v>0.13766877456844984</v>
      </c>
      <c r="R136" s="118" t="e">
        <f t="shared" si="295"/>
        <v>#NUM!</v>
      </c>
      <c r="S136" s="20"/>
      <c r="T136" s="150">
        <f t="shared" ref="T136:AC136" si="372">T55/T25</f>
        <v>0.13766877456844984</v>
      </c>
      <c r="U136" s="150">
        <f t="shared" si="372"/>
        <v>0.13766877456844984</v>
      </c>
      <c r="V136" s="150">
        <f t="shared" si="372"/>
        <v>0.13766877456844984</v>
      </c>
      <c r="W136" s="150">
        <f t="shared" si="372"/>
        <v>0.13766877456844984</v>
      </c>
      <c r="X136" s="150">
        <f t="shared" si="372"/>
        <v>0.13766877456844984</v>
      </c>
      <c r="Y136" s="150">
        <f t="shared" si="372"/>
        <v>0.13766877456844984</v>
      </c>
      <c r="Z136" s="150">
        <f t="shared" si="372"/>
        <v>0.13766877456844984</v>
      </c>
      <c r="AA136" s="150">
        <f t="shared" si="372"/>
        <v>0.13766877456844984</v>
      </c>
      <c r="AB136" s="150">
        <f t="shared" si="372"/>
        <v>0.13766877456844984</v>
      </c>
      <c r="AC136" s="150">
        <f t="shared" si="372"/>
        <v>0.13766877456844984</v>
      </c>
      <c r="AD136" s="137" t="e">
        <f t="shared" si="297"/>
        <v>#NUM!</v>
      </c>
      <c r="AE136" s="20"/>
      <c r="AF136" s="20"/>
    </row>
    <row r="137" spans="1:32">
      <c r="B137" s="20" t="s">
        <v>346</v>
      </c>
      <c r="C137" s="20"/>
      <c r="D137" s="20"/>
      <c r="E137" s="150"/>
      <c r="F137" s="150"/>
      <c r="G137" s="150">
        <f t="shared" ref="G137:Q137" si="373">G25/G18</f>
        <v>3</v>
      </c>
      <c r="H137" s="150">
        <f t="shared" si="373"/>
        <v>3</v>
      </c>
      <c r="I137" s="150">
        <f t="shared" si="373"/>
        <v>9.9655172413793096</v>
      </c>
      <c r="J137" s="150">
        <f t="shared" si="373"/>
        <v>11.420289855072463</v>
      </c>
      <c r="K137" s="150">
        <f t="shared" si="373"/>
        <v>17.226804123711339</v>
      </c>
      <c r="L137" s="150">
        <f t="shared" si="373"/>
        <v>18.753846153846155</v>
      </c>
      <c r="M137" s="150">
        <f t="shared" si="373"/>
        <v>25.833333333333332</v>
      </c>
      <c r="N137" s="150">
        <f t="shared" si="373"/>
        <v>36.162790697674417</v>
      </c>
      <c r="O137" s="150">
        <f t="shared" si="373"/>
        <v>42.390532544378701</v>
      </c>
      <c r="P137" s="150">
        <f t="shared" si="373"/>
        <v>43.811926605504588</v>
      </c>
      <c r="Q137" s="150">
        <f t="shared" si="373"/>
        <v>42.245487364620942</v>
      </c>
      <c r="R137" s="118">
        <f t="shared" si="295"/>
        <v>0.30751629403684011</v>
      </c>
      <c r="S137" s="20"/>
      <c r="T137" s="150">
        <f t="shared" ref="T137:AC137" si="374">T25/T18</f>
        <v>42.245487364620942</v>
      </c>
      <c r="U137" s="150">
        <f t="shared" si="374"/>
        <v>42.245487364620942</v>
      </c>
      <c r="V137" s="150">
        <f t="shared" si="374"/>
        <v>42.245487364620942</v>
      </c>
      <c r="W137" s="150">
        <f t="shared" si="374"/>
        <v>42.245487364620942</v>
      </c>
      <c r="X137" s="150">
        <f t="shared" si="374"/>
        <v>42.245487364620942</v>
      </c>
      <c r="Y137" s="150">
        <f t="shared" si="374"/>
        <v>42.245487364620942</v>
      </c>
      <c r="Z137" s="150">
        <f t="shared" si="374"/>
        <v>42.245487364620942</v>
      </c>
      <c r="AA137" s="150">
        <f t="shared" si="374"/>
        <v>42.245487364620942</v>
      </c>
      <c r="AB137" s="150">
        <f t="shared" si="374"/>
        <v>42.245487364620942</v>
      </c>
      <c r="AC137" s="150">
        <f t="shared" si="374"/>
        <v>42.245487364620942</v>
      </c>
      <c r="AD137" s="137">
        <f t="shared" si="297"/>
        <v>0.14138708336767114</v>
      </c>
      <c r="AE137" s="20"/>
      <c r="AF137" s="20"/>
    </row>
    <row r="138" spans="1:32">
      <c r="B138" s="20"/>
      <c r="C138" s="20"/>
      <c r="D138" s="20"/>
      <c r="E138" s="20"/>
      <c r="F138" s="2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28"/>
      <c r="S138" s="20"/>
      <c r="T138" s="150"/>
      <c r="U138" s="150"/>
      <c r="V138" s="150"/>
      <c r="W138" s="150"/>
      <c r="X138" s="150"/>
      <c r="Y138" s="150"/>
      <c r="Z138" s="150"/>
      <c r="AA138" s="150"/>
      <c r="AB138" s="150"/>
      <c r="AC138" s="150"/>
      <c r="AD138" s="128"/>
      <c r="AE138" s="20"/>
      <c r="AF138" s="20"/>
    </row>
    <row r="139" spans="1:32">
      <c r="B139" s="20" t="s">
        <v>332</v>
      </c>
      <c r="C139" s="20"/>
      <c r="D139" s="20"/>
      <c r="E139" s="163"/>
      <c r="F139" s="163"/>
      <c r="G139" s="163">
        <f t="shared" ref="G139:Q139" si="375">G88*G57</f>
        <v>0</v>
      </c>
      <c r="H139" s="163">
        <f t="shared" si="375"/>
        <v>0</v>
      </c>
      <c r="I139" s="163">
        <f t="shared" si="375"/>
        <v>0</v>
      </c>
      <c r="J139" s="163">
        <f t="shared" si="375"/>
        <v>0</v>
      </c>
      <c r="K139" s="163">
        <f t="shared" si="375"/>
        <v>0</v>
      </c>
      <c r="L139" s="163">
        <f t="shared" si="375"/>
        <v>0</v>
      </c>
      <c r="M139" s="163">
        <f t="shared" si="375"/>
        <v>50.94</v>
      </c>
      <c r="N139" s="163">
        <f t="shared" si="375"/>
        <v>86.75</v>
      </c>
      <c r="O139" s="163">
        <f t="shared" si="375"/>
        <v>141.16</v>
      </c>
      <c r="P139" s="163">
        <f t="shared" si="375"/>
        <v>215.16</v>
      </c>
      <c r="Q139" s="163">
        <f t="shared" si="375"/>
        <v>328</v>
      </c>
      <c r="R139" s="118" t="e">
        <f t="shared" si="295"/>
        <v>#DIV/0!</v>
      </c>
      <c r="S139" s="20"/>
      <c r="T139" s="163">
        <f t="shared" ref="T139:AC139" si="376">T88*T57</f>
        <v>351.28800000000001</v>
      </c>
      <c r="U139" s="163">
        <f t="shared" si="376"/>
        <v>376.22944799999999</v>
      </c>
      <c r="V139" s="163">
        <f t="shared" si="376"/>
        <v>402.94173880800003</v>
      </c>
      <c r="W139" s="163">
        <f t="shared" si="376"/>
        <v>431.55060226336803</v>
      </c>
      <c r="X139" s="163">
        <f t="shared" si="376"/>
        <v>462.19069502406722</v>
      </c>
      <c r="Y139" s="163">
        <f t="shared" si="376"/>
        <v>495.00623437077599</v>
      </c>
      <c r="Z139" s="163">
        <f t="shared" si="376"/>
        <v>530.15167701110113</v>
      </c>
      <c r="AA139" s="163">
        <f t="shared" si="376"/>
        <v>567.79244607888938</v>
      </c>
      <c r="AB139" s="163">
        <f t="shared" si="376"/>
        <v>608.10570975049052</v>
      </c>
      <c r="AC139" s="163">
        <f t="shared" si="376"/>
        <v>651.28121514277541</v>
      </c>
      <c r="AD139" s="137" t="e">
        <f t="shared" si="297"/>
        <v>#DIV/0!</v>
      </c>
      <c r="AE139" s="20"/>
      <c r="AF139" s="20"/>
    </row>
    <row r="140" spans="1:32">
      <c r="B140" s="20" t="s">
        <v>333</v>
      </c>
      <c r="C140" s="20"/>
      <c r="D140" s="20"/>
      <c r="E140" s="163"/>
      <c r="F140" s="163"/>
      <c r="G140" s="163">
        <f t="shared" ref="G140:P140" si="377">(G139*0.17)+G139</f>
        <v>0</v>
      </c>
      <c r="H140" s="163">
        <f t="shared" si="377"/>
        <v>0</v>
      </c>
      <c r="I140" s="163">
        <f t="shared" si="377"/>
        <v>0</v>
      </c>
      <c r="J140" s="163">
        <f t="shared" si="377"/>
        <v>0</v>
      </c>
      <c r="K140" s="163">
        <f t="shared" si="377"/>
        <v>0</v>
      </c>
      <c r="L140" s="163">
        <f t="shared" si="377"/>
        <v>0</v>
      </c>
      <c r="M140" s="163">
        <f t="shared" si="377"/>
        <v>59.599800000000002</v>
      </c>
      <c r="N140" s="163">
        <f t="shared" si="377"/>
        <v>101.4975</v>
      </c>
      <c r="O140" s="163">
        <f t="shared" si="377"/>
        <v>165.15719999999999</v>
      </c>
      <c r="P140" s="163">
        <f t="shared" si="377"/>
        <v>251.7372</v>
      </c>
      <c r="Q140" s="163">
        <f t="shared" ref="Q140" si="378">(Q139*0.17)+Q139</f>
        <v>383.76</v>
      </c>
      <c r="R140" s="118" t="e">
        <f t="shared" si="295"/>
        <v>#DIV/0!</v>
      </c>
      <c r="S140" s="20"/>
      <c r="T140" s="163">
        <f t="shared" ref="T140:AC140" si="379">(T139*0.17)+T139</f>
        <v>411.00695999999999</v>
      </c>
      <c r="U140" s="163">
        <f t="shared" si="379"/>
        <v>440.18845415999999</v>
      </c>
      <c r="V140" s="163">
        <f t="shared" si="379"/>
        <v>471.44183440536005</v>
      </c>
      <c r="W140" s="163">
        <f t="shared" si="379"/>
        <v>504.91420464814064</v>
      </c>
      <c r="X140" s="163">
        <f t="shared" si="379"/>
        <v>540.76311317815862</v>
      </c>
      <c r="Y140" s="163">
        <f t="shared" si="379"/>
        <v>579.15729421380797</v>
      </c>
      <c r="Z140" s="163">
        <f t="shared" si="379"/>
        <v>620.27746210298835</v>
      </c>
      <c r="AA140" s="163">
        <f t="shared" si="379"/>
        <v>664.31716191230055</v>
      </c>
      <c r="AB140" s="163">
        <f t="shared" si="379"/>
        <v>711.48368040807395</v>
      </c>
      <c r="AC140" s="163">
        <f t="shared" si="379"/>
        <v>761.9990217170473</v>
      </c>
      <c r="AD140" s="137" t="e">
        <f t="shared" si="297"/>
        <v>#DIV/0!</v>
      </c>
      <c r="AE140" s="20"/>
      <c r="AF140" s="20"/>
    </row>
    <row r="141" spans="1:32">
      <c r="B141" s="20" t="s">
        <v>334</v>
      </c>
      <c r="C141" s="20"/>
      <c r="D141" s="20"/>
      <c r="E141" s="20"/>
      <c r="F141" s="150"/>
      <c r="G141" s="150">
        <f t="shared" ref="G141:Q141" si="380">G140/G55</f>
        <v>0</v>
      </c>
      <c r="H141" s="150">
        <f t="shared" si="380"/>
        <v>0</v>
      </c>
      <c r="I141" s="150">
        <f t="shared" si="380"/>
        <v>0</v>
      </c>
      <c r="J141" s="150">
        <f t="shared" si="380"/>
        <v>0</v>
      </c>
      <c r="K141" s="150">
        <f t="shared" si="380"/>
        <v>0</v>
      </c>
      <c r="L141" s="150">
        <f t="shared" si="380"/>
        <v>0</v>
      </c>
      <c r="M141" s="150">
        <f t="shared" si="380"/>
        <v>0.12468577405857741</v>
      </c>
      <c r="N141" s="150">
        <f t="shared" si="380"/>
        <v>0.13961141678129299</v>
      </c>
      <c r="O141" s="150">
        <f t="shared" si="380"/>
        <v>0.16904524053224154</v>
      </c>
      <c r="P141" s="150">
        <f t="shared" si="380"/>
        <v>0.19364400000000001</v>
      </c>
      <c r="Q141" s="150">
        <f t="shared" si="380"/>
        <v>0.2382122905027933</v>
      </c>
      <c r="R141" s="118" t="e">
        <f t="shared" si="295"/>
        <v>#DIV/0!</v>
      </c>
      <c r="S141" s="20"/>
      <c r="T141" s="150">
        <f t="shared" ref="T141:AC141" si="381">T140/T55</f>
        <v>0.2041002905027933</v>
      </c>
      <c r="U141" s="150">
        <f t="shared" si="381"/>
        <v>0.1748731289027933</v>
      </c>
      <c r="V141" s="150">
        <f t="shared" si="381"/>
        <v>0.1498312968439133</v>
      </c>
      <c r="W141" s="150">
        <f t="shared" si="381"/>
        <v>0.12837545513586493</v>
      </c>
      <c r="X141" s="150">
        <f t="shared" si="381"/>
        <v>0.10999208996040907</v>
      </c>
      <c r="Y141" s="150">
        <f t="shared" si="381"/>
        <v>9.424122267807851E-2</v>
      </c>
      <c r="Z141" s="150">
        <f t="shared" si="381"/>
        <v>8.0745879590577663E-2</v>
      </c>
      <c r="AA141" s="150">
        <f t="shared" si="381"/>
        <v>6.9183069633206945E-2</v>
      </c>
      <c r="AB141" s="150">
        <f t="shared" si="381"/>
        <v>5.9276054061731719E-2</v>
      </c>
      <c r="AC141" s="150">
        <f t="shared" si="381"/>
        <v>5.0787723120091742E-2</v>
      </c>
      <c r="AD141" s="137" t="e">
        <f t="shared" si="297"/>
        <v>#DIV/0!</v>
      </c>
      <c r="AE141" s="20"/>
      <c r="AF141" s="20"/>
    </row>
    <row r="142" spans="1:32">
      <c r="B142" s="20" t="s">
        <v>327</v>
      </c>
      <c r="C142" s="20"/>
      <c r="D142" s="20"/>
      <c r="E142" s="20"/>
      <c r="F142" s="150"/>
      <c r="G142" s="150">
        <f>1-G141</f>
        <v>1</v>
      </c>
      <c r="H142" s="150">
        <f t="shared" ref="H142:P142" si="382">1-H141</f>
        <v>1</v>
      </c>
      <c r="I142" s="150">
        <f t="shared" si="382"/>
        <v>1</v>
      </c>
      <c r="J142" s="150">
        <f t="shared" si="382"/>
        <v>1</v>
      </c>
      <c r="K142" s="150">
        <f t="shared" si="382"/>
        <v>1</v>
      </c>
      <c r="L142" s="150">
        <f t="shared" si="382"/>
        <v>1</v>
      </c>
      <c r="M142" s="150">
        <f t="shared" si="382"/>
        <v>0.87531422594142261</v>
      </c>
      <c r="N142" s="150">
        <f t="shared" si="382"/>
        <v>0.86038858321870704</v>
      </c>
      <c r="O142" s="150">
        <f t="shared" si="382"/>
        <v>0.83095475946775843</v>
      </c>
      <c r="P142" s="150">
        <f t="shared" si="382"/>
        <v>0.80635599999999996</v>
      </c>
      <c r="Q142" s="150">
        <f t="shared" ref="Q142" si="383">1-Q141</f>
        <v>0.76178770949720676</v>
      </c>
      <c r="R142" s="118">
        <f t="shared" si="295"/>
        <v>-2.1293027828143463E-2</v>
      </c>
      <c r="S142" s="20"/>
      <c r="T142" s="150">
        <f t="shared" ref="T142:AC142" si="384">1-T141</f>
        <v>0.79589970949720668</v>
      </c>
      <c r="U142" s="150">
        <f t="shared" si="384"/>
        <v>0.82512687109720673</v>
      </c>
      <c r="V142" s="150">
        <f t="shared" si="384"/>
        <v>0.85016870315608672</v>
      </c>
      <c r="W142" s="150">
        <f t="shared" si="384"/>
        <v>0.8716245448641351</v>
      </c>
      <c r="X142" s="150">
        <f t="shared" si="384"/>
        <v>0.8900079100395909</v>
      </c>
      <c r="Y142" s="150">
        <f t="shared" si="384"/>
        <v>0.90575877732192145</v>
      </c>
      <c r="Z142" s="150">
        <f t="shared" si="384"/>
        <v>0.91925412040942234</v>
      </c>
      <c r="AA142" s="150">
        <f t="shared" si="384"/>
        <v>0.93081693036679303</v>
      </c>
      <c r="AB142" s="150">
        <f t="shared" si="384"/>
        <v>0.94072394593826825</v>
      </c>
      <c r="AC142" s="150">
        <f t="shared" si="384"/>
        <v>0.94921227687990828</v>
      </c>
      <c r="AD142" s="137">
        <f t="shared" si="297"/>
        <v>-2.6027479917345442E-3</v>
      </c>
      <c r="AE142" s="20"/>
      <c r="AF142" s="20"/>
    </row>
    <row r="143" spans="1:32">
      <c r="B143" s="20" t="s">
        <v>450</v>
      </c>
      <c r="C143" s="20"/>
      <c r="D143" s="20"/>
      <c r="E143" s="20"/>
      <c r="F143" s="150"/>
      <c r="G143" s="150">
        <f t="shared" ref="G143:Q143" si="385">G140/G20</f>
        <v>0</v>
      </c>
      <c r="H143" s="150">
        <f t="shared" si="385"/>
        <v>0</v>
      </c>
      <c r="I143" s="150">
        <f t="shared" si="385"/>
        <v>0</v>
      </c>
      <c r="J143" s="150">
        <f t="shared" si="385"/>
        <v>0</v>
      </c>
      <c r="K143" s="150">
        <f t="shared" si="385"/>
        <v>0</v>
      </c>
      <c r="L143" s="150">
        <f t="shared" si="385"/>
        <v>0</v>
      </c>
      <c r="M143" s="150">
        <f t="shared" si="385"/>
        <v>6.2083125000000003E-2</v>
      </c>
      <c r="N143" s="150">
        <f t="shared" si="385"/>
        <v>3.3277868852459015E-2</v>
      </c>
      <c r="O143" s="150">
        <f t="shared" si="385"/>
        <v>4.6030434782608695E-2</v>
      </c>
      <c r="P143" s="150">
        <f t="shared" si="385"/>
        <v>0.46617999999999998</v>
      </c>
      <c r="Q143" s="150">
        <f t="shared" si="385"/>
        <v>8.6276978417266184E-2</v>
      </c>
      <c r="R143" s="118" t="e">
        <f t="shared" si="295"/>
        <v>#DIV/0!</v>
      </c>
      <c r="S143" s="20"/>
      <c r="T143" s="150">
        <f t="shared" ref="T143:AC143" si="386">T140/T20</f>
        <v>7.3922115107913675E-2</v>
      </c>
      <c r="U143" s="150">
        <f t="shared" si="386"/>
        <v>6.3336468224460429E-2</v>
      </c>
      <c r="V143" s="150">
        <f t="shared" si="386"/>
        <v>5.4266685974717704E-2</v>
      </c>
      <c r="W143" s="150">
        <f t="shared" si="386"/>
        <v>4.6495696543138128E-2</v>
      </c>
      <c r="X143" s="150">
        <f t="shared" si="386"/>
        <v>3.9837512798160751E-2</v>
      </c>
      <c r="Y143" s="150">
        <f t="shared" si="386"/>
        <v>3.4132780965464134E-2</v>
      </c>
      <c r="Z143" s="150">
        <f t="shared" si="386"/>
        <v>2.9244966731209673E-2</v>
      </c>
      <c r="AA143" s="150">
        <f t="shared" si="386"/>
        <v>2.5057087495300449E-2</v>
      </c>
      <c r="AB143" s="150">
        <f t="shared" si="386"/>
        <v>2.1468912565973428E-2</v>
      </c>
      <c r="AC143" s="150">
        <f t="shared" si="386"/>
        <v>1.8394564286526034E-2</v>
      </c>
      <c r="AD143" s="137" t="s">
        <v>451</v>
      </c>
      <c r="AE143" s="20"/>
      <c r="AF143" s="20"/>
    </row>
    <row r="144" spans="1:32">
      <c r="B144" s="20"/>
      <c r="C144" s="20"/>
      <c r="D144" s="20"/>
      <c r="E144" s="20"/>
      <c r="F144" s="2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28"/>
      <c r="S144" s="20"/>
      <c r="T144" s="150"/>
      <c r="U144" s="150"/>
      <c r="V144" s="150"/>
      <c r="W144" s="150"/>
      <c r="X144" s="150"/>
      <c r="Y144" s="150"/>
      <c r="Z144" s="150"/>
      <c r="AA144" s="150"/>
      <c r="AB144" s="150"/>
      <c r="AC144" s="150"/>
      <c r="AD144" s="128"/>
      <c r="AE144" s="20"/>
      <c r="AF144" s="20"/>
    </row>
    <row r="145" spans="2:32">
      <c r="B145" s="20" t="s">
        <v>331</v>
      </c>
      <c r="C145" s="150"/>
      <c r="D145" s="150"/>
      <c r="E145" s="150"/>
      <c r="F145" s="150"/>
      <c r="G145" s="150">
        <f t="shared" ref="G145:Q145" si="387">G31/G25</f>
        <v>0</v>
      </c>
      <c r="H145" s="150">
        <f t="shared" si="387"/>
        <v>0</v>
      </c>
      <c r="I145" s="150">
        <f t="shared" si="387"/>
        <v>0</v>
      </c>
      <c r="J145" s="150">
        <f t="shared" si="387"/>
        <v>0</v>
      </c>
      <c r="K145" s="150">
        <f t="shared" si="387"/>
        <v>0</v>
      </c>
      <c r="L145" s="150">
        <f t="shared" si="387"/>
        <v>0</v>
      </c>
      <c r="M145" s="150">
        <f t="shared" si="387"/>
        <v>0</v>
      </c>
      <c r="N145" s="150">
        <f t="shared" si="387"/>
        <v>0</v>
      </c>
      <c r="O145" s="150">
        <f t="shared" si="387"/>
        <v>0</v>
      </c>
      <c r="P145" s="150">
        <f t="shared" si="387"/>
        <v>0</v>
      </c>
      <c r="Q145" s="150">
        <f t="shared" si="387"/>
        <v>0</v>
      </c>
      <c r="R145" s="118" t="e">
        <f t="shared" si="295"/>
        <v>#DIV/0!</v>
      </c>
      <c r="S145" s="20"/>
      <c r="T145" s="150">
        <f t="shared" ref="T145:AC145" si="388">T31/T25</f>
        <v>0</v>
      </c>
      <c r="U145" s="150">
        <f t="shared" si="388"/>
        <v>0</v>
      </c>
      <c r="V145" s="150">
        <f t="shared" si="388"/>
        <v>0</v>
      </c>
      <c r="W145" s="150">
        <f t="shared" si="388"/>
        <v>0</v>
      </c>
      <c r="X145" s="150">
        <f t="shared" si="388"/>
        <v>0</v>
      </c>
      <c r="Y145" s="150">
        <f t="shared" si="388"/>
        <v>0</v>
      </c>
      <c r="Z145" s="150">
        <f t="shared" si="388"/>
        <v>0</v>
      </c>
      <c r="AA145" s="150">
        <f t="shared" si="388"/>
        <v>0</v>
      </c>
      <c r="AB145" s="150">
        <f t="shared" si="388"/>
        <v>0</v>
      </c>
      <c r="AC145" s="150">
        <f t="shared" si="388"/>
        <v>0</v>
      </c>
      <c r="AD145" s="137" t="e">
        <f t="shared" si="297"/>
        <v>#DIV/0!</v>
      </c>
      <c r="AE145" s="20"/>
      <c r="AF145" s="20"/>
    </row>
    <row r="146" spans="2:32">
      <c r="B146" s="20" t="s">
        <v>328</v>
      </c>
      <c r="C146" s="150"/>
      <c r="D146" s="150"/>
      <c r="E146" s="150"/>
      <c r="F146" s="150"/>
      <c r="G146" s="150">
        <f t="shared" ref="G146:Q146" si="389">G32/G25</f>
        <v>0</v>
      </c>
      <c r="H146" s="150">
        <f t="shared" si="389"/>
        <v>0</v>
      </c>
      <c r="I146" s="150">
        <f t="shared" si="389"/>
        <v>0</v>
      </c>
      <c r="J146" s="150">
        <f t="shared" si="389"/>
        <v>0</v>
      </c>
      <c r="K146" s="150">
        <f t="shared" si="389"/>
        <v>0</v>
      </c>
      <c r="L146" s="150">
        <f t="shared" si="389"/>
        <v>0</v>
      </c>
      <c r="M146" s="150">
        <f t="shared" si="389"/>
        <v>0</v>
      </c>
      <c r="N146" s="150">
        <f t="shared" si="389"/>
        <v>0</v>
      </c>
      <c r="O146" s="150">
        <f t="shared" si="389"/>
        <v>0</v>
      </c>
      <c r="P146" s="150">
        <f t="shared" si="389"/>
        <v>0</v>
      </c>
      <c r="Q146" s="150">
        <f t="shared" si="389"/>
        <v>0</v>
      </c>
      <c r="R146" s="118" t="e">
        <f t="shared" si="295"/>
        <v>#DIV/0!</v>
      </c>
      <c r="S146" s="20"/>
      <c r="T146" s="150">
        <f t="shared" ref="T146:AC146" si="390">T32/T25</f>
        <v>0</v>
      </c>
      <c r="U146" s="150">
        <f t="shared" si="390"/>
        <v>0</v>
      </c>
      <c r="V146" s="150">
        <f t="shared" si="390"/>
        <v>0</v>
      </c>
      <c r="W146" s="150">
        <f t="shared" si="390"/>
        <v>0</v>
      </c>
      <c r="X146" s="150">
        <f t="shared" si="390"/>
        <v>0</v>
      </c>
      <c r="Y146" s="150">
        <f t="shared" si="390"/>
        <v>0</v>
      </c>
      <c r="Z146" s="150">
        <f t="shared" si="390"/>
        <v>0</v>
      </c>
      <c r="AA146" s="150">
        <f t="shared" si="390"/>
        <v>0</v>
      </c>
      <c r="AB146" s="150">
        <f t="shared" si="390"/>
        <v>0</v>
      </c>
      <c r="AC146" s="150">
        <f t="shared" si="390"/>
        <v>0</v>
      </c>
      <c r="AD146" s="137" t="e">
        <f t="shared" si="297"/>
        <v>#DIV/0!</v>
      </c>
      <c r="AE146" s="20"/>
      <c r="AF146" s="20"/>
    </row>
    <row r="147" spans="2:32">
      <c r="B147" s="20" t="s">
        <v>458</v>
      </c>
      <c r="C147" s="150"/>
      <c r="D147" s="150"/>
      <c r="E147" s="150"/>
      <c r="F147" s="150"/>
      <c r="G147" s="150">
        <f t="shared" ref="G147:Q147" si="391">(G31+G32)/G25</f>
        <v>0</v>
      </c>
      <c r="H147" s="150">
        <f t="shared" si="391"/>
        <v>0</v>
      </c>
      <c r="I147" s="150">
        <f t="shared" si="391"/>
        <v>0</v>
      </c>
      <c r="J147" s="150">
        <f t="shared" si="391"/>
        <v>0</v>
      </c>
      <c r="K147" s="150">
        <f t="shared" si="391"/>
        <v>0</v>
      </c>
      <c r="L147" s="150">
        <f t="shared" si="391"/>
        <v>0</v>
      </c>
      <c r="M147" s="150">
        <f t="shared" si="391"/>
        <v>0</v>
      </c>
      <c r="N147" s="150">
        <f t="shared" si="391"/>
        <v>0</v>
      </c>
      <c r="O147" s="150">
        <f t="shared" si="391"/>
        <v>0</v>
      </c>
      <c r="P147" s="150">
        <f t="shared" si="391"/>
        <v>0</v>
      </c>
      <c r="Q147" s="150">
        <f t="shared" si="391"/>
        <v>0</v>
      </c>
      <c r="R147" s="118" t="e">
        <f t="shared" si="295"/>
        <v>#DIV/0!</v>
      </c>
      <c r="S147" s="20"/>
      <c r="T147" s="150">
        <f t="shared" ref="T147:AC147" si="392">(T31+T32)/T25</f>
        <v>0</v>
      </c>
      <c r="U147" s="150">
        <f t="shared" si="392"/>
        <v>0</v>
      </c>
      <c r="V147" s="150">
        <f t="shared" si="392"/>
        <v>0</v>
      </c>
      <c r="W147" s="150">
        <f t="shared" si="392"/>
        <v>0</v>
      </c>
      <c r="X147" s="150">
        <f t="shared" si="392"/>
        <v>0</v>
      </c>
      <c r="Y147" s="150">
        <f t="shared" si="392"/>
        <v>0</v>
      </c>
      <c r="Z147" s="150">
        <f t="shared" si="392"/>
        <v>0</v>
      </c>
      <c r="AA147" s="150">
        <f t="shared" si="392"/>
        <v>0</v>
      </c>
      <c r="AB147" s="150">
        <f t="shared" si="392"/>
        <v>0</v>
      </c>
      <c r="AC147" s="150">
        <f t="shared" si="392"/>
        <v>0</v>
      </c>
      <c r="AD147" s="137" t="e">
        <f t="shared" si="297"/>
        <v>#DIV/0!</v>
      </c>
      <c r="AE147" s="20"/>
      <c r="AF147" s="20"/>
    </row>
    <row r="148" spans="2:32">
      <c r="B148" s="20"/>
      <c r="C148" s="20"/>
      <c r="D148" s="20"/>
      <c r="E148" s="20"/>
      <c r="F148" s="2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28"/>
      <c r="S148" s="20"/>
      <c r="T148" s="150"/>
      <c r="U148" s="150"/>
      <c r="V148" s="150"/>
      <c r="W148" s="150"/>
      <c r="X148" s="150"/>
      <c r="Y148" s="150"/>
      <c r="Z148" s="150"/>
      <c r="AA148" s="150"/>
      <c r="AB148" s="150"/>
      <c r="AC148" s="150"/>
      <c r="AD148" s="128"/>
      <c r="AE148" s="20"/>
      <c r="AF148" s="20"/>
    </row>
    <row r="149" spans="2:32">
      <c r="B149" s="20" t="s">
        <v>352</v>
      </c>
      <c r="C149" s="20"/>
      <c r="D149" s="20"/>
      <c r="E149" s="20"/>
      <c r="F149" s="20"/>
      <c r="G149" s="150">
        <f t="shared" ref="G149:Q149" si="393">G27/G25</f>
        <v>0.24687499999999998</v>
      </c>
      <c r="H149" s="150">
        <f t="shared" si="393"/>
        <v>0.24687499999999998</v>
      </c>
      <c r="I149" s="150">
        <f t="shared" si="393"/>
        <v>0.36332179930795849</v>
      </c>
      <c r="J149" s="150">
        <f t="shared" si="393"/>
        <v>0.52791878172588835</v>
      </c>
      <c r="K149" s="150">
        <f t="shared" si="393"/>
        <v>0.58288450029922201</v>
      </c>
      <c r="L149" s="150">
        <f t="shared" si="393"/>
        <v>0.6119770303527482</v>
      </c>
      <c r="M149" s="150">
        <f t="shared" si="393"/>
        <v>0.83769100169779287</v>
      </c>
      <c r="N149" s="150">
        <f t="shared" si="393"/>
        <v>0.84394426580921755</v>
      </c>
      <c r="O149" s="150">
        <f t="shared" si="393"/>
        <v>0.86362367392518147</v>
      </c>
      <c r="P149" s="150">
        <f t="shared" si="393"/>
        <v>0.86378389697413882</v>
      </c>
      <c r="Q149" s="150">
        <f t="shared" si="393"/>
        <v>0.86233122543155016</v>
      </c>
      <c r="R149" s="118">
        <f t="shared" si="295"/>
        <v>0.13342502972512271</v>
      </c>
      <c r="S149" s="20"/>
      <c r="T149" s="150">
        <f t="shared" ref="T149:AC149" si="394">T27/T25</f>
        <v>0.86233122543155016</v>
      </c>
      <c r="U149" s="150">
        <f t="shared" si="394"/>
        <v>0.86233122543155016</v>
      </c>
      <c r="V149" s="150">
        <f t="shared" si="394"/>
        <v>0.86233122543155016</v>
      </c>
      <c r="W149" s="150">
        <f t="shared" si="394"/>
        <v>0.86233122543155016</v>
      </c>
      <c r="X149" s="150">
        <f t="shared" si="394"/>
        <v>0.86233122543155016</v>
      </c>
      <c r="Y149" s="150">
        <f t="shared" si="394"/>
        <v>0.86233122543155016</v>
      </c>
      <c r="Z149" s="150">
        <f t="shared" si="394"/>
        <v>0.86233122543155016</v>
      </c>
      <c r="AA149" s="150">
        <f t="shared" si="394"/>
        <v>0.86233122543155016</v>
      </c>
      <c r="AB149" s="150">
        <f t="shared" si="394"/>
        <v>0.86233122543155016</v>
      </c>
      <c r="AC149" s="150">
        <f t="shared" si="394"/>
        <v>0.86233122543155016</v>
      </c>
      <c r="AD149" s="137">
        <f t="shared" si="297"/>
        <v>6.453476747920206E-2</v>
      </c>
      <c r="AE149" s="20"/>
      <c r="AF149" s="20"/>
    </row>
    <row r="150" spans="2:32">
      <c r="B150" s="20" t="str">
        <f>B33</f>
        <v>Top Expenses ( Interest Out gol )</v>
      </c>
      <c r="C150" s="20"/>
      <c r="D150" s="20"/>
      <c r="E150" s="20"/>
      <c r="F150" s="20"/>
      <c r="G150" s="150">
        <f t="shared" ref="G150:Q150" si="395">G33/G25</f>
        <v>0.25</v>
      </c>
      <c r="H150" s="150">
        <f t="shared" si="395"/>
        <v>0.25</v>
      </c>
      <c r="I150" s="150">
        <f t="shared" si="395"/>
        <v>0.36332179930795849</v>
      </c>
      <c r="J150" s="150">
        <f t="shared" si="395"/>
        <v>0.52791878172588835</v>
      </c>
      <c r="K150" s="150">
        <f t="shared" si="395"/>
        <v>0.58288450029922201</v>
      </c>
      <c r="L150" s="150">
        <f t="shared" si="395"/>
        <v>0.6119770303527482</v>
      </c>
      <c r="M150" s="150">
        <f t="shared" si="395"/>
        <v>0.5368421052631579</v>
      </c>
      <c r="N150" s="150">
        <f t="shared" si="395"/>
        <v>0.5989281886387996</v>
      </c>
      <c r="O150" s="150">
        <f t="shared" si="395"/>
        <v>0.65480178671133449</v>
      </c>
      <c r="P150" s="150">
        <f t="shared" si="395"/>
        <v>0.63605905140822949</v>
      </c>
      <c r="Q150" s="150">
        <f t="shared" si="395"/>
        <v>0.62083404546231413</v>
      </c>
      <c r="R150" s="118">
        <f t="shared" si="295"/>
        <v>9.7882197334454357E-2</v>
      </c>
      <c r="S150" s="20"/>
      <c r="T150" s="150">
        <f t="shared" ref="T150:AC150" si="396">T33/T25</f>
        <v>0.62083404546231413</v>
      </c>
      <c r="U150" s="150">
        <f t="shared" si="396"/>
        <v>0.62083404546231413</v>
      </c>
      <c r="V150" s="150">
        <f t="shared" si="396"/>
        <v>0.62083404546231413</v>
      </c>
      <c r="W150" s="150">
        <f t="shared" si="396"/>
        <v>0.62083404546231413</v>
      </c>
      <c r="X150" s="150">
        <f t="shared" si="396"/>
        <v>0.62083404546231413</v>
      </c>
      <c r="Y150" s="150">
        <f t="shared" si="396"/>
        <v>0.62083404546231413</v>
      </c>
      <c r="Z150" s="150">
        <f t="shared" si="396"/>
        <v>0.62083404546231413</v>
      </c>
      <c r="AA150" s="150">
        <f t="shared" si="396"/>
        <v>0.62083404546231413</v>
      </c>
      <c r="AB150" s="150">
        <f t="shared" si="396"/>
        <v>0.62083404546231413</v>
      </c>
      <c r="AC150" s="150">
        <f t="shared" si="396"/>
        <v>0.62083404546231413</v>
      </c>
      <c r="AD150" s="137">
        <f t="shared" si="297"/>
        <v>4.6530225067382025E-2</v>
      </c>
      <c r="AE150" s="20"/>
      <c r="AF150" s="20"/>
    </row>
    <row r="151" spans="2:32">
      <c r="B151" s="20" t="str">
        <f>B34</f>
        <v>2nd highest Expenses Comp. ( Empl )</v>
      </c>
      <c r="C151" s="20"/>
      <c r="D151" s="20"/>
      <c r="E151" s="20"/>
      <c r="F151" s="20"/>
      <c r="G151" s="150">
        <f t="shared" ref="G151:Q151" si="397">G34/G25</f>
        <v>0.4375</v>
      </c>
      <c r="H151" s="150">
        <f t="shared" si="397"/>
        <v>0.4375</v>
      </c>
      <c r="I151" s="150">
        <f t="shared" si="397"/>
        <v>0.17301038062283736</v>
      </c>
      <c r="J151" s="150">
        <f t="shared" si="397"/>
        <v>0.14974619289340102</v>
      </c>
      <c r="K151" s="150">
        <f t="shared" si="397"/>
        <v>0.12088569718731298</v>
      </c>
      <c r="L151" s="150">
        <f t="shared" si="397"/>
        <v>8.9417555373256769E-2</v>
      </c>
      <c r="M151" s="150">
        <f t="shared" si="397"/>
        <v>8.7266553480475378E-2</v>
      </c>
      <c r="N151" s="150">
        <f t="shared" si="397"/>
        <v>7.7599142550911035E-2</v>
      </c>
      <c r="O151" s="150">
        <f t="shared" si="397"/>
        <v>6.6303740926856508E-2</v>
      </c>
      <c r="P151" s="150">
        <f t="shared" si="397"/>
        <v>6.8579206365825568E-2</v>
      </c>
      <c r="Q151" s="150">
        <f t="shared" si="397"/>
        <v>6.7168005469150568E-2</v>
      </c>
      <c r="R151" s="118">
        <f t="shared" si="295"/>
        <v>-0.16915226596297117</v>
      </c>
      <c r="S151" s="20"/>
      <c r="T151" s="150">
        <f t="shared" ref="T151:AC151" si="398">T34/T25</f>
        <v>6.7168005469150568E-2</v>
      </c>
      <c r="U151" s="150">
        <f t="shared" si="398"/>
        <v>6.7168005469150568E-2</v>
      </c>
      <c r="V151" s="150">
        <f t="shared" si="398"/>
        <v>6.7168005469150568E-2</v>
      </c>
      <c r="W151" s="150">
        <f t="shared" si="398"/>
        <v>6.7168005469150568E-2</v>
      </c>
      <c r="X151" s="150">
        <f t="shared" si="398"/>
        <v>6.7168005469150568E-2</v>
      </c>
      <c r="Y151" s="150">
        <f t="shared" si="398"/>
        <v>6.7168005469150568E-2</v>
      </c>
      <c r="Z151" s="150">
        <f t="shared" si="398"/>
        <v>6.7168005469150568E-2</v>
      </c>
      <c r="AA151" s="150">
        <f t="shared" si="398"/>
        <v>6.7168005469150568E-2</v>
      </c>
      <c r="AB151" s="150">
        <f t="shared" si="398"/>
        <v>6.7168005469150568E-2</v>
      </c>
      <c r="AC151" s="150">
        <f t="shared" si="398"/>
        <v>6.7168005469150568E-2</v>
      </c>
      <c r="AD151" s="137">
        <f t="shared" si="297"/>
        <v>-8.9438634076480672E-2</v>
      </c>
      <c r="AE151" s="20"/>
      <c r="AF151" s="20"/>
    </row>
    <row r="152" spans="2:32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28"/>
      <c r="S152" s="128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38"/>
      <c r="AE152" s="20"/>
      <c r="AF152" s="20"/>
    </row>
    <row r="153" spans="2:32">
      <c r="B153" s="108" t="s">
        <v>360</v>
      </c>
      <c r="C153" s="20"/>
      <c r="D153" s="20"/>
      <c r="E153" s="20"/>
      <c r="F153" s="20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118"/>
      <c r="S153" s="128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137"/>
      <c r="AE153" s="20"/>
      <c r="AF153" s="20"/>
    </row>
    <row r="154" spans="2:32">
      <c r="B154" s="20" t="s">
        <v>363</v>
      </c>
      <c r="C154" s="20"/>
      <c r="D154" s="20"/>
      <c r="E154" s="20"/>
      <c r="F154" s="20"/>
      <c r="G154" s="25" t="e">
        <f t="shared" ref="G154:Q154" si="399">G15/G9</f>
        <v>#DIV/0!</v>
      </c>
      <c r="H154" s="25" t="e">
        <f t="shared" si="399"/>
        <v>#DIV/0!</v>
      </c>
      <c r="I154" s="25" t="e">
        <f t="shared" si="399"/>
        <v>#DIV/0!</v>
      </c>
      <c r="J154" s="25" t="e">
        <f t="shared" si="399"/>
        <v>#DIV/0!</v>
      </c>
      <c r="K154" s="25" t="e">
        <f t="shared" si="399"/>
        <v>#DIV/0!</v>
      </c>
      <c r="L154" s="25" t="e">
        <f t="shared" si="399"/>
        <v>#DIV/0!</v>
      </c>
      <c r="M154" s="25" t="e">
        <f t="shared" si="399"/>
        <v>#DIV/0!</v>
      </c>
      <c r="N154" s="25" t="e">
        <f t="shared" si="399"/>
        <v>#DIV/0!</v>
      </c>
      <c r="O154" s="25" t="e">
        <f t="shared" si="399"/>
        <v>#DIV/0!</v>
      </c>
      <c r="P154" s="25" t="e">
        <f t="shared" si="399"/>
        <v>#DIV/0!</v>
      </c>
      <c r="Q154" s="25" t="e">
        <f t="shared" si="399"/>
        <v>#DIV/0!</v>
      </c>
      <c r="R154" s="118" t="e">
        <f t="shared" si="295"/>
        <v>#DIV/0!</v>
      </c>
      <c r="S154" s="20"/>
      <c r="T154" s="20" t="e">
        <f t="shared" ref="T154:AC154" si="400">T15/T9</f>
        <v>#DIV/0!</v>
      </c>
      <c r="U154" s="20" t="e">
        <f t="shared" si="400"/>
        <v>#DIV/0!</v>
      </c>
      <c r="V154" s="20" t="e">
        <f t="shared" si="400"/>
        <v>#DIV/0!</v>
      </c>
      <c r="W154" s="20" t="e">
        <f t="shared" si="400"/>
        <v>#DIV/0!</v>
      </c>
      <c r="X154" s="20" t="e">
        <f t="shared" si="400"/>
        <v>#DIV/0!</v>
      </c>
      <c r="Y154" s="20" t="e">
        <f t="shared" si="400"/>
        <v>#DIV/0!</v>
      </c>
      <c r="Z154" s="20" t="e">
        <f t="shared" si="400"/>
        <v>#DIV/0!</v>
      </c>
      <c r="AA154" s="20" t="e">
        <f t="shared" si="400"/>
        <v>#DIV/0!</v>
      </c>
      <c r="AB154" s="20" t="e">
        <f t="shared" si="400"/>
        <v>#DIV/0!</v>
      </c>
      <c r="AC154" s="20" t="e">
        <f t="shared" si="400"/>
        <v>#DIV/0!</v>
      </c>
      <c r="AD154" s="137" t="e">
        <f t="shared" si="297"/>
        <v>#DIV/0!</v>
      </c>
      <c r="AE154" s="20"/>
      <c r="AF154" s="20"/>
    </row>
    <row r="155" spans="2:32">
      <c r="B155" s="20" t="s">
        <v>353</v>
      </c>
      <c r="C155" s="20"/>
      <c r="D155" s="20"/>
      <c r="E155" s="20"/>
      <c r="F155" s="20"/>
      <c r="G155" s="25" t="e">
        <f t="shared" ref="G155:Q155" si="401">G12/G9</f>
        <v>#DIV/0!</v>
      </c>
      <c r="H155" s="25" t="e">
        <f t="shared" si="401"/>
        <v>#DIV/0!</v>
      </c>
      <c r="I155" s="25" t="e">
        <f t="shared" si="401"/>
        <v>#DIV/0!</v>
      </c>
      <c r="J155" s="25" t="e">
        <f t="shared" si="401"/>
        <v>#DIV/0!</v>
      </c>
      <c r="K155" s="25" t="e">
        <f t="shared" si="401"/>
        <v>#DIV/0!</v>
      </c>
      <c r="L155" s="25" t="e">
        <f t="shared" si="401"/>
        <v>#DIV/0!</v>
      </c>
      <c r="M155" s="25" t="e">
        <f t="shared" si="401"/>
        <v>#DIV/0!</v>
      </c>
      <c r="N155" s="25" t="e">
        <f t="shared" si="401"/>
        <v>#DIV/0!</v>
      </c>
      <c r="O155" s="25" t="e">
        <f t="shared" si="401"/>
        <v>#DIV/0!</v>
      </c>
      <c r="P155" s="25" t="e">
        <f t="shared" si="401"/>
        <v>#DIV/0!</v>
      </c>
      <c r="Q155" s="25" t="e">
        <f t="shared" si="401"/>
        <v>#DIV/0!</v>
      </c>
      <c r="R155" s="118" t="e">
        <f t="shared" si="295"/>
        <v>#DIV/0!</v>
      </c>
      <c r="S155" s="128"/>
      <c r="T155" s="20" t="e">
        <f t="shared" ref="T155:AC155" si="402">T12/T9</f>
        <v>#DIV/0!</v>
      </c>
      <c r="U155" s="20" t="e">
        <f t="shared" si="402"/>
        <v>#DIV/0!</v>
      </c>
      <c r="V155" s="20" t="e">
        <f t="shared" si="402"/>
        <v>#DIV/0!</v>
      </c>
      <c r="W155" s="20" t="e">
        <f t="shared" si="402"/>
        <v>#DIV/0!</v>
      </c>
      <c r="X155" s="20" t="e">
        <f t="shared" si="402"/>
        <v>#DIV/0!</v>
      </c>
      <c r="Y155" s="20" t="e">
        <f t="shared" si="402"/>
        <v>#DIV/0!</v>
      </c>
      <c r="Z155" s="20" t="e">
        <f t="shared" si="402"/>
        <v>#DIV/0!</v>
      </c>
      <c r="AA155" s="20" t="e">
        <f t="shared" si="402"/>
        <v>#DIV/0!</v>
      </c>
      <c r="AB155" s="20" t="e">
        <f t="shared" si="402"/>
        <v>#DIV/0!</v>
      </c>
      <c r="AC155" s="20" t="e">
        <f t="shared" si="402"/>
        <v>#DIV/0!</v>
      </c>
      <c r="AD155" s="118" t="e">
        <f t="shared" ref="AD155" si="403">((AC155/T155)^(1/($H$2-$H$1) ))-1</f>
        <v>#DIV/0!</v>
      </c>
      <c r="AE155" s="20"/>
      <c r="AF155" s="20"/>
    </row>
    <row r="156" spans="2:32">
      <c r="B156" s="20" t="s">
        <v>355</v>
      </c>
      <c r="C156" s="20"/>
      <c r="D156" s="20"/>
      <c r="E156" s="20"/>
      <c r="F156" s="20"/>
      <c r="G156" s="25">
        <f t="shared" ref="G156:Q156" si="404">G25/360</f>
        <v>0.13333333333333333</v>
      </c>
      <c r="H156" s="25">
        <f t="shared" si="404"/>
        <v>0.13333333333333333</v>
      </c>
      <c r="I156" s="25">
        <f t="shared" si="404"/>
        <v>0.80277777777777781</v>
      </c>
      <c r="J156" s="25">
        <f t="shared" si="404"/>
        <v>2.1888888888888891</v>
      </c>
      <c r="K156" s="25">
        <f t="shared" si="404"/>
        <v>4.6416666666666666</v>
      </c>
      <c r="L156" s="25">
        <f t="shared" si="404"/>
        <v>6.7722222222222221</v>
      </c>
      <c r="M156" s="25">
        <f t="shared" si="404"/>
        <v>8.1805555555555554</v>
      </c>
      <c r="N156" s="25">
        <f t="shared" si="404"/>
        <v>12.958333333333334</v>
      </c>
      <c r="O156" s="25">
        <f t="shared" si="404"/>
        <v>19.899999999999999</v>
      </c>
      <c r="P156" s="25">
        <f t="shared" si="404"/>
        <v>26.530555555555555</v>
      </c>
      <c r="Q156" s="25">
        <f t="shared" si="404"/>
        <v>32.505555555555553</v>
      </c>
      <c r="R156" s="118">
        <f t="shared" si="295"/>
        <v>0.69777744927568652</v>
      </c>
      <c r="S156" s="128"/>
      <c r="T156" s="25">
        <f t="shared" ref="T156:AC156" si="405">T25/360</f>
        <v>40.631944444444443</v>
      </c>
      <c r="U156" s="25">
        <f t="shared" si="405"/>
        <v>50.789930555555557</v>
      </c>
      <c r="V156" s="25">
        <f t="shared" si="405"/>
        <v>63.487413194444443</v>
      </c>
      <c r="W156" s="25">
        <f t="shared" si="405"/>
        <v>79.359266493055557</v>
      </c>
      <c r="X156" s="25">
        <f t="shared" si="405"/>
        <v>99.199083116319443</v>
      </c>
      <c r="Y156" s="25">
        <f t="shared" si="405"/>
        <v>123.99885389539931</v>
      </c>
      <c r="Z156" s="25">
        <f t="shared" si="405"/>
        <v>154.99856736924914</v>
      </c>
      <c r="AA156" s="25">
        <f t="shared" si="405"/>
        <v>193.7482092115614</v>
      </c>
      <c r="AB156" s="25">
        <f t="shared" si="405"/>
        <v>242.18526151445178</v>
      </c>
      <c r="AC156" s="25">
        <f t="shared" si="405"/>
        <v>302.7315768930647</v>
      </c>
      <c r="AD156" s="118">
        <f t="shared" ref="AD156:AD167" si="406">((AC156/T156)^(1/($H$2-$H$1) ))-1</f>
        <v>0.22241596067866065</v>
      </c>
      <c r="AE156" s="20"/>
      <c r="AF156" s="20"/>
    </row>
    <row r="157" spans="2:32">
      <c r="B157" s="20" t="s">
        <v>354</v>
      </c>
      <c r="C157" s="20"/>
      <c r="D157" s="20"/>
      <c r="E157" s="20"/>
      <c r="F157" s="20"/>
      <c r="G157" s="25">
        <f t="shared" ref="G157:Q157" si="407">G27/360</f>
        <v>3.2916666666666664E-2</v>
      </c>
      <c r="H157" s="25">
        <f t="shared" si="407"/>
        <v>3.2916666666666664E-2</v>
      </c>
      <c r="I157" s="25">
        <f t="shared" si="407"/>
        <v>0.29166666666666669</v>
      </c>
      <c r="J157" s="25">
        <f t="shared" si="407"/>
        <v>1.1555555555555554</v>
      </c>
      <c r="K157" s="25">
        <f t="shared" si="407"/>
        <v>2.7055555555555557</v>
      </c>
      <c r="L157" s="25">
        <f t="shared" si="407"/>
        <v>4.1444444444444448</v>
      </c>
      <c r="M157" s="25">
        <f t="shared" si="407"/>
        <v>6.8527777777777779</v>
      </c>
      <c r="N157" s="25">
        <f t="shared" si="407"/>
        <v>10.936111111111112</v>
      </c>
      <c r="O157" s="25">
        <f t="shared" si="407"/>
        <v>17.18611111111111</v>
      </c>
      <c r="P157" s="25">
        <f t="shared" si="407"/>
        <v>22.916666666666668</v>
      </c>
      <c r="Q157" s="25">
        <f t="shared" si="407"/>
        <v>28.030555555555555</v>
      </c>
      <c r="R157" s="118">
        <f t="shared" si="295"/>
        <v>0.9243034559119383</v>
      </c>
      <c r="S157" s="128"/>
      <c r="T157" s="25">
        <f t="shared" ref="T157:AC157" si="408">T27/360</f>
        <v>35.038194444444443</v>
      </c>
      <c r="U157" s="25">
        <f t="shared" si="408"/>
        <v>43.797743055555557</v>
      </c>
      <c r="V157" s="25">
        <f t="shared" si="408"/>
        <v>54.747178819444443</v>
      </c>
      <c r="W157" s="25">
        <f t="shared" si="408"/>
        <v>68.433973524305557</v>
      </c>
      <c r="X157" s="25">
        <f t="shared" si="408"/>
        <v>85.542466905381943</v>
      </c>
      <c r="Y157" s="25">
        <f t="shared" si="408"/>
        <v>106.92808363172743</v>
      </c>
      <c r="Z157" s="25">
        <f t="shared" si="408"/>
        <v>133.6601045396593</v>
      </c>
      <c r="AA157" s="25">
        <f t="shared" si="408"/>
        <v>167.0751306745741</v>
      </c>
      <c r="AB157" s="25">
        <f t="shared" si="408"/>
        <v>208.84391334321765</v>
      </c>
      <c r="AC157" s="25">
        <f t="shared" si="408"/>
        <v>261.05489167902203</v>
      </c>
      <c r="AD157" s="118">
        <f t="shared" si="406"/>
        <v>0.22241596067866065</v>
      </c>
      <c r="AE157" s="20"/>
      <c r="AF157" s="20"/>
    </row>
    <row r="158" spans="2:32">
      <c r="B158" s="20"/>
      <c r="C158" s="20"/>
      <c r="D158" s="20"/>
      <c r="E158" s="20"/>
      <c r="F158" s="20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128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128"/>
      <c r="AE158" s="20"/>
      <c r="AF158" s="20"/>
    </row>
    <row r="159" spans="2:32">
      <c r="B159" s="20" t="s">
        <v>364</v>
      </c>
      <c r="C159" s="20"/>
      <c r="D159" s="20"/>
      <c r="E159" s="20"/>
      <c r="F159" s="20"/>
      <c r="G159" s="25">
        <f t="shared" ref="G159:Q159" si="409">G10/G7</f>
        <v>4.7557603686635943</v>
      </c>
      <c r="H159" s="25">
        <f t="shared" si="409"/>
        <v>4.7557603686635943</v>
      </c>
      <c r="I159" s="25">
        <f t="shared" si="409"/>
        <v>5.90034965034965</v>
      </c>
      <c r="J159" s="25">
        <f t="shared" si="409"/>
        <v>11.546378653113088</v>
      </c>
      <c r="K159" s="25">
        <f t="shared" si="409"/>
        <v>10.810462471569371</v>
      </c>
      <c r="L159" s="25">
        <f t="shared" si="409"/>
        <v>11.304187192118226</v>
      </c>
      <c r="M159" s="25">
        <f t="shared" si="409"/>
        <v>10.212690191000323</v>
      </c>
      <c r="N159" s="25">
        <f t="shared" si="409"/>
        <v>13.871639430680021</v>
      </c>
      <c r="O159" s="25">
        <f t="shared" si="409"/>
        <v>13.538922155688622</v>
      </c>
      <c r="P159" s="25">
        <f t="shared" si="409"/>
        <v>15.132942999827794</v>
      </c>
      <c r="Q159" s="25">
        <f t="shared" si="409"/>
        <v>13.422206605762474</v>
      </c>
      <c r="R159" s="118">
        <f t="shared" si="295"/>
        <v>0.12271711521555151</v>
      </c>
      <c r="S159" s="128"/>
      <c r="T159" s="25">
        <f t="shared" ref="T159:AC159" si="410">T10/T7</f>
        <v>13.422206605762474</v>
      </c>
      <c r="U159" s="25">
        <f t="shared" si="410"/>
        <v>13.422206605762474</v>
      </c>
      <c r="V159" s="25">
        <f t="shared" si="410"/>
        <v>13.422206605762474</v>
      </c>
      <c r="W159" s="25">
        <f t="shared" si="410"/>
        <v>13.422206605762474</v>
      </c>
      <c r="X159" s="25">
        <f t="shared" si="410"/>
        <v>13.422206605762474</v>
      </c>
      <c r="Y159" s="25">
        <f t="shared" si="410"/>
        <v>13.422206605762474</v>
      </c>
      <c r="Z159" s="25">
        <f t="shared" si="410"/>
        <v>13.422206605762474</v>
      </c>
      <c r="AA159" s="25">
        <f t="shared" si="410"/>
        <v>13.422206605762474</v>
      </c>
      <c r="AB159" s="25">
        <f t="shared" si="410"/>
        <v>13.422206605762474</v>
      </c>
      <c r="AC159" s="25">
        <f t="shared" si="410"/>
        <v>13.422206605762474</v>
      </c>
      <c r="AD159" s="118">
        <f t="shared" si="406"/>
        <v>0</v>
      </c>
      <c r="AE159" s="20"/>
      <c r="AF159" s="20"/>
    </row>
    <row r="160" spans="2:32">
      <c r="B160" s="20" t="s">
        <v>356</v>
      </c>
      <c r="C160" s="20"/>
      <c r="D160" s="20"/>
      <c r="E160" s="20"/>
      <c r="F160" s="20"/>
      <c r="G160" s="25">
        <f t="shared" ref="G160:Q160" si="411">G10/(G10+G7)</f>
        <v>0.82626100880704567</v>
      </c>
      <c r="H160" s="25">
        <f t="shared" si="411"/>
        <v>0.82626100880704567</v>
      </c>
      <c r="I160" s="25">
        <f t="shared" si="411"/>
        <v>0.85507980744869516</v>
      </c>
      <c r="J160" s="25">
        <f t="shared" si="411"/>
        <v>0.92029572614948352</v>
      </c>
      <c r="K160" s="25">
        <f t="shared" si="411"/>
        <v>0.91532931056618305</v>
      </c>
      <c r="L160" s="25">
        <f t="shared" si="411"/>
        <v>0.91872685416875188</v>
      </c>
      <c r="M160" s="25">
        <f t="shared" si="411"/>
        <v>0.91081533664395431</v>
      </c>
      <c r="N160" s="25">
        <f t="shared" si="411"/>
        <v>0.93275791787037199</v>
      </c>
      <c r="O160" s="25">
        <f t="shared" si="411"/>
        <v>0.9312191103789127</v>
      </c>
      <c r="P160" s="25">
        <f t="shared" si="411"/>
        <v>0.93801502924725677</v>
      </c>
      <c r="Q160" s="25">
        <f t="shared" si="411"/>
        <v>0.93066248270216545</v>
      </c>
      <c r="R160" s="118">
        <f t="shared" si="295"/>
        <v>1.2766328256780701E-2</v>
      </c>
      <c r="S160" s="128"/>
      <c r="T160" s="25">
        <f t="shared" ref="T160:AC160" si="412">T10/(T10+T7)</f>
        <v>0.93066248270216545</v>
      </c>
      <c r="U160" s="25">
        <f t="shared" si="412"/>
        <v>0.93066248270216545</v>
      </c>
      <c r="V160" s="25">
        <f t="shared" si="412"/>
        <v>0.93066248270216545</v>
      </c>
      <c r="W160" s="25">
        <f t="shared" si="412"/>
        <v>0.93066248270216545</v>
      </c>
      <c r="X160" s="25">
        <f t="shared" si="412"/>
        <v>0.93066248270216545</v>
      </c>
      <c r="Y160" s="25">
        <f t="shared" si="412"/>
        <v>0.93066248270216545</v>
      </c>
      <c r="Z160" s="25">
        <f t="shared" si="412"/>
        <v>0.93066248270216545</v>
      </c>
      <c r="AA160" s="25">
        <f t="shared" si="412"/>
        <v>0.93066248270216545</v>
      </c>
      <c r="AB160" s="25">
        <f t="shared" si="412"/>
        <v>0.93066248270216545</v>
      </c>
      <c r="AC160" s="25">
        <f t="shared" si="412"/>
        <v>0.93066248270216545</v>
      </c>
      <c r="AD160" s="118">
        <f t="shared" si="406"/>
        <v>0</v>
      </c>
      <c r="AE160" s="20"/>
      <c r="AF160" s="20"/>
    </row>
    <row r="161" spans="2:32">
      <c r="B161" s="20"/>
      <c r="C161" s="20"/>
      <c r="D161" s="20"/>
      <c r="E161" s="20"/>
      <c r="F161" s="20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128"/>
      <c r="S161" s="128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136"/>
      <c r="AE161" s="20"/>
      <c r="AF161" s="20"/>
    </row>
    <row r="162" spans="2:32">
      <c r="B162" s="20" t="s">
        <v>361</v>
      </c>
      <c r="C162" s="20"/>
      <c r="D162" s="20"/>
      <c r="E162" s="20"/>
      <c r="F162" s="20"/>
      <c r="G162" s="25">
        <f t="shared" ref="G162:Q162" si="413">G16</f>
        <v>0</v>
      </c>
      <c r="H162" s="25">
        <f t="shared" si="413"/>
        <v>0</v>
      </c>
      <c r="I162" s="25">
        <f t="shared" si="413"/>
        <v>0</v>
      </c>
      <c r="J162" s="25">
        <f t="shared" si="413"/>
        <v>0</v>
      </c>
      <c r="K162" s="25">
        <f t="shared" si="413"/>
        <v>0</v>
      </c>
      <c r="L162" s="25">
        <f t="shared" si="413"/>
        <v>0</v>
      </c>
      <c r="M162" s="25">
        <f t="shared" si="413"/>
        <v>0</v>
      </c>
      <c r="N162" s="25">
        <f t="shared" si="413"/>
        <v>0</v>
      </c>
      <c r="O162" s="25">
        <f t="shared" si="413"/>
        <v>0</v>
      </c>
      <c r="P162" s="25">
        <f t="shared" si="413"/>
        <v>0</v>
      </c>
      <c r="Q162" s="25">
        <f t="shared" si="413"/>
        <v>0</v>
      </c>
      <c r="R162" s="118" t="e">
        <f t="shared" si="295"/>
        <v>#DIV/0!</v>
      </c>
      <c r="S162" s="128"/>
      <c r="T162" s="25">
        <f t="shared" ref="T162:AC162" si="414">T16</f>
        <v>0</v>
      </c>
      <c r="U162" s="25">
        <f t="shared" si="414"/>
        <v>0</v>
      </c>
      <c r="V162" s="25">
        <f t="shared" si="414"/>
        <v>0</v>
      </c>
      <c r="W162" s="25">
        <f t="shared" si="414"/>
        <v>0</v>
      </c>
      <c r="X162" s="25">
        <f t="shared" si="414"/>
        <v>0</v>
      </c>
      <c r="Y162" s="25">
        <f t="shared" si="414"/>
        <v>0</v>
      </c>
      <c r="Z162" s="25">
        <f t="shared" si="414"/>
        <v>0</v>
      </c>
      <c r="AA162" s="25">
        <f t="shared" si="414"/>
        <v>0</v>
      </c>
      <c r="AB162" s="25">
        <f t="shared" si="414"/>
        <v>0</v>
      </c>
      <c r="AC162" s="25">
        <f t="shared" si="414"/>
        <v>0</v>
      </c>
      <c r="AD162" s="118" t="e">
        <f t="shared" si="406"/>
        <v>#DIV/0!</v>
      </c>
      <c r="AE162" s="20"/>
      <c r="AF162" s="20"/>
    </row>
    <row r="163" spans="2:32">
      <c r="B163" s="20" t="s">
        <v>362</v>
      </c>
      <c r="C163" s="20"/>
      <c r="D163" s="20"/>
      <c r="E163" s="20"/>
      <c r="F163" s="20"/>
      <c r="G163" s="119">
        <f t="shared" ref="G163:Q163" si="415">G162*365/G25</f>
        <v>0</v>
      </c>
      <c r="H163" s="119">
        <f t="shared" si="415"/>
        <v>0</v>
      </c>
      <c r="I163" s="119">
        <f t="shared" si="415"/>
        <v>0</v>
      </c>
      <c r="J163" s="119">
        <f t="shared" si="415"/>
        <v>0</v>
      </c>
      <c r="K163" s="119">
        <f t="shared" si="415"/>
        <v>0</v>
      </c>
      <c r="L163" s="119">
        <f t="shared" si="415"/>
        <v>0</v>
      </c>
      <c r="M163" s="119">
        <f t="shared" si="415"/>
        <v>0</v>
      </c>
      <c r="N163" s="119">
        <f t="shared" si="415"/>
        <v>0</v>
      </c>
      <c r="O163" s="119">
        <f t="shared" si="415"/>
        <v>0</v>
      </c>
      <c r="P163" s="119">
        <f t="shared" si="415"/>
        <v>0</v>
      </c>
      <c r="Q163" s="119">
        <f t="shared" si="415"/>
        <v>0</v>
      </c>
      <c r="R163" s="118" t="e">
        <f t="shared" si="295"/>
        <v>#DIV/0!</v>
      </c>
      <c r="S163" s="128"/>
      <c r="T163" s="119">
        <f t="shared" ref="T163:AC163" si="416">T162*365/T25</f>
        <v>0</v>
      </c>
      <c r="U163" s="119">
        <f t="shared" si="416"/>
        <v>0</v>
      </c>
      <c r="V163" s="119">
        <f t="shared" si="416"/>
        <v>0</v>
      </c>
      <c r="W163" s="119">
        <f t="shared" si="416"/>
        <v>0</v>
      </c>
      <c r="X163" s="119">
        <f t="shared" si="416"/>
        <v>0</v>
      </c>
      <c r="Y163" s="119">
        <f t="shared" si="416"/>
        <v>0</v>
      </c>
      <c r="Z163" s="119">
        <f t="shared" si="416"/>
        <v>0</v>
      </c>
      <c r="AA163" s="119">
        <f t="shared" si="416"/>
        <v>0</v>
      </c>
      <c r="AB163" s="119">
        <f t="shared" si="416"/>
        <v>0</v>
      </c>
      <c r="AC163" s="119">
        <f t="shared" si="416"/>
        <v>0</v>
      </c>
      <c r="AD163" s="118" t="e">
        <f t="shared" si="406"/>
        <v>#DIV/0!</v>
      </c>
      <c r="AE163" s="20"/>
      <c r="AF163" s="20"/>
    </row>
    <row r="164" spans="2:32">
      <c r="B164" s="20" t="s">
        <v>365</v>
      </c>
      <c r="C164" s="20"/>
      <c r="D164" s="20"/>
      <c r="E164" s="20"/>
      <c r="F164" s="20"/>
      <c r="G164" s="133">
        <f t="shared" ref="G164:Q164" si="417">G98/G29</f>
        <v>0</v>
      </c>
      <c r="H164" s="133">
        <f t="shared" si="417"/>
        <v>0</v>
      </c>
      <c r="I164" s="133">
        <f t="shared" si="417"/>
        <v>0</v>
      </c>
      <c r="J164" s="133">
        <f t="shared" si="417"/>
        <v>0</v>
      </c>
      <c r="K164" s="133">
        <f t="shared" si="417"/>
        <v>0</v>
      </c>
      <c r="L164" s="133">
        <f t="shared" si="417"/>
        <v>0</v>
      </c>
      <c r="M164" s="133">
        <f t="shared" si="417"/>
        <v>0</v>
      </c>
      <c r="N164" s="133">
        <f t="shared" si="417"/>
        <v>0</v>
      </c>
      <c r="O164" s="133">
        <f t="shared" si="417"/>
        <v>0</v>
      </c>
      <c r="P164" s="133">
        <f t="shared" si="417"/>
        <v>0</v>
      </c>
      <c r="Q164" s="133">
        <f t="shared" si="417"/>
        <v>0</v>
      </c>
      <c r="R164" s="118" t="e">
        <f t="shared" si="295"/>
        <v>#DIV/0!</v>
      </c>
      <c r="S164" s="128"/>
      <c r="T164" s="133">
        <f t="shared" ref="T164:AC164" si="418">T98/T29</f>
        <v>0</v>
      </c>
      <c r="U164" s="133">
        <f t="shared" si="418"/>
        <v>0</v>
      </c>
      <c r="V164" s="133">
        <f t="shared" si="418"/>
        <v>0</v>
      </c>
      <c r="W164" s="133">
        <f t="shared" si="418"/>
        <v>0</v>
      </c>
      <c r="X164" s="133">
        <f t="shared" si="418"/>
        <v>0</v>
      </c>
      <c r="Y164" s="133">
        <f t="shared" si="418"/>
        <v>0</v>
      </c>
      <c r="Z164" s="133">
        <f t="shared" si="418"/>
        <v>0</v>
      </c>
      <c r="AA164" s="133">
        <f t="shared" si="418"/>
        <v>0</v>
      </c>
      <c r="AB164" s="133">
        <f t="shared" si="418"/>
        <v>0</v>
      </c>
      <c r="AC164" s="133">
        <f t="shared" si="418"/>
        <v>0</v>
      </c>
      <c r="AD164" s="118" t="e">
        <f t="shared" si="406"/>
        <v>#DIV/0!</v>
      </c>
      <c r="AE164" s="20"/>
      <c r="AF164" s="20"/>
    </row>
    <row r="165" spans="2:3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128"/>
      <c r="S165" s="128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136"/>
      <c r="AE165" s="20"/>
      <c r="AF165" s="20"/>
    </row>
    <row r="166" spans="2:32">
      <c r="B166" s="20" t="s">
        <v>372</v>
      </c>
      <c r="C166" s="20"/>
      <c r="D166" s="20"/>
      <c r="E166" s="20"/>
      <c r="F166" s="20"/>
      <c r="G166" s="178" t="e">
        <f t="shared" ref="G166:Q166" si="419">G25/G14</f>
        <v>#DIV/0!</v>
      </c>
      <c r="H166" s="178" t="e">
        <f t="shared" si="419"/>
        <v>#DIV/0!</v>
      </c>
      <c r="I166" s="178" t="e">
        <f t="shared" si="419"/>
        <v>#DIV/0!</v>
      </c>
      <c r="J166" s="178" t="e">
        <f t="shared" si="419"/>
        <v>#DIV/0!</v>
      </c>
      <c r="K166" s="178" t="e">
        <f t="shared" si="419"/>
        <v>#DIV/0!</v>
      </c>
      <c r="L166" s="178" t="e">
        <f t="shared" si="419"/>
        <v>#DIV/0!</v>
      </c>
      <c r="M166" s="178" t="e">
        <f t="shared" si="419"/>
        <v>#DIV/0!</v>
      </c>
      <c r="N166" s="178" t="e">
        <f t="shared" si="419"/>
        <v>#DIV/0!</v>
      </c>
      <c r="O166" s="178" t="e">
        <f t="shared" si="419"/>
        <v>#DIV/0!</v>
      </c>
      <c r="P166" s="178" t="e">
        <f t="shared" si="419"/>
        <v>#DIV/0!</v>
      </c>
      <c r="Q166" s="178" t="e">
        <f t="shared" si="419"/>
        <v>#DIV/0!</v>
      </c>
      <c r="R166" s="118" t="e">
        <f t="shared" si="295"/>
        <v>#DIV/0!</v>
      </c>
      <c r="S166" s="128"/>
      <c r="T166" s="20" t="e">
        <f t="shared" ref="T166:AC166" si="420">T25/T14</f>
        <v>#DIV/0!</v>
      </c>
      <c r="U166" s="20" t="e">
        <f t="shared" si="420"/>
        <v>#DIV/0!</v>
      </c>
      <c r="V166" s="20" t="e">
        <f t="shared" si="420"/>
        <v>#DIV/0!</v>
      </c>
      <c r="W166" s="20" t="e">
        <f t="shared" si="420"/>
        <v>#DIV/0!</v>
      </c>
      <c r="X166" s="20" t="e">
        <f t="shared" si="420"/>
        <v>#DIV/0!</v>
      </c>
      <c r="Y166" s="20" t="e">
        <f t="shared" si="420"/>
        <v>#DIV/0!</v>
      </c>
      <c r="Z166" s="20" t="e">
        <f t="shared" si="420"/>
        <v>#DIV/0!</v>
      </c>
      <c r="AA166" s="20" t="e">
        <f t="shared" si="420"/>
        <v>#DIV/0!</v>
      </c>
      <c r="AB166" s="20" t="e">
        <f t="shared" si="420"/>
        <v>#DIV/0!</v>
      </c>
      <c r="AC166" s="20" t="e">
        <f t="shared" si="420"/>
        <v>#DIV/0!</v>
      </c>
      <c r="AD166" s="118" t="e">
        <f t="shared" si="406"/>
        <v>#DIV/0!</v>
      </c>
      <c r="AE166" s="20"/>
      <c r="AF166" s="20"/>
    </row>
    <row r="167" spans="2:32">
      <c r="B167" s="20" t="s">
        <v>373</v>
      </c>
      <c r="C167" s="20"/>
      <c r="D167" s="20"/>
      <c r="E167" s="20"/>
      <c r="F167" s="20"/>
      <c r="G167" s="178" t="e">
        <f t="shared" ref="G167:Q167" si="421">G27/G14</f>
        <v>#DIV/0!</v>
      </c>
      <c r="H167" s="178" t="e">
        <f t="shared" si="421"/>
        <v>#DIV/0!</v>
      </c>
      <c r="I167" s="178" t="e">
        <f t="shared" si="421"/>
        <v>#DIV/0!</v>
      </c>
      <c r="J167" s="178" t="e">
        <f t="shared" si="421"/>
        <v>#DIV/0!</v>
      </c>
      <c r="K167" s="178" t="e">
        <f t="shared" si="421"/>
        <v>#DIV/0!</v>
      </c>
      <c r="L167" s="178" t="e">
        <f t="shared" si="421"/>
        <v>#DIV/0!</v>
      </c>
      <c r="M167" s="178" t="e">
        <f t="shared" si="421"/>
        <v>#DIV/0!</v>
      </c>
      <c r="N167" s="178" t="e">
        <f t="shared" si="421"/>
        <v>#DIV/0!</v>
      </c>
      <c r="O167" s="178" t="e">
        <f t="shared" si="421"/>
        <v>#DIV/0!</v>
      </c>
      <c r="P167" s="178" t="e">
        <f t="shared" si="421"/>
        <v>#DIV/0!</v>
      </c>
      <c r="Q167" s="178" t="e">
        <f t="shared" si="421"/>
        <v>#DIV/0!</v>
      </c>
      <c r="R167" s="118" t="e">
        <f t="shared" si="295"/>
        <v>#DIV/0!</v>
      </c>
      <c r="S167" s="128"/>
      <c r="T167" s="20" t="e">
        <f t="shared" ref="T167:AC167" si="422">T27/T14</f>
        <v>#DIV/0!</v>
      </c>
      <c r="U167" s="20" t="e">
        <f t="shared" si="422"/>
        <v>#DIV/0!</v>
      </c>
      <c r="V167" s="20" t="e">
        <f t="shared" si="422"/>
        <v>#DIV/0!</v>
      </c>
      <c r="W167" s="20" t="e">
        <f t="shared" si="422"/>
        <v>#DIV/0!</v>
      </c>
      <c r="X167" s="20" t="e">
        <f t="shared" si="422"/>
        <v>#DIV/0!</v>
      </c>
      <c r="Y167" s="20" t="e">
        <f t="shared" si="422"/>
        <v>#DIV/0!</v>
      </c>
      <c r="Z167" s="20" t="e">
        <f t="shared" si="422"/>
        <v>#DIV/0!</v>
      </c>
      <c r="AA167" s="20" t="e">
        <f t="shared" si="422"/>
        <v>#DIV/0!</v>
      </c>
      <c r="AB167" s="20" t="e">
        <f t="shared" si="422"/>
        <v>#DIV/0!</v>
      </c>
      <c r="AC167" s="20" t="e">
        <f t="shared" si="422"/>
        <v>#DIV/0!</v>
      </c>
      <c r="AD167" s="118" t="e">
        <f t="shared" si="406"/>
        <v>#DIV/0!</v>
      </c>
      <c r="AE167" s="20"/>
      <c r="AF167" s="20"/>
    </row>
    <row r="168" spans="2:32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128"/>
      <c r="S168" s="128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36"/>
      <c r="AE168" s="20"/>
      <c r="AF168" s="20"/>
    </row>
    <row r="169" spans="2:32">
      <c r="B169" s="108" t="s">
        <v>244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3" t="s">
        <v>471</v>
      </c>
      <c r="R169" s="23"/>
      <c r="S169" s="23" t="s">
        <v>472</v>
      </c>
      <c r="T169" s="122" t="s">
        <v>66</v>
      </c>
      <c r="U169" s="20"/>
      <c r="V169" s="20"/>
      <c r="W169" s="20"/>
      <c r="X169" s="20"/>
      <c r="Y169" s="20"/>
      <c r="Z169" s="20"/>
      <c r="AA169" s="20"/>
      <c r="AB169" s="20"/>
      <c r="AC169" s="20"/>
      <c r="AD169" s="136"/>
      <c r="AE169" s="20"/>
      <c r="AF169" s="20"/>
    </row>
    <row r="170" spans="2:32">
      <c r="B170" s="23" t="s">
        <v>280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5"/>
      <c r="Q170" s="133">
        <f>AVERAGE(M102:Q102)</f>
        <v>24.84390243902439</v>
      </c>
      <c r="R170" s="158">
        <f>AVERAGE(G72:Q72)</f>
        <v>14.565762436249958</v>
      </c>
      <c r="S170" s="158">
        <f>AVERAGE(G102:Q102)</f>
        <v>12.722838137472282</v>
      </c>
      <c r="T170" s="192" t="s">
        <v>427</v>
      </c>
      <c r="U170" s="193" t="s">
        <v>428</v>
      </c>
      <c r="V170" s="20"/>
      <c r="W170" s="20"/>
      <c r="X170" s="20"/>
      <c r="Y170" s="20"/>
      <c r="Z170" s="20"/>
      <c r="AA170" s="20"/>
      <c r="AB170" s="20"/>
      <c r="AC170" s="20"/>
      <c r="AD170" s="136"/>
      <c r="AE170" s="20"/>
      <c r="AF170" s="20"/>
    </row>
    <row r="171" spans="2:32">
      <c r="B171" s="20" t="s">
        <v>25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139">
        <f>T171+U171</f>
        <v>359.81770515273655</v>
      </c>
      <c r="T171" s="133">
        <f>PV($C$1, ($AC$3-$T$3), 0, -AC72)</f>
        <v>50.138532685217378</v>
      </c>
      <c r="U171" s="133">
        <f>PV($C$1, ($AC$3-$T$3), 0, -AF72)</f>
        <v>309.67917246751915</v>
      </c>
      <c r="V171" s="20"/>
      <c r="W171" s="20"/>
      <c r="X171" s="20"/>
      <c r="Y171" s="20"/>
      <c r="Z171" s="20"/>
      <c r="AA171" s="20"/>
      <c r="AB171" s="20"/>
      <c r="AC171" s="20"/>
      <c r="AD171" s="136"/>
      <c r="AE171" s="20"/>
      <c r="AF171" s="20"/>
    </row>
    <row r="172" spans="2:32">
      <c r="B172" s="20" t="s">
        <v>272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139">
        <f t="shared" ref="S172:S190" si="423">T172+U172</f>
        <v>1589.1390267918812</v>
      </c>
      <c r="T172" s="133">
        <f>PV($C$1, ($AC$3-$T$3), 0, -AC74)</f>
        <v>221.43740537263915</v>
      </c>
      <c r="U172" s="133">
        <f>PV($C$1, ($AC$3-$T$3), 0, -AF74)</f>
        <v>1367.701621419242</v>
      </c>
      <c r="V172" s="20"/>
      <c r="W172" s="20"/>
      <c r="X172" s="20"/>
      <c r="Y172" s="20"/>
      <c r="Z172" s="20"/>
      <c r="AA172" s="20"/>
      <c r="AB172" s="20"/>
      <c r="AC172" s="20"/>
      <c r="AD172" s="136"/>
      <c r="AE172" s="20"/>
      <c r="AF172" s="20"/>
    </row>
    <row r="173" spans="2:32">
      <c r="B173" s="20" t="s">
        <v>273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139">
        <f t="shared" si="423"/>
        <v>1510.0729388812238</v>
      </c>
      <c r="T173" s="133">
        <f>PV($C$1, ($AC$3-$T$3), 0, -AC75)</f>
        <v>210.41999968017049</v>
      </c>
      <c r="U173" s="133">
        <f>PV($C$1, ($AC$3-$T$3), 0, -AF75)</f>
        <v>1299.6529392010532</v>
      </c>
      <c r="V173" s="20"/>
      <c r="W173" s="20"/>
      <c r="X173" s="20"/>
      <c r="Y173" s="20"/>
      <c r="Z173" s="20"/>
      <c r="AA173" s="20"/>
      <c r="AB173" s="20"/>
      <c r="AC173" s="20"/>
      <c r="AD173" s="136"/>
      <c r="AE173" s="20"/>
      <c r="AF173" s="20"/>
    </row>
    <row r="174" spans="2:32">
      <c r="B174" s="20" t="s">
        <v>274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139">
        <f t="shared" si="423"/>
        <v>21329.752342880936</v>
      </c>
      <c r="T174" s="133">
        <f>PV($C$1, ($AC$3-$T$3), 0, -AC76)</f>
        <v>2972.17860515554</v>
      </c>
      <c r="U174" s="133">
        <f>PV($C$1, ($AC$3-$T$3), 0, -AF76)</f>
        <v>18357.573737725397</v>
      </c>
      <c r="V174" s="20"/>
      <c r="W174" s="20"/>
      <c r="X174" s="20"/>
      <c r="Y174" s="20"/>
      <c r="Z174" s="20"/>
      <c r="AA174" s="20"/>
      <c r="AB174" s="20"/>
      <c r="AC174" s="20"/>
      <c r="AD174" s="136"/>
      <c r="AE174" s="20"/>
      <c r="AF174" s="20"/>
    </row>
    <row r="175" spans="2:32">
      <c r="B175" s="20" t="s">
        <v>275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139">
        <f t="shared" si="423"/>
        <v>0</v>
      </c>
      <c r="T175" s="133">
        <f>PV($C$1, ($AC$3-$T$3), 0, -AC82)</f>
        <v>0</v>
      </c>
      <c r="U175" s="133">
        <f>PV($C$1, ($AC$3-$T$3), 0, -AF82)</f>
        <v>0</v>
      </c>
      <c r="V175" s="20"/>
      <c r="W175" s="20"/>
      <c r="X175" s="20"/>
      <c r="Y175" s="20"/>
      <c r="Z175" s="20"/>
      <c r="AA175" s="20"/>
      <c r="AB175" s="20"/>
      <c r="AC175" s="20"/>
      <c r="AD175" s="136"/>
      <c r="AE175" s="20"/>
      <c r="AF175" s="20"/>
    </row>
    <row r="176" spans="2:32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139"/>
      <c r="T176" s="133"/>
      <c r="U176" s="20"/>
      <c r="V176" s="20"/>
      <c r="W176" s="20"/>
      <c r="X176" s="20"/>
      <c r="Y176" s="20"/>
      <c r="Z176" s="20"/>
      <c r="AA176" s="20"/>
      <c r="AB176" s="20"/>
      <c r="AC176" s="20"/>
      <c r="AD176" s="136"/>
      <c r="AE176" s="20"/>
      <c r="AF176" s="20"/>
    </row>
    <row r="177" spans="2:32">
      <c r="B177" s="20" t="s">
        <v>270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139">
        <f t="shared" si="423"/>
        <v>-19740.613316089053</v>
      </c>
      <c r="T177" s="133">
        <f>PV($C$1, ($AC$3-$T$3), 0, -AC78)</f>
        <v>-2750.7411997829004</v>
      </c>
      <c r="U177" s="133">
        <f>PV($C$1, ($AC$3-$T$3), 0, -$AF$78)</f>
        <v>-16989.872116306153</v>
      </c>
      <c r="V177" s="20"/>
      <c r="W177" s="20"/>
      <c r="X177" s="20"/>
      <c r="Y177" s="20"/>
      <c r="Z177" s="20"/>
      <c r="AA177" s="20"/>
      <c r="AB177" s="20"/>
      <c r="AC177" s="20"/>
      <c r="AD177" s="136"/>
      <c r="AE177" s="20"/>
      <c r="AF177" s="20"/>
    </row>
    <row r="178" spans="2:32">
      <c r="B178" s="20" t="s">
        <v>271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139">
        <f t="shared" si="423"/>
        <v>-19740.613316089053</v>
      </c>
      <c r="T178" s="133">
        <f>PV($C$1, ($AC$3-$T$3), 0, -AC79)</f>
        <v>-2750.7411997829004</v>
      </c>
      <c r="U178" s="133">
        <f>PV($C$1, ($AC$3-$T$3), 0, -$AF$79)</f>
        <v>-16989.872116306153</v>
      </c>
      <c r="V178" s="20"/>
      <c r="W178" s="20"/>
      <c r="X178" s="20"/>
      <c r="Y178" s="20"/>
      <c r="Z178" s="20"/>
      <c r="AA178" s="20"/>
      <c r="AB178" s="20"/>
      <c r="AC178" s="20"/>
      <c r="AD178" s="136"/>
      <c r="AE178" s="20"/>
      <c r="AF178" s="20"/>
    </row>
    <row r="179" spans="2:32">
      <c r="B179" s="20" t="s">
        <v>276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139">
        <f t="shared" si="423"/>
        <v>-19740.613316089053</v>
      </c>
      <c r="T179" s="133">
        <f>PV($C$1, ($AC$3-$T$3), 0, -AC80)</f>
        <v>-2750.7411997829004</v>
      </c>
      <c r="U179" s="133">
        <f>PV($C$1, ($AC$3-$T$3), 0, -$AF$80)</f>
        <v>-16989.872116306153</v>
      </c>
      <c r="V179" s="20"/>
      <c r="W179" s="20"/>
      <c r="X179" s="20"/>
      <c r="Y179" s="20"/>
      <c r="Z179" s="20"/>
      <c r="AA179" s="20"/>
      <c r="AB179" s="20"/>
      <c r="AC179" s="20"/>
      <c r="AD179" s="136"/>
      <c r="AE179" s="20"/>
      <c r="AF179" s="20"/>
    </row>
    <row r="180" spans="2:32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139"/>
      <c r="T180" s="133"/>
      <c r="U180" s="20"/>
      <c r="V180" s="20"/>
      <c r="W180" s="20"/>
      <c r="X180" s="20"/>
      <c r="Y180" s="20"/>
      <c r="Z180" s="20"/>
      <c r="AA180" s="20"/>
      <c r="AB180" s="20"/>
      <c r="AC180" s="20"/>
      <c r="AD180" s="136"/>
      <c r="AE180" s="20"/>
      <c r="AF180" s="20"/>
    </row>
    <row r="181" spans="2:32">
      <c r="B181" s="20" t="s">
        <v>249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139">
        <f t="shared" si="423"/>
        <v>0</v>
      </c>
      <c r="T181" s="133">
        <f>PV($C$1, ($AC$3-$T$3), 0, -AC85)</f>
        <v>0</v>
      </c>
      <c r="U181" s="133">
        <f>PV($C$1, ($AC$3-$T$3), 0, -AF85)</f>
        <v>0</v>
      </c>
      <c r="V181" s="20"/>
      <c r="W181" s="20"/>
      <c r="X181" s="20"/>
      <c r="Y181" s="20"/>
      <c r="Z181" s="20"/>
      <c r="AA181" s="20"/>
      <c r="AB181" s="20"/>
      <c r="AC181" s="20"/>
      <c r="AD181" s="136"/>
      <c r="AE181" s="20"/>
      <c r="AF181" s="20"/>
    </row>
    <row r="182" spans="2:32">
      <c r="B182" s="20" t="s">
        <v>250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139">
        <f t="shared" si="423"/>
        <v>0</v>
      </c>
      <c r="T182" s="133">
        <f>PV($C$1, ($AC$3-$T$3), 0, -AC86)</f>
        <v>0</v>
      </c>
      <c r="U182" s="133">
        <f>PV($C$1, ($AC$3-$T$3), 0, -AF86)</f>
        <v>0</v>
      </c>
      <c r="V182" s="20"/>
      <c r="W182" s="20"/>
      <c r="X182" s="20"/>
      <c r="Y182" s="20"/>
      <c r="Z182" s="20"/>
      <c r="AA182" s="20"/>
      <c r="AB182" s="20"/>
      <c r="AC182" s="20"/>
      <c r="AD182" s="136"/>
      <c r="AE182" s="20"/>
      <c r="AF182" s="20"/>
    </row>
    <row r="183" spans="2:32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139"/>
      <c r="T183" s="133"/>
      <c r="U183" s="133"/>
      <c r="V183" s="20"/>
      <c r="W183" s="20"/>
      <c r="X183" s="20"/>
      <c r="Y183" s="20"/>
      <c r="Z183" s="20"/>
      <c r="AA183" s="20"/>
      <c r="AB183" s="20"/>
      <c r="AC183" s="20"/>
      <c r="AD183" s="136"/>
      <c r="AE183" s="20"/>
      <c r="AF183" s="20"/>
    </row>
    <row r="184" spans="2:32">
      <c r="B184" s="20" t="s">
        <v>292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139">
        <f t="shared" ref="S184" si="424">T184+U184</f>
        <v>0</v>
      </c>
      <c r="T184" s="133">
        <f>PV($C$1, ($AC$3-$T$3), 0, -AC12)</f>
        <v>0</v>
      </c>
      <c r="U184" s="133">
        <f>PV($C$1, ($AC$3-$T$3), 0, -AF12)</f>
        <v>0</v>
      </c>
      <c r="V184" s="20"/>
      <c r="W184" s="20"/>
      <c r="X184" s="20"/>
      <c r="Y184" s="20"/>
      <c r="Z184" s="20"/>
      <c r="AA184" s="20"/>
      <c r="AB184" s="20"/>
      <c r="AC184" s="20"/>
      <c r="AD184" s="136"/>
      <c r="AE184" s="20"/>
      <c r="AF184" s="20"/>
    </row>
    <row r="185" spans="2:32">
      <c r="B185" s="20" t="s">
        <v>293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139">
        <f>T185+U185</f>
        <v>0</v>
      </c>
      <c r="T185" s="139">
        <f>T184/P57</f>
        <v>0</v>
      </c>
      <c r="U185" s="139">
        <f>U184/P57</f>
        <v>0</v>
      </c>
      <c r="V185" s="20"/>
      <c r="W185" s="20"/>
      <c r="X185" s="20"/>
      <c r="Y185" s="20"/>
      <c r="Z185" s="20"/>
      <c r="AA185" s="20"/>
      <c r="AB185" s="20"/>
      <c r="AC185" s="20"/>
      <c r="AD185" s="136"/>
      <c r="AE185" s="20"/>
      <c r="AF185" s="20"/>
    </row>
    <row r="186" spans="2:32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139"/>
      <c r="T186" s="139"/>
      <c r="U186" s="139"/>
      <c r="V186" s="20"/>
      <c r="W186" s="20"/>
      <c r="X186" s="20"/>
      <c r="Y186" s="20"/>
      <c r="Z186" s="20"/>
      <c r="AA186" s="20"/>
      <c r="AB186" s="20"/>
      <c r="AC186" s="20"/>
      <c r="AD186" s="136"/>
      <c r="AE186" s="20"/>
      <c r="AF186" s="20"/>
    </row>
    <row r="187" spans="2:32">
      <c r="B187" s="108" t="s">
        <v>296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139"/>
      <c r="T187" s="133"/>
      <c r="U187" s="133"/>
      <c r="V187" s="20"/>
      <c r="W187" s="20"/>
      <c r="X187" s="20"/>
      <c r="Y187" s="20"/>
      <c r="Z187" s="20"/>
      <c r="AA187" s="20"/>
      <c r="AB187" s="20"/>
      <c r="AC187" s="20"/>
      <c r="AD187" s="136"/>
      <c r="AE187" s="20"/>
      <c r="AF187" s="20"/>
    </row>
    <row r="188" spans="2:32">
      <c r="B188" s="20" t="s">
        <v>282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39">
        <f t="shared" ref="S188" si="425">T188+U188</f>
        <v>75.81347949202474</v>
      </c>
      <c r="T188" s="133">
        <f>PV($C$1, ($AC$3-$T$3), 0, -AC88)+PV($C$1, ($AB$3-$T$3), 0, -AC88)+PV($C$1, ($AA$3-$T$3), 0, -AC88)+PV($C$1, ($Z$3-$T$3), 0, -AC88)+PV($C$1, ($Y$3-$T$3), 0, -AC88)+PV($C$1, ($X$3-$T$3), 0, -AC88)+PV($C$1, ($W$3-$T$3), 0, -AC88)+PV($C$1, ($V$3-$T$3), 0, -AC88)+PV($C$1, ($U$3-$T$3), 0, -AC88)+PV($C$1, ($T$3-$T$3), 0, -AC88)</f>
        <v>62.370829861820042</v>
      </c>
      <c r="U188" s="133">
        <f>PV($C$1, ($AC$3-$T$3), 0, -AF88)</f>
        <v>13.4426496302047</v>
      </c>
      <c r="V188" s="20"/>
      <c r="W188" s="20"/>
      <c r="X188" s="20"/>
      <c r="Y188" s="20"/>
      <c r="Z188" s="20"/>
      <c r="AA188" s="20"/>
      <c r="AB188" s="20"/>
      <c r="AC188" s="20"/>
      <c r="AD188" s="136"/>
      <c r="AE188" s="20"/>
      <c r="AF188" s="20"/>
    </row>
    <row r="189" spans="2:32">
      <c r="B189" s="23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139"/>
      <c r="T189" s="133"/>
      <c r="U189" s="133"/>
      <c r="V189" s="20"/>
      <c r="W189" s="20"/>
      <c r="X189" s="20"/>
      <c r="Y189" s="20"/>
      <c r="Z189" s="20"/>
      <c r="AA189" s="20"/>
      <c r="AB189" s="20"/>
      <c r="AC189" s="20"/>
      <c r="AD189" s="136"/>
      <c r="AE189" s="20"/>
      <c r="AF189" s="20"/>
    </row>
    <row r="190" spans="2:32">
      <c r="B190" s="20" t="s">
        <v>289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139">
        <f t="shared" si="423"/>
        <v>89402.05998296263</v>
      </c>
      <c r="T190" s="133">
        <f>PV($C$1, ($AC$3-$T$3), 0, -AC90)+PV($C$1, ($AB$3-$T$3), 0, -AC90)+PV($C$1, ($AA$3-$T$3), 0, -AC90)+PV($C$1, ($Z$3-$T$3), 0, -AC90)+PV($C$1, ($Y$3-$T$3), 0, -AC90)+PV($C$1, ($X$3-$T$3), 0, -AC90)+PV($C$1, ($W$3-$T$3), 0, -AC90)+PV($C$1, ($V$3-$T$3), 0, -AC90)+PV($C$1, ($U$3-$T$3), 0, -AC90)+PV($C$1, ($T$3-$T$3), 0, -AC90)</f>
        <v>73549.990184531402</v>
      </c>
      <c r="U190" s="133">
        <f>PV($C$1, ($AC$3-$T$3), 0, -AF90)</f>
        <v>15852.069798431232</v>
      </c>
      <c r="V190" s="20"/>
      <c r="W190" s="20"/>
      <c r="X190" s="20"/>
      <c r="Y190" s="20"/>
      <c r="Z190" s="20"/>
      <c r="AA190" s="20"/>
      <c r="AB190" s="20"/>
      <c r="AC190" s="20"/>
      <c r="AD190" s="136"/>
      <c r="AE190" s="20"/>
      <c r="AF190" s="20"/>
    </row>
    <row r="191" spans="2:32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139"/>
      <c r="T191" s="133"/>
      <c r="U191" s="133"/>
      <c r="V191" s="20"/>
      <c r="W191" s="20"/>
      <c r="X191" s="20"/>
      <c r="Y191" s="20"/>
      <c r="Z191" s="20"/>
      <c r="AA191" s="20"/>
      <c r="AB191" s="20"/>
      <c r="AC191" s="20"/>
      <c r="AD191" s="136"/>
      <c r="AE191" s="20"/>
      <c r="AF191" s="20"/>
    </row>
    <row r="192" spans="2:32">
      <c r="B192" s="20" t="s">
        <v>459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139">
        <f t="shared" ref="S192:S195" si="426">T192+U192</f>
        <v>1788.8006807892693</v>
      </c>
      <c r="T192" s="133">
        <f>PV($C$1, ($AC$3-$T$3), 0, -AC92)+PV($C$1, ($AB$3-$T$3), 0, -AC92)+PV($C$1, ($AA$3-$T$3), 0, -AC92)+PV($C$1, ($Z$3-$T$3), 0, -AC92)+PV($C$1, ($Y$3-$T$3), 0, -AC92)+PV($C$1, ($X$3-$T$3), 0, -AC92)+PV($C$1, ($W$3-$T$3), 0, -AC92)+PV($C$1, ($V$3-$T$3), 0, -AC92)+PV($C$1, ($U$3-$T$3), 0, -AC92)+PV($C$1, ($T$3-$T$3), 0, -AC92)</f>
        <v>1471.6246196027973</v>
      </c>
      <c r="U192" s="133">
        <f>PV($C$1, ($AC$3-$T$3), 0, -AF92)</f>
        <v>317.17606118647211</v>
      </c>
      <c r="V192" s="20"/>
      <c r="W192" s="20"/>
      <c r="X192" s="20"/>
      <c r="Y192" s="20"/>
      <c r="Z192" s="20"/>
      <c r="AA192" s="20"/>
      <c r="AB192" s="20"/>
      <c r="AC192" s="20"/>
      <c r="AD192" s="136"/>
      <c r="AE192" s="20"/>
      <c r="AF192" s="20"/>
    </row>
    <row r="193" spans="2:32">
      <c r="B193" s="20" t="s">
        <v>286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139">
        <f t="shared" si="426"/>
        <v>4822.1729867579825</v>
      </c>
      <c r="T193" s="133">
        <f>PV($C$1, ($AC$3-$T$3), 0, -AC93)+PV($C$1, ($AB$3-$T$3), 0, -AC93)+PV($C$1, ($AA$3-$T$3), 0, -AC93)+PV($C$1, ($Z$3-$T$3), 0, -AC93)+PV($C$1, ($Y$3-$T$3), 0, -AC93)+PV($C$1, ($X$3-$T$3), 0, -AC93)+PV($C$1, ($W$3-$T$3), 0, -AC93)+PV($C$1, ($V$3-$T$3), 0, -AC93)+PV($C$1, ($U$3-$T$3), 0, -AC93)+PV($C$1, ($T$3-$T$3), 0, -AC93)</f>
        <v>3967.1432169656018</v>
      </c>
      <c r="U193" s="133">
        <f>PV($C$1, ($AC$3-$T$3), 0, -AF93)</f>
        <v>855.02976979238053</v>
      </c>
      <c r="V193" s="20"/>
      <c r="W193" s="20"/>
      <c r="X193" s="20"/>
      <c r="Y193" s="20"/>
      <c r="Z193" s="20"/>
      <c r="AA193" s="20"/>
      <c r="AB193" s="20"/>
      <c r="AC193" s="20"/>
      <c r="AD193" s="136"/>
      <c r="AE193" s="20"/>
      <c r="AF193" s="20"/>
    </row>
    <row r="194" spans="2:32">
      <c r="B194" s="20" t="s">
        <v>287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139">
        <f t="shared" si="426"/>
        <v>-3033.3723059687131</v>
      </c>
      <c r="T194" s="133">
        <f>PV($C$1, ($AC$3-$T$3), 0, -AC94)+PV($C$1, ($AB$3-$T$3), 0, -AC94)+PV($C$1, ($AA$3-$T$3), 0, -AC94)+PV($C$1, ($Z$3-$T$3), 0, -AC94)+PV($C$1, ($Y$3-$T$3), 0, -AC94)+PV($C$1, ($X$3-$T$3), 0, -AC94)+PV($C$1, ($W$3-$T$3), 0, -AC94)+PV($C$1, ($V$3-$T$3), 0, -AC94)+PV($C$1, ($U$3-$T$3), 0, -AC94)+PV($C$1, ($T$3-$T$3), 0, -AC94)</f>
        <v>-2495.5185973628045</v>
      </c>
      <c r="U194" s="133">
        <f>PV($C$1, ($AC$3-$T$3), 0, -AF94)</f>
        <v>-537.85370860590854</v>
      </c>
      <c r="V194" s="20"/>
      <c r="W194" s="20"/>
      <c r="X194" s="20"/>
      <c r="Y194" s="20"/>
      <c r="Z194" s="20"/>
      <c r="AA194" s="20"/>
      <c r="AB194" s="20"/>
      <c r="AC194" s="20"/>
      <c r="AD194" s="136"/>
      <c r="AE194" s="20"/>
      <c r="AF194" s="20"/>
    </row>
    <row r="195" spans="2:32">
      <c r="B195" s="20" t="s">
        <v>288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139">
        <f t="shared" si="426"/>
        <v>189.72128432613462</v>
      </c>
      <c r="T195" s="133">
        <f>PV($C$1, ($AC$3-$T$3), 0, -AC95)+PV($C$1, ($AB$3-$T$3), 0, -AC95)+PV($C$1, ($AA$3-$T$3), 0, -AC95)+PV($C$1, ($Z$3-$T$3), 0, -AC95)+PV($C$1, ($Y$3-$T$3), 0, -AC95)+PV($C$1, ($X$3-$T$3), 0, -AC95)+PV($C$1, ($W$3-$T$3), 0, -AC95)+PV($C$1, ($V$3-$T$3), 0, -AC95)+PV($C$1, ($U$3-$T$3), 0, -AC95)+PV($C$1, ($T$3-$T$3), 0, -AC95)</f>
        <v>156.08139904878152</v>
      </c>
      <c r="U195" s="133">
        <f>PV($C$1, ($AC$3-$T$3), 0, -AF95)</f>
        <v>33.639885277353102</v>
      </c>
      <c r="V195" s="20"/>
      <c r="W195" s="20"/>
      <c r="X195" s="20"/>
      <c r="Y195" s="20"/>
      <c r="Z195" s="20"/>
      <c r="AA195" s="20"/>
      <c r="AB195" s="20"/>
      <c r="AC195" s="20"/>
      <c r="AD195" s="136"/>
      <c r="AE195" s="20"/>
      <c r="AF195" s="20"/>
    </row>
    <row r="196" spans="2:32">
      <c r="B196" s="20" t="s">
        <v>457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110">
        <f>S193+S194+S195</f>
        <v>1978.5219651154039</v>
      </c>
      <c r="T196" s="110">
        <f t="shared" ref="T196:U196" si="427">T193+T194+T195</f>
        <v>1627.7060186515789</v>
      </c>
      <c r="U196" s="110">
        <f t="shared" si="427"/>
        <v>350.81594646382507</v>
      </c>
      <c r="V196" s="20"/>
      <c r="W196" s="20"/>
      <c r="X196" s="20"/>
      <c r="Y196" s="20"/>
      <c r="Z196" s="20"/>
      <c r="AA196" s="20"/>
      <c r="AB196" s="20"/>
      <c r="AC196" s="20"/>
      <c r="AD196" s="136"/>
      <c r="AE196" s="20"/>
      <c r="AF196" s="20"/>
    </row>
    <row r="197" spans="2:32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139"/>
      <c r="T197" s="133"/>
      <c r="U197" s="133"/>
      <c r="V197" s="20"/>
      <c r="W197" s="20"/>
      <c r="X197" s="20"/>
      <c r="Y197" s="20"/>
      <c r="Z197" s="20"/>
      <c r="AA197" s="20"/>
      <c r="AB197" s="20"/>
      <c r="AC197" s="20"/>
      <c r="AD197" s="136"/>
      <c r="AE197" s="20"/>
      <c r="AF197" s="20"/>
    </row>
    <row r="198" spans="2:32">
      <c r="B198" s="20" t="s">
        <v>297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139">
        <f>T198+U198</f>
        <v>6386.5604912300523</v>
      </c>
      <c r="T198" s="133">
        <f>PV($C$1, ($AC$3-$T$3), 0, -AC96)+PV($C$1, ($AB$3-$T$3), 0, -AC96)+PV($C$1, ($AA$3-$T$3), 0, -AC96)+PV($C$1, ($Z$3-$T$3), 0, -AC96)+PV($C$1, ($Y$3-$T$3), 0, -AC96)+PV($C$1, ($X$3-$T$3), 0, -AC96)+PV($C$1, ($W$3-$T$3), 0, -AC96)+PV($C$1, ($V$3-$T$3), 0, -AC96)+PV($C$1, ($U$3-$T$3), 0, -AC96)+PV($C$1, ($T$3-$T$3), 0, -AC96)</f>
        <v>5254.1458388364117</v>
      </c>
      <c r="U198" s="133">
        <f>PV($C$1, ($AC$3-$T$3), 0, -AF96)</f>
        <v>1132.4146523936406</v>
      </c>
      <c r="V198" s="20"/>
      <c r="W198" s="20"/>
      <c r="X198" s="20"/>
      <c r="Y198" s="20"/>
      <c r="Z198" s="20"/>
      <c r="AA198" s="20"/>
      <c r="AB198" s="20"/>
      <c r="AC198" s="20"/>
      <c r="AD198" s="136"/>
      <c r="AE198" s="20"/>
      <c r="AF198" s="20"/>
    </row>
    <row r="199" spans="2:3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181">
        <v>41729</v>
      </c>
      <c r="P199" s="20">
        <v>350</v>
      </c>
      <c r="Q199" s="20"/>
      <c r="R199" s="20"/>
      <c r="S199" s="20"/>
      <c r="T199" s="121"/>
      <c r="U199" s="20"/>
      <c r="V199" s="20"/>
      <c r="W199" s="20"/>
      <c r="X199" s="20"/>
      <c r="Y199" s="20"/>
      <c r="Z199" s="20"/>
      <c r="AA199" s="20"/>
      <c r="AB199" s="20"/>
      <c r="AC199" s="20"/>
      <c r="AD199" s="136"/>
      <c r="AE199" s="20"/>
      <c r="AF199" s="20"/>
    </row>
    <row r="200" spans="2:32">
      <c r="B200" s="108" t="s">
        <v>251</v>
      </c>
      <c r="C200" s="20"/>
      <c r="D200" s="20"/>
      <c r="E200" s="20"/>
      <c r="F200" s="199" t="s">
        <v>470</v>
      </c>
      <c r="G200" s="194">
        <v>0</v>
      </c>
      <c r="H200" s="194">
        <v>0</v>
      </c>
      <c r="I200" s="194">
        <v>0</v>
      </c>
      <c r="J200" s="194">
        <v>0</v>
      </c>
      <c r="K200" s="194">
        <v>0</v>
      </c>
      <c r="L200" s="194">
        <v>0</v>
      </c>
      <c r="M200" s="194">
        <v>0</v>
      </c>
      <c r="N200" s="194">
        <v>0</v>
      </c>
      <c r="O200" s="23" t="s">
        <v>388</v>
      </c>
      <c r="P200" s="20">
        <v>700</v>
      </c>
      <c r="Q200" s="20"/>
      <c r="R200" s="20">
        <v>450</v>
      </c>
      <c r="S200" s="23" t="s">
        <v>389</v>
      </c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136"/>
      <c r="AE200" s="20"/>
      <c r="AF200" s="20"/>
    </row>
    <row r="201" spans="2:32">
      <c r="B201" s="20" t="s">
        <v>204</v>
      </c>
      <c r="C201" s="22">
        <v>0</v>
      </c>
      <c r="D201" s="22">
        <v>0</v>
      </c>
      <c r="E201" s="22">
        <v>0</v>
      </c>
      <c r="F201" s="22">
        <v>0</v>
      </c>
      <c r="G201" s="22">
        <v>70</v>
      </c>
      <c r="H201" s="22">
        <v>70</v>
      </c>
      <c r="I201" s="22">
        <v>90</v>
      </c>
      <c r="J201" s="22">
        <v>125</v>
      </c>
      <c r="K201" s="22">
        <v>130</v>
      </c>
      <c r="L201" s="22">
        <v>45</v>
      </c>
      <c r="M201" s="22">
        <v>230</v>
      </c>
      <c r="N201" s="22">
        <v>270</v>
      </c>
      <c r="O201" s="22">
        <v>335</v>
      </c>
      <c r="P201" s="22">
        <v>420</v>
      </c>
      <c r="Q201" s="22">
        <v>500</v>
      </c>
      <c r="R201" s="118">
        <f t="shared" ref="R201:R208" si="428">((P201/G201)^(1/($H$2-$H$1) ))-1</f>
        <v>0.19623119885131546</v>
      </c>
      <c r="S201" s="31">
        <v>0</v>
      </c>
      <c r="T201" s="195">
        <v>50</v>
      </c>
      <c r="U201" s="119">
        <f t="shared" ref="U201:AC201" si="429">T201*(1+$S201)</f>
        <v>50</v>
      </c>
      <c r="V201" s="119">
        <f t="shared" si="429"/>
        <v>50</v>
      </c>
      <c r="W201" s="119">
        <f t="shared" si="429"/>
        <v>50</v>
      </c>
      <c r="X201" s="119">
        <f t="shared" si="429"/>
        <v>50</v>
      </c>
      <c r="Y201" s="119">
        <f t="shared" si="429"/>
        <v>50</v>
      </c>
      <c r="Z201" s="119">
        <f t="shared" si="429"/>
        <v>50</v>
      </c>
      <c r="AA201" s="119">
        <f t="shared" si="429"/>
        <v>50</v>
      </c>
      <c r="AB201" s="119">
        <f t="shared" si="429"/>
        <v>50</v>
      </c>
      <c r="AC201" s="119">
        <f t="shared" si="429"/>
        <v>50</v>
      </c>
      <c r="AD201" s="137">
        <f t="shared" ref="AD201:AD208" si="430">((AC201/G201)^(1/($AC$3-$H$1) ))-1</f>
        <v>-1.668288515568439E-2</v>
      </c>
      <c r="AE201" s="31">
        <f t="shared" ref="AE201:AE208" si="431">$L$1</f>
        <v>0.05</v>
      </c>
      <c r="AF201" s="127">
        <f t="shared" ref="AF201:AF212" si="432">(AC201*(1+AD201))/($C$1-AE201)</f>
        <v>289.21091613068108</v>
      </c>
    </row>
    <row r="202" spans="2:32">
      <c r="B202" s="20" t="s">
        <v>359</v>
      </c>
      <c r="C202" s="25"/>
      <c r="D202" s="25"/>
      <c r="E202" s="25"/>
      <c r="F202" s="25"/>
      <c r="G202" s="25">
        <f t="shared" ref="G202:Q202" si="433">G201/G66</f>
        <v>29.166666666666668</v>
      </c>
      <c r="H202" s="25">
        <f t="shared" si="433"/>
        <v>29.166666666666668</v>
      </c>
      <c r="I202" s="25">
        <f t="shared" si="433"/>
        <v>8.4083044982698958</v>
      </c>
      <c r="J202" s="25">
        <f t="shared" si="433"/>
        <v>4.4416243654822338</v>
      </c>
      <c r="K202" s="25">
        <f t="shared" si="433"/>
        <v>2.3105924596050271</v>
      </c>
      <c r="L202" s="25">
        <f t="shared" si="433"/>
        <v>0.54801066447908131</v>
      </c>
      <c r="M202" s="25">
        <f t="shared" si="433"/>
        <v>2.6522241086587437</v>
      </c>
      <c r="N202" s="25">
        <f t="shared" si="433"/>
        <v>2.0083601286173636</v>
      </c>
      <c r="O202" s="25">
        <f t="shared" si="433"/>
        <v>1.650216359575656</v>
      </c>
      <c r="P202" s="25">
        <f t="shared" si="433"/>
        <v>1.5769238823159879</v>
      </c>
      <c r="Q202" s="25">
        <f t="shared" si="433"/>
        <v>1.7518372927704664</v>
      </c>
      <c r="R202" s="118">
        <f t="shared" ref="R202" si="434">((P202/G202)^(1/($H$2-$H$1) ))-1</f>
        <v>-0.25304851807495365</v>
      </c>
      <c r="S202" s="128"/>
      <c r="T202" s="25">
        <f t="shared" ref="T202:AC202" si="435">T201/T66</f>
        <v>0.14294992309007007</v>
      </c>
      <c r="U202" s="25">
        <f t="shared" si="435"/>
        <v>0.11664713724149717</v>
      </c>
      <c r="V202" s="25">
        <f t="shared" si="435"/>
        <v>9.5184063989061679E-2</v>
      </c>
      <c r="W202" s="25">
        <f t="shared" si="435"/>
        <v>7.7670196215074344E-2</v>
      </c>
      <c r="X202" s="25">
        <f t="shared" si="435"/>
        <v>6.3378880111500654E-2</v>
      </c>
      <c r="Y202" s="25">
        <f t="shared" si="435"/>
        <v>5.1717166170984541E-2</v>
      </c>
      <c r="Z202" s="25">
        <f t="shared" si="435"/>
        <v>4.2201207595523385E-2</v>
      </c>
      <c r="AA202" s="25">
        <f t="shared" si="435"/>
        <v>3.4436185397947086E-2</v>
      </c>
      <c r="AB202" s="25">
        <f t="shared" si="435"/>
        <v>2.8099927284724824E-2</v>
      </c>
      <c r="AC202" s="25">
        <f t="shared" si="435"/>
        <v>2.2929540664335456E-2</v>
      </c>
      <c r="AD202" s="137">
        <f t="shared" ref="AD202" si="436">((AC202/G202)^(1/($AC$3-$H$1) ))-1</f>
        <v>-0.30051979632391235</v>
      </c>
      <c r="AE202" s="31">
        <f t="shared" si="431"/>
        <v>0.05</v>
      </c>
      <c r="AF202" s="127">
        <f t="shared" ref="AF202" si="437">(AC202*(1+AD202))/($C$1-AE202)</f>
        <v>9.4345645729932343E-2</v>
      </c>
    </row>
    <row r="203" spans="2:32">
      <c r="B203" s="20" t="s">
        <v>387</v>
      </c>
      <c r="C203" s="25"/>
      <c r="D203" s="25"/>
      <c r="E203" s="25"/>
      <c r="F203" s="25"/>
      <c r="G203" s="25">
        <f t="shared" ref="G203:Q203" si="438">G201/G72</f>
        <v>-350</v>
      </c>
      <c r="H203" s="25">
        <f t="shared" si="438"/>
        <v>-350</v>
      </c>
      <c r="I203" s="25">
        <f t="shared" si="438"/>
        <v>44.18181818181818</v>
      </c>
      <c r="J203" s="25">
        <f t="shared" si="438"/>
        <v>37.234042553191486</v>
      </c>
      <c r="K203" s="25">
        <f t="shared" si="438"/>
        <v>19.305</v>
      </c>
      <c r="L203" s="25">
        <f t="shared" si="438"/>
        <v>4.3949013157894736</v>
      </c>
      <c r="M203" s="25">
        <f t="shared" si="438"/>
        <v>16.340585774058578</v>
      </c>
      <c r="N203" s="25">
        <f t="shared" si="438"/>
        <v>12.887207702888585</v>
      </c>
      <c r="O203" s="25">
        <f t="shared" si="438"/>
        <v>12.100460593654043</v>
      </c>
      <c r="P203" s="25">
        <f t="shared" si="438"/>
        <v>11.585538461538462</v>
      </c>
      <c r="Q203" s="25">
        <f t="shared" si="438"/>
        <v>12.72501551831161</v>
      </c>
      <c r="R203" s="118" t="e">
        <f t="shared" si="428"/>
        <v>#NUM!</v>
      </c>
      <c r="S203" s="128"/>
      <c r="T203" s="119">
        <f t="shared" ref="T203:AC203" si="439">T201/T72</f>
        <v>1.0383612662942272</v>
      </c>
      <c r="U203" s="119">
        <f t="shared" si="439"/>
        <v>0.84730279329608926</v>
      </c>
      <c r="V203" s="119">
        <f t="shared" si="439"/>
        <v>0.69139907932960898</v>
      </c>
      <c r="W203" s="119">
        <f t="shared" si="439"/>
        <v>0.56418164873296084</v>
      </c>
      <c r="X203" s="119">
        <f t="shared" si="439"/>
        <v>0.46037222536609601</v>
      </c>
      <c r="Y203" s="119">
        <f t="shared" si="439"/>
        <v>0.37566373589873436</v>
      </c>
      <c r="Z203" s="119">
        <f t="shared" si="439"/>
        <v>0.30654160849336726</v>
      </c>
      <c r="AA203" s="119">
        <f t="shared" si="439"/>
        <v>0.25013795253058768</v>
      </c>
      <c r="AB203" s="119">
        <f t="shared" si="439"/>
        <v>0.20411256926495955</v>
      </c>
      <c r="AC203" s="119">
        <f t="shared" si="439"/>
        <v>0.16655585652020702</v>
      </c>
      <c r="AD203" s="137" t="e">
        <f t="shared" si="430"/>
        <v>#NUM!</v>
      </c>
      <c r="AE203" s="31">
        <f t="shared" si="431"/>
        <v>0.05</v>
      </c>
      <c r="AF203" s="127" t="e">
        <f t="shared" si="432"/>
        <v>#NUM!</v>
      </c>
    </row>
    <row r="204" spans="2:32">
      <c r="B204" s="20" t="s">
        <v>462</v>
      </c>
      <c r="C204" s="25"/>
      <c r="D204" s="25"/>
      <c r="E204" s="25"/>
      <c r="F204" s="25"/>
      <c r="G204" s="25" t="e">
        <f t="shared" ref="G204:Q204" si="440">G201/G70</f>
        <v>#DIV/0!</v>
      </c>
      <c r="H204" s="25" t="e">
        <f t="shared" si="440"/>
        <v>#DIV/0!</v>
      </c>
      <c r="I204" s="25" t="e">
        <f t="shared" si="440"/>
        <v>#DIV/0!</v>
      </c>
      <c r="J204" s="25" t="e">
        <f t="shared" si="440"/>
        <v>#DIV/0!</v>
      </c>
      <c r="K204" s="25" t="e">
        <f t="shared" si="440"/>
        <v>#DIV/0!</v>
      </c>
      <c r="L204" s="25" t="e">
        <f t="shared" si="440"/>
        <v>#DIV/0!</v>
      </c>
      <c r="M204" s="25" t="e">
        <f t="shared" si="440"/>
        <v>#DIV/0!</v>
      </c>
      <c r="N204" s="25" t="e">
        <f t="shared" si="440"/>
        <v>#DIV/0!</v>
      </c>
      <c r="O204" s="25" t="e">
        <f t="shared" si="440"/>
        <v>#DIV/0!</v>
      </c>
      <c r="P204" s="25" t="e">
        <f t="shared" si="440"/>
        <v>#DIV/0!</v>
      </c>
      <c r="Q204" s="25" t="e">
        <f t="shared" si="440"/>
        <v>#DIV/0!</v>
      </c>
      <c r="R204" s="118" t="e">
        <f t="shared" si="428"/>
        <v>#DIV/0!</v>
      </c>
      <c r="S204" s="128"/>
      <c r="T204" s="25" t="e">
        <f t="shared" ref="T204:AC204" si="441">T201/T70</f>
        <v>#DIV/0!</v>
      </c>
      <c r="U204" s="25" t="e">
        <f t="shared" si="441"/>
        <v>#DIV/0!</v>
      </c>
      <c r="V204" s="25" t="e">
        <f t="shared" si="441"/>
        <v>#DIV/0!</v>
      </c>
      <c r="W204" s="25" t="e">
        <f t="shared" si="441"/>
        <v>#DIV/0!</v>
      </c>
      <c r="X204" s="25" t="e">
        <f t="shared" si="441"/>
        <v>#DIV/0!</v>
      </c>
      <c r="Y204" s="25" t="e">
        <f t="shared" si="441"/>
        <v>#DIV/0!</v>
      </c>
      <c r="Z204" s="25" t="e">
        <f t="shared" si="441"/>
        <v>#DIV/0!</v>
      </c>
      <c r="AA204" s="25" t="e">
        <f t="shared" si="441"/>
        <v>#DIV/0!</v>
      </c>
      <c r="AB204" s="25" t="e">
        <f t="shared" si="441"/>
        <v>#DIV/0!</v>
      </c>
      <c r="AC204" s="25" t="e">
        <f t="shared" si="441"/>
        <v>#DIV/0!</v>
      </c>
      <c r="AD204" s="137" t="e">
        <f t="shared" ref="AD204:AD205" si="442">((AC204/G204)^(1/($AC$3-$H$1) ))-1</f>
        <v>#DIV/0!</v>
      </c>
      <c r="AE204" s="31">
        <f t="shared" si="431"/>
        <v>0.05</v>
      </c>
      <c r="AF204" s="127" t="e">
        <f t="shared" ref="AF204:AF205" si="443">(AC204*(1+AD204))/($C$1-AE204)</f>
        <v>#DIV/0!</v>
      </c>
    </row>
    <row r="205" spans="2:32">
      <c r="B205" s="20" t="s">
        <v>463</v>
      </c>
      <c r="C205" s="25"/>
      <c r="D205" s="25"/>
      <c r="E205" s="25"/>
      <c r="F205" s="25"/>
      <c r="G205" s="25" t="e">
        <f t="shared" ref="G205:Q205" si="444">G201/G71</f>
        <v>#DIV/0!</v>
      </c>
      <c r="H205" s="25" t="e">
        <f t="shared" si="444"/>
        <v>#DIV/0!</v>
      </c>
      <c r="I205" s="25" t="e">
        <f t="shared" si="444"/>
        <v>#DIV/0!</v>
      </c>
      <c r="J205" s="25" t="e">
        <f t="shared" si="444"/>
        <v>#DIV/0!</v>
      </c>
      <c r="K205" s="25" t="e">
        <f t="shared" si="444"/>
        <v>#DIV/0!</v>
      </c>
      <c r="L205" s="25" t="e">
        <f t="shared" si="444"/>
        <v>#DIV/0!</v>
      </c>
      <c r="M205" s="25" t="e">
        <f t="shared" si="444"/>
        <v>#DIV/0!</v>
      </c>
      <c r="N205" s="25" t="e">
        <f t="shared" si="444"/>
        <v>#DIV/0!</v>
      </c>
      <c r="O205" s="25" t="e">
        <f t="shared" si="444"/>
        <v>#DIV/0!</v>
      </c>
      <c r="P205" s="25" t="e">
        <f t="shared" si="444"/>
        <v>#DIV/0!</v>
      </c>
      <c r="Q205" s="25" t="e">
        <f t="shared" si="444"/>
        <v>#DIV/0!</v>
      </c>
      <c r="R205" s="118" t="e">
        <f t="shared" si="428"/>
        <v>#DIV/0!</v>
      </c>
      <c r="S205" s="128"/>
      <c r="T205" s="25" t="e">
        <f t="shared" ref="T205:AC205" si="445">T201/T71</f>
        <v>#DIV/0!</v>
      </c>
      <c r="U205" s="25" t="e">
        <f t="shared" si="445"/>
        <v>#DIV/0!</v>
      </c>
      <c r="V205" s="25" t="e">
        <f t="shared" si="445"/>
        <v>#DIV/0!</v>
      </c>
      <c r="W205" s="25" t="e">
        <f t="shared" si="445"/>
        <v>#DIV/0!</v>
      </c>
      <c r="X205" s="25" t="e">
        <f t="shared" si="445"/>
        <v>#DIV/0!</v>
      </c>
      <c r="Y205" s="25" t="e">
        <f t="shared" si="445"/>
        <v>#DIV/0!</v>
      </c>
      <c r="Z205" s="25" t="e">
        <f t="shared" si="445"/>
        <v>#DIV/0!</v>
      </c>
      <c r="AA205" s="25" t="e">
        <f t="shared" si="445"/>
        <v>#DIV/0!</v>
      </c>
      <c r="AB205" s="25" t="e">
        <f t="shared" si="445"/>
        <v>#DIV/0!</v>
      </c>
      <c r="AC205" s="25" t="e">
        <f t="shared" si="445"/>
        <v>#DIV/0!</v>
      </c>
      <c r="AD205" s="137" t="e">
        <f t="shared" si="442"/>
        <v>#DIV/0!</v>
      </c>
      <c r="AE205" s="31">
        <f t="shared" si="431"/>
        <v>0.05</v>
      </c>
      <c r="AF205" s="127" t="e">
        <f t="shared" si="443"/>
        <v>#DIV/0!</v>
      </c>
    </row>
    <row r="206" spans="2:32">
      <c r="B206" s="20" t="s">
        <v>258</v>
      </c>
      <c r="C206" s="25"/>
      <c r="D206" s="25"/>
      <c r="E206" s="25"/>
      <c r="F206" s="25"/>
      <c r="G206" s="25">
        <f t="shared" ref="G206:Q206" si="446">G201/G75</f>
        <v>82.352941176470594</v>
      </c>
      <c r="H206" s="25">
        <f t="shared" si="446"/>
        <v>82.352941176470594</v>
      </c>
      <c r="I206" s="25">
        <f t="shared" si="446"/>
        <v>8.0198019801980198</v>
      </c>
      <c r="J206" s="25">
        <f t="shared" si="446"/>
        <v>6.9033530571992108</v>
      </c>
      <c r="K206" s="25">
        <f t="shared" si="446"/>
        <v>3.774193548387097</v>
      </c>
      <c r="L206" s="25">
        <f t="shared" si="446"/>
        <v>1.0068198944988698</v>
      </c>
      <c r="M206" s="25">
        <f t="shared" si="446"/>
        <v>2.8413241178610402</v>
      </c>
      <c r="N206" s="25">
        <f t="shared" si="446"/>
        <v>2.7188044109112015</v>
      </c>
      <c r="O206" s="25">
        <f t="shared" si="446"/>
        <v>2.7347096923432801</v>
      </c>
      <c r="P206" s="25">
        <f t="shared" si="446"/>
        <v>2.7640300972655529</v>
      </c>
      <c r="Q206" s="25">
        <f t="shared" si="446"/>
        <v>3.0320958438100871</v>
      </c>
      <c r="R206" s="118">
        <f t="shared" si="428"/>
        <v>-0.28782558855094675</v>
      </c>
      <c r="S206" s="128"/>
      <c r="T206" s="119">
        <f t="shared" ref="T206:AC206" si="447">T201/T75</f>
        <v>0.24741902085490311</v>
      </c>
      <c r="U206" s="119">
        <f t="shared" si="447"/>
        <v>0.20189392101760095</v>
      </c>
      <c r="V206" s="119">
        <f t="shared" si="447"/>
        <v>0.16474543955036233</v>
      </c>
      <c r="W206" s="119">
        <f t="shared" si="447"/>
        <v>0.13443227867309568</v>
      </c>
      <c r="X206" s="119">
        <f t="shared" si="447"/>
        <v>0.10969673939724608</v>
      </c>
      <c r="Y206" s="119">
        <f t="shared" si="447"/>
        <v>8.95125393481528E-2</v>
      </c>
      <c r="Z206" s="119">
        <f t="shared" si="447"/>
        <v>7.3042232108092686E-2</v>
      </c>
      <c r="AA206" s="119">
        <f t="shared" si="447"/>
        <v>5.9602461400203637E-2</v>
      </c>
      <c r="AB206" s="119">
        <f t="shared" si="447"/>
        <v>4.8635608502566166E-2</v>
      </c>
      <c r="AC206" s="119">
        <f t="shared" si="447"/>
        <v>3.9686656538094001E-2</v>
      </c>
      <c r="AD206" s="137">
        <f t="shared" si="430"/>
        <v>-0.31742831285857998</v>
      </c>
      <c r="AE206" s="31">
        <f t="shared" si="431"/>
        <v>0.05</v>
      </c>
      <c r="AF206" s="127">
        <f t="shared" si="432"/>
        <v>0.1593469888835817</v>
      </c>
    </row>
    <row r="207" spans="2:32">
      <c r="B207" s="20" t="s">
        <v>259</v>
      </c>
      <c r="C207" s="25"/>
      <c r="D207" s="25"/>
      <c r="E207" s="25"/>
      <c r="F207" s="25"/>
      <c r="G207" s="25">
        <f t="shared" ref="G207:Q207" si="448">G201/G84</f>
        <v>3.5443037974683542</v>
      </c>
      <c r="H207" s="25">
        <f t="shared" si="448"/>
        <v>3.5443037974683542</v>
      </c>
      <c r="I207" s="25">
        <f t="shared" si="448"/>
        <v>1.8</v>
      </c>
      <c r="J207" s="25">
        <f t="shared" si="448"/>
        <v>1.1389521640091116</v>
      </c>
      <c r="K207" s="25">
        <f t="shared" si="448"/>
        <v>0.75809935205183576</v>
      </c>
      <c r="L207" s="25">
        <f t="shared" si="448"/>
        <v>0.18772657018406633</v>
      </c>
      <c r="M207" s="25">
        <f t="shared" si="448"/>
        <v>0.76508962679988257</v>
      </c>
      <c r="N207" s="25">
        <f t="shared" si="448"/>
        <v>0.4976099426386234</v>
      </c>
      <c r="O207" s="25">
        <f t="shared" si="448"/>
        <v>0.42591598515689738</v>
      </c>
      <c r="P207" s="25">
        <f t="shared" si="448"/>
        <v>0.35046422338568939</v>
      </c>
      <c r="Q207" s="25">
        <f t="shared" si="448"/>
        <v>0.50083064594937943</v>
      </c>
      <c r="R207" s="118">
        <f t="shared" si="428"/>
        <v>-0.20656514457574082</v>
      </c>
      <c r="S207" s="128"/>
      <c r="T207" s="119">
        <f t="shared" ref="T207:AC207" si="449">T201/T84</f>
        <v>4.0867780709469365E-2</v>
      </c>
      <c r="U207" s="119">
        <f t="shared" si="449"/>
        <v>3.3348109058926996E-2</v>
      </c>
      <c r="V207" s="119">
        <f t="shared" si="449"/>
        <v>2.721205699208443E-2</v>
      </c>
      <c r="W207" s="119">
        <f t="shared" si="449"/>
        <v>2.2205038505540894E-2</v>
      </c>
      <c r="X207" s="119">
        <f t="shared" si="449"/>
        <v>1.811931142052137E-2</v>
      </c>
      <c r="Y207" s="119">
        <f t="shared" si="449"/>
        <v>1.4785358119145437E-2</v>
      </c>
      <c r="Z207" s="119">
        <f t="shared" si="449"/>
        <v>1.2064852225222676E-2</v>
      </c>
      <c r="AA207" s="119">
        <f t="shared" si="449"/>
        <v>9.8449194157817065E-3</v>
      </c>
      <c r="AB207" s="119">
        <f t="shared" si="449"/>
        <v>8.0334542432778724E-3</v>
      </c>
      <c r="AC207" s="119">
        <f t="shared" si="449"/>
        <v>6.5552986625147438E-3</v>
      </c>
      <c r="AD207" s="137">
        <f t="shared" si="430"/>
        <v>-0.26994920680993328</v>
      </c>
      <c r="AE207" s="31">
        <f t="shared" si="431"/>
        <v>0.05</v>
      </c>
      <c r="AF207" s="127">
        <f t="shared" si="432"/>
        <v>2.8151182283333367E-2</v>
      </c>
    </row>
    <row r="208" spans="2:32">
      <c r="B208" s="20" t="s">
        <v>260</v>
      </c>
      <c r="C208" s="25"/>
      <c r="D208" s="25"/>
      <c r="E208" s="25"/>
      <c r="F208" s="25"/>
      <c r="G208" s="25" t="e">
        <f t="shared" ref="G208:Q208" si="450">G201/G86</f>
        <v>#DIV/0!</v>
      </c>
      <c r="H208" s="25" t="e">
        <f t="shared" si="450"/>
        <v>#DIV/0!</v>
      </c>
      <c r="I208" s="25" t="e">
        <f t="shared" si="450"/>
        <v>#DIV/0!</v>
      </c>
      <c r="J208" s="25" t="e">
        <f t="shared" si="450"/>
        <v>#DIV/0!</v>
      </c>
      <c r="K208" s="25" t="e">
        <f t="shared" si="450"/>
        <v>#DIV/0!</v>
      </c>
      <c r="L208" s="25" t="e">
        <f t="shared" si="450"/>
        <v>#DIV/0!</v>
      </c>
      <c r="M208" s="25" t="e">
        <f t="shared" si="450"/>
        <v>#DIV/0!</v>
      </c>
      <c r="N208" s="25" t="e">
        <f t="shared" si="450"/>
        <v>#DIV/0!</v>
      </c>
      <c r="O208" s="25" t="e">
        <f t="shared" si="450"/>
        <v>#DIV/0!</v>
      </c>
      <c r="P208" s="25" t="e">
        <f t="shared" si="450"/>
        <v>#DIV/0!</v>
      </c>
      <c r="Q208" s="25" t="e">
        <f t="shared" si="450"/>
        <v>#DIV/0!</v>
      </c>
      <c r="R208" s="118" t="e">
        <f t="shared" si="428"/>
        <v>#DIV/0!</v>
      </c>
      <c r="S208" s="128"/>
      <c r="T208" s="119" t="e">
        <f t="shared" ref="T208:AC208" si="451">T201/T86</f>
        <v>#DIV/0!</v>
      </c>
      <c r="U208" s="119" t="e">
        <f t="shared" si="451"/>
        <v>#DIV/0!</v>
      </c>
      <c r="V208" s="119" t="e">
        <f t="shared" si="451"/>
        <v>#DIV/0!</v>
      </c>
      <c r="W208" s="119" t="e">
        <f t="shared" si="451"/>
        <v>#DIV/0!</v>
      </c>
      <c r="X208" s="119" t="e">
        <f t="shared" si="451"/>
        <v>#DIV/0!</v>
      </c>
      <c r="Y208" s="119" t="e">
        <f t="shared" si="451"/>
        <v>#DIV/0!</v>
      </c>
      <c r="Z208" s="119" t="e">
        <f t="shared" si="451"/>
        <v>#DIV/0!</v>
      </c>
      <c r="AA208" s="119" t="e">
        <f t="shared" si="451"/>
        <v>#DIV/0!</v>
      </c>
      <c r="AB208" s="119" t="e">
        <f t="shared" si="451"/>
        <v>#DIV/0!</v>
      </c>
      <c r="AC208" s="119" t="e">
        <f t="shared" si="451"/>
        <v>#DIV/0!</v>
      </c>
      <c r="AD208" s="137" t="e">
        <f t="shared" si="430"/>
        <v>#DIV/0!</v>
      </c>
      <c r="AE208" s="31">
        <f t="shared" si="431"/>
        <v>0.05</v>
      </c>
      <c r="AF208" s="127" t="e">
        <f t="shared" si="432"/>
        <v>#DIV/0!</v>
      </c>
    </row>
    <row r="209" spans="2:32">
      <c r="B209" s="20" t="s">
        <v>281</v>
      </c>
      <c r="C209" s="25"/>
      <c r="D209" s="25"/>
      <c r="E209" s="25"/>
      <c r="F209" s="25"/>
      <c r="G209" s="180">
        <f t="shared" ref="G209:Q209" si="452">G201/G80</f>
        <v>-1.7177914110429449</v>
      </c>
      <c r="H209" s="180">
        <f t="shared" si="452"/>
        <v>-1.7177914110429449</v>
      </c>
      <c r="I209" s="180">
        <f t="shared" si="452"/>
        <v>-0.86692829111666081</v>
      </c>
      <c r="J209" s="180">
        <f t="shared" si="452"/>
        <v>-0.42168674698795178</v>
      </c>
      <c r="K209" s="180">
        <f t="shared" si="452"/>
        <v>-0.29837712519319937</v>
      </c>
      <c r="L209" s="180">
        <f t="shared" si="452"/>
        <v>-7.9840444603800645E-2</v>
      </c>
      <c r="M209" s="180">
        <f t="shared" si="452"/>
        <v>-0.27446763651697237</v>
      </c>
      <c r="N209" s="180">
        <f t="shared" si="452"/>
        <v>-0.19185010750486331</v>
      </c>
      <c r="O209" s="180">
        <f t="shared" si="452"/>
        <v>-0.20163306726702143</v>
      </c>
      <c r="P209" s="180">
        <f t="shared" si="452"/>
        <v>-0.1835165102960887</v>
      </c>
      <c r="Q209" s="180">
        <f t="shared" si="452"/>
        <v>-0.23194243301955106</v>
      </c>
      <c r="R209" s="118">
        <f t="shared" ref="R209:R227" si="453">((P209/G209)^(1/($H$2-$H$1) ))-1</f>
        <v>-0.20040426025528557</v>
      </c>
      <c r="S209" s="128"/>
      <c r="T209" s="134">
        <f t="shared" ref="T209:AC209" si="454">T201/T80</f>
        <v>-1.8926502534395366E-2</v>
      </c>
      <c r="U209" s="134">
        <f t="shared" si="454"/>
        <v>-1.5444026068066618E-2</v>
      </c>
      <c r="V209" s="134">
        <f t="shared" si="454"/>
        <v>-1.2602325271542359E-2</v>
      </c>
      <c r="W209" s="134">
        <f t="shared" si="454"/>
        <v>-1.0283497421578565E-2</v>
      </c>
      <c r="X209" s="134">
        <f t="shared" si="454"/>
        <v>-8.3913338960081088E-3</v>
      </c>
      <c r="Y209" s="134">
        <f t="shared" si="454"/>
        <v>-6.8473284591426178E-3</v>
      </c>
      <c r="Z209" s="134">
        <f t="shared" si="454"/>
        <v>-5.5874200226603762E-3</v>
      </c>
      <c r="AA209" s="134">
        <f t="shared" si="454"/>
        <v>-4.5593347384908674E-3</v>
      </c>
      <c r="AB209" s="134">
        <f t="shared" si="454"/>
        <v>-3.7204171466085475E-3</v>
      </c>
      <c r="AC209" s="134">
        <f t="shared" si="454"/>
        <v>-3.0358603916325749E-3</v>
      </c>
      <c r="AD209" s="137">
        <f t="shared" ref="AD209" si="455">((AC209/G209)^(1/($AC$3-$H$1) ))-1</f>
        <v>-0.27160732710648394</v>
      </c>
      <c r="AE209" s="31">
        <f t="shared" ref="AE209:AE212" si="456">$L$1</f>
        <v>0.05</v>
      </c>
      <c r="AF209" s="127">
        <f t="shared" si="432"/>
        <v>-1.3007638030545931E-2</v>
      </c>
    </row>
    <row r="210" spans="2:32">
      <c r="B210" s="20"/>
      <c r="C210" s="25"/>
      <c r="D210" s="25"/>
      <c r="E210" s="25"/>
      <c r="F210" s="25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28"/>
      <c r="T210" s="134"/>
      <c r="U210" s="134"/>
      <c r="V210" s="134"/>
      <c r="W210" s="134"/>
      <c r="X210" s="134"/>
      <c r="Y210" s="134"/>
      <c r="Z210" s="134"/>
      <c r="AA210" s="134"/>
      <c r="AB210" s="134"/>
      <c r="AC210" s="134"/>
      <c r="AD210" s="137"/>
      <c r="AE210" s="31">
        <f t="shared" si="456"/>
        <v>0.05</v>
      </c>
      <c r="AF210" s="127"/>
    </row>
    <row r="211" spans="2:32">
      <c r="B211" s="20" t="s">
        <v>318</v>
      </c>
      <c r="C211" s="150"/>
      <c r="D211" s="150"/>
      <c r="E211" s="150"/>
      <c r="F211" s="150"/>
      <c r="G211" s="150">
        <f t="shared" ref="G211:Q211" si="457">G59/G201</f>
        <v>0</v>
      </c>
      <c r="H211" s="150">
        <f t="shared" si="457"/>
        <v>0</v>
      </c>
      <c r="I211" s="150">
        <f t="shared" si="457"/>
        <v>0</v>
      </c>
      <c r="J211" s="150">
        <f t="shared" si="457"/>
        <v>0</v>
      </c>
      <c r="K211" s="150">
        <f t="shared" si="457"/>
        <v>0</v>
      </c>
      <c r="L211" s="150">
        <f t="shared" si="457"/>
        <v>0</v>
      </c>
      <c r="M211" s="150">
        <f t="shared" si="457"/>
        <v>6.5217391304347823E-3</v>
      </c>
      <c r="N211" s="150">
        <f t="shared" si="457"/>
        <v>9.2592592592592587E-3</v>
      </c>
      <c r="O211" s="150">
        <f t="shared" si="457"/>
        <v>1.1940298507462687E-2</v>
      </c>
      <c r="P211" s="150">
        <f t="shared" si="457"/>
        <v>1.4285714285714285E-2</v>
      </c>
      <c r="Q211" s="150">
        <f t="shared" si="457"/>
        <v>1.6E-2</v>
      </c>
      <c r="R211" s="118" t="e">
        <f t="shared" si="453"/>
        <v>#DIV/0!</v>
      </c>
      <c r="S211" s="128"/>
      <c r="T211" s="150">
        <f t="shared" ref="T211:AC211" si="458">T59/T201</f>
        <v>0.16800000000000001</v>
      </c>
      <c r="U211" s="150">
        <f t="shared" si="458"/>
        <v>0.1764</v>
      </c>
      <c r="V211" s="150">
        <f t="shared" si="458"/>
        <v>0.18522000000000002</v>
      </c>
      <c r="W211" s="150">
        <f t="shared" si="458"/>
        <v>0.19448100000000004</v>
      </c>
      <c r="X211" s="150">
        <f t="shared" si="458"/>
        <v>0.20420505000000005</v>
      </c>
      <c r="Y211" s="150">
        <f t="shared" si="458"/>
        <v>0.21441530250000007</v>
      </c>
      <c r="Z211" s="150">
        <f t="shared" si="458"/>
        <v>0.22513606762500007</v>
      </c>
      <c r="AA211" s="150">
        <f t="shared" si="458"/>
        <v>0.23639287100625009</v>
      </c>
      <c r="AB211" s="150">
        <f t="shared" si="458"/>
        <v>0.2482125145565626</v>
      </c>
      <c r="AC211" s="150">
        <f t="shared" si="458"/>
        <v>0.26062314028439071</v>
      </c>
      <c r="AD211" s="137" t="e">
        <f t="shared" ref="AD211:AD216" si="459">((AC211/G211)^(1/($AC$3-$H$1) ))-1</f>
        <v>#DIV/0!</v>
      </c>
      <c r="AE211" s="31">
        <f t="shared" si="456"/>
        <v>0.05</v>
      </c>
      <c r="AF211" s="127" t="e">
        <f t="shared" si="432"/>
        <v>#DIV/0!</v>
      </c>
    </row>
    <row r="212" spans="2:32">
      <c r="B212" s="20" t="s">
        <v>153</v>
      </c>
      <c r="C212" s="150"/>
      <c r="D212" s="150"/>
      <c r="E212" s="150"/>
      <c r="F212" s="150"/>
      <c r="G212" s="163">
        <f t="shared" ref="G212:Q212" si="460">G201*G57</f>
        <v>1400</v>
      </c>
      <c r="H212" s="163">
        <f t="shared" si="460"/>
        <v>1400</v>
      </c>
      <c r="I212" s="163">
        <f t="shared" si="460"/>
        <v>2430</v>
      </c>
      <c r="J212" s="163">
        <f t="shared" si="460"/>
        <v>3500</v>
      </c>
      <c r="K212" s="163">
        <f t="shared" si="460"/>
        <v>3861</v>
      </c>
      <c r="L212" s="163">
        <f t="shared" si="460"/>
        <v>1336.05</v>
      </c>
      <c r="M212" s="163">
        <f t="shared" si="460"/>
        <v>7810.8</v>
      </c>
      <c r="N212" s="163">
        <f t="shared" si="460"/>
        <v>9369</v>
      </c>
      <c r="O212" s="163">
        <f t="shared" si="460"/>
        <v>11822.15</v>
      </c>
      <c r="P212" s="163">
        <f t="shared" si="460"/>
        <v>15061.199999999999</v>
      </c>
      <c r="Q212" s="163">
        <f t="shared" si="460"/>
        <v>20500</v>
      </c>
      <c r="R212" s="118">
        <f t="shared" si="453"/>
        <v>0.26815738171539927</v>
      </c>
      <c r="S212" s="128"/>
      <c r="T212" s="163">
        <f t="shared" ref="T212:AC212" si="461">T201*T57</f>
        <v>2091</v>
      </c>
      <c r="U212" s="163">
        <f t="shared" si="461"/>
        <v>2132.8199999999997</v>
      </c>
      <c r="V212" s="163">
        <f t="shared" si="461"/>
        <v>2175.4764</v>
      </c>
      <c r="W212" s="163">
        <f t="shared" si="461"/>
        <v>2218.9859279999996</v>
      </c>
      <c r="X212" s="163">
        <f t="shared" si="461"/>
        <v>2263.3656465599997</v>
      </c>
      <c r="Y212" s="163">
        <f t="shared" si="461"/>
        <v>2308.6329594911999</v>
      </c>
      <c r="Z212" s="163">
        <f t="shared" si="461"/>
        <v>2354.805618681024</v>
      </c>
      <c r="AA212" s="163">
        <f t="shared" si="461"/>
        <v>2401.9017310546446</v>
      </c>
      <c r="AB212" s="163">
        <f t="shared" si="461"/>
        <v>2449.9397656757374</v>
      </c>
      <c r="AC212" s="163">
        <f t="shared" si="461"/>
        <v>2498.9385609892524</v>
      </c>
      <c r="AD212" s="137">
        <f t="shared" si="459"/>
        <v>2.9393394606418655E-2</v>
      </c>
      <c r="AE212" s="31">
        <f t="shared" si="456"/>
        <v>0.05</v>
      </c>
      <c r="AF212" s="127">
        <f t="shared" si="432"/>
        <v>15131.710871821209</v>
      </c>
    </row>
    <row r="213" spans="2:32">
      <c r="B213" s="2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28"/>
      <c r="T213" s="150"/>
      <c r="U213" s="150"/>
      <c r="V213" s="150"/>
      <c r="W213" s="150"/>
      <c r="X213" s="150"/>
      <c r="Y213" s="150"/>
      <c r="Z213" s="150"/>
      <c r="AA213" s="150"/>
      <c r="AB213" s="150"/>
      <c r="AC213" s="150"/>
      <c r="AD213" s="150"/>
      <c r="AE213" s="150"/>
      <c r="AF213" s="150"/>
    </row>
    <row r="214" spans="2:32">
      <c r="B214" s="20" t="s">
        <v>369</v>
      </c>
      <c r="C214" s="159"/>
      <c r="D214" s="159"/>
      <c r="E214" s="159"/>
      <c r="F214" s="159"/>
      <c r="G214" s="159">
        <f t="shared" ref="G214:Q214" si="462">G72/G201</f>
        <v>-2.8571428571428571E-3</v>
      </c>
      <c r="H214" s="159">
        <f t="shared" si="462"/>
        <v>-2.8571428571428571E-3</v>
      </c>
      <c r="I214" s="159">
        <f t="shared" si="462"/>
        <v>2.2633744855967079E-2</v>
      </c>
      <c r="J214" s="159">
        <f t="shared" si="462"/>
        <v>2.6857142857142857E-2</v>
      </c>
      <c r="K214" s="159">
        <f t="shared" si="462"/>
        <v>5.1800051800051802E-2</v>
      </c>
      <c r="L214" s="159">
        <f t="shared" si="462"/>
        <v>0.2275363945960106</v>
      </c>
      <c r="M214" s="159">
        <f t="shared" si="462"/>
        <v>6.1197316536078246E-2</v>
      </c>
      <c r="N214" s="159">
        <f t="shared" si="462"/>
        <v>7.7596328316789406E-2</v>
      </c>
      <c r="O214" s="159">
        <f t="shared" si="462"/>
        <v>8.2641482302288502E-2</v>
      </c>
      <c r="P214" s="159">
        <f t="shared" si="462"/>
        <v>8.6314503492417607E-2</v>
      </c>
      <c r="Q214" s="159">
        <f t="shared" si="462"/>
        <v>7.8585365853658523E-2</v>
      </c>
      <c r="R214" s="118" t="e">
        <f t="shared" ref="R214" si="463">((P214/G214)^(1/($H$2-$H$1) ))-1</f>
        <v>#NUM!</v>
      </c>
      <c r="S214" s="128"/>
      <c r="T214" s="159">
        <f t="shared" ref="T214:AC214" si="464">T72/T201</f>
        <v>0.96305595408895273</v>
      </c>
      <c r="U214" s="159">
        <f t="shared" si="464"/>
        <v>1.1802156300109714</v>
      </c>
      <c r="V214" s="159">
        <f t="shared" si="464"/>
        <v>1.4463426838369748</v>
      </c>
      <c r="W214" s="159">
        <f t="shared" si="464"/>
        <v>1.7724787792119789</v>
      </c>
      <c r="X214" s="159">
        <f t="shared" si="464"/>
        <v>2.1721553666813467</v>
      </c>
      <c r="Y214" s="159">
        <f t="shared" si="464"/>
        <v>2.6619551062271412</v>
      </c>
      <c r="Z214" s="159">
        <f t="shared" si="464"/>
        <v>3.2621998850822802</v>
      </c>
      <c r="AA214" s="159">
        <f t="shared" si="464"/>
        <v>3.9977939768165198</v>
      </c>
      <c r="AB214" s="159">
        <f t="shared" si="464"/>
        <v>4.8992573245300486</v>
      </c>
      <c r="AC214" s="159">
        <f t="shared" si="464"/>
        <v>6.0039918192770196</v>
      </c>
      <c r="AD214" s="137" t="e">
        <f t="shared" ref="AD214" si="465">((AC214/G214)^(1/($AC$3-$H$1) ))-1</f>
        <v>#NUM!</v>
      </c>
      <c r="AE214" s="31">
        <f t="shared" ref="AE214" si="466">$L$1</f>
        <v>0.05</v>
      </c>
      <c r="AF214" s="127" t="e">
        <f t="shared" ref="AF214" si="467">(AC214*(1+AD214))/($C$1-AE214)</f>
        <v>#NUM!</v>
      </c>
    </row>
    <row r="215" spans="2:32">
      <c r="B215" s="20" t="str">
        <f>B203</f>
        <v>P/E (how many years it will take to recover invested amount)</v>
      </c>
      <c r="C215" s="150"/>
      <c r="D215" s="150"/>
      <c r="E215" s="150"/>
      <c r="F215" s="150"/>
      <c r="G215" s="179">
        <f t="shared" ref="G215:Q215" si="468">G203</f>
        <v>-350</v>
      </c>
      <c r="H215" s="179">
        <f t="shared" si="468"/>
        <v>-350</v>
      </c>
      <c r="I215" s="179">
        <f t="shared" si="468"/>
        <v>44.18181818181818</v>
      </c>
      <c r="J215" s="179">
        <f t="shared" si="468"/>
        <v>37.234042553191486</v>
      </c>
      <c r="K215" s="179">
        <f t="shared" si="468"/>
        <v>19.305</v>
      </c>
      <c r="L215" s="179">
        <f t="shared" si="468"/>
        <v>4.3949013157894736</v>
      </c>
      <c r="M215" s="179">
        <f t="shared" si="468"/>
        <v>16.340585774058578</v>
      </c>
      <c r="N215" s="179">
        <f t="shared" si="468"/>
        <v>12.887207702888585</v>
      </c>
      <c r="O215" s="179">
        <f t="shared" si="468"/>
        <v>12.100460593654043</v>
      </c>
      <c r="P215" s="179">
        <f t="shared" si="468"/>
        <v>11.585538461538462</v>
      </c>
      <c r="Q215" s="179">
        <f t="shared" si="468"/>
        <v>12.72501551831161</v>
      </c>
      <c r="R215" s="118" t="e">
        <f t="shared" si="453"/>
        <v>#NUM!</v>
      </c>
      <c r="S215" s="128"/>
      <c r="T215" s="150">
        <f t="shared" ref="T215:AC215" si="469">T203</f>
        <v>1.0383612662942272</v>
      </c>
      <c r="U215" s="150">
        <f t="shared" si="469"/>
        <v>0.84730279329608926</v>
      </c>
      <c r="V215" s="150">
        <f t="shared" si="469"/>
        <v>0.69139907932960898</v>
      </c>
      <c r="W215" s="150">
        <f t="shared" si="469"/>
        <v>0.56418164873296084</v>
      </c>
      <c r="X215" s="150">
        <f t="shared" si="469"/>
        <v>0.46037222536609601</v>
      </c>
      <c r="Y215" s="150">
        <f t="shared" si="469"/>
        <v>0.37566373589873436</v>
      </c>
      <c r="Z215" s="150">
        <f t="shared" si="469"/>
        <v>0.30654160849336726</v>
      </c>
      <c r="AA215" s="150">
        <f t="shared" si="469"/>
        <v>0.25013795253058768</v>
      </c>
      <c r="AB215" s="150">
        <f t="shared" si="469"/>
        <v>0.20411256926495955</v>
      </c>
      <c r="AC215" s="150">
        <f t="shared" si="469"/>
        <v>0.16655585652020702</v>
      </c>
      <c r="AD215" s="137" t="e">
        <f t="shared" ref="AD215" si="470">((AC215/G215)^(1/($AC$3-$H$1) ))-1</f>
        <v>#NUM!</v>
      </c>
      <c r="AE215" s="31">
        <f t="shared" ref="AE215:AE217" si="471">$L$1</f>
        <v>0.05</v>
      </c>
      <c r="AF215" s="179">
        <f>(AF202)/($L$2*100)</f>
        <v>3.7738258291972939E-3</v>
      </c>
    </row>
    <row r="216" spans="2:32">
      <c r="B216" s="20" t="s">
        <v>444</v>
      </c>
      <c r="C216" s="179"/>
      <c r="D216" s="179"/>
      <c r="E216" s="179"/>
      <c r="F216" s="179"/>
      <c r="G216" s="179">
        <f t="shared" ref="G216:Q216" si="472">(G203)/($L$2*100)</f>
        <v>-14</v>
      </c>
      <c r="H216" s="179">
        <f t="shared" si="472"/>
        <v>-14</v>
      </c>
      <c r="I216" s="179">
        <f t="shared" si="472"/>
        <v>1.7672727272727271</v>
      </c>
      <c r="J216" s="179">
        <f t="shared" si="472"/>
        <v>1.4893617021276595</v>
      </c>
      <c r="K216" s="179">
        <f t="shared" si="472"/>
        <v>0.7722</v>
      </c>
      <c r="L216" s="179">
        <f t="shared" si="472"/>
        <v>0.17579605263157894</v>
      </c>
      <c r="M216" s="179">
        <f t="shared" si="472"/>
        <v>0.6536234309623431</v>
      </c>
      <c r="N216" s="179">
        <f t="shared" si="472"/>
        <v>0.51548830811554336</v>
      </c>
      <c r="O216" s="179">
        <f t="shared" si="472"/>
        <v>0.48401842374616172</v>
      </c>
      <c r="P216" s="179">
        <f t="shared" si="472"/>
        <v>0.4634215384615385</v>
      </c>
      <c r="Q216" s="179">
        <f t="shared" si="472"/>
        <v>0.50900062073246444</v>
      </c>
      <c r="R216" s="118" t="e">
        <f t="shared" si="453"/>
        <v>#NUM!</v>
      </c>
      <c r="S216" s="128"/>
      <c r="T216" s="179">
        <f t="shared" ref="T216:AC216" si="473">(T203)/($L$2*100)</f>
        <v>4.1534450651769091E-2</v>
      </c>
      <c r="U216" s="179">
        <f t="shared" si="473"/>
        <v>3.3892111731843567E-2</v>
      </c>
      <c r="V216" s="179">
        <f t="shared" si="473"/>
        <v>2.7655963173184358E-2</v>
      </c>
      <c r="W216" s="179">
        <f t="shared" si="473"/>
        <v>2.2567265949318432E-2</v>
      </c>
      <c r="X216" s="179">
        <f t="shared" si="473"/>
        <v>1.8414889014643842E-2</v>
      </c>
      <c r="Y216" s="179">
        <f t="shared" si="473"/>
        <v>1.5026549435949374E-2</v>
      </c>
      <c r="Z216" s="179">
        <f t="shared" si="473"/>
        <v>1.226166433973469E-2</v>
      </c>
      <c r="AA216" s="179">
        <f t="shared" si="473"/>
        <v>1.0005518101223507E-2</v>
      </c>
      <c r="AB216" s="179">
        <f t="shared" si="473"/>
        <v>8.1645027705983825E-3</v>
      </c>
      <c r="AC216" s="179">
        <f t="shared" si="473"/>
        <v>6.6622342608082807E-3</v>
      </c>
      <c r="AD216" s="137" t="e">
        <f t="shared" si="459"/>
        <v>#NUM!</v>
      </c>
      <c r="AE216" s="31">
        <f t="shared" si="471"/>
        <v>0.05</v>
      </c>
      <c r="AF216" s="179" t="e">
        <f>(AF203)/($L$2*100)</f>
        <v>#NUM!</v>
      </c>
    </row>
    <row r="217" spans="2:32">
      <c r="B217" s="20" t="s">
        <v>445</v>
      </c>
      <c r="C217" s="150"/>
      <c r="D217" s="150"/>
      <c r="E217" s="150"/>
      <c r="F217" s="150"/>
      <c r="G217" s="150">
        <f t="shared" ref="G217:P217" si="474">G216-1</f>
        <v>-15</v>
      </c>
      <c r="H217" s="150">
        <f t="shared" si="474"/>
        <v>-15</v>
      </c>
      <c r="I217" s="150">
        <f t="shared" si="474"/>
        <v>0.76727272727272711</v>
      </c>
      <c r="J217" s="150">
        <f t="shared" si="474"/>
        <v>0.4893617021276595</v>
      </c>
      <c r="K217" s="150">
        <f t="shared" si="474"/>
        <v>-0.2278</v>
      </c>
      <c r="L217" s="150">
        <f t="shared" si="474"/>
        <v>-0.82420394736842106</v>
      </c>
      <c r="M217" s="150">
        <f t="shared" si="474"/>
        <v>-0.3463765690376569</v>
      </c>
      <c r="N217" s="150">
        <f t="shared" si="474"/>
        <v>-0.48451169188445664</v>
      </c>
      <c r="O217" s="150">
        <f t="shared" si="474"/>
        <v>-0.51598157625383823</v>
      </c>
      <c r="P217" s="150">
        <f t="shared" si="474"/>
        <v>-0.53657846153846145</v>
      </c>
      <c r="Q217" s="150">
        <f>Q216-1</f>
        <v>-0.49099937926753556</v>
      </c>
      <c r="R217" s="118">
        <f t="shared" si="453"/>
        <v>-0.28327228624054812</v>
      </c>
      <c r="S217" s="128"/>
      <c r="T217" s="150">
        <f t="shared" ref="T217:AC217" si="475">T216-1</f>
        <v>-0.95846554934823092</v>
      </c>
      <c r="U217" s="150">
        <f t="shared" si="475"/>
        <v>-0.96610788826815641</v>
      </c>
      <c r="V217" s="150">
        <f t="shared" si="475"/>
        <v>-0.97234403682681569</v>
      </c>
      <c r="W217" s="150">
        <f t="shared" si="475"/>
        <v>-0.97743273405068154</v>
      </c>
      <c r="X217" s="150">
        <f t="shared" si="475"/>
        <v>-0.98158511098535617</v>
      </c>
      <c r="Y217" s="150">
        <f t="shared" si="475"/>
        <v>-0.98497345056405061</v>
      </c>
      <c r="Z217" s="150">
        <f t="shared" si="475"/>
        <v>-0.98773833566026537</v>
      </c>
      <c r="AA217" s="150">
        <f t="shared" si="475"/>
        <v>-0.98999448189877648</v>
      </c>
      <c r="AB217" s="150">
        <f t="shared" si="475"/>
        <v>-0.99183549722940156</v>
      </c>
      <c r="AC217" s="150">
        <f t="shared" si="475"/>
        <v>-0.99333776573919175</v>
      </c>
      <c r="AD217" s="137">
        <f t="shared" ref="AD217" si="476">((AC217/G217)^(1/($AC$3-$H$1) ))-1</f>
        <v>-0.12692754952871865</v>
      </c>
      <c r="AE217" s="31">
        <f t="shared" si="471"/>
        <v>0.05</v>
      </c>
      <c r="AF217" s="179" t="e">
        <f>(AF204)/($L$2*100)</f>
        <v>#DIV/0!</v>
      </c>
    </row>
    <row r="218" spans="2:32">
      <c r="B218" s="2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28"/>
      <c r="S218" s="128"/>
      <c r="T218" s="150"/>
      <c r="U218" s="150"/>
      <c r="V218" s="150"/>
      <c r="W218" s="150"/>
      <c r="X218" s="150"/>
      <c r="Y218" s="150"/>
      <c r="Z218" s="150"/>
      <c r="AA218" s="150"/>
      <c r="AB218" s="150"/>
      <c r="AC218" s="134"/>
      <c r="AD218" s="136"/>
      <c r="AE218" s="20"/>
      <c r="AF218" s="127"/>
    </row>
    <row r="219" spans="2:32">
      <c r="B219" s="20" t="s">
        <v>473</v>
      </c>
      <c r="C219" s="150"/>
      <c r="D219" s="150"/>
      <c r="E219" s="150"/>
      <c r="F219" s="150"/>
      <c r="G219" s="150">
        <f t="shared" ref="G219:Q219" si="477">1/G220</f>
        <v>0.1817548305353183</v>
      </c>
      <c r="H219" s="150">
        <f t="shared" si="477"/>
        <v>0.1817548305353183</v>
      </c>
      <c r="I219" s="150">
        <f t="shared" si="477"/>
        <v>0.14136486819413646</v>
      </c>
      <c r="J219" s="150">
        <f t="shared" si="477"/>
        <v>0.10178270509977826</v>
      </c>
      <c r="K219" s="150">
        <f t="shared" si="477"/>
        <v>9.78679856728637E-2</v>
      </c>
      <c r="L219" s="150">
        <f t="shared" si="477"/>
        <v>0.28272973638827292</v>
      </c>
      <c r="M219" s="150">
        <f t="shared" si="477"/>
        <v>5.5316687554227313E-2</v>
      </c>
      <c r="N219" s="150">
        <f t="shared" si="477"/>
        <v>4.7121622731378821E-2</v>
      </c>
      <c r="O219" s="150">
        <f t="shared" si="477"/>
        <v>3.7978621305887403E-2</v>
      </c>
      <c r="P219" s="150">
        <f t="shared" si="477"/>
        <v>3.0292471755886383E-2</v>
      </c>
      <c r="Q219" s="150">
        <f t="shared" si="477"/>
        <v>2.5445676274944564E-2</v>
      </c>
      <c r="R219" s="118">
        <f t="shared" ref="R219" si="478">((P219/G219)^(1/($H$2-$H$1) ))-1</f>
        <v>-0.16404119792206318</v>
      </c>
      <c r="S219" s="128"/>
      <c r="T219" s="150">
        <f t="shared" ref="T219:AC219" si="479">1/T220</f>
        <v>0.25445676274944562</v>
      </c>
      <c r="U219" s="150">
        <f t="shared" si="479"/>
        <v>0.25445676274944562</v>
      </c>
      <c r="V219" s="150">
        <f t="shared" si="479"/>
        <v>0.25445676274944562</v>
      </c>
      <c r="W219" s="150">
        <f t="shared" si="479"/>
        <v>0.25445676274944562</v>
      </c>
      <c r="X219" s="150">
        <f t="shared" si="479"/>
        <v>0.25445676274944562</v>
      </c>
      <c r="Y219" s="150">
        <f t="shared" si="479"/>
        <v>0.25445676274944562</v>
      </c>
      <c r="Z219" s="150">
        <f t="shared" si="479"/>
        <v>0.25445676274944562</v>
      </c>
      <c r="AA219" s="150">
        <f t="shared" si="479"/>
        <v>0.25445676274944562</v>
      </c>
      <c r="AB219" s="150">
        <f t="shared" si="479"/>
        <v>0.25445676274944562</v>
      </c>
      <c r="AC219" s="150">
        <f t="shared" si="479"/>
        <v>0.25445676274944562</v>
      </c>
      <c r="AD219" s="137">
        <f t="shared" ref="AD219" si="480">((AC219/G219)^(1/($AC$3-$H$1) ))-1</f>
        <v>1.696592574647271E-2</v>
      </c>
      <c r="AE219" s="31">
        <f t="shared" ref="AE219:AE222" si="481">$L$1</f>
        <v>0.05</v>
      </c>
      <c r="AF219" s="179">
        <f>(AF206)/($L$2*100)</f>
        <v>6.3738795553432677E-3</v>
      </c>
    </row>
    <row r="220" spans="2:32">
      <c r="B220" s="20" t="s">
        <v>474</v>
      </c>
      <c r="C220" s="129"/>
      <c r="D220" s="129"/>
      <c r="E220" s="129"/>
      <c r="F220" s="129"/>
      <c r="G220" s="134">
        <f t="shared" ref="G220:Q220" si="482">G201/$S$170</f>
        <v>5.5019170442662961</v>
      </c>
      <c r="H220" s="134">
        <f t="shared" si="482"/>
        <v>5.5019170442662961</v>
      </c>
      <c r="I220" s="134">
        <f t="shared" si="482"/>
        <v>7.0738933426280948</v>
      </c>
      <c r="J220" s="134">
        <f t="shared" si="482"/>
        <v>9.8248518647612428</v>
      </c>
      <c r="K220" s="134">
        <f t="shared" si="482"/>
        <v>10.217845939351692</v>
      </c>
      <c r="L220" s="134">
        <f t="shared" si="482"/>
        <v>3.5369466713140474</v>
      </c>
      <c r="M220" s="134">
        <f t="shared" si="482"/>
        <v>18.077727431160685</v>
      </c>
      <c r="N220" s="134">
        <f t="shared" si="482"/>
        <v>21.221680027884283</v>
      </c>
      <c r="O220" s="134">
        <f t="shared" si="482"/>
        <v>26.330602997560131</v>
      </c>
      <c r="P220" s="134">
        <f t="shared" si="482"/>
        <v>33.011502265597777</v>
      </c>
      <c r="Q220" s="134">
        <f t="shared" si="482"/>
        <v>39.299407459044971</v>
      </c>
      <c r="R220" s="118">
        <f t="shared" si="453"/>
        <v>0.19623119885131546</v>
      </c>
      <c r="S220" s="128"/>
      <c r="T220" s="134">
        <f t="shared" ref="T220:AC220" si="483">T201/$S$170</f>
        <v>3.929940745904497</v>
      </c>
      <c r="U220" s="134">
        <f t="shared" si="483"/>
        <v>3.929940745904497</v>
      </c>
      <c r="V220" s="134">
        <f t="shared" si="483"/>
        <v>3.929940745904497</v>
      </c>
      <c r="W220" s="134">
        <f t="shared" si="483"/>
        <v>3.929940745904497</v>
      </c>
      <c r="X220" s="134">
        <f t="shared" si="483"/>
        <v>3.929940745904497</v>
      </c>
      <c r="Y220" s="134">
        <f t="shared" si="483"/>
        <v>3.929940745904497</v>
      </c>
      <c r="Z220" s="134">
        <f t="shared" si="483"/>
        <v>3.929940745904497</v>
      </c>
      <c r="AA220" s="134">
        <f t="shared" si="483"/>
        <v>3.929940745904497</v>
      </c>
      <c r="AB220" s="134">
        <f t="shared" si="483"/>
        <v>3.929940745904497</v>
      </c>
      <c r="AC220" s="134">
        <f t="shared" si="483"/>
        <v>3.929940745904497</v>
      </c>
      <c r="AD220" s="137">
        <f t="shared" ref="AD220:AD222" si="484">((AC220/G220)^(1/($AC$3-$H$1) ))-1</f>
        <v>-1.668288515568439E-2</v>
      </c>
      <c r="AE220" s="31">
        <f t="shared" si="481"/>
        <v>0.05</v>
      </c>
      <c r="AF220" s="179">
        <f>(AF206)/($L$2*100)</f>
        <v>6.3738795553432677E-3</v>
      </c>
    </row>
    <row r="221" spans="2:32">
      <c r="B221" s="20" t="s">
        <v>468</v>
      </c>
      <c r="C221" s="129"/>
      <c r="D221" s="129"/>
      <c r="E221" s="129"/>
      <c r="F221" s="129"/>
      <c r="G221" s="179">
        <f t="shared" ref="G221:Q221" si="485">(G220)/($L$2*100)</f>
        <v>0.22007668177065184</v>
      </c>
      <c r="H221" s="179">
        <f t="shared" si="485"/>
        <v>0.22007668177065184</v>
      </c>
      <c r="I221" s="179">
        <f t="shared" si="485"/>
        <v>0.28295573370512378</v>
      </c>
      <c r="J221" s="179">
        <f t="shared" si="485"/>
        <v>0.39299407459044972</v>
      </c>
      <c r="K221" s="179">
        <f t="shared" si="485"/>
        <v>0.40871383757406771</v>
      </c>
      <c r="L221" s="179">
        <f t="shared" si="485"/>
        <v>0.14147786685256189</v>
      </c>
      <c r="M221" s="179">
        <f t="shared" si="485"/>
        <v>0.72310909724642736</v>
      </c>
      <c r="N221" s="179">
        <f t="shared" si="485"/>
        <v>0.84886720111537128</v>
      </c>
      <c r="O221" s="179">
        <f t="shared" si="485"/>
        <v>1.0532241199024053</v>
      </c>
      <c r="P221" s="179">
        <f t="shared" si="485"/>
        <v>1.320460090623911</v>
      </c>
      <c r="Q221" s="179">
        <f t="shared" si="485"/>
        <v>1.5719762983617989</v>
      </c>
      <c r="R221" s="118">
        <f t="shared" si="453"/>
        <v>0.19623119885131546</v>
      </c>
      <c r="S221" s="128"/>
      <c r="T221" s="179">
        <f t="shared" ref="T221:AC221" si="486">(T220)/($L$2*100)</f>
        <v>0.15719762983617988</v>
      </c>
      <c r="U221" s="179">
        <f t="shared" si="486"/>
        <v>0.15719762983617988</v>
      </c>
      <c r="V221" s="179">
        <f t="shared" si="486"/>
        <v>0.15719762983617988</v>
      </c>
      <c r="W221" s="179">
        <f t="shared" si="486"/>
        <v>0.15719762983617988</v>
      </c>
      <c r="X221" s="179">
        <f t="shared" si="486"/>
        <v>0.15719762983617988</v>
      </c>
      <c r="Y221" s="179">
        <f t="shared" si="486"/>
        <v>0.15719762983617988</v>
      </c>
      <c r="Z221" s="179">
        <f t="shared" si="486"/>
        <v>0.15719762983617988</v>
      </c>
      <c r="AA221" s="179">
        <f t="shared" si="486"/>
        <v>0.15719762983617988</v>
      </c>
      <c r="AB221" s="179">
        <f t="shared" si="486"/>
        <v>0.15719762983617988</v>
      </c>
      <c r="AC221" s="179">
        <f t="shared" si="486"/>
        <v>0.15719762983617988</v>
      </c>
      <c r="AD221" s="137">
        <f t="shared" si="484"/>
        <v>-1.668288515568439E-2</v>
      </c>
      <c r="AE221" s="31">
        <f t="shared" si="481"/>
        <v>0.05</v>
      </c>
      <c r="AF221" s="179">
        <f>(AF207)/($L$2*100)</f>
        <v>1.1260472913333347E-3</v>
      </c>
    </row>
    <row r="222" spans="2:32">
      <c r="B222" s="20" t="s">
        <v>469</v>
      </c>
      <c r="C222" s="129"/>
      <c r="D222" s="129"/>
      <c r="E222" s="129"/>
      <c r="F222" s="129"/>
      <c r="G222" s="150">
        <f t="shared" ref="G222:Q222" si="487">G221-1</f>
        <v>-0.77992331822934813</v>
      </c>
      <c r="H222" s="150">
        <f t="shared" si="487"/>
        <v>-0.77992331822934813</v>
      </c>
      <c r="I222" s="150">
        <f t="shared" si="487"/>
        <v>-0.71704426629487616</v>
      </c>
      <c r="J222" s="150">
        <f t="shared" si="487"/>
        <v>-0.60700592540955034</v>
      </c>
      <c r="K222" s="150">
        <f t="shared" si="487"/>
        <v>-0.59128616242593224</v>
      </c>
      <c r="L222" s="150">
        <f t="shared" si="487"/>
        <v>-0.85852213314743808</v>
      </c>
      <c r="M222" s="150">
        <f t="shared" si="487"/>
        <v>-0.27689090275357264</v>
      </c>
      <c r="N222" s="150">
        <f t="shared" si="487"/>
        <v>-0.15113279888462872</v>
      </c>
      <c r="O222" s="150">
        <f t="shared" si="487"/>
        <v>5.3224119902405276E-2</v>
      </c>
      <c r="P222" s="150">
        <f t="shared" si="487"/>
        <v>0.32046009062391101</v>
      </c>
      <c r="Q222" s="150">
        <f t="shared" si="487"/>
        <v>0.57197629836179886</v>
      </c>
      <c r="R222" s="118" t="e">
        <f t="shared" si="453"/>
        <v>#NUM!</v>
      </c>
      <c r="S222" s="128"/>
      <c r="T222" s="150">
        <f t="shared" ref="T222:AC222" si="488">T221-1</f>
        <v>-0.84280237016382009</v>
      </c>
      <c r="U222" s="150">
        <f t="shared" si="488"/>
        <v>-0.84280237016382009</v>
      </c>
      <c r="V222" s="150">
        <f t="shared" si="488"/>
        <v>-0.84280237016382009</v>
      </c>
      <c r="W222" s="150">
        <f t="shared" si="488"/>
        <v>-0.84280237016382009</v>
      </c>
      <c r="X222" s="150">
        <f t="shared" si="488"/>
        <v>-0.84280237016382009</v>
      </c>
      <c r="Y222" s="150">
        <f t="shared" si="488"/>
        <v>-0.84280237016382009</v>
      </c>
      <c r="Z222" s="150">
        <f t="shared" si="488"/>
        <v>-0.84280237016382009</v>
      </c>
      <c r="AA222" s="150">
        <f t="shared" si="488"/>
        <v>-0.84280237016382009</v>
      </c>
      <c r="AB222" s="150">
        <f t="shared" si="488"/>
        <v>-0.84280237016382009</v>
      </c>
      <c r="AC222" s="150">
        <f t="shared" si="488"/>
        <v>-0.84280237016382009</v>
      </c>
      <c r="AD222" s="137">
        <f t="shared" si="484"/>
        <v>3.8843691467151942E-3</v>
      </c>
      <c r="AE222" s="31">
        <f t="shared" si="481"/>
        <v>0.05</v>
      </c>
      <c r="AF222" s="179" t="e">
        <f>(AF208)/($L$2*100)</f>
        <v>#DIV/0!</v>
      </c>
    </row>
    <row r="223" spans="2:32">
      <c r="B223" s="20"/>
      <c r="C223" s="129"/>
      <c r="D223" s="129"/>
      <c r="E223" s="129"/>
      <c r="F223" s="129"/>
      <c r="G223" s="134"/>
      <c r="H223" s="134"/>
      <c r="I223" s="134"/>
      <c r="J223" s="134"/>
      <c r="K223" s="197"/>
      <c r="L223" s="198"/>
      <c r="M223" s="134"/>
      <c r="N223" s="134"/>
      <c r="O223" s="134"/>
      <c r="P223" s="134"/>
      <c r="Q223" s="134"/>
      <c r="R223" s="128"/>
      <c r="S223" s="128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6"/>
      <c r="AE223" s="20"/>
      <c r="AF223" s="20"/>
    </row>
    <row r="224" spans="2:32">
      <c r="B224" s="20" t="s">
        <v>473</v>
      </c>
      <c r="C224" s="129"/>
      <c r="D224" s="129"/>
      <c r="E224" s="129"/>
      <c r="F224" s="129"/>
      <c r="G224" s="150">
        <f t="shared" ref="G224:Q224" si="489">1/G225</f>
        <v>0.35491289198606274</v>
      </c>
      <c r="H224" s="150">
        <f t="shared" si="489"/>
        <v>0.35491289198606274</v>
      </c>
      <c r="I224" s="150">
        <f t="shared" si="489"/>
        <v>0.27604336043360433</v>
      </c>
      <c r="J224" s="150">
        <f t="shared" si="489"/>
        <v>0.1987512195121951</v>
      </c>
      <c r="K224" s="150">
        <f t="shared" si="489"/>
        <v>0.19110694183864915</v>
      </c>
      <c r="L224" s="150">
        <f t="shared" si="489"/>
        <v>0.55208672086720867</v>
      </c>
      <c r="M224" s="150">
        <f t="shared" si="489"/>
        <v>0.10801696712619299</v>
      </c>
      <c r="N224" s="150">
        <f t="shared" si="489"/>
        <v>9.2014453477868102E-2</v>
      </c>
      <c r="O224" s="150">
        <f t="shared" si="489"/>
        <v>7.4160902803057885E-2</v>
      </c>
      <c r="P224" s="150">
        <f t="shared" si="489"/>
        <v>5.9152148664343783E-2</v>
      </c>
      <c r="Q224" s="150">
        <f t="shared" si="489"/>
        <v>4.9687804878048775E-2</v>
      </c>
      <c r="R224" s="118">
        <f t="shared" ref="R224" si="490">((P224/G224)^(1/($H$2-$H$1) ))-1</f>
        <v>-0.16404119792206318</v>
      </c>
      <c r="S224" s="128"/>
      <c r="T224" s="150">
        <f t="shared" ref="T224:AC224" si="491">1/T225</f>
        <v>0.49687804878048775</v>
      </c>
      <c r="U224" s="150">
        <f t="shared" si="491"/>
        <v>0.49687804878048775</v>
      </c>
      <c r="V224" s="150">
        <f t="shared" si="491"/>
        <v>0.49687804878048775</v>
      </c>
      <c r="W224" s="150">
        <f t="shared" si="491"/>
        <v>0.49687804878048775</v>
      </c>
      <c r="X224" s="150">
        <f t="shared" si="491"/>
        <v>0.49687804878048775</v>
      </c>
      <c r="Y224" s="150">
        <f t="shared" si="491"/>
        <v>0.49687804878048775</v>
      </c>
      <c r="Z224" s="150">
        <f t="shared" si="491"/>
        <v>0.49687804878048775</v>
      </c>
      <c r="AA224" s="150">
        <f t="shared" si="491"/>
        <v>0.49687804878048775</v>
      </c>
      <c r="AB224" s="150">
        <f t="shared" si="491"/>
        <v>0.49687804878048775</v>
      </c>
      <c r="AC224" s="150">
        <f t="shared" si="491"/>
        <v>0.49687804878048775</v>
      </c>
      <c r="AD224" s="137">
        <f t="shared" ref="AD224" si="492">((AC224/G224)^(1/($AC$3-$H$1) ))-1</f>
        <v>1.696592574647271E-2</v>
      </c>
      <c r="AE224" s="31">
        <f t="shared" ref="AE224" si="493">$L$1</f>
        <v>0.05</v>
      </c>
      <c r="AF224" s="179">
        <f>(AF210)/($L$2*100)</f>
        <v>0</v>
      </c>
    </row>
    <row r="225" spans="2:46">
      <c r="B225" s="20" t="s">
        <v>475</v>
      </c>
      <c r="C225" s="129"/>
      <c r="D225" s="129"/>
      <c r="E225" s="129"/>
      <c r="F225" s="129"/>
      <c r="G225" s="134">
        <f t="shared" ref="G225:Q225" si="494">G201/$Q$170</f>
        <v>2.8175927743962301</v>
      </c>
      <c r="H225" s="134">
        <f t="shared" si="494"/>
        <v>2.8175927743962301</v>
      </c>
      <c r="I225" s="134">
        <f t="shared" si="494"/>
        <v>3.6226192813665814</v>
      </c>
      <c r="J225" s="134">
        <f t="shared" si="494"/>
        <v>5.0314156685646969</v>
      </c>
      <c r="K225" s="134">
        <f t="shared" si="494"/>
        <v>5.2326722953072844</v>
      </c>
      <c r="L225" s="134">
        <f t="shared" si="494"/>
        <v>1.8113096406832907</v>
      </c>
      <c r="M225" s="134">
        <f t="shared" si="494"/>
        <v>9.2578048301590421</v>
      </c>
      <c r="N225" s="134">
        <f t="shared" si="494"/>
        <v>10.867857844099746</v>
      </c>
      <c r="O225" s="134">
        <f t="shared" si="494"/>
        <v>13.484193991753386</v>
      </c>
      <c r="P225" s="134">
        <f t="shared" si="494"/>
        <v>16.905556646377381</v>
      </c>
      <c r="Q225" s="134">
        <f t="shared" si="494"/>
        <v>20.125662674258788</v>
      </c>
      <c r="R225" s="118">
        <f t="shared" si="453"/>
        <v>0.19623119885131546</v>
      </c>
      <c r="S225" s="128"/>
      <c r="T225" s="134">
        <f t="shared" ref="T225:AC225" si="495">T201/$Q$170</f>
        <v>2.0125662674258789</v>
      </c>
      <c r="U225" s="134">
        <f t="shared" si="495"/>
        <v>2.0125662674258789</v>
      </c>
      <c r="V225" s="134">
        <f t="shared" si="495"/>
        <v>2.0125662674258789</v>
      </c>
      <c r="W225" s="134">
        <f t="shared" si="495"/>
        <v>2.0125662674258789</v>
      </c>
      <c r="X225" s="134">
        <f t="shared" si="495"/>
        <v>2.0125662674258789</v>
      </c>
      <c r="Y225" s="134">
        <f t="shared" si="495"/>
        <v>2.0125662674258789</v>
      </c>
      <c r="Z225" s="134">
        <f t="shared" si="495"/>
        <v>2.0125662674258789</v>
      </c>
      <c r="AA225" s="134">
        <f t="shared" si="495"/>
        <v>2.0125662674258789</v>
      </c>
      <c r="AB225" s="134">
        <f t="shared" si="495"/>
        <v>2.0125662674258789</v>
      </c>
      <c r="AC225" s="134">
        <f t="shared" si="495"/>
        <v>2.0125662674258789</v>
      </c>
      <c r="AD225" s="137">
        <f t="shared" ref="AD225:AD227" si="496">((AC225/G225)^(1/($AC$3-$H$1) ))-1</f>
        <v>-1.668288515568439E-2</v>
      </c>
      <c r="AE225" s="31">
        <f t="shared" ref="AE225:AE227" si="497">$L$1</f>
        <v>0.05</v>
      </c>
      <c r="AF225" s="179">
        <f>(AF210)/($L$2*100)</f>
        <v>0</v>
      </c>
    </row>
    <row r="226" spans="2:46">
      <c r="B226" s="20" t="s">
        <v>468</v>
      </c>
      <c r="C226" s="129"/>
      <c r="D226" s="129"/>
      <c r="E226" s="129"/>
      <c r="F226" s="129"/>
      <c r="G226" s="179">
        <f t="shared" ref="G226:Q226" si="498">(G225)/($L$2*100)</f>
        <v>0.11270371097584921</v>
      </c>
      <c r="H226" s="179">
        <f t="shared" si="498"/>
        <v>0.11270371097584921</v>
      </c>
      <c r="I226" s="179">
        <f t="shared" si="498"/>
        <v>0.14490477125466325</v>
      </c>
      <c r="J226" s="179">
        <f t="shared" si="498"/>
        <v>0.20125662674258787</v>
      </c>
      <c r="K226" s="179">
        <f t="shared" si="498"/>
        <v>0.20930689181229137</v>
      </c>
      <c r="L226" s="179">
        <f t="shared" si="498"/>
        <v>7.2452385627331625E-2</v>
      </c>
      <c r="M226" s="179">
        <f t="shared" si="498"/>
        <v>0.37031219320636166</v>
      </c>
      <c r="N226" s="179">
        <f t="shared" si="498"/>
        <v>0.43471431376398983</v>
      </c>
      <c r="O226" s="179">
        <f t="shared" si="498"/>
        <v>0.5393677596701355</v>
      </c>
      <c r="P226" s="179">
        <f t="shared" si="498"/>
        <v>0.67622226585509526</v>
      </c>
      <c r="Q226" s="179">
        <f t="shared" si="498"/>
        <v>0.8050265069703515</v>
      </c>
      <c r="R226" s="118">
        <f t="shared" si="453"/>
        <v>0.19623119885131546</v>
      </c>
      <c r="S226" s="128"/>
      <c r="T226" s="179">
        <f t="shared" ref="T226:AC226" si="499">(T225)/($L$2*100)</f>
        <v>8.0502650697035161E-2</v>
      </c>
      <c r="U226" s="179">
        <f t="shared" si="499"/>
        <v>8.0502650697035161E-2</v>
      </c>
      <c r="V226" s="179">
        <f t="shared" si="499"/>
        <v>8.0502650697035161E-2</v>
      </c>
      <c r="W226" s="179">
        <f t="shared" si="499"/>
        <v>8.0502650697035161E-2</v>
      </c>
      <c r="X226" s="179">
        <f t="shared" si="499"/>
        <v>8.0502650697035161E-2</v>
      </c>
      <c r="Y226" s="179">
        <f t="shared" si="499"/>
        <v>8.0502650697035161E-2</v>
      </c>
      <c r="Z226" s="179">
        <f t="shared" si="499"/>
        <v>8.0502650697035161E-2</v>
      </c>
      <c r="AA226" s="179">
        <f t="shared" si="499"/>
        <v>8.0502650697035161E-2</v>
      </c>
      <c r="AB226" s="179">
        <f t="shared" si="499"/>
        <v>8.0502650697035161E-2</v>
      </c>
      <c r="AC226" s="179">
        <f t="shared" si="499"/>
        <v>8.0502650697035161E-2</v>
      </c>
      <c r="AD226" s="137">
        <f t="shared" si="496"/>
        <v>-1.668288515568439E-2</v>
      </c>
      <c r="AE226" s="31">
        <f t="shared" si="497"/>
        <v>0.05</v>
      </c>
      <c r="AF226" s="179" t="e">
        <f>(#REF!)/($L$2*100)</f>
        <v>#REF!</v>
      </c>
    </row>
    <row r="227" spans="2:46">
      <c r="B227" s="20" t="s">
        <v>469</v>
      </c>
      <c r="C227" s="129"/>
      <c r="D227" s="129"/>
      <c r="E227" s="129"/>
      <c r="F227" s="129"/>
      <c r="G227" s="150">
        <f t="shared" ref="G227:Q227" si="500">G226-1</f>
        <v>-0.88729628902415081</v>
      </c>
      <c r="H227" s="150">
        <f t="shared" si="500"/>
        <v>-0.88729628902415081</v>
      </c>
      <c r="I227" s="150">
        <f t="shared" si="500"/>
        <v>-0.85509522874533672</v>
      </c>
      <c r="J227" s="150">
        <f t="shared" si="500"/>
        <v>-0.79874337325741207</v>
      </c>
      <c r="K227" s="150">
        <f t="shared" si="500"/>
        <v>-0.79069310818770866</v>
      </c>
      <c r="L227" s="150">
        <f t="shared" si="500"/>
        <v>-0.92754761437266842</v>
      </c>
      <c r="M227" s="150">
        <f t="shared" si="500"/>
        <v>-0.62968780679363834</v>
      </c>
      <c r="N227" s="150">
        <f t="shared" si="500"/>
        <v>-0.56528568623601017</v>
      </c>
      <c r="O227" s="150">
        <f t="shared" si="500"/>
        <v>-0.4606322403298645</v>
      </c>
      <c r="P227" s="150">
        <f t="shared" si="500"/>
        <v>-0.32377773414490474</v>
      </c>
      <c r="Q227" s="150">
        <f t="shared" si="500"/>
        <v>-0.1949734930296485</v>
      </c>
      <c r="R227" s="118">
        <f t="shared" si="453"/>
        <v>-9.5897164237399357E-2</v>
      </c>
      <c r="S227" s="128"/>
      <c r="T227" s="150">
        <f t="shared" ref="T227:AC227" si="501">T226-1</f>
        <v>-0.91949734930296478</v>
      </c>
      <c r="U227" s="150">
        <f t="shared" si="501"/>
        <v>-0.91949734930296478</v>
      </c>
      <c r="V227" s="150">
        <f t="shared" si="501"/>
        <v>-0.91949734930296478</v>
      </c>
      <c r="W227" s="150">
        <f t="shared" si="501"/>
        <v>-0.91949734930296478</v>
      </c>
      <c r="X227" s="150">
        <f t="shared" si="501"/>
        <v>-0.91949734930296478</v>
      </c>
      <c r="Y227" s="150">
        <f t="shared" si="501"/>
        <v>-0.91949734930296478</v>
      </c>
      <c r="Z227" s="150">
        <f t="shared" si="501"/>
        <v>-0.91949734930296478</v>
      </c>
      <c r="AA227" s="150">
        <f t="shared" si="501"/>
        <v>-0.91949734930296478</v>
      </c>
      <c r="AB227" s="150">
        <f t="shared" si="501"/>
        <v>-0.91949734930296478</v>
      </c>
      <c r="AC227" s="150">
        <f t="shared" si="501"/>
        <v>-0.91949734930296478</v>
      </c>
      <c r="AD227" s="137">
        <f t="shared" si="496"/>
        <v>1.7839994254993385E-3</v>
      </c>
      <c r="AE227" s="31">
        <f t="shared" si="497"/>
        <v>0.05</v>
      </c>
      <c r="AF227" s="179" t="e">
        <f>(AF211)/($L$2*100)</f>
        <v>#DIV/0!</v>
      </c>
    </row>
    <row r="228" spans="2:46">
      <c r="B228" s="20"/>
      <c r="C228" s="129"/>
      <c r="D228" s="129"/>
      <c r="E228" s="129"/>
      <c r="F228" s="129"/>
      <c r="G228" s="134"/>
      <c r="H228" s="134"/>
      <c r="I228" s="134"/>
      <c r="J228" s="134"/>
      <c r="K228" s="197"/>
      <c r="L228" s="198"/>
      <c r="M228" s="134"/>
      <c r="N228" s="134"/>
      <c r="O228" s="134"/>
      <c r="P228" s="134"/>
      <c r="Q228" s="134"/>
      <c r="R228" s="128"/>
      <c r="S228" s="128"/>
      <c r="T228" s="134"/>
      <c r="U228" s="134"/>
      <c r="V228" s="134"/>
      <c r="W228" s="134"/>
      <c r="X228" s="134"/>
      <c r="Y228" s="134"/>
      <c r="Z228" s="134"/>
      <c r="AA228" s="134"/>
      <c r="AB228" s="134"/>
      <c r="AC228" s="134"/>
      <c r="AD228" s="136"/>
      <c r="AE228" s="20"/>
      <c r="AF228" s="20"/>
    </row>
    <row r="229" spans="2:46">
      <c r="B229" s="108" t="s">
        <v>300</v>
      </c>
      <c r="C229" s="20"/>
      <c r="D229" s="20"/>
      <c r="E229" s="20"/>
      <c r="F229" s="20"/>
      <c r="G229" s="20"/>
      <c r="H229" s="20"/>
      <c r="I229" s="20"/>
      <c r="J229" s="20"/>
      <c r="K229" s="220" t="s">
        <v>349</v>
      </c>
      <c r="L229" s="221"/>
      <c r="M229" s="20"/>
      <c r="N229" s="20"/>
      <c r="O229" s="20"/>
      <c r="P229" s="108" t="s">
        <v>428</v>
      </c>
      <c r="Q229" s="108" t="s">
        <v>427</v>
      </c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136"/>
      <c r="AE229" s="20"/>
      <c r="AF229" s="20"/>
    </row>
    <row r="230" spans="2:46">
      <c r="B230" s="20" t="s">
        <v>298</v>
      </c>
      <c r="C230" s="20" t="s">
        <v>313</v>
      </c>
      <c r="D230" s="20"/>
      <c r="E230" s="20"/>
      <c r="F230" s="20"/>
      <c r="G230" s="20"/>
      <c r="H230" s="20"/>
      <c r="I230" s="20"/>
      <c r="J230" s="20"/>
      <c r="K230" s="20" t="s">
        <v>350</v>
      </c>
      <c r="L230" s="22">
        <v>1</v>
      </c>
      <c r="M230" s="20"/>
      <c r="N230" s="20"/>
      <c r="O230" s="20"/>
      <c r="P230" s="128">
        <f>(Q201-S188)/Q201</f>
        <v>0.84837304101595057</v>
      </c>
      <c r="Q230" s="128">
        <f>(Q201-T188)/Q201</f>
        <v>0.87525834027635996</v>
      </c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136"/>
      <c r="AE230" s="20"/>
      <c r="AF230" s="20"/>
    </row>
    <row r="231" spans="2:46">
      <c r="B231" s="20" t="s">
        <v>347</v>
      </c>
      <c r="C231" s="20" t="s">
        <v>313</v>
      </c>
      <c r="D231" s="20"/>
      <c r="E231" s="20"/>
      <c r="F231" s="20"/>
      <c r="G231" s="20"/>
      <c r="H231" s="20"/>
      <c r="I231" s="20"/>
      <c r="J231" s="20"/>
      <c r="K231" s="170">
        <f>$L$230</f>
        <v>1</v>
      </c>
      <c r="L231" s="20"/>
      <c r="M231" s="128">
        <f>(P201-(K231*S179))/P201</f>
        <v>48.001460276402504</v>
      </c>
      <c r="N231" s="20"/>
      <c r="O231" s="20"/>
      <c r="P231" s="128">
        <f>(Q201-S179)/Q201</f>
        <v>40.481226632178107</v>
      </c>
      <c r="Q231" s="128">
        <f>(Q201-T179)/Q201</f>
        <v>6.5014823995658011</v>
      </c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136"/>
      <c r="AE231" s="20"/>
      <c r="AF231" s="20"/>
    </row>
    <row r="232" spans="2:46">
      <c r="B232" s="20" t="s">
        <v>348</v>
      </c>
      <c r="C232" s="20" t="s">
        <v>313</v>
      </c>
      <c r="D232" s="20"/>
      <c r="E232" s="20"/>
      <c r="F232" s="20"/>
      <c r="G232" s="20"/>
      <c r="H232" s="20"/>
      <c r="I232" s="20"/>
      <c r="J232" s="20"/>
      <c r="K232" s="170">
        <f>$L$230</f>
        <v>1</v>
      </c>
      <c r="L232" s="20"/>
      <c r="M232" s="128">
        <f>(P201-(K232*S172))/P201</f>
        <v>-2.7836643495044791</v>
      </c>
      <c r="N232" s="20"/>
      <c r="O232" s="20"/>
      <c r="P232" s="128">
        <f>(Q201-S172)/Q201</f>
        <v>-2.1782780535837625</v>
      </c>
      <c r="Q232" s="128">
        <f>(Q201-T172)/Q201</f>
        <v>0.55712518925472165</v>
      </c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136"/>
      <c r="AE232" s="20"/>
      <c r="AF232" s="20"/>
    </row>
    <row r="233" spans="2:46">
      <c r="B233" s="20" t="s">
        <v>351</v>
      </c>
      <c r="C233" s="20" t="s">
        <v>313</v>
      </c>
      <c r="D233" s="20"/>
      <c r="E233" s="20"/>
      <c r="F233" s="20"/>
      <c r="G233" s="20"/>
      <c r="H233" s="20"/>
      <c r="I233" s="20"/>
      <c r="J233" s="20"/>
      <c r="K233" s="170">
        <f>$L$230</f>
        <v>1</v>
      </c>
      <c r="L233" s="20"/>
      <c r="M233" s="128">
        <f>(P201-(K233*S185))/P201</f>
        <v>1</v>
      </c>
      <c r="N233" s="20"/>
      <c r="O233" s="20"/>
      <c r="P233" s="128">
        <f>(Q201-S185)/Q201</f>
        <v>1</v>
      </c>
      <c r="Q233" s="128">
        <f>(Q201-T185)/Q201</f>
        <v>1</v>
      </c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136"/>
      <c r="AE233" s="20"/>
      <c r="AF233" s="20"/>
    </row>
    <row r="234" spans="2:46">
      <c r="B234" s="20" t="s">
        <v>397</v>
      </c>
      <c r="C234" s="20" t="s">
        <v>313</v>
      </c>
      <c r="D234" s="20"/>
      <c r="E234" s="20"/>
      <c r="F234" s="20"/>
      <c r="G234" s="20"/>
      <c r="H234" s="20"/>
      <c r="I234" s="20"/>
      <c r="J234" s="20"/>
      <c r="K234" s="170">
        <f>$L$230</f>
        <v>1</v>
      </c>
      <c r="L234" s="20"/>
      <c r="M234" s="128">
        <f>(P201-(K234*S198))/P201</f>
        <v>-14.2060964076906</v>
      </c>
      <c r="N234" s="20"/>
      <c r="O234" s="20"/>
      <c r="P234" s="128">
        <f>(Q201-S198)/Q201</f>
        <v>-11.773120982460105</v>
      </c>
      <c r="Q234" s="128">
        <f>(Q201-T198)/Q201</f>
        <v>-9.5082916776728226</v>
      </c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136"/>
      <c r="AE234" s="20"/>
      <c r="AF234" s="20"/>
    </row>
    <row r="235" spans="2:46">
      <c r="B235" s="20" t="s">
        <v>299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5">
        <f>Q201/S171</f>
        <v>1.3895925432234038</v>
      </c>
      <c r="Q235" s="25">
        <f>Q201/T171</f>
        <v>9.9723700160738407</v>
      </c>
      <c r="R235" s="20"/>
      <c r="S235" s="20"/>
      <c r="T235" s="115" t="s">
        <v>11</v>
      </c>
      <c r="U235" s="115" t="s">
        <v>12</v>
      </c>
      <c r="V235" s="115" t="s">
        <v>13</v>
      </c>
      <c r="W235" s="115" t="s">
        <v>14</v>
      </c>
      <c r="X235" s="115" t="s">
        <v>15</v>
      </c>
      <c r="Y235" s="115" t="s">
        <v>234</v>
      </c>
      <c r="Z235" s="115" t="s">
        <v>235</v>
      </c>
      <c r="AA235" s="115" t="s">
        <v>236</v>
      </c>
      <c r="AB235" s="115" t="s">
        <v>237</v>
      </c>
      <c r="AC235" s="115" t="s">
        <v>238</v>
      </c>
      <c r="AD235" s="115" t="s">
        <v>405</v>
      </c>
      <c r="AE235" s="115" t="s">
        <v>406</v>
      </c>
      <c r="AF235" s="115" t="s">
        <v>407</v>
      </c>
      <c r="AG235" s="115" t="s">
        <v>408</v>
      </c>
      <c r="AH235" s="115" t="s">
        <v>409</v>
      </c>
      <c r="AI235" s="115" t="s">
        <v>410</v>
      </c>
      <c r="AJ235" s="115" t="s">
        <v>411</v>
      </c>
      <c r="AK235" s="115" t="s">
        <v>412</v>
      </c>
      <c r="AL235" s="115" t="s">
        <v>413</v>
      </c>
      <c r="AM235" s="115" t="s">
        <v>414</v>
      </c>
      <c r="AN235" s="115" t="s">
        <v>415</v>
      </c>
      <c r="AO235" s="115" t="s">
        <v>416</v>
      </c>
      <c r="AP235" s="115" t="s">
        <v>417</v>
      </c>
      <c r="AQ235" s="115" t="s">
        <v>418</v>
      </c>
      <c r="AR235" s="115" t="s">
        <v>419</v>
      </c>
      <c r="AS235" s="115" t="s">
        <v>420</v>
      </c>
      <c r="AT235" s="115" t="s">
        <v>421</v>
      </c>
    </row>
    <row r="236" spans="2:46">
      <c r="B236" s="20" t="s">
        <v>369</v>
      </c>
      <c r="C236" s="20"/>
      <c r="D236" s="20"/>
      <c r="E236" s="20"/>
      <c r="F236" s="20"/>
      <c r="G236" s="187" t="s">
        <v>446</v>
      </c>
      <c r="H236" s="188"/>
      <c r="I236" s="187" t="s">
        <v>447</v>
      </c>
      <c r="J236" s="188"/>
      <c r="K236" s="20"/>
      <c r="L236" s="187" t="s">
        <v>448</v>
      </c>
      <c r="M236" s="188"/>
      <c r="N236" s="187" t="s">
        <v>449</v>
      </c>
      <c r="O236" s="188"/>
      <c r="P236" s="150">
        <f>1/P235</f>
        <v>0.71963541030547307</v>
      </c>
      <c r="Q236" s="150">
        <f>1/Q235</f>
        <v>0.10027706537043475</v>
      </c>
      <c r="R236" s="20"/>
      <c r="S236" s="20"/>
      <c r="T236" s="129">
        <f>Q201-T237</f>
        <v>484.70594944193755</v>
      </c>
      <c r="U236" s="183">
        <f>T236-U237</f>
        <v>468.64719635597197</v>
      </c>
      <c r="V236" s="183">
        <f t="shared" ref="V236:X236" si="502">U236-V237</f>
        <v>451.78550561570813</v>
      </c>
      <c r="W236" s="183">
        <f t="shared" si="502"/>
        <v>434.08073033843107</v>
      </c>
      <c r="X236" s="183">
        <f t="shared" si="502"/>
        <v>415.49071629729013</v>
      </c>
      <c r="Y236" s="183">
        <f>X236-Y237</f>
        <v>395.9712015540922</v>
      </c>
      <c r="Z236" s="183">
        <f t="shared" ref="Z236:AC236" si="503">Y236-Z237</f>
        <v>375.47571107373437</v>
      </c>
      <c r="AA236" s="183">
        <f t="shared" si="503"/>
        <v>353.95544606935863</v>
      </c>
      <c r="AB236" s="183">
        <f t="shared" si="503"/>
        <v>331.35916781476408</v>
      </c>
      <c r="AC236" s="183">
        <f t="shared" si="503"/>
        <v>307.6330756474398</v>
      </c>
      <c r="AD236" s="183">
        <f t="shared" ref="AD236" si="504">AC236-AD237</f>
        <v>282.72067887174933</v>
      </c>
      <c r="AE236" s="183">
        <f t="shared" ref="AE236" si="505">AD236-AE237</f>
        <v>256.56266225727433</v>
      </c>
      <c r="AF236" s="183">
        <f t="shared" ref="AF236" si="506">AE236-AF237</f>
        <v>229.09674481207557</v>
      </c>
      <c r="AG236" s="183">
        <f t="shared" ref="AG236" si="507">AF236-AG237</f>
        <v>200.2575314946169</v>
      </c>
      <c r="AH236" s="183">
        <f t="shared" ref="AH236" si="508">AG236-AH237</f>
        <v>169.97635751128527</v>
      </c>
      <c r="AI236" s="183">
        <f t="shared" ref="AI236" si="509">AH236-AI237</f>
        <v>138.18112482878706</v>
      </c>
      <c r="AJ236" s="183">
        <f t="shared" ref="AJ236" si="510">AI236-AJ237</f>
        <v>104.79613051216396</v>
      </c>
      <c r="AK236" s="183">
        <f t="shared" ref="AK236" si="511">AJ236-AK237</f>
        <v>69.741886479709677</v>
      </c>
      <c r="AL236" s="183">
        <f t="shared" ref="AL236" si="512">AK236-AL237</f>
        <v>32.934930245632692</v>
      </c>
      <c r="AM236" s="183">
        <f t="shared" ref="AM236" si="513">AL236-AM237</f>
        <v>-5.7123738001481428</v>
      </c>
      <c r="AN236" s="183">
        <f t="shared" ref="AN236" si="514">AM236-AN237</f>
        <v>-46.292043048218019</v>
      </c>
      <c r="AO236" s="183">
        <f t="shared" ref="AO236" si="515">AN236-AO237</f>
        <v>-88.900695758691398</v>
      </c>
      <c r="AP236" s="183">
        <f t="shared" ref="AP236" si="516">AO236-AP237</f>
        <v>-133.63978110468844</v>
      </c>
      <c r="AQ236" s="183">
        <f t="shared" ref="AQ236" si="517">AP236-AQ237</f>
        <v>-180.61582071798534</v>
      </c>
      <c r="AR236" s="183">
        <f t="shared" ref="AR236" si="518">AQ236-AR237</f>
        <v>-229.94066231194708</v>
      </c>
      <c r="AS236" s="183">
        <f t="shared" ref="AS236" si="519">AR236-AS237</f>
        <v>-281.73174598560689</v>
      </c>
      <c r="AT236" s="183">
        <f t="shared" ref="AT236" si="520">AS236-AT237</f>
        <v>-336.11238384294973</v>
      </c>
    </row>
    <row r="237" spans="2:46">
      <c r="B237" s="20" t="s">
        <v>394</v>
      </c>
      <c r="C237" s="20"/>
      <c r="D237" s="20"/>
      <c r="E237" s="20"/>
      <c r="F237" s="20"/>
      <c r="G237" s="189">
        <v>0</v>
      </c>
      <c r="H237" s="188"/>
      <c r="I237" s="189">
        <v>0.05</v>
      </c>
      <c r="J237" s="188"/>
      <c r="K237" s="182">
        <f>P1</f>
        <v>0.05</v>
      </c>
      <c r="L237" s="189">
        <v>0.12</v>
      </c>
      <c r="M237" s="188"/>
      <c r="N237" s="189">
        <v>0.2</v>
      </c>
      <c r="O237" s="196" t="s">
        <v>280</v>
      </c>
      <c r="P237" s="179">
        <f>Q201/S170</f>
        <v>39.299407459044971</v>
      </c>
      <c r="Q237" s="179" t="s">
        <v>467</v>
      </c>
      <c r="R237" s="20"/>
      <c r="S237" s="20"/>
      <c r="T237" s="184">
        <f>R170*(1+$K$237)</f>
        <v>15.294050558062457</v>
      </c>
      <c r="U237" s="184">
        <f>T237*(1+$K$237)</f>
        <v>16.058753085965581</v>
      </c>
      <c r="V237" s="184">
        <f t="shared" ref="V237:AC237" si="521">U237*(1+$K$237)</f>
        <v>16.86169074026386</v>
      </c>
      <c r="W237" s="184">
        <f t="shared" si="521"/>
        <v>17.704775277277054</v>
      </c>
      <c r="X237" s="184">
        <f t="shared" si="521"/>
        <v>18.590014041140908</v>
      </c>
      <c r="Y237" s="184">
        <f t="shared" si="521"/>
        <v>19.519514743197952</v>
      </c>
      <c r="Z237" s="184">
        <f t="shared" si="521"/>
        <v>20.495490480357851</v>
      </c>
      <c r="AA237" s="184">
        <f t="shared" si="521"/>
        <v>21.520265004375744</v>
      </c>
      <c r="AB237" s="184">
        <f t="shared" si="521"/>
        <v>22.596278254594534</v>
      </c>
      <c r="AC237" s="184">
        <f t="shared" si="521"/>
        <v>23.726092167324261</v>
      </c>
      <c r="AD237" s="184">
        <f t="shared" ref="AD237" si="522">AC237*(1+$K$237)</f>
        <v>24.912396775690475</v>
      </c>
      <c r="AE237" s="184">
        <f t="shared" ref="AE237" si="523">AD237*(1+$K$237)</f>
        <v>26.158016614474999</v>
      </c>
      <c r="AF237" s="184">
        <f t="shared" ref="AF237" si="524">AE237*(1+$K$237)</f>
        <v>27.465917445198748</v>
      </c>
      <c r="AG237" s="184">
        <f t="shared" ref="AG237" si="525">AF237*(1+$K$237)</f>
        <v>28.839213317458686</v>
      </c>
      <c r="AH237" s="184">
        <f t="shared" ref="AH237" si="526">AG237*(1+$K$237)</f>
        <v>30.281173983331623</v>
      </c>
      <c r="AI237" s="184">
        <f t="shared" ref="AI237" si="527">AH237*(1+$K$237)</f>
        <v>31.795232682498206</v>
      </c>
      <c r="AJ237" s="184">
        <f t="shared" ref="AJ237" si="528">AI237*(1+$K$237)</f>
        <v>33.384994316623114</v>
      </c>
      <c r="AK237" s="184">
        <f t="shared" ref="AK237" si="529">AJ237*(1+$K$237)</f>
        <v>35.054244032454271</v>
      </c>
      <c r="AL237" s="184">
        <f t="shared" ref="AL237" si="530">AK237*(1+$K$237)</f>
        <v>36.806956234076985</v>
      </c>
      <c r="AM237" s="184">
        <f t="shared" ref="AM237" si="531">AL237*(1+$K$237)</f>
        <v>38.647304045780835</v>
      </c>
      <c r="AN237" s="184">
        <f t="shared" ref="AN237" si="532">AM237*(1+$K$237)</f>
        <v>40.579669248069877</v>
      </c>
      <c r="AO237" s="184">
        <f t="shared" ref="AO237" si="533">AN237*(1+$K$237)</f>
        <v>42.608652710473372</v>
      </c>
      <c r="AP237" s="184">
        <f t="shared" ref="AP237" si="534">AO237*(1+$K$237)</f>
        <v>44.73908534599704</v>
      </c>
      <c r="AQ237" s="184">
        <f t="shared" ref="AQ237" si="535">AP237*(1+$K$237)</f>
        <v>46.976039613296891</v>
      </c>
      <c r="AR237" s="184">
        <f t="shared" ref="AR237" si="536">AQ237*(1+$K$237)</f>
        <v>49.324841593961736</v>
      </c>
      <c r="AS237" s="184">
        <f t="shared" ref="AS237" si="537">AR237*(1+$K$237)</f>
        <v>51.791083673659827</v>
      </c>
      <c r="AT237" s="184">
        <f t="shared" ref="AT237" si="538">AS237*(1+$K$237)</f>
        <v>54.380637857342819</v>
      </c>
    </row>
    <row r="238" spans="2:46">
      <c r="B238" s="20" t="s">
        <v>393</v>
      </c>
      <c r="C238" s="20"/>
      <c r="D238" s="20"/>
      <c r="E238" s="23" t="s">
        <v>389</v>
      </c>
      <c r="F238" s="22"/>
      <c r="G238" s="189">
        <v>0</v>
      </c>
      <c r="H238" s="190">
        <f>Q203</f>
        <v>12.72501551831161</v>
      </c>
      <c r="I238" s="189">
        <v>0.05</v>
      </c>
      <c r="J238" s="188"/>
      <c r="K238" s="182">
        <f>P1</f>
        <v>0.05</v>
      </c>
      <c r="L238" s="189">
        <v>0.12</v>
      </c>
      <c r="M238" s="188"/>
      <c r="N238" s="189">
        <v>0.2</v>
      </c>
      <c r="O238" s="196" t="s">
        <v>466</v>
      </c>
      <c r="P238" s="179">
        <f>Q201/Q72</f>
        <v>12.72501551831161</v>
      </c>
      <c r="Q238" s="179" t="s">
        <v>467</v>
      </c>
      <c r="R238" s="20"/>
      <c r="S238" s="20"/>
      <c r="T238" s="184">
        <f>Q72*(1+$K$238)</f>
        <v>41.257317073170732</v>
      </c>
      <c r="U238" s="184">
        <f>T238*(1+$K$238)</f>
        <v>43.320182926829268</v>
      </c>
      <c r="V238" s="184">
        <f t="shared" ref="V238:AC238" si="539">U238*(1+$K$238)</f>
        <v>45.486192073170734</v>
      </c>
      <c r="W238" s="184">
        <f t="shared" si="539"/>
        <v>47.760501676829271</v>
      </c>
      <c r="X238" s="184">
        <f t="shared" si="539"/>
        <v>50.148526760670734</v>
      </c>
      <c r="Y238" s="184">
        <f t="shared" si="539"/>
        <v>52.655953098704273</v>
      </c>
      <c r="Z238" s="184">
        <f t="shared" si="539"/>
        <v>55.288750753639491</v>
      </c>
      <c r="AA238" s="184">
        <f t="shared" si="539"/>
        <v>58.053188291321469</v>
      </c>
      <c r="AB238" s="184">
        <f t="shared" si="539"/>
        <v>60.955847705887543</v>
      </c>
      <c r="AC238" s="184">
        <f t="shared" si="539"/>
        <v>64.003640091181921</v>
      </c>
      <c r="AD238" s="184">
        <f t="shared" ref="AD238" si="540">AC238*(1+$K$238)</f>
        <v>67.203822095741018</v>
      </c>
      <c r="AE238" s="184">
        <f t="shared" ref="AE238" si="541">AD238*(1+$K$238)</f>
        <v>70.564013200528066</v>
      </c>
      <c r="AF238" s="184">
        <f t="shared" ref="AF238" si="542">AE238*(1+$K$238)</f>
        <v>74.092213860554466</v>
      </c>
      <c r="AG238" s="184">
        <f t="shared" ref="AG238" si="543">AF238*(1+$K$238)</f>
        <v>77.796824553582198</v>
      </c>
      <c r="AH238" s="184">
        <f t="shared" ref="AH238" si="544">AG238*(1+$K$238)</f>
        <v>81.686665781261311</v>
      </c>
      <c r="AI238" s="184">
        <f t="shared" ref="AI238" si="545">AH238*(1+$K$238)</f>
        <v>85.770999070324379</v>
      </c>
      <c r="AJ238" s="184">
        <f t="shared" ref="AJ238" si="546">AI238*(1+$K$238)</f>
        <v>90.059549023840603</v>
      </c>
      <c r="AK238" s="184">
        <f t="shared" ref="AK238" si="547">AJ238*(1+$K$238)</f>
        <v>94.562526475032641</v>
      </c>
      <c r="AL238" s="184">
        <f t="shared" ref="AL238" si="548">AK238*(1+$K$238)</f>
        <v>99.290652798784279</v>
      </c>
      <c r="AM238" s="184">
        <f t="shared" ref="AM238" si="549">AL238*(1+$K$238)</f>
        <v>104.2551854387235</v>
      </c>
      <c r="AN238" s="184">
        <f t="shared" ref="AN238" si="550">AM238*(1+$K$238)</f>
        <v>109.46794471065968</v>
      </c>
      <c r="AO238" s="184">
        <f t="shared" ref="AO238" si="551">AN238*(1+$K$238)</f>
        <v>114.94134194619267</v>
      </c>
      <c r="AP238" s="184">
        <f t="shared" ref="AP238" si="552">AO238*(1+$K$238)</f>
        <v>120.6884090435023</v>
      </c>
      <c r="AQ238" s="184">
        <f t="shared" ref="AQ238" si="553">AP238*(1+$K$238)</f>
        <v>126.72282949567743</v>
      </c>
      <c r="AR238" s="184">
        <f t="shared" ref="AR238" si="554">AQ238*(1+$K$238)</f>
        <v>133.0589709704613</v>
      </c>
      <c r="AS238" s="184">
        <f t="shared" ref="AS238" si="555">AR238*(1+$K$238)</f>
        <v>139.71191951898439</v>
      </c>
      <c r="AT238" s="184">
        <f t="shared" ref="AT238" si="556">AS238*(1+$K$238)</f>
        <v>146.69751549493361</v>
      </c>
    </row>
    <row r="239" spans="2:46">
      <c r="B239" s="20"/>
      <c r="C239" s="20"/>
      <c r="D239" s="20"/>
      <c r="E239" s="23" t="s">
        <v>452</v>
      </c>
      <c r="F239" s="22"/>
      <c r="G239" s="189">
        <v>0</v>
      </c>
      <c r="H239" s="190"/>
      <c r="I239" s="189">
        <v>0.05</v>
      </c>
      <c r="J239" s="188"/>
      <c r="K239" s="188"/>
      <c r="L239" s="189">
        <v>0.12</v>
      </c>
      <c r="M239" s="188"/>
      <c r="N239" s="189">
        <v>0.2</v>
      </c>
      <c r="O239" s="20"/>
      <c r="P239" s="20"/>
      <c r="Q239" s="20"/>
      <c r="R239" s="20"/>
      <c r="S239" s="20"/>
      <c r="T239" s="129">
        <f>Q201-T238</f>
        <v>458.74268292682927</v>
      </c>
      <c r="U239" s="183">
        <f>T239-U238</f>
        <v>415.42250000000001</v>
      </c>
      <c r="V239" s="183">
        <f t="shared" ref="V239:AA239" si="557">U239-V238</f>
        <v>369.93630792682927</v>
      </c>
      <c r="W239" s="183">
        <f t="shared" si="557"/>
        <v>322.17580624999999</v>
      </c>
      <c r="X239" s="183">
        <f t="shared" si="557"/>
        <v>272.02727948932926</v>
      </c>
      <c r="Y239" s="183">
        <f t="shared" si="557"/>
        <v>219.37132639062497</v>
      </c>
      <c r="Z239" s="183">
        <f t="shared" si="557"/>
        <v>164.0825756369855</v>
      </c>
      <c r="AA239" s="183">
        <f t="shared" si="557"/>
        <v>106.02938734566402</v>
      </c>
      <c r="AB239" s="183">
        <f>AA239-AB238</f>
        <v>45.073539639776477</v>
      </c>
      <c r="AC239" s="183">
        <f t="shared" ref="AC239" si="558">AB239-AC238</f>
        <v>-18.930100451405444</v>
      </c>
      <c r="AD239" s="183">
        <f t="shared" ref="AD239" si="559">AC239-AD238</f>
        <v>-86.133922547146454</v>
      </c>
      <c r="AE239" s="183">
        <f t="shared" ref="AE239" si="560">AD239-AE238</f>
        <v>-156.69793574767453</v>
      </c>
      <c r="AF239" s="183">
        <f t="shared" ref="AF239" si="561">AE239-AF238</f>
        <v>-230.790149608229</v>
      </c>
      <c r="AG239" s="183">
        <f t="shared" ref="AG239" si="562">AF239-AG238</f>
        <v>-308.58697416181121</v>
      </c>
      <c r="AH239" s="183">
        <f t="shared" ref="AH239" si="563">AG239-AH238</f>
        <v>-390.27363994307251</v>
      </c>
      <c r="AI239" s="183">
        <f t="shared" ref="AI239" si="564">AH239-AI238</f>
        <v>-476.04463901339687</v>
      </c>
      <c r="AJ239" s="183">
        <f t="shared" ref="AJ239" si="565">AI239-AJ238</f>
        <v>-566.10418803723746</v>
      </c>
      <c r="AK239" s="183">
        <f t="shared" ref="AK239" si="566">AJ239-AK238</f>
        <v>-660.66671451227012</v>
      </c>
      <c r="AL239" s="183">
        <f t="shared" ref="AL239" si="567">AK239-AL238</f>
        <v>-759.95736731105444</v>
      </c>
      <c r="AM239" s="183">
        <f t="shared" ref="AM239" si="568">AL239-AM238</f>
        <v>-864.21255274977796</v>
      </c>
      <c r="AN239" s="183">
        <f t="shared" ref="AN239" si="569">AM239-AN238</f>
        <v>-973.68049746043766</v>
      </c>
      <c r="AO239" s="183">
        <f t="shared" ref="AO239" si="570">AN239-AO238</f>
        <v>-1088.6218394066304</v>
      </c>
      <c r="AP239" s="183">
        <f t="shared" ref="AP239" si="571">AO239-AP238</f>
        <v>-1209.3102484501328</v>
      </c>
      <c r="AQ239" s="183">
        <f t="shared" ref="AQ239" si="572">AP239-AQ238</f>
        <v>-1336.0330779458102</v>
      </c>
      <c r="AR239" s="183">
        <f t="shared" ref="AR239" si="573">AQ239-AR238</f>
        <v>-1469.0920489162716</v>
      </c>
      <c r="AS239" s="183">
        <f t="shared" ref="AS239" si="574">AR239-AS238</f>
        <v>-1608.8039684352559</v>
      </c>
      <c r="AT239" s="183">
        <f t="shared" ref="AT239" si="575">AS239-AT238</f>
        <v>-1755.5014839301896</v>
      </c>
    </row>
    <row r="240" spans="2:46">
      <c r="B240" s="108" t="s">
        <v>301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</row>
    <row r="241" spans="2:32">
      <c r="B241" s="20" t="s">
        <v>304</v>
      </c>
      <c r="C241" s="25"/>
      <c r="D241" s="25"/>
      <c r="E241" s="25"/>
      <c r="F241" s="25"/>
      <c r="G241" s="25">
        <f t="shared" ref="G241:Q241" si="576">G10/G7</f>
        <v>4.7557603686635943</v>
      </c>
      <c r="H241" s="25">
        <f t="shared" si="576"/>
        <v>4.7557603686635943</v>
      </c>
      <c r="I241" s="25">
        <f t="shared" si="576"/>
        <v>5.90034965034965</v>
      </c>
      <c r="J241" s="25">
        <f t="shared" si="576"/>
        <v>11.546378653113088</v>
      </c>
      <c r="K241" s="25">
        <f t="shared" si="576"/>
        <v>10.810462471569371</v>
      </c>
      <c r="L241" s="25">
        <f t="shared" si="576"/>
        <v>11.304187192118226</v>
      </c>
      <c r="M241" s="25">
        <f t="shared" si="576"/>
        <v>10.212690191000323</v>
      </c>
      <c r="N241" s="25">
        <f t="shared" si="576"/>
        <v>13.871639430680021</v>
      </c>
      <c r="O241" s="25">
        <f t="shared" si="576"/>
        <v>13.538922155688622</v>
      </c>
      <c r="P241" s="25">
        <f t="shared" si="576"/>
        <v>15.132942999827794</v>
      </c>
      <c r="Q241" s="25">
        <f t="shared" si="576"/>
        <v>13.422206605762474</v>
      </c>
      <c r="R241" s="118">
        <f t="shared" ref="R241:R243" si="577">((P241/G241)^(1/($H$2-$H$1) ))-1</f>
        <v>0.12271711521555151</v>
      </c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</row>
    <row r="242" spans="2:32">
      <c r="B242" s="20" t="s">
        <v>305</v>
      </c>
      <c r="C242" s="112"/>
      <c r="D242" s="112"/>
      <c r="E242" s="112"/>
      <c r="F242" s="112"/>
      <c r="G242" s="112" t="e">
        <f t="shared" ref="G242:Q242" si="578">G10/G12</f>
        <v>#DIV/0!</v>
      </c>
      <c r="H242" s="112" t="e">
        <f t="shared" si="578"/>
        <v>#DIV/0!</v>
      </c>
      <c r="I242" s="112" t="e">
        <f t="shared" si="578"/>
        <v>#DIV/0!</v>
      </c>
      <c r="J242" s="112" t="e">
        <f t="shared" si="578"/>
        <v>#DIV/0!</v>
      </c>
      <c r="K242" s="112" t="e">
        <f t="shared" si="578"/>
        <v>#DIV/0!</v>
      </c>
      <c r="L242" s="112" t="e">
        <f t="shared" si="578"/>
        <v>#DIV/0!</v>
      </c>
      <c r="M242" s="112" t="e">
        <f t="shared" si="578"/>
        <v>#DIV/0!</v>
      </c>
      <c r="N242" s="112" t="e">
        <f t="shared" si="578"/>
        <v>#DIV/0!</v>
      </c>
      <c r="O242" s="112" t="e">
        <f t="shared" si="578"/>
        <v>#DIV/0!</v>
      </c>
      <c r="P242" s="112" t="e">
        <f t="shared" si="578"/>
        <v>#DIV/0!</v>
      </c>
      <c r="Q242" s="112" t="e">
        <f t="shared" si="578"/>
        <v>#DIV/0!</v>
      </c>
      <c r="R242" s="118" t="e">
        <f t="shared" si="577"/>
        <v>#DIV/0!</v>
      </c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</row>
    <row r="243" spans="2:32">
      <c r="B243" s="20" t="s">
        <v>306</v>
      </c>
      <c r="C243" s="25"/>
      <c r="D243" s="25"/>
      <c r="E243" s="25"/>
      <c r="F243" s="25"/>
      <c r="G243" s="25">
        <f t="shared" ref="G243:Q243" si="579">G10/(G12+G13)</f>
        <v>2.6126582278481014</v>
      </c>
      <c r="H243" s="25">
        <f t="shared" si="579"/>
        <v>2.6126582278481014</v>
      </c>
      <c r="I243" s="25">
        <f t="shared" si="579"/>
        <v>2.5</v>
      </c>
      <c r="J243" s="25">
        <f t="shared" si="579"/>
        <v>2.9570452326716565</v>
      </c>
      <c r="K243" s="25">
        <f t="shared" si="579"/>
        <v>2.7997251129000591</v>
      </c>
      <c r="L243" s="25">
        <f t="shared" si="579"/>
        <v>2.5794576366446536</v>
      </c>
      <c r="M243" s="25">
        <f t="shared" si="579"/>
        <v>3.0901165638162404</v>
      </c>
      <c r="N243" s="25">
        <f t="shared" si="579"/>
        <v>2.7952517527087317</v>
      </c>
      <c r="O243" s="25">
        <f t="shared" si="579"/>
        <v>2.2807940339373851</v>
      </c>
      <c r="P243" s="25">
        <f t="shared" si="579"/>
        <v>2.0448400232693427</v>
      </c>
      <c r="Q243" s="25">
        <f t="shared" si="579"/>
        <v>2.3331134564643801</v>
      </c>
      <c r="R243" s="118">
        <f t="shared" si="577"/>
        <v>-2.4207055684892009E-2</v>
      </c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</row>
    <row r="244" spans="2:32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</row>
    <row r="245" spans="2:32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</row>
    <row r="246" spans="2:32">
      <c r="B246" s="20"/>
      <c r="C246" s="172" t="s">
        <v>375</v>
      </c>
      <c r="D246" s="173"/>
      <c r="E246" s="173"/>
      <c r="F246" s="173"/>
      <c r="G246" s="173"/>
      <c r="H246" s="173"/>
      <c r="I246" s="173"/>
      <c r="J246" s="173"/>
      <c r="K246" s="20"/>
      <c r="L246" s="217" t="s">
        <v>335</v>
      </c>
      <c r="M246" s="218"/>
      <c r="N246" s="219"/>
      <c r="O246" s="23" t="s">
        <v>338</v>
      </c>
      <c r="P246" s="20"/>
      <c r="Q246" s="136"/>
      <c r="R246" s="217" t="s">
        <v>336</v>
      </c>
      <c r="S246" s="218"/>
      <c r="T246" s="219"/>
      <c r="U246" s="23" t="s">
        <v>338</v>
      </c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</row>
    <row r="247" spans="2:32">
      <c r="B247" s="20"/>
      <c r="C247" s="164" t="s">
        <v>337</v>
      </c>
      <c r="D247" s="164" t="s">
        <v>0</v>
      </c>
      <c r="E247" s="164" t="s">
        <v>376</v>
      </c>
      <c r="F247" s="164" t="s">
        <v>377</v>
      </c>
      <c r="G247" s="164" t="s">
        <v>378</v>
      </c>
      <c r="H247" s="164" t="s">
        <v>379</v>
      </c>
      <c r="I247" s="164" t="s">
        <v>380</v>
      </c>
      <c r="J247" s="164" t="s">
        <v>381</v>
      </c>
      <c r="K247" s="20"/>
      <c r="L247" s="164" t="s">
        <v>337</v>
      </c>
      <c r="M247" s="164"/>
      <c r="N247" s="164" t="s">
        <v>0</v>
      </c>
      <c r="O247" s="164" t="s">
        <v>370</v>
      </c>
      <c r="P247" s="20"/>
      <c r="Q247" s="20"/>
      <c r="R247" s="164" t="s">
        <v>337</v>
      </c>
      <c r="S247" s="164"/>
      <c r="T247" s="164" t="s">
        <v>0</v>
      </c>
      <c r="U247" s="164" t="s">
        <v>370</v>
      </c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</row>
    <row r="248" spans="2:32">
      <c r="B248" s="20"/>
      <c r="C248" s="165" t="s">
        <v>339</v>
      </c>
      <c r="D248" s="21">
        <v>70</v>
      </c>
      <c r="E248" s="174" t="s">
        <v>382</v>
      </c>
      <c r="F248" s="22">
        <v>1</v>
      </c>
      <c r="G248" s="22">
        <v>1</v>
      </c>
      <c r="H248" s="165">
        <f>F248/G248</f>
        <v>1</v>
      </c>
      <c r="I248" s="165">
        <f>H248*D249</f>
        <v>1</v>
      </c>
      <c r="J248" s="175">
        <f>I248+D249</f>
        <v>2</v>
      </c>
      <c r="K248" s="20"/>
      <c r="L248" s="165" t="s">
        <v>339</v>
      </c>
      <c r="M248" s="165"/>
      <c r="N248" s="21">
        <v>70</v>
      </c>
      <c r="O248" s="171">
        <f>N248</f>
        <v>70</v>
      </c>
      <c r="P248" s="20"/>
      <c r="Q248" s="20"/>
      <c r="R248" s="165" t="s">
        <v>339</v>
      </c>
      <c r="S248" s="165"/>
      <c r="T248" s="21">
        <v>1</v>
      </c>
      <c r="U248" s="171">
        <f>T248</f>
        <v>1</v>
      </c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</row>
    <row r="249" spans="2:32">
      <c r="B249" s="20"/>
      <c r="C249" s="165" t="s">
        <v>340</v>
      </c>
      <c r="D249" s="21">
        <v>1</v>
      </c>
      <c r="E249" s="174" t="s">
        <v>383</v>
      </c>
      <c r="F249" s="22">
        <v>0</v>
      </c>
      <c r="G249" s="22">
        <v>1</v>
      </c>
      <c r="H249" s="165">
        <f>F249/G249</f>
        <v>0</v>
      </c>
      <c r="I249" s="165">
        <f>H249*J248</f>
        <v>0</v>
      </c>
      <c r="J249" s="165">
        <f>I249+J248</f>
        <v>2</v>
      </c>
      <c r="K249" s="20"/>
      <c r="L249" s="165" t="s">
        <v>340</v>
      </c>
      <c r="M249" s="165"/>
      <c r="N249" s="21">
        <v>1</v>
      </c>
      <c r="O249" s="171">
        <f>N249</f>
        <v>1</v>
      </c>
      <c r="P249" s="20"/>
      <c r="Q249" s="20"/>
      <c r="R249" s="165" t="s">
        <v>340</v>
      </c>
      <c r="S249" s="165"/>
      <c r="T249" s="21">
        <v>1</v>
      </c>
      <c r="U249" s="171">
        <f>T249</f>
        <v>1</v>
      </c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</row>
    <row r="250" spans="2:32">
      <c r="B250" s="20"/>
      <c r="C250" s="165" t="s">
        <v>342</v>
      </c>
      <c r="D250" s="166">
        <f>D248*D249</f>
        <v>70</v>
      </c>
      <c r="E250" s="174" t="s">
        <v>395</v>
      </c>
      <c r="F250" s="22">
        <v>0</v>
      </c>
      <c r="G250" s="22">
        <v>1</v>
      </c>
      <c r="H250" s="165">
        <f>F250/G250</f>
        <v>0</v>
      </c>
      <c r="I250" s="165">
        <f>H250*J249</f>
        <v>0</v>
      </c>
      <c r="J250" s="165">
        <f>I250+J249</f>
        <v>2</v>
      </c>
      <c r="K250" s="20"/>
      <c r="L250" s="165" t="s">
        <v>341</v>
      </c>
      <c r="M250" s="165"/>
      <c r="N250" s="166">
        <f>N248*N249</f>
        <v>70</v>
      </c>
      <c r="O250" s="171">
        <f>N250</f>
        <v>70</v>
      </c>
      <c r="P250" s="20"/>
      <c r="Q250" s="20"/>
      <c r="R250" s="165" t="s">
        <v>342</v>
      </c>
      <c r="S250" s="165"/>
      <c r="T250" s="166">
        <f>T248*T249</f>
        <v>1</v>
      </c>
      <c r="U250" s="171">
        <f>T250</f>
        <v>1</v>
      </c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</row>
    <row r="251" spans="2:32">
      <c r="B251" s="20"/>
      <c r="C251" s="165"/>
      <c r="D251" s="166"/>
      <c r="E251" s="174" t="s">
        <v>453</v>
      </c>
      <c r="F251" s="22">
        <v>0</v>
      </c>
      <c r="G251" s="22">
        <v>1</v>
      </c>
      <c r="H251" s="165">
        <f t="shared" ref="H251:H254" si="580">F251/G251</f>
        <v>0</v>
      </c>
      <c r="I251" s="165">
        <f t="shared" ref="I251:I253" si="581">H251*J250</f>
        <v>0</v>
      </c>
      <c r="J251" s="165">
        <f t="shared" ref="J251:J253" si="582">I251+J250</f>
        <v>2</v>
      </c>
      <c r="K251" s="20"/>
      <c r="L251" s="165" t="s">
        <v>343</v>
      </c>
      <c r="M251" s="165"/>
      <c r="N251" s="21">
        <v>570</v>
      </c>
      <c r="O251" s="21">
        <v>700</v>
      </c>
      <c r="P251" s="20"/>
      <c r="Q251" s="20"/>
      <c r="R251" s="165" t="s">
        <v>343</v>
      </c>
      <c r="S251" s="165"/>
      <c r="T251" s="21">
        <v>1</v>
      </c>
      <c r="U251" s="21">
        <v>1</v>
      </c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</row>
    <row r="252" spans="2:32">
      <c r="B252" s="20"/>
      <c r="C252" s="165"/>
      <c r="D252" s="166"/>
      <c r="E252" s="174" t="s">
        <v>454</v>
      </c>
      <c r="F252" s="22">
        <v>0</v>
      </c>
      <c r="G252" s="22">
        <v>1</v>
      </c>
      <c r="H252" s="165">
        <f t="shared" si="580"/>
        <v>0</v>
      </c>
      <c r="I252" s="165">
        <f t="shared" si="581"/>
        <v>0</v>
      </c>
      <c r="J252" s="165">
        <f t="shared" si="582"/>
        <v>2</v>
      </c>
      <c r="K252" s="20"/>
      <c r="L252" s="165" t="s">
        <v>344</v>
      </c>
      <c r="M252" s="165"/>
      <c r="N252" s="166">
        <f>N251*N249</f>
        <v>570</v>
      </c>
      <c r="O252" s="166">
        <f>O251*O249</f>
        <v>700</v>
      </c>
      <c r="P252" s="20"/>
      <c r="Q252" s="20"/>
      <c r="R252" s="165" t="s">
        <v>340</v>
      </c>
      <c r="S252" s="165"/>
      <c r="T252" s="21">
        <v>1</v>
      </c>
      <c r="U252" s="127">
        <f>T252</f>
        <v>1</v>
      </c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</row>
    <row r="253" spans="2:32">
      <c r="B253" s="20"/>
      <c r="C253" s="165"/>
      <c r="D253" s="166"/>
      <c r="E253" s="174" t="s">
        <v>455</v>
      </c>
      <c r="F253" s="22">
        <v>0</v>
      </c>
      <c r="G253" s="22">
        <v>1</v>
      </c>
      <c r="H253" s="165">
        <f t="shared" si="580"/>
        <v>0</v>
      </c>
      <c r="I253" s="165">
        <f t="shared" si="581"/>
        <v>0</v>
      </c>
      <c r="J253" s="165">
        <f t="shared" si="582"/>
        <v>2</v>
      </c>
      <c r="K253" s="20"/>
      <c r="L253" s="165"/>
      <c r="M253" s="165"/>
      <c r="N253" s="166"/>
      <c r="O253" s="166"/>
      <c r="P253" s="20"/>
      <c r="Q253" s="20"/>
      <c r="R253" s="165" t="s">
        <v>342</v>
      </c>
      <c r="S253" s="165"/>
      <c r="T253" s="166">
        <f>T252*T251</f>
        <v>1</v>
      </c>
      <c r="U253" s="166">
        <f>U252*U251</f>
        <v>1</v>
      </c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</row>
    <row r="254" spans="2:32">
      <c r="B254" s="20"/>
      <c r="C254" s="165"/>
      <c r="D254" s="166"/>
      <c r="E254" s="174" t="s">
        <v>384</v>
      </c>
      <c r="F254" s="22">
        <v>10</v>
      </c>
      <c r="G254" s="22">
        <v>2</v>
      </c>
      <c r="H254" s="165">
        <f t="shared" si="580"/>
        <v>5</v>
      </c>
      <c r="I254" s="165">
        <f>H254*J253</f>
        <v>10</v>
      </c>
      <c r="J254" s="165">
        <f>I254</f>
        <v>10</v>
      </c>
      <c r="K254" s="20"/>
      <c r="L254" s="165"/>
      <c r="M254" s="165"/>
      <c r="N254" s="166"/>
      <c r="O254" s="166"/>
      <c r="P254" s="20"/>
      <c r="Q254" s="20"/>
      <c r="R254" s="165"/>
      <c r="S254" s="165"/>
      <c r="T254" s="166"/>
      <c r="U254" s="166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</row>
    <row r="255" spans="2:32">
      <c r="B255" s="20"/>
      <c r="C255" s="165"/>
      <c r="D255" s="166"/>
      <c r="E255" s="174" t="s">
        <v>456</v>
      </c>
      <c r="F255" s="22">
        <v>0</v>
      </c>
      <c r="G255" s="22">
        <v>1</v>
      </c>
      <c r="H255" s="165">
        <f>F255/G255</f>
        <v>0</v>
      </c>
      <c r="I255" s="165">
        <f>H255*J254</f>
        <v>0</v>
      </c>
      <c r="J255" s="165">
        <f>I255</f>
        <v>0</v>
      </c>
      <c r="K255" s="20"/>
      <c r="L255" s="167" t="s">
        <v>345</v>
      </c>
      <c r="M255" s="167"/>
      <c r="N255" s="168">
        <f>N252/N250</f>
        <v>8.1428571428571423</v>
      </c>
      <c r="O255" s="168">
        <f>O252/O250</f>
        <v>10</v>
      </c>
      <c r="P255" s="20"/>
      <c r="Q255" s="20"/>
      <c r="R255" s="167" t="s">
        <v>345</v>
      </c>
      <c r="S255" s="167"/>
      <c r="T255" s="168">
        <f>T253/T250</f>
        <v>1</v>
      </c>
      <c r="U255" s="168">
        <f>U253/U250</f>
        <v>1</v>
      </c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</row>
    <row r="256" spans="2:32">
      <c r="B256" s="20"/>
      <c r="C256" s="165" t="s">
        <v>343</v>
      </c>
      <c r="D256" s="21">
        <v>570</v>
      </c>
      <c r="E256" s="174"/>
      <c r="F256" s="165"/>
      <c r="G256" s="165"/>
      <c r="H256" s="167" t="s">
        <v>385</v>
      </c>
      <c r="I256" s="165"/>
      <c r="J256" s="165">
        <f>J255</f>
        <v>0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</row>
    <row r="257" spans="2:32">
      <c r="B257" s="20"/>
      <c r="C257" s="165" t="s">
        <v>340</v>
      </c>
      <c r="D257" s="21">
        <v>1</v>
      </c>
      <c r="E257" s="174" t="s">
        <v>384</v>
      </c>
      <c r="F257" s="22">
        <v>10</v>
      </c>
      <c r="G257" s="22">
        <v>2</v>
      </c>
      <c r="H257" s="165">
        <f>F257/G257</f>
        <v>5</v>
      </c>
      <c r="I257" s="175">
        <f>H257*D249</f>
        <v>5</v>
      </c>
      <c r="J257" s="175">
        <f>I257</f>
        <v>5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</row>
    <row r="258" spans="2:32">
      <c r="B258" s="20"/>
      <c r="C258" s="165" t="s">
        <v>342</v>
      </c>
      <c r="D258" s="166">
        <f>D257*D256</f>
        <v>570</v>
      </c>
      <c r="E258" s="165"/>
      <c r="F258" s="165"/>
      <c r="G258" s="165"/>
      <c r="H258" s="167" t="s">
        <v>385</v>
      </c>
      <c r="I258" s="165"/>
      <c r="J258" s="165">
        <f>J257</f>
        <v>5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</row>
    <row r="259" spans="2:32">
      <c r="B259" s="20"/>
      <c r="C259" s="165"/>
      <c r="D259" s="166"/>
      <c r="E259" s="174" t="s">
        <v>384</v>
      </c>
      <c r="F259" s="22">
        <v>10</v>
      </c>
      <c r="G259" s="22">
        <v>2</v>
      </c>
      <c r="H259" s="165">
        <f>F259/G259</f>
        <v>5</v>
      </c>
      <c r="I259" s="165">
        <f>H259*J258</f>
        <v>25</v>
      </c>
      <c r="J259" s="165">
        <f>I259</f>
        <v>25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</row>
    <row r="260" spans="2:32">
      <c r="B260" s="20"/>
      <c r="C260" s="167" t="s">
        <v>345</v>
      </c>
      <c r="D260" s="168">
        <f>D258/D250</f>
        <v>8.1428571428571423</v>
      </c>
      <c r="E260" s="174"/>
      <c r="F260" s="165"/>
      <c r="G260" s="165"/>
      <c r="H260" s="167" t="s">
        <v>385</v>
      </c>
      <c r="I260" s="165"/>
      <c r="J260" s="165">
        <f>J259</f>
        <v>25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</row>
    <row r="261" spans="2:32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</row>
    <row r="262" spans="2:32">
      <c r="B262" s="20"/>
      <c r="C262" s="20"/>
      <c r="D262" s="136"/>
      <c r="E262" s="176"/>
      <c r="F262" s="176"/>
      <c r="G262" s="177"/>
      <c r="H262" s="20"/>
      <c r="I262" s="136"/>
      <c r="J262" s="176"/>
      <c r="K262" s="177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</row>
    <row r="263" spans="2:32" ht="14.25">
      <c r="B263" s="20"/>
      <c r="C263" s="20"/>
      <c r="D263" s="210" t="s">
        <v>27</v>
      </c>
      <c r="E263" s="211"/>
      <c r="F263" s="211"/>
      <c r="G263" s="212"/>
      <c r="H263" s="20"/>
      <c r="I263" s="210" t="s">
        <v>390</v>
      </c>
      <c r="J263" s="211"/>
      <c r="K263" s="212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</row>
    <row r="264" spans="2:32">
      <c r="B264" s="20"/>
      <c r="C264" s="20"/>
      <c r="D264" s="20" t="s">
        <v>28</v>
      </c>
      <c r="E264" s="127"/>
      <c r="F264" s="127"/>
      <c r="G264" s="21">
        <f>D250</f>
        <v>70</v>
      </c>
      <c r="H264" s="20"/>
      <c r="I264" s="20" t="s">
        <v>28</v>
      </c>
      <c r="J264" s="127"/>
      <c r="K264" s="21">
        <f>G264</f>
        <v>70</v>
      </c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</row>
    <row r="265" spans="2:32">
      <c r="B265" s="20"/>
      <c r="C265" s="20"/>
      <c r="D265" s="20" t="s">
        <v>29</v>
      </c>
      <c r="E265" s="127"/>
      <c r="F265" s="127"/>
      <c r="G265" s="21">
        <f>D258</f>
        <v>570</v>
      </c>
      <c r="H265" s="20"/>
      <c r="I265" s="20" t="s">
        <v>29</v>
      </c>
      <c r="J265" s="20"/>
      <c r="K265" s="21">
        <f>G265</f>
        <v>570</v>
      </c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</row>
    <row r="266" spans="2:32">
      <c r="B266" s="20"/>
      <c r="C266" s="20"/>
      <c r="D266" s="20" t="s">
        <v>30</v>
      </c>
      <c r="E266" s="20"/>
      <c r="F266" s="20"/>
      <c r="G266" s="22">
        <v>10</v>
      </c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</row>
    <row r="267" spans="2:32">
      <c r="B267" s="20"/>
      <c r="C267" s="20"/>
      <c r="D267" s="23" t="s">
        <v>31</v>
      </c>
      <c r="E267" s="3"/>
      <c r="F267" s="3"/>
      <c r="G267" s="3">
        <f>((G265/G264)^(1/G266))-1</f>
        <v>0.23332541646363025</v>
      </c>
      <c r="H267" s="20"/>
      <c r="I267" s="23" t="s">
        <v>391</v>
      </c>
      <c r="J267" s="23"/>
      <c r="K267" s="191">
        <f>(K265-K264)/K264</f>
        <v>7.1428571428571432</v>
      </c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</row>
    <row r="268" spans="2:32">
      <c r="C268" s="20"/>
      <c r="D268" s="23" t="s">
        <v>32</v>
      </c>
      <c r="E268" s="163"/>
      <c r="F268" s="163"/>
      <c r="G268" s="24">
        <f>G266*12</f>
        <v>120</v>
      </c>
      <c r="H268" s="20"/>
      <c r="I268" s="23" t="s">
        <v>392</v>
      </c>
      <c r="J268" s="23"/>
      <c r="K268" s="23">
        <f>K265/K264</f>
        <v>8.1428571428571423</v>
      </c>
    </row>
    <row r="269" spans="2:32">
      <c r="C269" s="20"/>
      <c r="D269" s="20" t="s">
        <v>30</v>
      </c>
      <c r="E269" s="25"/>
      <c r="F269" s="25"/>
      <c r="G269" s="25">
        <f>G268/12</f>
        <v>10</v>
      </c>
      <c r="H269" s="20"/>
      <c r="I269" s="20"/>
      <c r="J269" s="20"/>
      <c r="K269" s="20"/>
    </row>
    <row r="270" spans="2:32">
      <c r="C270" s="20"/>
      <c r="D270" s="23" t="s">
        <v>33</v>
      </c>
      <c r="E270" s="3"/>
      <c r="F270" s="3"/>
      <c r="G270" s="3">
        <f>((G265/G264)^(1/G269))-1</f>
        <v>0.23332541646363025</v>
      </c>
      <c r="H270" s="20"/>
      <c r="I270" s="20"/>
      <c r="J270" s="20"/>
      <c r="K270" s="20"/>
    </row>
    <row r="271" spans="2:32">
      <c r="C271" s="20"/>
      <c r="D271" s="20"/>
      <c r="E271" s="20"/>
      <c r="F271" s="20"/>
      <c r="G271" s="20"/>
      <c r="H271" s="20"/>
      <c r="I271" s="20"/>
      <c r="J271" s="20"/>
      <c r="K271" s="20"/>
    </row>
    <row r="272" spans="2:32">
      <c r="C272" s="20"/>
      <c r="D272" s="20"/>
      <c r="E272" s="20"/>
      <c r="F272" s="20"/>
      <c r="G272" s="20"/>
      <c r="H272" s="20"/>
      <c r="I272" s="20"/>
      <c r="J272" s="20"/>
      <c r="K272" s="20"/>
    </row>
  </sheetData>
  <mergeCells count="9">
    <mergeCell ref="A36:A45"/>
    <mergeCell ref="A124:A132"/>
    <mergeCell ref="D263:G263"/>
    <mergeCell ref="I263:K263"/>
    <mergeCell ref="AE2:AF2"/>
    <mergeCell ref="AE3:AF3"/>
    <mergeCell ref="L246:N246"/>
    <mergeCell ref="R246:T246"/>
    <mergeCell ref="K229:L22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22" t="s">
        <v>27</v>
      </c>
      <c r="K5" s="222"/>
      <c r="M5" s="222" t="s">
        <v>65</v>
      </c>
      <c r="N5" s="222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22" t="s">
        <v>36</v>
      </c>
      <c r="K14" s="222"/>
      <c r="L14" s="222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22" t="s">
        <v>27</v>
      </c>
      <c r="S5" s="222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22" t="s">
        <v>36</v>
      </c>
      <c r="S14" s="222"/>
      <c r="T14" s="222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22" t="s">
        <v>27</v>
      </c>
      <c r="C2" s="222"/>
      <c r="E2" s="222" t="s">
        <v>65</v>
      </c>
      <c r="F2" s="222"/>
      <c r="H2" s="226" t="s">
        <v>36</v>
      </c>
      <c r="I2" s="227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23" t="s">
        <v>68</v>
      </c>
      <c r="E10" s="224"/>
      <c r="F10" s="224"/>
      <c r="G10" s="224"/>
      <c r="H10" s="225"/>
      <c r="I10" s="223" t="s">
        <v>72</v>
      </c>
      <c r="J10" s="224"/>
      <c r="K10" s="224"/>
      <c r="L10" s="225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85"/>
    <col min="2" max="2" width="16.5703125" style="185" customWidth="1"/>
    <col min="3" max="3" width="39.7109375" style="185" customWidth="1"/>
    <col min="4" max="5" width="9.140625" style="185"/>
    <col min="6" max="6" width="19" style="185" bestFit="1" customWidth="1"/>
    <col min="7" max="7" width="49" style="185" customWidth="1"/>
    <col min="8" max="16384" width="9.140625" style="185"/>
  </cols>
  <sheetData>
    <row r="3" spans="2:7">
      <c r="B3" s="228" t="s">
        <v>429</v>
      </c>
      <c r="C3" s="229"/>
      <c r="F3" s="228" t="s">
        <v>430</v>
      </c>
      <c r="G3" s="229"/>
    </row>
    <row r="4" spans="2:7">
      <c r="B4" s="186" t="s">
        <v>431</v>
      </c>
      <c r="C4" s="186"/>
      <c r="F4" s="186" t="s">
        <v>432</v>
      </c>
      <c r="G4" s="186"/>
    </row>
    <row r="5" spans="2:7">
      <c r="B5" s="186" t="s">
        <v>433</v>
      </c>
      <c r="C5" s="186"/>
      <c r="F5" s="186" t="s">
        <v>291</v>
      </c>
      <c r="G5" s="186"/>
    </row>
    <row r="6" spans="2:7">
      <c r="B6" s="186" t="s">
        <v>434</v>
      </c>
      <c r="C6" s="186"/>
      <c r="F6" s="186" t="s">
        <v>435</v>
      </c>
      <c r="G6" s="186"/>
    </row>
    <row r="7" spans="2:7">
      <c r="B7" s="186" t="s">
        <v>436</v>
      </c>
      <c r="C7" s="186"/>
      <c r="F7" s="186" t="s">
        <v>437</v>
      </c>
      <c r="G7" s="186"/>
    </row>
    <row r="8" spans="2:7">
      <c r="B8" s="186" t="s">
        <v>438</v>
      </c>
      <c r="C8" s="186"/>
      <c r="F8" s="186" t="s">
        <v>439</v>
      </c>
      <c r="G8" s="186"/>
    </row>
    <row r="9" spans="2:7">
      <c r="B9" s="186" t="s">
        <v>440</v>
      </c>
      <c r="C9" s="186"/>
      <c r="F9" s="186" t="s">
        <v>441</v>
      </c>
      <c r="G9" s="186"/>
    </row>
    <row r="10" spans="2:7">
      <c r="B10" s="186" t="s">
        <v>439</v>
      </c>
      <c r="C10" s="186"/>
      <c r="F10" s="186"/>
      <c r="G10" s="186"/>
    </row>
    <row r="11" spans="2:7">
      <c r="B11" s="186" t="s">
        <v>442</v>
      </c>
      <c r="C11" s="186"/>
      <c r="F11" s="186"/>
      <c r="G11" s="186"/>
    </row>
    <row r="12" spans="2:7">
      <c r="B12" s="186" t="s">
        <v>443</v>
      </c>
      <c r="C12" s="186"/>
      <c r="F12" s="186"/>
      <c r="G12" s="186"/>
    </row>
    <row r="13" spans="2:7">
      <c r="B13" s="186"/>
      <c r="C13" s="186"/>
      <c r="F13" s="186"/>
      <c r="G13" s="186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2016-10-02T05:41:02Z</dcterms:modified>
</cp:coreProperties>
</file>
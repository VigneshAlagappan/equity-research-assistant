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T54" i="18"/>
  <c r="T68"/>
  <c r="M192" l="1"/>
  <c r="S60"/>
  <c r="R60"/>
  <c r="Q60"/>
  <c r="P60"/>
  <c r="O60"/>
  <c r="N60"/>
  <c r="M60"/>
  <c r="L60"/>
  <c r="K60"/>
  <c r="J60"/>
  <c r="I60"/>
  <c r="H60"/>
  <c r="G60"/>
  <c r="S58"/>
  <c r="R58"/>
  <c r="Q58"/>
  <c r="P58"/>
  <c r="O58"/>
  <c r="N58"/>
  <c r="M58"/>
  <c r="L58"/>
  <c r="K58"/>
  <c r="J58"/>
  <c r="I58"/>
  <c r="H58"/>
  <c r="G58"/>
  <c r="S56"/>
  <c r="R56"/>
  <c r="Q56"/>
  <c r="P56"/>
  <c r="O56"/>
  <c r="N56"/>
  <c r="M56"/>
  <c r="L56"/>
  <c r="K56"/>
  <c r="J56"/>
  <c r="I56"/>
  <c r="G55"/>
  <c r="H56" s="1"/>
  <c r="S54"/>
  <c r="R54"/>
  <c r="Q54"/>
  <c r="P54"/>
  <c r="O54"/>
  <c r="N54"/>
  <c r="M54"/>
  <c r="L54"/>
  <c r="K54"/>
  <c r="J54"/>
  <c r="I54"/>
  <c r="G53"/>
  <c r="H54" s="1"/>
  <c r="S52"/>
  <c r="R52"/>
  <c r="Q52"/>
  <c r="P52"/>
  <c r="O52"/>
  <c r="N52"/>
  <c r="M52"/>
  <c r="L52"/>
  <c r="K52"/>
  <c r="J52"/>
  <c r="I52"/>
  <c r="G51"/>
  <c r="H52" s="1"/>
  <c r="G49"/>
  <c r="S48"/>
  <c r="R48"/>
  <c r="Q48"/>
  <c r="P48"/>
  <c r="O48"/>
  <c r="N48"/>
  <c r="M48"/>
  <c r="L48"/>
  <c r="K48"/>
  <c r="J48"/>
  <c r="I48"/>
  <c r="H48"/>
  <c r="G48"/>
  <c r="S46"/>
  <c r="R46"/>
  <c r="Q46"/>
  <c r="P46"/>
  <c r="O46"/>
  <c r="N46"/>
  <c r="M46"/>
  <c r="L46"/>
  <c r="K46"/>
  <c r="J46"/>
  <c r="I46"/>
  <c r="G45"/>
  <c r="H46" s="1"/>
  <c r="S44"/>
  <c r="R44"/>
  <c r="Q44"/>
  <c r="P44"/>
  <c r="O44"/>
  <c r="N44"/>
  <c r="M44"/>
  <c r="L44"/>
  <c r="K44"/>
  <c r="J44"/>
  <c r="I44"/>
  <c r="G43"/>
  <c r="H44" s="1"/>
  <c r="G42"/>
  <c r="G41"/>
  <c r="G40"/>
  <c r="S39"/>
  <c r="R39"/>
  <c r="Q39"/>
  <c r="P39"/>
  <c r="O39"/>
  <c r="N39"/>
  <c r="M39"/>
  <c r="L39"/>
  <c r="K39"/>
  <c r="J39"/>
  <c r="I39"/>
  <c r="G38"/>
  <c r="G39" s="1"/>
  <c r="S37"/>
  <c r="R37"/>
  <c r="Q37"/>
  <c r="P37"/>
  <c r="O37"/>
  <c r="N37"/>
  <c r="M37"/>
  <c r="L37"/>
  <c r="K37"/>
  <c r="J37"/>
  <c r="I37"/>
  <c r="G36"/>
  <c r="G37" s="1"/>
  <c r="G33"/>
  <c r="G32"/>
  <c r="G31"/>
  <c r="S30"/>
  <c r="R30"/>
  <c r="Q30"/>
  <c r="P30"/>
  <c r="O30"/>
  <c r="N30"/>
  <c r="M30"/>
  <c r="L30"/>
  <c r="K30"/>
  <c r="J30"/>
  <c r="I30"/>
  <c r="G29"/>
  <c r="H30" s="1"/>
  <c r="S28"/>
  <c r="R28"/>
  <c r="Q28"/>
  <c r="P28"/>
  <c r="O28"/>
  <c r="N28"/>
  <c r="M28"/>
  <c r="L28"/>
  <c r="K28"/>
  <c r="J28"/>
  <c r="I28"/>
  <c r="G27"/>
  <c r="H28" s="1"/>
  <c r="S26"/>
  <c r="R26"/>
  <c r="Q26"/>
  <c r="P26"/>
  <c r="O26"/>
  <c r="N26"/>
  <c r="M26"/>
  <c r="L26"/>
  <c r="K26"/>
  <c r="J26"/>
  <c r="I26"/>
  <c r="G25"/>
  <c r="H26" s="1"/>
  <c r="G23"/>
  <c r="G22"/>
  <c r="G21"/>
  <c r="G20"/>
  <c r="G18"/>
  <c r="G16"/>
  <c r="G15"/>
  <c r="G14"/>
  <c r="G13"/>
  <c r="G12"/>
  <c r="S11"/>
  <c r="R11"/>
  <c r="Q11"/>
  <c r="P11"/>
  <c r="O11"/>
  <c r="N11"/>
  <c r="M11"/>
  <c r="L11"/>
  <c r="K11"/>
  <c r="J11"/>
  <c r="I11"/>
  <c r="G11"/>
  <c r="G10"/>
  <c r="H11" s="1"/>
  <c r="G9"/>
  <c r="S8"/>
  <c r="R8"/>
  <c r="Q8"/>
  <c r="P8"/>
  <c r="O8"/>
  <c r="N8"/>
  <c r="M8"/>
  <c r="L8"/>
  <c r="K8"/>
  <c r="J8"/>
  <c r="I8"/>
  <c r="G7"/>
  <c r="G8" s="1"/>
  <c r="G6"/>
  <c r="U40"/>
  <c r="U41"/>
  <c r="U42"/>
  <c r="U49"/>
  <c r="U153"/>
  <c r="U7"/>
  <c r="U9"/>
  <c r="U12"/>
  <c r="U13"/>
  <c r="U14"/>
  <c r="U15"/>
  <c r="U16"/>
  <c r="U18"/>
  <c r="U20"/>
  <c r="U21"/>
  <c r="U22"/>
  <c r="U23"/>
  <c r="U25"/>
  <c r="U27"/>
  <c r="U29"/>
  <c r="U31"/>
  <c r="U32"/>
  <c r="U33"/>
  <c r="U34"/>
  <c r="U50"/>
  <c r="U57"/>
  <c r="U59"/>
  <c r="U6"/>
  <c r="H8" l="1"/>
  <c r="G26"/>
  <c r="G28"/>
  <c r="G30"/>
  <c r="H37"/>
  <c r="H39"/>
  <c r="G44"/>
  <c r="G46"/>
  <c r="G52"/>
  <c r="G54"/>
  <c r="G56"/>
  <c r="U10"/>
  <c r="U51"/>
  <c r="U53"/>
  <c r="U55"/>
  <c r="G211"/>
  <c r="G212"/>
  <c r="G66"/>
  <c r="G202" s="1"/>
  <c r="G67"/>
  <c r="G70"/>
  <c r="G204" s="1"/>
  <c r="G71"/>
  <c r="G205" s="1"/>
  <c r="G72"/>
  <c r="G73"/>
  <c r="G74"/>
  <c r="G75"/>
  <c r="G206" s="1"/>
  <c r="G76"/>
  <c r="G78"/>
  <c r="G79"/>
  <c r="G80"/>
  <c r="G209" s="1"/>
  <c r="G82"/>
  <c r="G83"/>
  <c r="G85"/>
  <c r="G86"/>
  <c r="G208" s="1"/>
  <c r="G88"/>
  <c r="G139" s="1"/>
  <c r="G140" s="1"/>
  <c r="G141" s="1"/>
  <c r="G142" s="1"/>
  <c r="G90"/>
  <c r="G92" s="1"/>
  <c r="G93"/>
  <c r="G94"/>
  <c r="G95"/>
  <c r="G96"/>
  <c r="G98"/>
  <c r="G164" s="1"/>
  <c r="G100"/>
  <c r="G105"/>
  <c r="G107"/>
  <c r="G109"/>
  <c r="G112"/>
  <c r="G118" s="1"/>
  <c r="G113"/>
  <c r="G119" s="1"/>
  <c r="G114"/>
  <c r="G120" s="1"/>
  <c r="G115"/>
  <c r="G121" s="1"/>
  <c r="G116"/>
  <c r="G122" s="1"/>
  <c r="G134"/>
  <c r="G135"/>
  <c r="G136"/>
  <c r="G137"/>
  <c r="G145"/>
  <c r="G146"/>
  <c r="G147"/>
  <c r="G149"/>
  <c r="G150"/>
  <c r="G151"/>
  <c r="G154"/>
  <c r="G155"/>
  <c r="G156"/>
  <c r="G157"/>
  <c r="G159"/>
  <c r="G160"/>
  <c r="G162"/>
  <c r="G163" s="1"/>
  <c r="G166"/>
  <c r="G167"/>
  <c r="AH232"/>
  <c r="AI231"/>
  <c r="AH231"/>
  <c r="AH230"/>
  <c r="AH229"/>
  <c r="G108" l="1"/>
  <c r="G106"/>
  <c r="G102"/>
  <c r="G99"/>
  <c r="G68"/>
  <c r="G110" s="1"/>
  <c r="U45"/>
  <c r="U38"/>
  <c r="G203"/>
  <c r="G216" s="1"/>
  <c r="G217" s="1"/>
  <c r="G84"/>
  <c r="G207" s="1"/>
  <c r="G143"/>
  <c r="G215"/>
  <c r="G214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U47" i="18" l="1"/>
  <c r="U36"/>
  <c r="U43"/>
  <c r="H69" i="20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B95" l="1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U201"/>
  <c r="H248"/>
  <c r="I248"/>
  <c r="H249"/>
  <c r="I249"/>
  <c r="H250"/>
  <c r="I250"/>
  <c r="H211"/>
  <c r="I211"/>
  <c r="H212"/>
  <c r="I212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2"/>
  <c r="I102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I163" s="1"/>
  <c r="H163"/>
  <c r="H164"/>
  <c r="H166"/>
  <c r="I166"/>
  <c r="H167"/>
  <c r="I167"/>
  <c r="I143" l="1"/>
  <c r="H141"/>
  <c r="H142" s="1"/>
  <c r="H143"/>
  <c r="I125"/>
  <c r="I126"/>
  <c r="I127"/>
  <c r="I128"/>
  <c r="I131"/>
  <c r="I129"/>
  <c r="I124"/>
  <c r="I132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H47"/>
  <c r="V47"/>
  <c r="W47" s="1"/>
  <c r="X47" s="1"/>
  <c r="Y47" s="1"/>
  <c r="Z47" s="1"/>
  <c r="AA47" s="1"/>
  <c r="AB47" s="1"/>
  <c r="AC47" s="1"/>
  <c r="AD47" s="1"/>
  <c r="AE47" s="1"/>
  <c r="AF47" s="1"/>
  <c r="T48"/>
  <c r="T130"/>
  <c r="S130"/>
  <c r="R130"/>
  <c r="Q130"/>
  <c r="P130"/>
  <c r="O130"/>
  <c r="N130"/>
  <c r="M130"/>
  <c r="L130"/>
  <c r="K130"/>
  <c r="G129" l="1"/>
  <c r="U129" s="1"/>
  <c r="G125"/>
  <c r="G127"/>
  <c r="G131"/>
  <c r="G126"/>
  <c r="G128"/>
  <c r="G124"/>
  <c r="G132"/>
  <c r="H129"/>
  <c r="H125"/>
  <c r="H126"/>
  <c r="H127"/>
  <c r="H128"/>
  <c r="H131"/>
  <c r="H124"/>
  <c r="H132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AG47" i="18"/>
  <c r="T126"/>
  <c r="S126"/>
  <c r="R126"/>
  <c r="Q126"/>
  <c r="P126"/>
  <c r="O126"/>
  <c r="N126"/>
  <c r="M126"/>
  <c r="L126"/>
  <c r="K126"/>
  <c r="V49"/>
  <c r="T46"/>
  <c r="T44"/>
  <c r="T39"/>
  <c r="T37"/>
  <c r="J126"/>
  <c r="U126" l="1"/>
  <c r="J130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T132" i="18"/>
  <c r="U132" s="1"/>
  <c r="T131"/>
  <c r="U131" s="1"/>
  <c r="T128"/>
  <c r="U128" s="1"/>
  <c r="T127"/>
  <c r="U127" s="1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U125" s="1"/>
  <c r="S125"/>
  <c r="R125"/>
  <c r="Q125"/>
  <c r="P125"/>
  <c r="O125"/>
  <c r="N125"/>
  <c r="M125"/>
  <c r="L125"/>
  <c r="K125"/>
  <c r="J125"/>
  <c r="T124"/>
  <c r="U124" s="1"/>
  <c r="S124"/>
  <c r="R124"/>
  <c r="Q124"/>
  <c r="P124"/>
  <c r="O124"/>
  <c r="N124"/>
  <c r="M124"/>
  <c r="L124"/>
  <c r="K124"/>
  <c r="J124"/>
  <c r="AH49"/>
  <c r="AH45"/>
  <c r="AH43"/>
  <c r="AH42"/>
  <c r="AH41"/>
  <c r="AH40"/>
  <c r="AH38"/>
  <c r="AH36"/>
  <c r="V40"/>
  <c r="W40" s="1"/>
  <c r="X40" s="1"/>
  <c r="Y40" s="1"/>
  <c r="Z40" s="1"/>
  <c r="AA40" s="1"/>
  <c r="AB40" s="1"/>
  <c r="AC40" s="1"/>
  <c r="AD40" s="1"/>
  <c r="AE40" s="1"/>
  <c r="AF40" s="1"/>
  <c r="W49"/>
  <c r="X49" s="1"/>
  <c r="Y49" s="1"/>
  <c r="Z49" s="1"/>
  <c r="AA49" s="1"/>
  <c r="AB49" s="1"/>
  <c r="AC49" s="1"/>
  <c r="AD49" s="1"/>
  <c r="AE49" s="1"/>
  <c r="AF49" s="1"/>
  <c r="V45"/>
  <c r="W45" s="1"/>
  <c r="X45" s="1"/>
  <c r="Y45" s="1"/>
  <c r="Z45" s="1"/>
  <c r="AA45" s="1"/>
  <c r="AB45" s="1"/>
  <c r="AC45" s="1"/>
  <c r="AD45" s="1"/>
  <c r="AE45" s="1"/>
  <c r="AF45" s="1"/>
  <c r="G130" l="1"/>
  <c r="U13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G49" i="18"/>
  <c r="AG45"/>
  <c r="AG40"/>
  <c r="V43"/>
  <c r="W43" s="1"/>
  <c r="X43" s="1"/>
  <c r="Y43" s="1"/>
  <c r="Z43" s="1"/>
  <c r="AA43" s="1"/>
  <c r="AB43" s="1"/>
  <c r="AC43" s="1"/>
  <c r="AD43" s="1"/>
  <c r="AE43" s="1"/>
  <c r="AF43" s="1"/>
  <c r="AG43" s="1"/>
  <c r="V42"/>
  <c r="W42" s="1"/>
  <c r="X42" s="1"/>
  <c r="Y42" s="1"/>
  <c r="Z42" s="1"/>
  <c r="AA42" s="1"/>
  <c r="AB42" s="1"/>
  <c r="AC42" s="1"/>
  <c r="AD42" s="1"/>
  <c r="AE42" s="1"/>
  <c r="AF42" s="1"/>
  <c r="AG42" s="1"/>
  <c r="V41"/>
  <c r="W41" s="1"/>
  <c r="X41" s="1"/>
  <c r="Y41" s="1"/>
  <c r="Z41" s="1"/>
  <c r="AA41" s="1"/>
  <c r="AB41" s="1"/>
  <c r="AC41" s="1"/>
  <c r="AD41" s="1"/>
  <c r="AE41" s="1"/>
  <c r="AF41" s="1"/>
  <c r="V38"/>
  <c r="W38" s="1"/>
  <c r="V36"/>
  <c r="W36" s="1"/>
  <c r="H130" l="1"/>
  <c r="H78" i="20"/>
  <c r="G59"/>
  <c r="C60" s="1"/>
  <c r="F59"/>
  <c r="J55"/>
  <c r="P54"/>
  <c r="I104"/>
  <c r="M103"/>
  <c r="N103" s="1"/>
  <c r="J104" s="1"/>
  <c r="B104"/>
  <c r="F103"/>
  <c r="G103" s="1"/>
  <c r="C104" s="1"/>
  <c r="X38" i="18"/>
  <c r="W127"/>
  <c r="X36"/>
  <c r="W126"/>
  <c r="W128"/>
  <c r="AG41"/>
  <c r="B215"/>
  <c r="AH227"/>
  <c r="AH224"/>
  <c r="AH226"/>
  <c r="AH225"/>
  <c r="AH222"/>
  <c r="AH221"/>
  <c r="AH220"/>
  <c r="AH219"/>
  <c r="AH214"/>
  <c r="AH217"/>
  <c r="AH216"/>
  <c r="AH215"/>
  <c r="AH212"/>
  <c r="AH211"/>
  <c r="AH208"/>
  <c r="AH207"/>
  <c r="AH210"/>
  <c r="AH209"/>
  <c r="AH206"/>
  <c r="AH205"/>
  <c r="AH204"/>
  <c r="AH203"/>
  <c r="AH202"/>
  <c r="AH201"/>
  <c r="AI224"/>
  <c r="B105" i="20" l="1"/>
  <c r="F104"/>
  <c r="G104" s="1"/>
  <c r="C105" s="1"/>
  <c r="I105"/>
  <c r="M104"/>
  <c r="N104" s="1"/>
  <c r="J105" s="1"/>
  <c r="M55"/>
  <c r="N55"/>
  <c r="H79"/>
  <c r="F60"/>
  <c r="G60" s="1"/>
  <c r="C61" s="1"/>
  <c r="Y38" i="18"/>
  <c r="X127"/>
  <c r="Y36"/>
  <c r="X126"/>
  <c r="X128"/>
  <c r="AI225"/>
  <c r="T212"/>
  <c r="U212" s="1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Z38" i="18"/>
  <c r="Y127"/>
  <c r="Z36"/>
  <c r="Y128"/>
  <c r="Y126"/>
  <c r="T60"/>
  <c r="T58"/>
  <c r="T56"/>
  <c r="T52"/>
  <c r="T30"/>
  <c r="T28"/>
  <c r="T26"/>
  <c r="T11"/>
  <c r="T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A38" i="18"/>
  <c r="Z127"/>
  <c r="AA36"/>
  <c r="Z128"/>
  <c r="Z126"/>
  <c r="T102"/>
  <c r="U102" s="1"/>
  <c r="S102"/>
  <c r="R102"/>
  <c r="Q102"/>
  <c r="P102"/>
  <c r="O102"/>
  <c r="N102"/>
  <c r="M102"/>
  <c r="L102"/>
  <c r="K102"/>
  <c r="J102"/>
  <c r="V170" s="1"/>
  <c r="H82" i="20" l="1"/>
  <c r="G63"/>
  <c r="C64" s="1"/>
  <c r="F63"/>
  <c r="J57"/>
  <c r="P56"/>
  <c r="I108"/>
  <c r="M107"/>
  <c r="N107" s="1"/>
  <c r="J108" s="1"/>
  <c r="B108"/>
  <c r="F107"/>
  <c r="G107" s="1"/>
  <c r="C108" s="1"/>
  <c r="AB38" i="18"/>
  <c r="AA127"/>
  <c r="AB36"/>
  <c r="AA126"/>
  <c r="AA128"/>
  <c r="G220"/>
  <c r="T170"/>
  <c r="C1"/>
  <c r="AI47" s="1"/>
  <c r="T225" l="1"/>
  <c r="G225"/>
  <c r="G219"/>
  <c r="G221"/>
  <c r="G222" s="1"/>
  <c r="W225"/>
  <c r="W226" s="1"/>
  <c r="W227" s="1"/>
  <c r="H225"/>
  <c r="I225"/>
  <c r="W220"/>
  <c r="W221" s="1"/>
  <c r="W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C38" i="18"/>
  <c r="AB127"/>
  <c r="AC36"/>
  <c r="AB126"/>
  <c r="AB128"/>
  <c r="AI45"/>
  <c r="AI40"/>
  <c r="AI49"/>
  <c r="AI41"/>
  <c r="AI42"/>
  <c r="AI43"/>
  <c r="N225"/>
  <c r="N226" s="1"/>
  <c r="N227" s="1"/>
  <c r="S225"/>
  <c r="S224" s="1"/>
  <c r="R225"/>
  <c r="M225"/>
  <c r="L225"/>
  <c r="Q225"/>
  <c r="K225"/>
  <c r="P225"/>
  <c r="J225"/>
  <c r="O225"/>
  <c r="S244"/>
  <c r="P220"/>
  <c r="S220"/>
  <c r="S219" s="1"/>
  <c r="O220"/>
  <c r="K220"/>
  <c r="R220"/>
  <c r="N220"/>
  <c r="J220"/>
  <c r="Q220"/>
  <c r="M220"/>
  <c r="T220"/>
  <c r="L220"/>
  <c r="AH71"/>
  <c r="AH70"/>
  <c r="AH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U71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U70" s="1"/>
  <c r="W224" l="1"/>
  <c r="G224"/>
  <c r="G226"/>
  <c r="G227" s="1"/>
  <c r="U220"/>
  <c r="T219"/>
  <c r="W219"/>
  <c r="T205"/>
  <c r="U205" s="1"/>
  <c r="T204"/>
  <c r="U204" s="1"/>
  <c r="H219"/>
  <c r="H221"/>
  <c r="I224"/>
  <c r="I226"/>
  <c r="I227" s="1"/>
  <c r="U225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D38" i="18"/>
  <c r="AC127"/>
  <c r="AD36"/>
  <c r="AC128"/>
  <c r="AC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U224" l="1"/>
  <c r="U221"/>
  <c r="H222"/>
  <c r="U222" s="1"/>
  <c r="U226"/>
  <c r="H227"/>
  <c r="U227" s="1"/>
  <c r="U219"/>
  <c r="M58" i="20"/>
  <c r="N58" s="1"/>
  <c r="B111"/>
  <c r="F110"/>
  <c r="G110" s="1"/>
  <c r="C111" s="1"/>
  <c r="I111"/>
  <c r="M110"/>
  <c r="N110" s="1"/>
  <c r="J111" s="1"/>
  <c r="F66"/>
  <c r="G66"/>
  <c r="AE38" i="18"/>
  <c r="AD127"/>
  <c r="AE36"/>
  <c r="AD128"/>
  <c r="AD126"/>
  <c r="S222"/>
  <c r="J147"/>
  <c r="K147"/>
  <c r="L147"/>
  <c r="M147"/>
  <c r="N147"/>
  <c r="O147"/>
  <c r="P147"/>
  <c r="Q147"/>
  <c r="R147"/>
  <c r="S147"/>
  <c r="T147"/>
  <c r="U147" s="1"/>
  <c r="T146"/>
  <c r="U146" s="1"/>
  <c r="J59" i="20" l="1"/>
  <c r="P58"/>
  <c r="C67"/>
  <c r="H66"/>
  <c r="H85" s="1"/>
  <c r="I112"/>
  <c r="M111"/>
  <c r="N111" s="1"/>
  <c r="J112" s="1"/>
  <c r="B112"/>
  <c r="F111"/>
  <c r="G111" s="1"/>
  <c r="C112" s="1"/>
  <c r="AF38" i="18"/>
  <c r="AE127"/>
  <c r="AF36"/>
  <c r="AE126"/>
  <c r="AE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G38" i="18"/>
  <c r="AF127"/>
  <c r="AG127" s="1"/>
  <c r="AI38"/>
  <c r="AF126"/>
  <c r="AG126" s="1"/>
  <c r="AF128"/>
  <c r="AG128" s="1"/>
  <c r="AG36"/>
  <c r="AI36"/>
  <c r="T250"/>
  <c r="T249"/>
  <c r="T248"/>
  <c r="T211"/>
  <c r="U211" s="1"/>
  <c r="T66"/>
  <c r="U66" s="1"/>
  <c r="T67"/>
  <c r="U67" s="1"/>
  <c r="U68"/>
  <c r="T72"/>
  <c r="U72" s="1"/>
  <c r="T73"/>
  <c r="T74"/>
  <c r="U74" s="1"/>
  <c r="T75"/>
  <c r="U75" s="1"/>
  <c r="T76"/>
  <c r="U76" s="1"/>
  <c r="T78"/>
  <c r="U78" s="1"/>
  <c r="T79"/>
  <c r="U79" s="1"/>
  <c r="T80"/>
  <c r="U80" s="1"/>
  <c r="T82"/>
  <c r="U82" s="1"/>
  <c r="T83"/>
  <c r="U83" s="1"/>
  <c r="T85"/>
  <c r="U85" s="1"/>
  <c r="T86"/>
  <c r="U86" s="1"/>
  <c r="T88"/>
  <c r="U88" s="1"/>
  <c r="T90"/>
  <c r="U90" s="1"/>
  <c r="T93"/>
  <c r="U93" s="1"/>
  <c r="T94"/>
  <c r="U94" s="1"/>
  <c r="T95"/>
  <c r="U95" s="1"/>
  <c r="T96"/>
  <c r="U96" s="1"/>
  <c r="T98"/>
  <c r="U98" s="1"/>
  <c r="T99"/>
  <c r="U99" s="1"/>
  <c r="T100"/>
  <c r="U100" s="1"/>
  <c r="T105"/>
  <c r="U105" s="1"/>
  <c r="T106"/>
  <c r="U106" s="1"/>
  <c r="T107"/>
  <c r="U107" s="1"/>
  <c r="T108"/>
  <c r="U108" s="1"/>
  <c r="T109"/>
  <c r="U109" s="1"/>
  <c r="T112"/>
  <c r="U112" s="1"/>
  <c r="T113"/>
  <c r="U113" s="1"/>
  <c r="T114"/>
  <c r="U114" s="1"/>
  <c r="T115"/>
  <c r="U115" s="1"/>
  <c r="T116"/>
  <c r="U116" s="1"/>
  <c r="T134"/>
  <c r="U134" s="1"/>
  <c r="T135"/>
  <c r="U135" s="1"/>
  <c r="T136"/>
  <c r="U136" s="1"/>
  <c r="T137"/>
  <c r="U137" s="1"/>
  <c r="T145"/>
  <c r="U145" s="1"/>
  <c r="T149"/>
  <c r="U149" s="1"/>
  <c r="T150"/>
  <c r="U150" s="1"/>
  <c r="T151"/>
  <c r="U151" s="1"/>
  <c r="T154"/>
  <c r="U154" s="1"/>
  <c r="T155"/>
  <c r="U155" s="1"/>
  <c r="T156"/>
  <c r="U156" s="1"/>
  <c r="T157"/>
  <c r="U157" s="1"/>
  <c r="T159"/>
  <c r="U159" s="1"/>
  <c r="T160"/>
  <c r="U160" s="1"/>
  <c r="T162"/>
  <c r="U162" s="1"/>
  <c r="T166"/>
  <c r="U166" s="1"/>
  <c r="T167"/>
  <c r="U167" s="1"/>
  <c r="W17"/>
  <c r="W19"/>
  <c r="W24"/>
  <c r="T92" l="1"/>
  <c r="U92" s="1"/>
  <c r="T139"/>
  <c r="U139" s="1"/>
  <c r="T214"/>
  <c r="U214" s="1"/>
  <c r="T110"/>
  <c r="U110" s="1"/>
  <c r="T164"/>
  <c r="U164" s="1"/>
  <c r="T122"/>
  <c r="U122" s="1"/>
  <c r="T120"/>
  <c r="U120" s="1"/>
  <c r="T119"/>
  <c r="U119" s="1"/>
  <c r="T202"/>
  <c r="U202" s="1"/>
  <c r="T118"/>
  <c r="U118" s="1"/>
  <c r="T163"/>
  <c r="U163" s="1"/>
  <c r="T208"/>
  <c r="U208" s="1"/>
  <c r="T121"/>
  <c r="U121" s="1"/>
  <c r="T209"/>
  <c r="U209" s="1"/>
  <c r="T206"/>
  <c r="U206" s="1"/>
  <c r="J60" i="20"/>
  <c r="P59"/>
  <c r="H87"/>
  <c r="F68"/>
  <c r="G68" s="1"/>
  <c r="C69" s="1"/>
  <c r="I114"/>
  <c r="M113"/>
  <c r="N113" s="1"/>
  <c r="J114" s="1"/>
  <c r="B114"/>
  <c r="F113"/>
  <c r="G113" s="1"/>
  <c r="C114" s="1"/>
  <c r="S245" i="18"/>
  <c r="T203"/>
  <c r="U203" s="1"/>
  <c r="T84"/>
  <c r="U84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U207" s="1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U215" s="1"/>
  <c r="W59"/>
  <c r="U140" l="1"/>
  <c r="T143"/>
  <c r="U143" s="1"/>
  <c r="T141"/>
  <c r="T142" s="1"/>
  <c r="U142" s="1"/>
  <c r="T217"/>
  <c r="U217" s="1"/>
  <c r="U216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U141" l="1"/>
  <c r="F71" i="20"/>
  <c r="G71"/>
  <c r="C72" s="1"/>
  <c r="B117"/>
  <c r="F116"/>
  <c r="G116" s="1"/>
  <c r="C117" s="1"/>
  <c r="I117"/>
  <c r="M116"/>
  <c r="N116" s="1"/>
  <c r="J117" s="1"/>
  <c r="M61"/>
  <c r="N61"/>
  <c r="AH53" i="18"/>
  <c r="V53"/>
  <c r="J62" i="20" l="1"/>
  <c r="P61"/>
  <c r="F72"/>
  <c r="G72" s="1"/>
  <c r="C73" s="1"/>
  <c r="I118"/>
  <c r="M117"/>
  <c r="N117" s="1"/>
  <c r="J118" s="1"/>
  <c r="B118"/>
  <c r="F117"/>
  <c r="G117" s="1"/>
  <c r="C118" s="1"/>
  <c r="W53" i="18"/>
  <c r="F73" i="20" l="1"/>
  <c r="G73"/>
  <c r="C74" s="1"/>
  <c r="B119"/>
  <c r="F118"/>
  <c r="G118" s="1"/>
  <c r="C119" s="1"/>
  <c r="I119"/>
  <c r="M118"/>
  <c r="N118" s="1"/>
  <c r="J119" s="1"/>
  <c r="M62"/>
  <c r="N62" s="1"/>
  <c r="X53" i="18"/>
  <c r="W245"/>
  <c r="W246" s="1"/>
  <c r="J63" i="20" l="1"/>
  <c r="P62"/>
  <c r="F74"/>
  <c r="G74" s="1"/>
  <c r="C75" s="1"/>
  <c r="I120"/>
  <c r="M119"/>
  <c r="N119" s="1"/>
  <c r="J120" s="1"/>
  <c r="B120"/>
  <c r="F119"/>
  <c r="G119" s="1"/>
  <c r="C120" s="1"/>
  <c r="Y53" i="18"/>
  <c r="V259"/>
  <c r="V260" s="1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H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Z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H14"/>
  <c r="V14"/>
  <c r="V256"/>
  <c r="V255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A53" i="18"/>
  <c r="W14"/>
  <c r="X14" s="1"/>
  <c r="Y14" s="1"/>
  <c r="Z14" s="1"/>
  <c r="AA14" s="1"/>
  <c r="AB14" s="1"/>
  <c r="AC14" s="1"/>
  <c r="AD14" s="1"/>
  <c r="AE14" s="1"/>
  <c r="AF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H32"/>
  <c r="V32"/>
  <c r="J137"/>
  <c r="K137"/>
  <c r="L137"/>
  <c r="M137"/>
  <c r="N137"/>
  <c r="O137"/>
  <c r="P137"/>
  <c r="Q137"/>
  <c r="R137"/>
  <c r="S137"/>
  <c r="U260"/>
  <c r="O259"/>
  <c r="U257"/>
  <c r="V257" s="1"/>
  <c r="V262" s="1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B53"/>
  <c r="AG14"/>
  <c r="AI14"/>
  <c r="W32"/>
  <c r="X32" s="1"/>
  <c r="Y32" s="1"/>
  <c r="Z32" s="1"/>
  <c r="AA32" s="1"/>
  <c r="AB32" s="1"/>
  <c r="AC32" s="1"/>
  <c r="AD32" s="1"/>
  <c r="AE32" s="1"/>
  <c r="AF32" s="1"/>
  <c r="AG32" s="1"/>
  <c r="O262"/>
  <c r="U262"/>
  <c r="V9"/>
  <c r="W9" s="1"/>
  <c r="V10"/>
  <c r="W10" s="1"/>
  <c r="V12"/>
  <c r="W12" s="1"/>
  <c r="V13"/>
  <c r="W13" s="1"/>
  <c r="V15"/>
  <c r="W15" s="1"/>
  <c r="V16"/>
  <c r="W16" s="1"/>
  <c r="V18"/>
  <c r="W18" s="1"/>
  <c r="V20"/>
  <c r="W20" s="1"/>
  <c r="V21"/>
  <c r="W21" s="1"/>
  <c r="V22"/>
  <c r="W22" s="1"/>
  <c r="V23"/>
  <c r="W23" s="1"/>
  <c r="V25"/>
  <c r="W25" s="1"/>
  <c r="W129" s="1"/>
  <c r="V27"/>
  <c r="W27" s="1"/>
  <c r="V29"/>
  <c r="W29" s="1"/>
  <c r="V31"/>
  <c r="V33"/>
  <c r="W33" s="1"/>
  <c r="V34"/>
  <c r="W34" s="1"/>
  <c r="V51"/>
  <c r="W51" s="1"/>
  <c r="V55"/>
  <c r="W55" s="1"/>
  <c r="W130" s="1"/>
  <c r="V7"/>
  <c r="W7" s="1"/>
  <c r="V6"/>
  <c r="W6" s="1"/>
  <c r="AH9"/>
  <c r="AH10"/>
  <c r="AH11"/>
  <c r="AH12"/>
  <c r="AH13"/>
  <c r="AH15"/>
  <c r="AH16"/>
  <c r="AH18"/>
  <c r="AH20"/>
  <c r="AH21"/>
  <c r="AH22"/>
  <c r="AH23"/>
  <c r="AH25"/>
  <c r="AH27"/>
  <c r="AH29"/>
  <c r="AH31"/>
  <c r="AH33"/>
  <c r="AH34"/>
  <c r="AH51"/>
  <c r="AH55"/>
  <c r="AH57"/>
  <c r="AH59"/>
  <c r="AH66"/>
  <c r="AH67"/>
  <c r="AH72"/>
  <c r="AH74"/>
  <c r="AH75"/>
  <c r="AH76"/>
  <c r="AH78"/>
  <c r="AH79"/>
  <c r="AH80"/>
  <c r="AH82"/>
  <c r="AH83"/>
  <c r="AH84"/>
  <c r="AH85"/>
  <c r="AH87"/>
  <c r="AH88"/>
  <c r="AH90"/>
  <c r="AH92"/>
  <c r="AH93"/>
  <c r="AH94"/>
  <c r="AH95"/>
  <c r="AH96"/>
  <c r="AH98"/>
  <c r="AH99"/>
  <c r="AH100"/>
  <c r="AH7"/>
  <c r="AH6"/>
  <c r="J65" i="20" l="1"/>
  <c r="P64"/>
  <c r="F78"/>
  <c r="G78" s="1"/>
  <c r="W132" i="18"/>
  <c r="W131"/>
  <c r="W124"/>
  <c r="W125"/>
  <c r="W68"/>
  <c r="W110" s="1"/>
  <c r="AC53"/>
  <c r="AI32"/>
  <c r="W3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G81" i="20" l="1"/>
  <c r="G82" s="1"/>
  <c r="C79"/>
  <c r="M65"/>
  <c r="N65"/>
  <c r="J66" s="1"/>
  <c r="AD53" i="18"/>
  <c r="X31"/>
  <c r="W147"/>
  <c r="X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E53" i="18"/>
  <c r="Y31"/>
  <c r="Y29"/>
  <c r="AI87"/>
  <c r="M67" i="20" l="1"/>
  <c r="N67"/>
  <c r="J68" s="1"/>
  <c r="AF53" i="18"/>
  <c r="Z31"/>
  <c r="Z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G53" i="18"/>
  <c r="AI53"/>
  <c r="AA31"/>
  <c r="W88"/>
  <c r="AA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X59"/>
  <c r="M69" i="20" l="1"/>
  <c r="N69"/>
  <c r="J70" s="1"/>
  <c r="AB31" i="18"/>
  <c r="Y59"/>
  <c r="AB29"/>
  <c r="S141"/>
  <c r="X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C31" i="18"/>
  <c r="Z59"/>
  <c r="Y88"/>
  <c r="AC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W113"/>
  <c r="W119" s="1"/>
  <c r="J214" l="1"/>
  <c r="M71" i="20"/>
  <c r="N71" s="1"/>
  <c r="J72" s="1"/>
  <c r="AD31" i="18"/>
  <c r="AA59"/>
  <c r="Z88"/>
  <c r="AD29"/>
  <c r="X51"/>
  <c r="U250"/>
  <c r="U249"/>
  <c r="U248"/>
  <c r="M72" i="20" l="1"/>
  <c r="N72" s="1"/>
  <c r="J73" s="1"/>
  <c r="X113" i="18"/>
  <c r="X119" s="1"/>
  <c r="AE31"/>
  <c r="AB59"/>
  <c r="AA88"/>
  <c r="AE29"/>
  <c r="Y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X22"/>
  <c r="Y22" s="1"/>
  <c r="Z22" s="1"/>
  <c r="AA22" s="1"/>
  <c r="AB22" s="1"/>
  <c r="AC22" s="1"/>
  <c r="AD22" s="1"/>
  <c r="AE22" s="1"/>
  <c r="AF22" s="1"/>
  <c r="J90"/>
  <c r="J92" s="1"/>
  <c r="K90"/>
  <c r="K92" s="1"/>
  <c r="K94"/>
  <c r="K93"/>
  <c r="N73" i="20" l="1"/>
  <c r="J74" s="1"/>
  <c r="M73"/>
  <c r="Y113" i="18"/>
  <c r="Y119" s="1"/>
  <c r="AF31"/>
  <c r="AG31" s="1"/>
  <c r="AC59"/>
  <c r="AB88"/>
  <c r="X23"/>
  <c r="W116"/>
  <c r="W122" s="1"/>
  <c r="AF29"/>
  <c r="AG22"/>
  <c r="AI22"/>
  <c r="Z51"/>
  <c r="X21"/>
  <c r="M74" i="20" l="1"/>
  <c r="N74" s="1"/>
  <c r="J75" s="1"/>
  <c r="AI31" i="18"/>
  <c r="Z113"/>
  <c r="Z119" s="1"/>
  <c r="AC88"/>
  <c r="AD59"/>
  <c r="Y23"/>
  <c r="X116"/>
  <c r="X122" s="1"/>
  <c r="AI29"/>
  <c r="AG29"/>
  <c r="X20"/>
  <c r="W90"/>
  <c r="Y21"/>
  <c r="X9"/>
  <c r="Y9" s="1"/>
  <c r="Z9" s="1"/>
  <c r="AA9" s="1"/>
  <c r="AB9" s="1"/>
  <c r="AC9" s="1"/>
  <c r="AD9" s="1"/>
  <c r="AE9" s="1"/>
  <c r="AF9" s="1"/>
  <c r="AI9" s="1"/>
  <c r="W109"/>
  <c r="X33"/>
  <c r="Y33" s="1"/>
  <c r="Z33" s="1"/>
  <c r="AA33" s="1"/>
  <c r="AB33" s="1"/>
  <c r="AC33" s="1"/>
  <c r="AD33" s="1"/>
  <c r="AE33" s="1"/>
  <c r="AF33" s="1"/>
  <c r="AI33" s="1"/>
  <c r="X34"/>
  <c r="Y34" s="1"/>
  <c r="Z34" s="1"/>
  <c r="AA34" s="1"/>
  <c r="AB34" s="1"/>
  <c r="AC34" s="1"/>
  <c r="AD34" s="1"/>
  <c r="AE34" s="1"/>
  <c r="AF34" s="1"/>
  <c r="AI34" s="1"/>
  <c r="AA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A113" i="18"/>
  <c r="AA119" s="1"/>
  <c r="AD88"/>
  <c r="AE59"/>
  <c r="X90"/>
  <c r="W156"/>
  <c r="W166"/>
  <c r="W157"/>
  <c r="W167"/>
  <c r="Z23"/>
  <c r="Y116"/>
  <c r="Y122" s="1"/>
  <c r="W150"/>
  <c r="W151"/>
  <c r="W149"/>
  <c r="W137"/>
  <c r="S142"/>
  <c r="W112"/>
  <c r="W118" s="1"/>
  <c r="W146"/>
  <c r="W145"/>
  <c r="X18"/>
  <c r="R203"/>
  <c r="Y20"/>
  <c r="X27"/>
  <c r="AB51"/>
  <c r="X25"/>
  <c r="X129" s="1"/>
  <c r="W105"/>
  <c r="Z21"/>
  <c r="AG33"/>
  <c r="AG34"/>
  <c r="AG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X124" i="18"/>
  <c r="X125"/>
  <c r="R216"/>
  <c r="R217" s="1"/>
  <c r="R215"/>
  <c r="AB113"/>
  <c r="AB119" s="1"/>
  <c r="X109"/>
  <c r="X147"/>
  <c r="AF59"/>
  <c r="AE88"/>
  <c r="X157"/>
  <c r="X167"/>
  <c r="X156"/>
  <c r="X166"/>
  <c r="AA23"/>
  <c r="Z116"/>
  <c r="Z122" s="1"/>
  <c r="X149"/>
  <c r="X151"/>
  <c r="X150"/>
  <c r="X137"/>
  <c r="X112"/>
  <c r="X118" s="1"/>
  <c r="X146"/>
  <c r="X145"/>
  <c r="Y18"/>
  <c r="Z20"/>
  <c r="Y90"/>
  <c r="Y27"/>
  <c r="Y25"/>
  <c r="X105"/>
  <c r="AC51"/>
  <c r="AA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Y125" i="18"/>
  <c r="Y129"/>
  <c r="Y147"/>
  <c r="Y124"/>
  <c r="AC113"/>
  <c r="AC119" s="1"/>
  <c r="AI59"/>
  <c r="AF88"/>
  <c r="AG59"/>
  <c r="Y156"/>
  <c r="Y166"/>
  <c r="Y157"/>
  <c r="Y167"/>
  <c r="Y109"/>
  <c r="AB23"/>
  <c r="AA116"/>
  <c r="AA122" s="1"/>
  <c r="Y151"/>
  <c r="Y150"/>
  <c r="Y149"/>
  <c r="Y137"/>
  <c r="Y112"/>
  <c r="Y118" s="1"/>
  <c r="Y146"/>
  <c r="Y145"/>
  <c r="Z18"/>
  <c r="AA20"/>
  <c r="Z90"/>
  <c r="Z27"/>
  <c r="Z25"/>
  <c r="Z129" s="1"/>
  <c r="Y105"/>
  <c r="AD51"/>
  <c r="AB21"/>
  <c r="M78" i="20" l="1"/>
  <c r="N78" s="1"/>
  <c r="Z124" i="18"/>
  <c r="Z125"/>
  <c r="AD113"/>
  <c r="AD119" s="1"/>
  <c r="Z109"/>
  <c r="Z147"/>
  <c r="W188"/>
  <c r="T237" s="1"/>
  <c r="AI88"/>
  <c r="X188" s="1"/>
  <c r="AG88"/>
  <c r="Z157"/>
  <c r="Z167"/>
  <c r="Z156"/>
  <c r="Z166"/>
  <c r="AC23"/>
  <c r="AB116"/>
  <c r="AB122" s="1"/>
  <c r="Z137"/>
  <c r="Z151"/>
  <c r="Z150"/>
  <c r="Z149"/>
  <c r="Z112"/>
  <c r="Z118" s="1"/>
  <c r="Z146"/>
  <c r="Z145"/>
  <c r="AA18"/>
  <c r="AB20"/>
  <c r="AA90"/>
  <c r="AA27"/>
  <c r="AA25"/>
  <c r="Z105"/>
  <c r="AE51"/>
  <c r="AC21"/>
  <c r="K72"/>
  <c r="L72"/>
  <c r="L214" s="1"/>
  <c r="M72"/>
  <c r="M214" s="1"/>
  <c r="N72"/>
  <c r="N214" s="1"/>
  <c r="O72"/>
  <c r="O214" s="1"/>
  <c r="P72"/>
  <c r="P214" s="1"/>
  <c r="Q72"/>
  <c r="Q214" s="1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W154"/>
  <c r="W162"/>
  <c r="W163" s="1"/>
  <c r="W114"/>
  <c r="W120" s="1"/>
  <c r="K214" l="1"/>
  <c r="U170"/>
  <c r="W244" s="1"/>
  <c r="W243" s="1"/>
  <c r="N81" i="20"/>
  <c r="N82" s="1"/>
  <c r="J79"/>
  <c r="AA125" i="18"/>
  <c r="AA129"/>
  <c r="AA147"/>
  <c r="AA124"/>
  <c r="W211"/>
  <c r="AE113"/>
  <c r="AE119" s="1"/>
  <c r="W134"/>
  <c r="V188"/>
  <c r="S237" s="1"/>
  <c r="AA156"/>
  <c r="AA166"/>
  <c r="AA109"/>
  <c r="AA157"/>
  <c r="AA167"/>
  <c r="AD23"/>
  <c r="AC116"/>
  <c r="AC122" s="1"/>
  <c r="W107"/>
  <c r="W108"/>
  <c r="W160"/>
  <c r="W159"/>
  <c r="W115"/>
  <c r="W121" s="1"/>
  <c r="W155"/>
  <c r="K203"/>
  <c r="AA137"/>
  <c r="AA150"/>
  <c r="AA149"/>
  <c r="AA151"/>
  <c r="W136"/>
  <c r="AA112"/>
  <c r="AA118" s="1"/>
  <c r="AA146"/>
  <c r="AA145"/>
  <c r="W135"/>
  <c r="AB18"/>
  <c r="S203"/>
  <c r="N203"/>
  <c r="M203"/>
  <c r="P203"/>
  <c r="L203"/>
  <c r="AC20"/>
  <c r="AB90"/>
  <c r="K84"/>
  <c r="K207" s="1"/>
  <c r="AB27"/>
  <c r="X12"/>
  <c r="X15"/>
  <c r="X154" s="1"/>
  <c r="X13"/>
  <c r="X10"/>
  <c r="X16"/>
  <c r="X162" s="1"/>
  <c r="X163" s="1"/>
  <c r="X6"/>
  <c r="X7"/>
  <c r="AB25"/>
  <c r="AB129" s="1"/>
  <c r="AA105"/>
  <c r="X55"/>
  <c r="X130" s="1"/>
  <c r="W106"/>
  <c r="AF51"/>
  <c r="O84"/>
  <c r="O207" s="1"/>
  <c r="N84"/>
  <c r="N207" s="1"/>
  <c r="M84"/>
  <c r="M207" s="1"/>
  <c r="AD21"/>
  <c r="X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X132" i="18"/>
  <c r="X131"/>
  <c r="AB124"/>
  <c r="AB125"/>
  <c r="X211"/>
  <c r="X220"/>
  <c r="X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B109"/>
  <c r="AB147"/>
  <c r="X114"/>
  <c r="X120" s="1"/>
  <c r="X68"/>
  <c r="X110" s="1"/>
  <c r="X245"/>
  <c r="Y245" s="1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X134"/>
  <c r="AB156"/>
  <c r="AB166"/>
  <c r="AB157"/>
  <c r="AB167"/>
  <c r="AI51"/>
  <c r="AF113"/>
  <c r="AE23"/>
  <c r="AD116"/>
  <c r="AD122" s="1"/>
  <c r="X160"/>
  <c r="X159"/>
  <c r="X115"/>
  <c r="X121" s="1"/>
  <c r="X155"/>
  <c r="X108"/>
  <c r="AB149"/>
  <c r="AB150"/>
  <c r="AB151"/>
  <c r="AB137"/>
  <c r="AB112"/>
  <c r="AB118" s="1"/>
  <c r="AB146"/>
  <c r="AB145"/>
  <c r="X135"/>
  <c r="X136"/>
  <c r="AC18"/>
  <c r="AD20"/>
  <c r="AC90"/>
  <c r="AC27"/>
  <c r="Y15"/>
  <c r="Y154" s="1"/>
  <c r="Y13"/>
  <c r="Y12"/>
  <c r="Y16"/>
  <c r="Y162" s="1"/>
  <c r="Y163" s="1"/>
  <c r="Y10"/>
  <c r="Y7"/>
  <c r="Y6"/>
  <c r="AG51"/>
  <c r="AC25"/>
  <c r="AC129" s="1"/>
  <c r="AB105"/>
  <c r="Y55"/>
  <c r="Y130" s="1"/>
  <c r="X107"/>
  <c r="X106"/>
  <c r="AE21"/>
  <c r="Y201"/>
  <c r="J207"/>
  <c r="Q207"/>
  <c r="S207"/>
  <c r="M80" i="20" l="1"/>
  <c r="N80" s="1"/>
  <c r="Y131" i="18"/>
  <c r="Y132"/>
  <c r="AC124"/>
  <c r="AC125"/>
  <c r="X226"/>
  <c r="X227" s="1"/>
  <c r="X224"/>
  <c r="X221"/>
  <c r="X222" s="1"/>
  <c r="X219"/>
  <c r="Y211"/>
  <c r="Y225"/>
  <c r="Y220"/>
  <c r="AC109"/>
  <c r="AC147"/>
  <c r="Y114"/>
  <c r="Y120" s="1"/>
  <c r="Y68"/>
  <c r="Y110" s="1"/>
  <c r="X246"/>
  <c r="Y246" s="1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G113"/>
  <c r="AF119"/>
  <c r="AG119" s="1"/>
  <c r="X244"/>
  <c r="Y244" s="1"/>
  <c r="Z244" s="1"/>
  <c r="AA244" s="1"/>
  <c r="AB244" s="1"/>
  <c r="AC244" s="1"/>
  <c r="AD244" s="1"/>
  <c r="AE244" s="1"/>
  <c r="AF244" s="1"/>
  <c r="AG244" s="1"/>
  <c r="Y134"/>
  <c r="AC156"/>
  <c r="AC166"/>
  <c r="AC157"/>
  <c r="AC167"/>
  <c r="AF23"/>
  <c r="AE116"/>
  <c r="AE122" s="1"/>
  <c r="Y115"/>
  <c r="Y121" s="1"/>
  <c r="Y155"/>
  <c r="Y160"/>
  <c r="Y159"/>
  <c r="Y108"/>
  <c r="AC151"/>
  <c r="AC150"/>
  <c r="AC149"/>
  <c r="AC137"/>
  <c r="AC112"/>
  <c r="AC118" s="1"/>
  <c r="AC146"/>
  <c r="AC145"/>
  <c r="Y135"/>
  <c r="Y136"/>
  <c r="AD18"/>
  <c r="AE20"/>
  <c r="AD90"/>
  <c r="AD27"/>
  <c r="Z13"/>
  <c r="Z12"/>
  <c r="Z15"/>
  <c r="Z154" s="1"/>
  <c r="Z10"/>
  <c r="Z16"/>
  <c r="Z162" s="1"/>
  <c r="Z163" s="1"/>
  <c r="Z6"/>
  <c r="Z7"/>
  <c r="Z55"/>
  <c r="Z130" s="1"/>
  <c r="Y107"/>
  <c r="Y106"/>
  <c r="AD25"/>
  <c r="AD129" s="1"/>
  <c r="AC105"/>
  <c r="AF21"/>
  <c r="AI21" s="1"/>
  <c r="Z201"/>
  <c r="Z132" l="1"/>
  <c r="Z131"/>
  <c r="AD124"/>
  <c r="AD125"/>
  <c r="Y221"/>
  <c r="Y222" s="1"/>
  <c r="Y219"/>
  <c r="Y226"/>
  <c r="Y227" s="1"/>
  <c r="Y224"/>
  <c r="Z211"/>
  <c r="Z220"/>
  <c r="Z225"/>
  <c r="AD109"/>
  <c r="AD147"/>
  <c r="Z114"/>
  <c r="Z120" s="1"/>
  <c r="Z68"/>
  <c r="Z110" s="1"/>
  <c r="X243"/>
  <c r="Y243" s="1"/>
  <c r="Z243" s="1"/>
  <c r="AA243" s="1"/>
  <c r="AB243" s="1"/>
  <c r="AC243" s="1"/>
  <c r="AD243" s="1"/>
  <c r="AE243" s="1"/>
  <c r="AF243" s="1"/>
  <c r="AG243" s="1"/>
  <c r="AH244"/>
  <c r="AI244" s="1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Z134"/>
  <c r="AD156"/>
  <c r="AD166"/>
  <c r="AD157"/>
  <c r="AD167"/>
  <c r="AI23"/>
  <c r="AF116"/>
  <c r="AG23"/>
  <c r="Z108"/>
  <c r="Z159"/>
  <c r="Z160"/>
  <c r="Z115"/>
  <c r="Z121" s="1"/>
  <c r="Z155"/>
  <c r="AD151"/>
  <c r="AD150"/>
  <c r="AD149"/>
  <c r="AD137"/>
  <c r="AD112"/>
  <c r="AD118" s="1"/>
  <c r="AD146"/>
  <c r="AD145"/>
  <c r="Z136"/>
  <c r="Z135"/>
  <c r="AE18"/>
  <c r="AF20"/>
  <c r="AE90"/>
  <c r="AE27"/>
  <c r="AA12"/>
  <c r="AA15"/>
  <c r="AA154" s="1"/>
  <c r="AA13"/>
  <c r="AA16"/>
  <c r="AA162" s="1"/>
  <c r="AA163" s="1"/>
  <c r="AA10"/>
  <c r="AA7"/>
  <c r="AA6"/>
  <c r="AE25"/>
  <c r="AD105"/>
  <c r="AA55"/>
  <c r="AA130" s="1"/>
  <c r="Z106"/>
  <c r="Z107"/>
  <c r="AG21"/>
  <c r="AA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E125" i="18" l="1"/>
  <c r="AE129"/>
  <c r="AA132"/>
  <c r="AA131"/>
  <c r="AE147"/>
  <c r="AE124"/>
  <c r="Z226"/>
  <c r="Z227" s="1"/>
  <c r="Z224"/>
  <c r="Z221"/>
  <c r="Z222" s="1"/>
  <c r="Z219"/>
  <c r="AA211"/>
  <c r="AA225"/>
  <c r="AA220"/>
  <c r="AA114"/>
  <c r="AA120" s="1"/>
  <c r="AA68"/>
  <c r="AA110" s="1"/>
  <c r="AH243"/>
  <c r="AI243" s="1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G116"/>
  <c r="AF122"/>
  <c r="AG122" s="1"/>
  <c r="AA134"/>
  <c r="AE156"/>
  <c r="AE166"/>
  <c r="AE157"/>
  <c r="AE167"/>
  <c r="AI20"/>
  <c r="AE109"/>
  <c r="AA160"/>
  <c r="AA159"/>
  <c r="AA115"/>
  <c r="AA121" s="1"/>
  <c r="AA155"/>
  <c r="AA108"/>
  <c r="AE150"/>
  <c r="AE149"/>
  <c r="AE151"/>
  <c r="AE137"/>
  <c r="AE112"/>
  <c r="AE118" s="1"/>
  <c r="AE146"/>
  <c r="AE145"/>
  <c r="AA136"/>
  <c r="AA135"/>
  <c r="AF18"/>
  <c r="AG20"/>
  <c r="AF90"/>
  <c r="AF27"/>
  <c r="AF167" s="1"/>
  <c r="AG167" s="1"/>
  <c r="AB15"/>
  <c r="AB154" s="1"/>
  <c r="AB13"/>
  <c r="AB12"/>
  <c r="AB10"/>
  <c r="AB16"/>
  <c r="AB162" s="1"/>
  <c r="AB163" s="1"/>
  <c r="AB6"/>
  <c r="AB7"/>
  <c r="AB55"/>
  <c r="AB130" s="1"/>
  <c r="AA107"/>
  <c r="AA106"/>
  <c r="AF25"/>
  <c r="AF129" s="1"/>
  <c r="AG129" s="1"/>
  <c r="AE105"/>
  <c r="AB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B132" i="18" l="1"/>
  <c r="AB131"/>
  <c r="AF124"/>
  <c r="AG124" s="1"/>
  <c r="AF125"/>
  <c r="AG125" s="1"/>
  <c r="AA221"/>
  <c r="AA222" s="1"/>
  <c r="AA219"/>
  <c r="AA226"/>
  <c r="AA227" s="1"/>
  <c r="AA224"/>
  <c r="AB211"/>
  <c r="AB225"/>
  <c r="AB220"/>
  <c r="AF109"/>
  <c r="AG109" s="1"/>
  <c r="AF147"/>
  <c r="AG147" s="1"/>
  <c r="AB114"/>
  <c r="AB120" s="1"/>
  <c r="AB68"/>
  <c r="AB110" s="1"/>
  <c r="AB134"/>
  <c r="AF156"/>
  <c r="AG156" s="1"/>
  <c r="AF166"/>
  <c r="AG166" s="1"/>
  <c r="AB115"/>
  <c r="AB121" s="1"/>
  <c r="AB155"/>
  <c r="AB160"/>
  <c r="AB159"/>
  <c r="AI27"/>
  <c r="AF157"/>
  <c r="AG157" s="1"/>
  <c r="AB108"/>
  <c r="AF149"/>
  <c r="AG149" s="1"/>
  <c r="AF151"/>
  <c r="AG151" s="1"/>
  <c r="AF150"/>
  <c r="AG150" s="1"/>
  <c r="N32" i="9"/>
  <c r="N33" s="1"/>
  <c r="N34" s="1"/>
  <c r="N35" s="1"/>
  <c r="N36" s="1"/>
  <c r="N37" s="1"/>
  <c r="N38" s="1"/>
  <c r="N39" s="1"/>
  <c r="N40" s="1"/>
  <c r="N41" s="1"/>
  <c r="N42" s="1"/>
  <c r="M45"/>
  <c r="AF137" i="18"/>
  <c r="AG137" s="1"/>
  <c r="AF112"/>
  <c r="AF146"/>
  <c r="AG146" s="1"/>
  <c r="AF145"/>
  <c r="AG145" s="1"/>
  <c r="AB136"/>
  <c r="AB135"/>
  <c r="AI25"/>
  <c r="AI18"/>
  <c r="AG18"/>
  <c r="W190"/>
  <c r="AI90"/>
  <c r="AG90"/>
  <c r="M32" i="9"/>
  <c r="M33" s="1"/>
  <c r="M34" s="1"/>
  <c r="M35" s="1"/>
  <c r="M36" s="1"/>
  <c r="M37" s="1"/>
  <c r="M38" s="1"/>
  <c r="M39" s="1"/>
  <c r="M40" s="1"/>
  <c r="M41" s="1"/>
  <c r="P32"/>
  <c r="AG27" i="18"/>
  <c r="AC12"/>
  <c r="AC15"/>
  <c r="AC154" s="1"/>
  <c r="AC13"/>
  <c r="AC10"/>
  <c r="AC16"/>
  <c r="AC162" s="1"/>
  <c r="AC163" s="1"/>
  <c r="AC7"/>
  <c r="AC6"/>
  <c r="AG25"/>
  <c r="AF105"/>
  <c r="AG105" s="1"/>
  <c r="AC55"/>
  <c r="AC130" s="1"/>
  <c r="AB107"/>
  <c r="AB106"/>
  <c r="O31" i="9"/>
  <c r="O32" s="1"/>
  <c r="AC201" i="18"/>
  <c r="P31" i="11"/>
  <c r="N32"/>
  <c r="T19" i="9"/>
  <c r="D22"/>
  <c r="AC131" i="18" l="1"/>
  <c r="AC132"/>
  <c r="AB221"/>
  <c r="AB222" s="1"/>
  <c r="AB219"/>
  <c r="AB226"/>
  <c r="AB227" s="1"/>
  <c r="AB224"/>
  <c r="AC211"/>
  <c r="AC220"/>
  <c r="AC225"/>
  <c r="AC114"/>
  <c r="AC120" s="1"/>
  <c r="AC68"/>
  <c r="AC110" s="1"/>
  <c r="AG112"/>
  <c r="AF118"/>
  <c r="AG118" s="1"/>
  <c r="AC134"/>
  <c r="AC160"/>
  <c r="AC159"/>
  <c r="AC115"/>
  <c r="AC121" s="1"/>
  <c r="AC155"/>
  <c r="AC108"/>
  <c r="AC135"/>
  <c r="AC136"/>
  <c r="X190"/>
  <c r="V190" s="1"/>
  <c r="AD13"/>
  <c r="AD12"/>
  <c r="AD15"/>
  <c r="AD154" s="1"/>
  <c r="AD10"/>
  <c r="AD16"/>
  <c r="AD162" s="1"/>
  <c r="AD163" s="1"/>
  <c r="AD6"/>
  <c r="AD7"/>
  <c r="AD55"/>
  <c r="AD130" s="1"/>
  <c r="AC107"/>
  <c r="AC106"/>
  <c r="AD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D132" i="18" l="1"/>
  <c r="AD131"/>
  <c r="AC226"/>
  <c r="AC227" s="1"/>
  <c r="AC224"/>
  <c r="AC221"/>
  <c r="AC222" s="1"/>
  <c r="AC219"/>
  <c r="AD211"/>
  <c r="AD225"/>
  <c r="AD220"/>
  <c r="AD114"/>
  <c r="AD120" s="1"/>
  <c r="AD68"/>
  <c r="AD110" s="1"/>
  <c r="AD134"/>
  <c r="AD115"/>
  <c r="AD121" s="1"/>
  <c r="AD155"/>
  <c r="AD159"/>
  <c r="AD160"/>
  <c r="AD108"/>
  <c r="AD135"/>
  <c r="AD136"/>
  <c r="AE12"/>
  <c r="AE15"/>
  <c r="AE154" s="1"/>
  <c r="AE13"/>
  <c r="AE10"/>
  <c r="AE16"/>
  <c r="AE162" s="1"/>
  <c r="AE163" s="1"/>
  <c r="AE7"/>
  <c r="AE6"/>
  <c r="AE55"/>
  <c r="AE130" s="1"/>
  <c r="AD106"/>
  <c r="AD107"/>
  <c r="AE201"/>
  <c r="N34" i="11"/>
  <c r="O33"/>
  <c r="AE132" i="18" l="1"/>
  <c r="AE131"/>
  <c r="AD221"/>
  <c r="AD222" s="1"/>
  <c r="AD219"/>
  <c r="AD226"/>
  <c r="AD227" s="1"/>
  <c r="AD224"/>
  <c r="AE211"/>
  <c r="AE225"/>
  <c r="AE220"/>
  <c r="AE114"/>
  <c r="AE120" s="1"/>
  <c r="AE68"/>
  <c r="AE110" s="1"/>
  <c r="AE134"/>
  <c r="AE108"/>
  <c r="AE159"/>
  <c r="AE160"/>
  <c r="AE115"/>
  <c r="AE121" s="1"/>
  <c r="AE155"/>
  <c r="AE135"/>
  <c r="AE136"/>
  <c r="AF15"/>
  <c r="AF13"/>
  <c r="AI13" s="1"/>
  <c r="AF12"/>
  <c r="AF155" s="1"/>
  <c r="AG155" s="1"/>
  <c r="AF10"/>
  <c r="AF16"/>
  <c r="AF6"/>
  <c r="AI6" s="1"/>
  <c r="AF7"/>
  <c r="AI7" s="1"/>
  <c r="AF55"/>
  <c r="AF130" s="1"/>
  <c r="AG130" s="1"/>
  <c r="AE107"/>
  <c r="AE106"/>
  <c r="AF201"/>
  <c r="N35" i="11"/>
  <c r="O34"/>
  <c r="AF132" i="18" l="1"/>
  <c r="AG132" s="1"/>
  <c r="AF131"/>
  <c r="AG131" s="1"/>
  <c r="AE221"/>
  <c r="AE222" s="1"/>
  <c r="AE219"/>
  <c r="AE226"/>
  <c r="AE227" s="1"/>
  <c r="AE224"/>
  <c r="AF211"/>
  <c r="AG211" s="1"/>
  <c r="AI211" s="1"/>
  <c r="AI227" s="1"/>
  <c r="AF225"/>
  <c r="AF224" s="1"/>
  <c r="AG224" s="1"/>
  <c r="AF220"/>
  <c r="AF219" s="1"/>
  <c r="AG219" s="1"/>
  <c r="AF114"/>
  <c r="AF120" s="1"/>
  <c r="AG120" s="1"/>
  <c r="AF68"/>
  <c r="AF134"/>
  <c r="AG134" s="1"/>
  <c r="AI16"/>
  <c r="AF162"/>
  <c r="AF160"/>
  <c r="AG160" s="1"/>
  <c r="AF159"/>
  <c r="AG159" s="1"/>
  <c r="AI15"/>
  <c r="AF154"/>
  <c r="AG154" s="1"/>
  <c r="AF108"/>
  <c r="AG108" s="1"/>
  <c r="AI10"/>
  <c r="AI12"/>
  <c r="AF115"/>
  <c r="AI55"/>
  <c r="AF135"/>
  <c r="AG135" s="1"/>
  <c r="AF136"/>
  <c r="AG136" s="1"/>
  <c r="AG15"/>
  <c r="AG13"/>
  <c r="W184"/>
  <c r="AG12"/>
  <c r="AG10"/>
  <c r="AG16"/>
  <c r="AG7"/>
  <c r="AG6"/>
  <c r="AF107"/>
  <c r="AG107" s="1"/>
  <c r="AF106"/>
  <c r="AG106" s="1"/>
  <c r="AG55"/>
  <c r="AG201"/>
  <c r="AI201" s="1"/>
  <c r="N36" i="11"/>
  <c r="O35"/>
  <c r="AF221" i="18" l="1"/>
  <c r="AG220"/>
  <c r="AG225"/>
  <c r="AF226"/>
  <c r="AG68"/>
  <c r="AI68"/>
  <c r="AG114"/>
  <c r="AF110"/>
  <c r="AG110" s="1"/>
  <c r="AG115"/>
  <c r="AF121"/>
  <c r="AG121" s="1"/>
  <c r="AG162"/>
  <c r="AF163"/>
  <c r="AG163" s="1"/>
  <c r="X184"/>
  <c r="X185" s="1"/>
  <c r="W185"/>
  <c r="T240" s="1"/>
  <c r="N37" i="11"/>
  <c r="O36"/>
  <c r="AG221" i="18" l="1"/>
  <c r="AF222"/>
  <c r="AG222" s="1"/>
  <c r="AF227"/>
  <c r="AG227" s="1"/>
  <c r="AG226"/>
  <c r="V184"/>
  <c r="V185"/>
  <c r="N38" i="11"/>
  <c r="O37"/>
  <c r="P240" i="18" l="1"/>
  <c r="S240"/>
  <c r="N39" i="11"/>
  <c r="O38"/>
  <c r="N40" l="1"/>
  <c r="O39"/>
  <c r="N41" l="1"/>
  <c r="O40"/>
  <c r="N42" l="1"/>
  <c r="O41"/>
  <c r="W212" i="18"/>
  <c r="W93"/>
  <c r="W74"/>
  <c r="W79"/>
  <c r="W100"/>
  <c r="W102"/>
  <c r="W95"/>
  <c r="W92"/>
  <c r="W78"/>
  <c r="W73"/>
  <c r="W67"/>
  <c r="W85"/>
  <c r="W99"/>
  <c r="W83"/>
  <c r="W76"/>
  <c r="W94"/>
  <c r="W96"/>
  <c r="W80"/>
  <c r="W209" s="1"/>
  <c r="W66"/>
  <c r="W202" s="1"/>
  <c r="W71"/>
  <c r="W205" s="1"/>
  <c r="W86"/>
  <c r="W208" s="1"/>
  <c r="W98"/>
  <c r="W164" s="1"/>
  <c r="W70"/>
  <c r="W204" s="1"/>
  <c r="W82"/>
  <c r="W139"/>
  <c r="W140" s="1"/>
  <c r="W72"/>
  <c r="W214" s="1"/>
  <c r="W75"/>
  <c r="W206" s="1"/>
  <c r="W230" s="1"/>
  <c r="X57"/>
  <c r="W231" l="1"/>
  <c r="W232" s="1"/>
  <c r="W229"/>
  <c r="W84"/>
  <c r="W207" s="1"/>
  <c r="X76"/>
  <c r="X99"/>
  <c r="X83"/>
  <c r="X95"/>
  <c r="X79"/>
  <c r="X78"/>
  <c r="X212"/>
  <c r="X94"/>
  <c r="X74"/>
  <c r="X98"/>
  <c r="X164" s="1"/>
  <c r="X86"/>
  <c r="X208" s="1"/>
  <c r="X70"/>
  <c r="X204" s="1"/>
  <c r="X139"/>
  <c r="X140" s="1"/>
  <c r="X92"/>
  <c r="X73"/>
  <c r="X102"/>
  <c r="X85"/>
  <c r="X100"/>
  <c r="X93"/>
  <c r="X96"/>
  <c r="X67"/>
  <c r="X75"/>
  <c r="X206" s="1"/>
  <c r="X230" s="1"/>
  <c r="X66"/>
  <c r="X202" s="1"/>
  <c r="X80"/>
  <c r="X209" s="1"/>
  <c r="X71"/>
  <c r="X205" s="1"/>
  <c r="X72"/>
  <c r="X214" s="1"/>
  <c r="Y57"/>
  <c r="X82"/>
  <c r="W141"/>
  <c r="W142" s="1"/>
  <c r="W143"/>
  <c r="W203"/>
  <c r="X231" l="1"/>
  <c r="X232" s="1"/>
  <c r="X229"/>
  <c r="X84"/>
  <c r="X207" s="1"/>
  <c r="W216"/>
  <c r="W217" s="1"/>
  <c r="W215"/>
  <c r="Y93"/>
  <c r="Y70"/>
  <c r="Y204" s="1"/>
  <c r="Y94"/>
  <c r="Y95"/>
  <c r="Y99"/>
  <c r="Y79"/>
  <c r="Y76"/>
  <c r="Y102"/>
  <c r="Y85"/>
  <c r="Y83"/>
  <c r="Y66"/>
  <c r="Y202" s="1"/>
  <c r="Y75"/>
  <c r="Y206" s="1"/>
  <c r="Y230" s="1"/>
  <c r="Y71"/>
  <c r="Y205" s="1"/>
  <c r="Y74"/>
  <c r="Y73"/>
  <c r="Y92"/>
  <c r="Y96"/>
  <c r="Y67"/>
  <c r="Y80"/>
  <c r="Y209" s="1"/>
  <c r="Y100"/>
  <c r="Y78"/>
  <c r="Y212"/>
  <c r="Y98"/>
  <c r="Y164" s="1"/>
  <c r="Y86"/>
  <c r="Y208" s="1"/>
  <c r="Y82"/>
  <c r="Y139"/>
  <c r="Y140" s="1"/>
  <c r="Y72"/>
  <c r="Y214" s="1"/>
  <c r="Z57"/>
  <c r="X203"/>
  <c r="X143"/>
  <c r="X141"/>
  <c r="X142" s="1"/>
  <c r="Y231" l="1"/>
  <c r="Y232" s="1"/>
  <c r="Y229"/>
  <c r="X216"/>
  <c r="X217" s="1"/>
  <c r="X215"/>
  <c r="Z93"/>
  <c r="Z212"/>
  <c r="Z67"/>
  <c r="Z94"/>
  <c r="Z79"/>
  <c r="Z74"/>
  <c r="Z78"/>
  <c r="Z92"/>
  <c r="Z98"/>
  <c r="Z164" s="1"/>
  <c r="Z70"/>
  <c r="Z204" s="1"/>
  <c r="Z71"/>
  <c r="Z205" s="1"/>
  <c r="Z86"/>
  <c r="Z208" s="1"/>
  <c r="Z102"/>
  <c r="Z73"/>
  <c r="Z96"/>
  <c r="Z100"/>
  <c r="Z99"/>
  <c r="Z76"/>
  <c r="Z95"/>
  <c r="Z85"/>
  <c r="Z83"/>
  <c r="Z80"/>
  <c r="Z209" s="1"/>
  <c r="Z66"/>
  <c r="Z202" s="1"/>
  <c r="Z139"/>
  <c r="Z140" s="1"/>
  <c r="Z72"/>
  <c r="Z214" s="1"/>
  <c r="Z75"/>
  <c r="Z206" s="1"/>
  <c r="Z230" s="1"/>
  <c r="AA57"/>
  <c r="Z82"/>
  <c r="Y203"/>
  <c r="Y141"/>
  <c r="Y142" s="1"/>
  <c r="Y143"/>
  <c r="Y84"/>
  <c r="Y207" s="1"/>
  <c r="Z231" l="1"/>
  <c r="Z232" s="1"/>
  <c r="Z229"/>
  <c r="Y216"/>
  <c r="Y217" s="1"/>
  <c r="Y215"/>
  <c r="Z203"/>
  <c r="Z84"/>
  <c r="Z207" s="1"/>
  <c r="Z143"/>
  <c r="Z141"/>
  <c r="Z142" s="1"/>
  <c r="AA73"/>
  <c r="AA94"/>
  <c r="AA83"/>
  <c r="AA93"/>
  <c r="AA92"/>
  <c r="AA78"/>
  <c r="AA67"/>
  <c r="AA76"/>
  <c r="AA75"/>
  <c r="AA206" s="1"/>
  <c r="AA230" s="1"/>
  <c r="AA66"/>
  <c r="AA202" s="1"/>
  <c r="AA98"/>
  <c r="AA164" s="1"/>
  <c r="AA212"/>
  <c r="AA96"/>
  <c r="AA74"/>
  <c r="AA102"/>
  <c r="AA95"/>
  <c r="AA79"/>
  <c r="AA85"/>
  <c r="AA99"/>
  <c r="AA100"/>
  <c r="AA70"/>
  <c r="AA204" s="1"/>
  <c r="AA71"/>
  <c r="AA205" s="1"/>
  <c r="AA86"/>
  <c r="AA208" s="1"/>
  <c r="AA80"/>
  <c r="AA209" s="1"/>
  <c r="AA82"/>
  <c r="AA72"/>
  <c r="AA214" s="1"/>
  <c r="AA139"/>
  <c r="AA140" s="1"/>
  <c r="AB57"/>
  <c r="AA231" l="1"/>
  <c r="AA232" s="1"/>
  <c r="AA229"/>
  <c r="AA84"/>
  <c r="AA207" s="1"/>
  <c r="Z216"/>
  <c r="Z217" s="1"/>
  <c r="Z215"/>
  <c r="AB73"/>
  <c r="AB76"/>
  <c r="AB78"/>
  <c r="AB67"/>
  <c r="AB80"/>
  <c r="AB209" s="1"/>
  <c r="AB92"/>
  <c r="AB85"/>
  <c r="AB93"/>
  <c r="AB83"/>
  <c r="AB71"/>
  <c r="AB205" s="1"/>
  <c r="AB66"/>
  <c r="AB202" s="1"/>
  <c r="AB75"/>
  <c r="AB206" s="1"/>
  <c r="AB230" s="1"/>
  <c r="AB95"/>
  <c r="AB94"/>
  <c r="AB74"/>
  <c r="AB100"/>
  <c r="AB86"/>
  <c r="AB208" s="1"/>
  <c r="AB102"/>
  <c r="AB212"/>
  <c r="AB99"/>
  <c r="AB96"/>
  <c r="AB79"/>
  <c r="AB98"/>
  <c r="AB164" s="1"/>
  <c r="AB70"/>
  <c r="AB204" s="1"/>
  <c r="AC57"/>
  <c r="AB139"/>
  <c r="AB140" s="1"/>
  <c r="AB82"/>
  <c r="AB72"/>
  <c r="AB214" s="1"/>
  <c r="AA141"/>
  <c r="AA142" s="1"/>
  <c r="AA143"/>
  <c r="AA203"/>
  <c r="AB231" l="1"/>
  <c r="AB232" s="1"/>
  <c r="AB229"/>
  <c r="AA216"/>
  <c r="AA217" s="1"/>
  <c r="AA215"/>
  <c r="AB84"/>
  <c r="AB207" s="1"/>
  <c r="AC92"/>
  <c r="AC79"/>
  <c r="AC212"/>
  <c r="AC78"/>
  <c r="AC80"/>
  <c r="AC209" s="1"/>
  <c r="AC95"/>
  <c r="AC67"/>
  <c r="AC83"/>
  <c r="AC100"/>
  <c r="AC98"/>
  <c r="AC164" s="1"/>
  <c r="AC66"/>
  <c r="AC202" s="1"/>
  <c r="AC99"/>
  <c r="AC74"/>
  <c r="AC76"/>
  <c r="AC96"/>
  <c r="AC86"/>
  <c r="AC208" s="1"/>
  <c r="AC73"/>
  <c r="AC102"/>
  <c r="AC94"/>
  <c r="AC93"/>
  <c r="AC85"/>
  <c r="AC70"/>
  <c r="AC204" s="1"/>
  <c r="AC71"/>
  <c r="AC205" s="1"/>
  <c r="AC75"/>
  <c r="AC206" s="1"/>
  <c r="AC230" s="1"/>
  <c r="AC139"/>
  <c r="AC140" s="1"/>
  <c r="AC72"/>
  <c r="AC214" s="1"/>
  <c r="AC82"/>
  <c r="AD57"/>
  <c r="AB203"/>
  <c r="AB141"/>
  <c r="AB142" s="1"/>
  <c r="AB143"/>
  <c r="AC231" l="1"/>
  <c r="AC232" s="1"/>
  <c r="AC229"/>
  <c r="AB216"/>
  <c r="AB217" s="1"/>
  <c r="AB215"/>
  <c r="AC84"/>
  <c r="AC207" s="1"/>
  <c r="AC143"/>
  <c r="AC141"/>
  <c r="AC142" s="1"/>
  <c r="AD92"/>
  <c r="AD94"/>
  <c r="AD76"/>
  <c r="AD96"/>
  <c r="AD66"/>
  <c r="AD202" s="1"/>
  <c r="AD74"/>
  <c r="AD83"/>
  <c r="AD100"/>
  <c r="AD95"/>
  <c r="AD70"/>
  <c r="AD204" s="1"/>
  <c r="AD80"/>
  <c r="AD209" s="1"/>
  <c r="AD85"/>
  <c r="AD79"/>
  <c r="AD212"/>
  <c r="AD99"/>
  <c r="AD102"/>
  <c r="AD93"/>
  <c r="AD67"/>
  <c r="AD73"/>
  <c r="AD78"/>
  <c r="AD71"/>
  <c r="AD205" s="1"/>
  <c r="AD86"/>
  <c r="AD208" s="1"/>
  <c r="AD98"/>
  <c r="AD164" s="1"/>
  <c r="AD75"/>
  <c r="AD206" s="1"/>
  <c r="AD230" s="1"/>
  <c r="AD139"/>
  <c r="AD140" s="1"/>
  <c r="AD82"/>
  <c r="AD72"/>
  <c r="AD214" s="1"/>
  <c r="AE57"/>
  <c r="AC203"/>
  <c r="AD231" l="1"/>
  <c r="AD232" s="1"/>
  <c r="AD229"/>
  <c r="AC216"/>
  <c r="AC217" s="1"/>
  <c r="AC215"/>
  <c r="AD203"/>
  <c r="AD84"/>
  <c r="AD207" s="1"/>
  <c r="AD141"/>
  <c r="AD142" s="1"/>
  <c r="AD143"/>
  <c r="AE79"/>
  <c r="AE92"/>
  <c r="AE83"/>
  <c r="AE73"/>
  <c r="AE98"/>
  <c r="AE164" s="1"/>
  <c r="AE100"/>
  <c r="AE93"/>
  <c r="AE99"/>
  <c r="AE76"/>
  <c r="AE66"/>
  <c r="AE202" s="1"/>
  <c r="AE86"/>
  <c r="AE208" s="1"/>
  <c r="AE96"/>
  <c r="AE71"/>
  <c r="AE205" s="1"/>
  <c r="AE102"/>
  <c r="AE94"/>
  <c r="AE95"/>
  <c r="AE85"/>
  <c r="AE78"/>
  <c r="AE67"/>
  <c r="AE212"/>
  <c r="AE74"/>
  <c r="AE70"/>
  <c r="AE204" s="1"/>
  <c r="AE80"/>
  <c r="AE209" s="1"/>
  <c r="AE75"/>
  <c r="AE206" s="1"/>
  <c r="AE230" s="1"/>
  <c r="AE139"/>
  <c r="AE140" s="1"/>
  <c r="AE72"/>
  <c r="AE214" s="1"/>
  <c r="AF57"/>
  <c r="AE82"/>
  <c r="AE231" l="1"/>
  <c r="AE232" s="1"/>
  <c r="AE229"/>
  <c r="AD216"/>
  <c r="AD217" s="1"/>
  <c r="AD215"/>
  <c r="AE84"/>
  <c r="AE207" s="1"/>
  <c r="AE203"/>
  <c r="AF212"/>
  <c r="AF99"/>
  <c r="AF100"/>
  <c r="AF67"/>
  <c r="AG57"/>
  <c r="AF73"/>
  <c r="AI57"/>
  <c r="AF102"/>
  <c r="AF98"/>
  <c r="AF70"/>
  <c r="AF66"/>
  <c r="AF71"/>
  <c r="AF75"/>
  <c r="AF85"/>
  <c r="AF72"/>
  <c r="AF214" s="1"/>
  <c r="AF86"/>
  <c r="AF93"/>
  <c r="AF95"/>
  <c r="AF80"/>
  <c r="AF82"/>
  <c r="AF78"/>
  <c r="AF83"/>
  <c r="AF94"/>
  <c r="AF92"/>
  <c r="AF76"/>
  <c r="AF96"/>
  <c r="AF139"/>
  <c r="AF74"/>
  <c r="AF79"/>
  <c r="AE143"/>
  <c r="AE141"/>
  <c r="AE142" s="1"/>
  <c r="AE216" l="1"/>
  <c r="AE217" s="1"/>
  <c r="AE215"/>
  <c r="AF140"/>
  <c r="AG139"/>
  <c r="AG94"/>
  <c r="W194"/>
  <c r="AI94"/>
  <c r="X194" s="1"/>
  <c r="AI80"/>
  <c r="X179" s="1"/>
  <c r="AF209"/>
  <c r="AG80"/>
  <c r="W179"/>
  <c r="AG72"/>
  <c r="AI72"/>
  <c r="X171" s="1"/>
  <c r="W171"/>
  <c r="G230" s="1"/>
  <c r="AF203"/>
  <c r="AF215" s="1"/>
  <c r="AG215" s="1"/>
  <c r="AI66"/>
  <c r="AG66"/>
  <c r="AF202"/>
  <c r="AG100"/>
  <c r="AI100"/>
  <c r="W198"/>
  <c r="AI96"/>
  <c r="X198" s="1"/>
  <c r="AG96"/>
  <c r="AI83"/>
  <c r="AG83"/>
  <c r="AI95"/>
  <c r="X195" s="1"/>
  <c r="AG95"/>
  <c r="W195"/>
  <c r="AG85"/>
  <c r="W181"/>
  <c r="AI85"/>
  <c r="X181" s="1"/>
  <c r="AG70"/>
  <c r="AI70"/>
  <c r="AF204"/>
  <c r="AG73"/>
  <c r="AI73"/>
  <c r="AI99"/>
  <c r="AG99"/>
  <c r="AG79"/>
  <c r="AI79"/>
  <c r="X178" s="1"/>
  <c r="W178"/>
  <c r="AG76"/>
  <c r="W174"/>
  <c r="AI76"/>
  <c r="X174" s="1"/>
  <c r="W177"/>
  <c r="AG78"/>
  <c r="AI78"/>
  <c r="X177" s="1"/>
  <c r="AG93"/>
  <c r="W193"/>
  <c r="AI93"/>
  <c r="X193" s="1"/>
  <c r="AG75"/>
  <c r="AI75"/>
  <c r="X173" s="1"/>
  <c r="AF206"/>
  <c r="AF230" s="1"/>
  <c r="W173"/>
  <c r="AI98"/>
  <c r="AG98"/>
  <c r="AF164"/>
  <c r="AG164" s="1"/>
  <c r="AG212"/>
  <c r="AI212" s="1"/>
  <c r="W172"/>
  <c r="AI74"/>
  <c r="X172" s="1"/>
  <c r="AG74"/>
  <c r="AG92"/>
  <c r="W192"/>
  <c r="AI92"/>
  <c r="X192" s="1"/>
  <c r="AG82"/>
  <c r="AI82"/>
  <c r="X175" s="1"/>
  <c r="W175"/>
  <c r="AF84"/>
  <c r="AG86"/>
  <c r="AF208"/>
  <c r="W182"/>
  <c r="AI86"/>
  <c r="X182" s="1"/>
  <c r="AG71"/>
  <c r="AI71"/>
  <c r="AF205"/>
  <c r="AG67"/>
  <c r="AI67"/>
  <c r="G229" l="1"/>
  <c r="G231"/>
  <c r="G232" s="1"/>
  <c r="AF231"/>
  <c r="AF232" s="1"/>
  <c r="AF229"/>
  <c r="I230"/>
  <c r="K230"/>
  <c r="M230"/>
  <c r="O230"/>
  <c r="Q230"/>
  <c r="S230"/>
  <c r="H230"/>
  <c r="J230"/>
  <c r="L230"/>
  <c r="N230"/>
  <c r="P230"/>
  <c r="R230"/>
  <c r="T230"/>
  <c r="V175"/>
  <c r="X196"/>
  <c r="AG214"/>
  <c r="AI214" s="1"/>
  <c r="V192"/>
  <c r="V177"/>
  <c r="V173"/>
  <c r="V181"/>
  <c r="AI84"/>
  <c r="AF207"/>
  <c r="AG84"/>
  <c r="AG206"/>
  <c r="AI206" s="1"/>
  <c r="W196"/>
  <c r="V193"/>
  <c r="V178"/>
  <c r="T241"/>
  <c r="V198"/>
  <c r="AI226"/>
  <c r="V194"/>
  <c r="AG205"/>
  <c r="AI205" s="1"/>
  <c r="V182"/>
  <c r="T239"/>
  <c r="V172"/>
  <c r="V195"/>
  <c r="AG209"/>
  <c r="AI209" s="1"/>
  <c r="AG208"/>
  <c r="AI208" s="1"/>
  <c r="AI222" s="1"/>
  <c r="V174"/>
  <c r="AF216"/>
  <c r="AG203"/>
  <c r="AI203" s="1"/>
  <c r="AI216" s="1"/>
  <c r="AI232" s="1"/>
  <c r="AG204"/>
  <c r="AI204" s="1"/>
  <c r="AI217" s="1"/>
  <c r="AG202"/>
  <c r="AI202" s="1"/>
  <c r="AI215" s="1"/>
  <c r="V171"/>
  <c r="S242" s="1"/>
  <c r="S243" s="1"/>
  <c r="T242"/>
  <c r="T243" s="1"/>
  <c r="V179"/>
  <c r="T238"/>
  <c r="AF143"/>
  <c r="AG140"/>
  <c r="AF141"/>
  <c r="AI230" l="1"/>
  <c r="AI229"/>
  <c r="T231"/>
  <c r="T229"/>
  <c r="U230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G229" s="1"/>
  <c r="J231"/>
  <c r="AG230"/>
  <c r="S231"/>
  <c r="S232" s="1"/>
  <c r="S229"/>
  <c r="O231"/>
  <c r="O232" s="1"/>
  <c r="O229"/>
  <c r="K231"/>
  <c r="K232" s="1"/>
  <c r="K229"/>
  <c r="AI220"/>
  <c r="AI219"/>
  <c r="AG216"/>
  <c r="AF217"/>
  <c r="AG217" s="1"/>
  <c r="V196"/>
  <c r="AG141"/>
  <c r="AF142"/>
  <c r="AG142" s="1"/>
  <c r="S238"/>
  <c r="P238"/>
  <c r="P239"/>
  <c r="S239"/>
  <c r="P241"/>
  <c r="S241"/>
  <c r="AG207"/>
  <c r="AI207" s="1"/>
  <c r="AI221" s="1"/>
  <c r="U229" l="1"/>
  <c r="J232"/>
  <c r="AG232" s="1"/>
  <c r="AG231"/>
  <c r="U231"/>
  <c r="T232"/>
  <c r="U232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V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<sst xmlns="http://schemas.openxmlformats.org/spreadsheetml/2006/main" count="786" uniqueCount="515">
  <si>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</si>
  <si>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</si>
  <si>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</si>
  <si>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</si>
  <si>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</si>
  <si>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</si>
  <si>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</si>
  <si>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</si>
  <si>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</si>
  <si>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</si>
  <si>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</si>
  <si>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</si>
  <si>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</si>
  <si>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</si>
  <si>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</si>
  <si>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</si>
  <si>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</si>
  <si>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</si>
  <si>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</si>
  <si>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</si>
  <si>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</si>
  <si>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</si>
  <si>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</si>
  <si>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</si>
  <si>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</si>
  <si>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</si>
  <si>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</si>
  <si>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</si>
  <si>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</si>
  <si>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</si>
  <si>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</si>
  <si>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</si>
  <si>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</si>
  <si>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</si>
  <si>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</si>
  <si>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</si>
  <si>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</si>
  <si>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</si>
  <si>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</si>
  <si>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</si>
  <si>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</si>
  <si>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</si>
  <si>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</si>
  <si>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</si>
  <si>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</si>
  <si>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</si>
  <si>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</si>
  <si>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</si>
  <si>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</si>
  <si>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</si>
  <si>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</si>
  <si>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</si>
  <si>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</si>
  <si>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</si>
  <si>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</si>
  <si>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</si>
  <si>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</si>
  <si>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</si>
  <si>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</si>
  <si>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</si>
  <si>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</si>
  <si>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</si>
  <si>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</si>
  <si>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</si>
  <si>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</si>
  <si>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</si>
  <si>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</si>
  <si>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</si>
  <si>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</si>
  <si>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</si>
  <si>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</si>
  <si>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</si>
  <si>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</si>
  <si>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</si>
  <si>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</si>
  <si>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</si>
  <si>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</si>
  <si>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</si>
  <si>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</si>
  <si>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</si>
  <si>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</si>
  <si>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</si>
  <si>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</si>
  <si>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</si>
  <si>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</si>
  <si>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</si>
  <si>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</si>
  <si>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</si>
  <si>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</si>
  <si>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</si>
  <si>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</si>
  <si>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</si>
  <si>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</si>
  <si>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</si>
  <si>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</si>
  <si>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</si>
  <si>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</si>
  <si>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</si>
  <si>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</si>
  <si>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</si>
  <si>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</si>
  <si>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</si>
  <si>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</si>
  <si>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</si>
  <si>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</si>
  <si>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</si>
  <si>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</si>
  <si>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</si>
  <si>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</si>
  <si>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</si>
  <si>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</si>
  <si>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</si>
  <si>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</si>
  <si>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</si>
  <si>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</si>
  <si>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</si>
  <si>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</si>
  <si>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</si>
  <si>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</si>
  <si>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</si>
  <si>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</si>
  <si>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</si>
  <si>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</si>
  <si>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</si>
  <si>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</si>
  <si>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</si>
  <si>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</si>
  <si>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</si>
  <si>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</si>
  <si>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</si>
  <si>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</si>
  <si>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</si>
  <si>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</si>
  <si>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</si>
  <si>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</si>
  <si>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</si>
  <si>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</si>
  <si>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</si>
  <si>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</si>
  <si>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</si>
  <si>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</si>
  <si>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</si>
  <si>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</si>
  <si>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</si>
  <si>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</si>
  <si>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</si>
  <si>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</si>
  <si>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</si>
  <si>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</si>
  <si>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</si>
  <si>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</si>
  <si>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</si>
  <si>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</si>
  <si>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</si>
  <si>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</si>
  <si>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</si>
  <si>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</si>
  <si>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</si>
  <si>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</si>
  <si>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</si>
  <si>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</si>
  <si>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</si>
  <si>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</si>
  <si>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</si>
  <si>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</si>
  <si>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</si>
  <si>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</si>
  <si>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</si>
  <si>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</si>
  <si>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</si>
  <si>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</si>
  <si>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</si>
  <si>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</si>
  <si>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</si>
  <si>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</si>
  <si>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</si>
  <si>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</si>
  <si>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</si>
  <si>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</si>
  <si>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</si>
  <si>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</si>
  <si>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</si>
  <si>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</si>
  <si>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</si>
  <si>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</si>
  <si>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</si>
  <si>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</si>
  <si>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</si>
  <si>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</si>
  <si>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</si>
  <si>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</si>
  <si>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</si>
  <si>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</si>
  <si>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</si>
  <si>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</si>
  <si>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</si>
  <si>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</si>
  <si>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</si>
  <si>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</si>
  <si>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</si>
  <si>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</si>
  <si>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</si>
  <si>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</si>
  <si>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</si>
  <si>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</si>
  <si>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</si>
  <si>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</si>
  <si>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</si>
  <si>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</si>
  <si>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</si>
  <si>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</si>
  <si>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</si>
  <si>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</si>
  <si>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</si>
  <si>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</si>
  <si>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</si>
  <si>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</si>
  <si>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</si>
  <si>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</si>
  <si>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</si>
  <si>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</si>
  <si>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</si>
  <si>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</si>
  <si>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</si>
  <si>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</si>
  <si>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</si>
  <si>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</si>
  <si>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</si>
  <si>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</si>
  <si>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</si>
  <si>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</si>
  <si>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</si>
  <si>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</si>
  <si>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</si>
  <si>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</si>
  <si>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</si>
  <si>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</si>
  <si>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</si>
  <si>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</si>
  <si>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</si>
  <si>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</si>
  <si>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</si>
  <si>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</si>
  <si>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</si>
  <si>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</si>
  <si>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</si>
  <si>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</si>
  <si>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</si>
  <si>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</si>
  <si>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</si>
  <si>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</si>
  <si>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</si>
  <si>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</si>
  <si>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</si>
  <si>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</si>
  <si>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</si>
  <si>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</si>
  <si>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</si>
  <si>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</si>
  <si>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</si>
  <si>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</si>
  <si>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</si>
  <si>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</si>
  <si>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</si>
  <si>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</si>
  <si>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</si>
  <si>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</si>
  <si>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</si>
  <si>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</si>
  <si>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</si>
  <si>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</si>
  <si>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</si>
  <si>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</si>
  <si>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</si>
  <si>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</si>
  <si>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</si>
  <si>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</si>
  <si>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</si>
  <si>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</si>
  <si>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</si>
  <si>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</si>
  <si>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</si>
  <si>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</si>
  <si>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</si>
  <si>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</si>
  <si>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</si>
  <si>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</si>
  <si>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</si>
  <si>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</si>
  <si>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</si>
  <si>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</si>
  <si>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</si>
  <si>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</si>
  <si>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</si>
  <si>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</si>
  <si>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</si>
  <si>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</si>
  <si>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</si>
  <si>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</si>
  <si>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</si>
  <si>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</si>
  <si>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</si>
  <si>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</si>
  <si>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</si>
  <si>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</si>
  <si>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</si>
  <si>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</si>
  <si>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</si>
  <si>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</si>
  <si>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</si>
  <si>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</si>
  <si>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</si>
  <si>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</si>
  <si>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</si>
  <si>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</si>
  <si>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</si>
  <si>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</si>
  <si>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</si>
  <si>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</si>
  <si>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</si>
  <si>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</si>
  <si>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</si>
  <si>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</si>
  <si>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</si>
  <si>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</si>
  <si>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</si>
  <si>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</si>
  <si>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</si>
  <si>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</si>
  <si>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</si>
  <si>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</si>
  <si>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</si>
  <si>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</si>
  <si>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</si>
  <si>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</si>
  <si>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</si>
  <si>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</si>
  <si>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</si>
  <si>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</si>
  <si>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</si>
  <si>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</si>
  <si>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</si>
  <si>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</si>
  <si>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</si>
  <si>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</si>
  <si>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</si>
  <si>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</si>
  <si>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</si>
  <si>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</si>
  <si>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</si>
  <si>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</si>
  <si>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</si>
  <si>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</si>
  <si>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</si>
  <si>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</si>
  <si>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</si>
  <si>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</si>
  <si>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</si>
  <si>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</si>
  <si>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</si>
  <si>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</si>
  <si>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</si>
  <si>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</si>
  <si>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</si>
  <si>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</si>
  <si>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</si>
  <si>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</si>
  <si>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</si>
  <si>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</si>
  <si>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</si>
  <si>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</si>
  <si>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</si>
  <si>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</si>
  <si>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</si>
  <si>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</si>
  <si>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</si>
  <si>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</si>
  <si>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</si>
  <si>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</si>
  <si>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</si>
  <si>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</si>
  <si>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</si>
  <si>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</si>
  <si>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</si>
  <si>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</si>
  <si>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</si>
  <si>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</si>
  <si>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</si>
  <si>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</si>
  <si>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</si>
  <si>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</si>
  <si>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</si>
  <si>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</si>
  <si>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</si>
  <si>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</si>
  <si>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</si>
  <si>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</si>
  <si>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</si>
  <si>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</si>
  <si>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</si>
  <si>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</si>
  <si>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</si>
  <si>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</si>
  <si>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</si>
  <si>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</si>
  <si>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</si>
  <si>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</si>
  <si>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</si>
  <si>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</si>
  <si>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</si>
  <si>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</si>
  <si>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</si>
  <si>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</si>
  <si>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</si>
  <si>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</si>
  <si>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</si>
  <si>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</si>
  <si>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</si>
  <si>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</si>
  <si>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</si>
  <si>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</si>
  <si>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</si>
  <si>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</si>
  <si>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</si>
  <si>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</si>
  <si>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</si>
  <si>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</si>
  <si>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</si>
  <si>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</si>
  <si>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</si>
  <si>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</si>
  <si>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</si>
  <si>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</si>
  <si>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</si>
  <si>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</si>
  <si>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</si>
  <si>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</si>
  <si>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</si>
  <si>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</si>
  <si>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</si>
  <si>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</si>
  <si>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</si>
  <si>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</si>
  <si>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</si>
  <si>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</si>
  <si>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</si>
  <si>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</si>
  <si>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</si>
  <si>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</si>
  <si>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</si>
  <si>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</si>
  <si>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</si>
  <si>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</si>
  <si>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</si>
  <si>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</si>
  <si>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</si>
  <si>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</si>
  <si>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</si>
  <si>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</si>
  <si>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</si>
  <si>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</si>
  <si>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</si>
  <si>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</si>
  <si>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</si>
  <si>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</si>
  <si>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</si>
  <si>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</si>
  <si>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</si>
  <si>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</si>
  <si>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</si>
  <si>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</si>
  <si>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</si>
  <si>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</si>
  <si>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</si>
  <si>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</si>
  <si>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</si>
  <si>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</si>
  <si>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</si>
  <si>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</si>
  <si>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</si>
  <si>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</si>
  <si>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</si>
  <si>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</si>
  <si>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</si>
  <si>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</si>
  <si>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</si>
  <si>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</si>
  <si>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</si>
  <si>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</si>
  <si>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</si>
  <si>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</si>
  <si>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</si>
  <si>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</si>
  <si>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</si>
  <si>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</si>
  <si>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</si>
  <si>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</si>
  <si>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</si>
  <si>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</si>
  <si>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</si>
  <si>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</si>
  <si>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</si>
  <si>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</si>
  <si>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</si>
  <si>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</si>
  <si>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</si>
  <si>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</si>
  <si>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</si>
  <si>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</si>
  <si>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</si>
  <si>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</si>
  <si>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</si>
  <si>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13 yrs</t>
  </si>
  <si>
    <t>Dummy</t>
  </si>
  <si>
    <t>1x5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</si>
</sst>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rgb="FFFF0000"/>
      <name val="Cambria"/>
      <family val="1"/>
      <scheme val="major"/>
    </font>
  </fonts>
  <fills count="1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7" fillId="5" borderId="1" xfId="0" applyFont="1" applyFill="1" applyBorder="1" applyAlignment="1">
      <alignment horizontal="right"/>
    </xf>
    <xf numFmtId="0" fontId="20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21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2" fontId="7" fillId="5" borderId="1" xfId="2" applyNumberFormat="1" applyFont="1" applyFill="1" applyBorder="1"/>
    <xf numFmtId="172" fontId="7" fillId="5" borderId="1" xfId="2" applyNumberFormat="1" applyFont="1" applyFill="1" applyBorder="1"/>
    <xf numFmtId="0" fontId="23" fillId="16" borderId="1" xfId="0" applyFont="1" applyFill="1" applyBorder="1" applyAlignment="1">
      <alignment horizontal="center"/>
    </xf>
    <xf numFmtId="174" fontId="4" fillId="17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58435456"/>
        <c:axId val="58436992"/>
      </c:lineChart>
      <c:catAx>
        <c:axId val="58435456"/>
        <c:scaling>
          <c:orientation val="minMax"/>
        </c:scaling>
        <c:axPos val="b"/>
        <c:tickLblPos val="nextTo"/>
        <c:crossAx val="58436992"/>
        <c:crosses val="autoZero"/>
        <c:auto val="1"/>
        <c:lblAlgn val="ctr"/>
        <c:lblOffset val="100"/>
      </c:catAx>
      <c:valAx>
        <c:axId val="58436992"/>
        <c:scaling>
          <c:orientation val="minMax"/>
        </c:scaling>
        <c:axPos val="l"/>
        <c:majorGridlines/>
        <c:numFmt formatCode="General" sourceLinked="1"/>
        <c:tickLblPos val="nextTo"/>
        <c:crossAx val="5843545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66" l="0.70000000000000062" r="0.70000000000000062" t="0.750000000000006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J23" sqref="J23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7" t="s">
        <v>440</v>
      </c>
      <c r="C3" s="277"/>
      <c r="D3" s="277"/>
      <c r="G3" s="277" t="s">
        <v>441</v>
      </c>
      <c r="H3" s="277"/>
      <c r="I3" s="277"/>
      <c r="P3" s="278" t="s">
        <v>442</v>
      </c>
      <c r="Q3" s="279"/>
      <c r="R3" s="279"/>
      <c r="S3" s="280"/>
      <c r="T3" s="278" t="s">
        <v>443</v>
      </c>
      <c r="U3" s="279"/>
      <c r="V3" s="279"/>
      <c r="W3" s="280"/>
    </row>
    <row r="4" spans="2:23">
      <c r="B4" s="184" t="s">
        <v>444</v>
      </c>
      <c r="C4" s="281">
        <v>9500000</v>
      </c>
      <c r="D4" s="281"/>
      <c r="G4" s="184" t="s">
        <v>445</v>
      </c>
      <c r="H4" s="282">
        <v>200000</v>
      </c>
      <c r="I4" s="282"/>
      <c r="K4" s="185" t="s">
        <v>446</v>
      </c>
      <c r="L4" s="185" t="s">
        <v>78</v>
      </c>
      <c r="M4" s="185" t="s">
        <v>393</v>
      </c>
      <c r="N4" s="185" t="s">
        <v>447</v>
      </c>
      <c r="O4" s="185" t="s">
        <v>448</v>
      </c>
      <c r="P4" s="186" t="s">
        <v>449</v>
      </c>
      <c r="Q4" s="187" t="s">
        <v>287</v>
      </c>
      <c r="R4" s="187" t="s">
        <v>448</v>
      </c>
      <c r="S4" s="188" t="s">
        <v>450</v>
      </c>
      <c r="T4" s="186" t="s">
        <v>449</v>
      </c>
      <c r="U4" s="187" t="s">
        <v>287</v>
      </c>
      <c r="V4" s="187" t="s">
        <v>448</v>
      </c>
      <c r="W4" s="188" t="s">
        <v>450</v>
      </c>
    </row>
    <row r="5" spans="2:23">
      <c r="B5" s="184" t="s">
        <v>451</v>
      </c>
      <c r="C5" s="283">
        <v>0.08</v>
      </c>
      <c r="D5" s="284"/>
      <c r="G5" s="184" t="s">
        <v>451</v>
      </c>
      <c r="H5" s="285">
        <v>0.12</v>
      </c>
      <c r="I5" s="285"/>
      <c r="K5" s="184" t="s">
        <v>452</v>
      </c>
      <c r="L5" s="184">
        <v>200</v>
      </c>
      <c r="M5" s="184">
        <v>560</v>
      </c>
      <c r="N5" s="189">
        <f t="shared" ref="N5:N12" si="0">(M5-L5)/L5</f>
        <v>1.8</v>
      </c>
      <c r="O5" s="190">
        <v>1</v>
      </c>
      <c r="P5" s="191">
        <v>17500</v>
      </c>
      <c r="Q5" s="192">
        <f>P5/L5</f>
        <v>87.5</v>
      </c>
      <c r="R5" s="193">
        <v>1</v>
      </c>
      <c r="S5" s="194"/>
      <c r="T5" s="191">
        <v>14000</v>
      </c>
      <c r="U5" s="195">
        <v>50</v>
      </c>
      <c r="V5" s="196">
        <v>1</v>
      </c>
      <c r="W5" s="194"/>
    </row>
    <row r="6" spans="2:23">
      <c r="B6" s="184" t="s">
        <v>453</v>
      </c>
      <c r="C6" s="282">
        <v>30</v>
      </c>
      <c r="D6" s="282"/>
      <c r="G6" s="184" t="s">
        <v>453</v>
      </c>
      <c r="H6" s="282">
        <v>10</v>
      </c>
      <c r="I6" s="282"/>
      <c r="K6" s="184" t="s">
        <v>454</v>
      </c>
      <c r="L6" s="184">
        <v>450</v>
      </c>
      <c r="M6" s="184">
        <v>900</v>
      </c>
      <c r="N6" s="189">
        <f t="shared" si="0"/>
        <v>1</v>
      </c>
      <c r="O6" s="190">
        <v>5</v>
      </c>
      <c r="P6" s="191"/>
      <c r="Q6" s="197"/>
      <c r="R6" s="197"/>
      <c r="S6" s="198"/>
      <c r="T6" s="191">
        <v>18000</v>
      </c>
      <c r="U6" s="199">
        <v>400</v>
      </c>
      <c r="V6" s="199">
        <v>2</v>
      </c>
      <c r="W6" s="198" t="s">
        <v>455</v>
      </c>
    </row>
    <row r="7" spans="2:23">
      <c r="B7" s="184"/>
      <c r="C7" s="286"/>
      <c r="D7" s="286"/>
      <c r="G7" s="184"/>
      <c r="H7" s="286"/>
      <c r="I7" s="286"/>
      <c r="K7" s="184" t="s">
        <v>456</v>
      </c>
      <c r="L7" s="184">
        <v>32</v>
      </c>
      <c r="M7" s="184">
        <v>70</v>
      </c>
      <c r="N7" s="189">
        <f t="shared" si="0"/>
        <v>1.1875</v>
      </c>
      <c r="O7" s="190">
        <v>3</v>
      </c>
      <c r="P7" s="200"/>
      <c r="Q7" s="201"/>
      <c r="R7" s="201"/>
      <c r="S7" s="198"/>
      <c r="T7" s="200"/>
      <c r="U7" s="197"/>
      <c r="V7" s="197"/>
      <c r="W7" s="198"/>
    </row>
    <row r="8" spans="2:23">
      <c r="B8" s="184"/>
      <c r="C8" s="286"/>
      <c r="D8" s="286"/>
      <c r="G8" s="184"/>
      <c r="H8" s="286"/>
      <c r="I8" s="286"/>
      <c r="K8" s="184" t="s">
        <v>457</v>
      </c>
      <c r="L8" s="184">
        <v>260</v>
      </c>
      <c r="M8" s="184">
        <v>400</v>
      </c>
      <c r="N8" s="189">
        <f t="shared" si="0"/>
        <v>0.53846153846153844</v>
      </c>
      <c r="O8" s="190">
        <v>6</v>
      </c>
      <c r="P8" s="200"/>
      <c r="Q8" s="197"/>
      <c r="R8" s="197"/>
      <c r="S8" s="198"/>
      <c r="T8" s="200"/>
      <c r="U8" s="197"/>
      <c r="V8" s="197"/>
      <c r="W8" s="198"/>
    </row>
    <row r="9" spans="2:23">
      <c r="B9" s="202" t="s">
        <v>445</v>
      </c>
      <c r="C9" s="287">
        <f>C4*(1/(1+C5)^C6)</f>
        <v>944084.6592231117</v>
      </c>
      <c r="D9" s="287"/>
      <c r="G9" s="202" t="s">
        <v>458</v>
      </c>
      <c r="H9" s="287">
        <f>H4*((1+H5)^H6)</f>
        <v>621169.64166884217</v>
      </c>
      <c r="I9" s="287"/>
      <c r="K9" s="184" t="s">
        <v>459</v>
      </c>
      <c r="L9" s="184">
        <v>300</v>
      </c>
      <c r="M9" s="184">
        <v>500</v>
      </c>
      <c r="N9" s="189">
        <f t="shared" si="0"/>
        <v>0.66666666666666663</v>
      </c>
      <c r="O9" s="190">
        <v>7</v>
      </c>
      <c r="P9" s="200"/>
      <c r="Q9" s="197"/>
      <c r="R9" s="197"/>
      <c r="S9" s="198"/>
      <c r="T9" s="200"/>
      <c r="U9" s="197"/>
      <c r="V9" s="197"/>
      <c r="W9" s="198"/>
    </row>
    <row r="10" spans="2:23">
      <c r="B10" s="202" t="s">
        <v>460</v>
      </c>
      <c r="C10" s="287">
        <f>C4-C9</f>
        <v>8555915.3407768887</v>
      </c>
      <c r="D10" s="287"/>
      <c r="G10" s="202" t="s">
        <v>460</v>
      </c>
      <c r="H10" s="288">
        <f>H9-H4</f>
        <v>421169.64166884217</v>
      </c>
      <c r="I10" s="288"/>
      <c r="K10" s="184" t="s">
        <v>461</v>
      </c>
      <c r="L10" s="184">
        <v>112</v>
      </c>
      <c r="M10" s="184">
        <v>272</v>
      </c>
      <c r="N10" s="189">
        <f t="shared" si="0"/>
        <v>1.4285714285714286</v>
      </c>
      <c r="O10" s="190">
        <v>2</v>
      </c>
      <c r="P10" s="200">
        <v>7000</v>
      </c>
      <c r="Q10" s="203">
        <f>P10/L10</f>
        <v>62.5</v>
      </c>
      <c r="R10" s="203">
        <v>1</v>
      </c>
      <c r="S10" s="198"/>
      <c r="T10" s="200"/>
      <c r="U10" s="197"/>
      <c r="V10" s="197"/>
      <c r="W10" s="198"/>
    </row>
    <row r="11" spans="2:23">
      <c r="K11" s="184" t="s">
        <v>462</v>
      </c>
      <c r="L11" s="184">
        <v>700</v>
      </c>
      <c r="M11" s="184">
        <v>1500</v>
      </c>
      <c r="N11" s="189">
        <f t="shared" si="0"/>
        <v>1.1428571428571428</v>
      </c>
      <c r="O11" s="190">
        <v>4</v>
      </c>
      <c r="P11" s="204">
        <v>7000</v>
      </c>
      <c r="Q11" s="195">
        <v>200</v>
      </c>
      <c r="R11" s="196">
        <v>2</v>
      </c>
      <c r="S11" s="194"/>
      <c r="T11" s="204"/>
      <c r="U11" s="195"/>
      <c r="V11" s="196"/>
      <c r="W11" s="194"/>
    </row>
    <row r="12" spans="2:23" ht="15.75" thickBot="1">
      <c r="K12" s="184" t="s">
        <v>463</v>
      </c>
      <c r="L12" s="184">
        <v>488</v>
      </c>
      <c r="M12" s="184">
        <v>900</v>
      </c>
      <c r="N12" s="189">
        <f t="shared" si="0"/>
        <v>0.84426229508196726</v>
      </c>
      <c r="O12" s="190"/>
      <c r="P12" s="205"/>
      <c r="Q12" s="206"/>
      <c r="R12" s="206"/>
      <c r="S12" s="207"/>
      <c r="T12" s="205"/>
      <c r="U12" s="206"/>
      <c r="V12" s="206"/>
      <c r="W12" s="207"/>
    </row>
    <row r="13" spans="2:23">
      <c r="K13" s="208" t="s">
        <v>322</v>
      </c>
    </row>
    <row r="14" spans="2:23">
      <c r="B14" s="277" t="s">
        <v>464</v>
      </c>
      <c r="C14" s="277"/>
      <c r="D14" s="277"/>
      <c r="G14" s="277" t="s">
        <v>465</v>
      </c>
      <c r="H14" s="277"/>
      <c r="I14" s="277"/>
      <c r="K14" s="183" t="s">
        <v>284</v>
      </c>
      <c r="L14" s="183" t="s">
        <v>0</v>
      </c>
      <c r="M14" s="183" t="s">
        <v>323</v>
      </c>
      <c r="N14" s="183" t="s">
        <v>324</v>
      </c>
      <c r="O14" s="183" t="s">
        <v>325</v>
      </c>
      <c r="P14" s="183" t="s">
        <v>326</v>
      </c>
      <c r="Q14" s="183" t="s">
        <v>327</v>
      </c>
      <c r="R14" s="183" t="s">
        <v>328</v>
      </c>
    </row>
    <row r="15" spans="2:23">
      <c r="B15" s="184" t="s">
        <v>466</v>
      </c>
      <c r="C15" s="282">
        <v>24000</v>
      </c>
      <c r="D15" s="282"/>
      <c r="G15" s="184" t="s">
        <v>466</v>
      </c>
      <c r="H15" s="282">
        <v>200000</v>
      </c>
      <c r="I15" s="282"/>
      <c r="K15" s="184" t="s">
        <v>286</v>
      </c>
      <c r="L15" s="209">
        <v>50</v>
      </c>
      <c r="M15" s="210" t="s">
        <v>329</v>
      </c>
      <c r="N15" s="211">
        <v>4</v>
      </c>
      <c r="O15" s="211">
        <v>1</v>
      </c>
      <c r="P15" s="184">
        <f>N15/O15</f>
        <v>4</v>
      </c>
      <c r="Q15" s="184">
        <f>P15*L16</f>
        <v>4</v>
      </c>
      <c r="R15" s="212">
        <f>Q15+L16</f>
        <v>5</v>
      </c>
    </row>
    <row r="16" spans="2:23">
      <c r="B16" s="184" t="s">
        <v>451</v>
      </c>
      <c r="C16" s="283">
        <v>0.1</v>
      </c>
      <c r="D16" s="284"/>
      <c r="G16" s="184" t="s">
        <v>451</v>
      </c>
      <c r="H16" s="283">
        <v>0.12</v>
      </c>
      <c r="I16" s="284"/>
      <c r="K16" s="184" t="s">
        <v>287</v>
      </c>
      <c r="L16" s="209">
        <v>1</v>
      </c>
      <c r="M16" s="210" t="s">
        <v>330</v>
      </c>
      <c r="N16" s="211">
        <v>1</v>
      </c>
      <c r="O16" s="211">
        <v>1</v>
      </c>
      <c r="P16" s="184">
        <f>N16/O16</f>
        <v>1</v>
      </c>
      <c r="Q16" s="184">
        <f>P16*R15</f>
        <v>5</v>
      </c>
      <c r="R16" s="184">
        <f>Q16+R15</f>
        <v>10</v>
      </c>
    </row>
    <row r="17" spans="2:18">
      <c r="B17" s="184" t="s">
        <v>453</v>
      </c>
      <c r="C17" s="282">
        <v>20</v>
      </c>
      <c r="D17" s="282"/>
      <c r="G17" s="184" t="s">
        <v>453</v>
      </c>
      <c r="H17" s="282">
        <v>10</v>
      </c>
      <c r="I17" s="282"/>
      <c r="K17" s="184" t="s">
        <v>289</v>
      </c>
      <c r="L17" s="213">
        <f>L15*L16</f>
        <v>50</v>
      </c>
      <c r="M17" s="210" t="s">
        <v>331</v>
      </c>
      <c r="N17" s="211">
        <v>0</v>
      </c>
      <c r="O17" s="211">
        <v>2</v>
      </c>
      <c r="P17" s="184">
        <f>N17/O17</f>
        <v>0</v>
      </c>
      <c r="Q17" s="184">
        <f>P17*R16</f>
        <v>0</v>
      </c>
      <c r="R17" s="184">
        <f>Q17</f>
        <v>0</v>
      </c>
    </row>
    <row r="18" spans="2:18">
      <c r="B18" s="184"/>
      <c r="C18" s="286"/>
      <c r="D18" s="286"/>
      <c r="G18" s="184"/>
      <c r="H18" s="286"/>
      <c r="I18" s="286"/>
      <c r="K18" s="184" t="s">
        <v>290</v>
      </c>
      <c r="L18" s="209">
        <v>95</v>
      </c>
      <c r="M18" s="210"/>
      <c r="N18" s="184"/>
      <c r="O18" s="184"/>
      <c r="P18" s="202" t="s">
        <v>332</v>
      </c>
      <c r="Q18" s="184"/>
      <c r="R18" s="184">
        <f>R17</f>
        <v>0</v>
      </c>
    </row>
    <row r="19" spans="2:18">
      <c r="B19" s="202" t="s">
        <v>467</v>
      </c>
      <c r="C19" s="289">
        <f>( ( 1-  (1/ ( (1+C16)^C17) ) ) / C16)</f>
        <v>8.5135637197585652</v>
      </c>
      <c r="D19" s="290"/>
      <c r="G19" s="202" t="s">
        <v>468</v>
      </c>
      <c r="H19" s="289">
        <f>( ((1+H16)^H17) -1 ) / H16</f>
        <v>17.548735069535095</v>
      </c>
      <c r="I19" s="290"/>
      <c r="K19" s="184" t="s">
        <v>287</v>
      </c>
      <c r="L19" s="209">
        <v>10</v>
      </c>
      <c r="M19" s="210" t="s">
        <v>331</v>
      </c>
      <c r="N19" s="211">
        <v>10</v>
      </c>
      <c r="O19" s="211">
        <v>2</v>
      </c>
      <c r="P19" s="184">
        <f>N19/O19</f>
        <v>5</v>
      </c>
      <c r="Q19" s="212">
        <f>P19*L16</f>
        <v>5</v>
      </c>
      <c r="R19" s="212">
        <f>Q19</f>
        <v>5</v>
      </c>
    </row>
    <row r="20" spans="2:18">
      <c r="B20" s="202" t="s">
        <v>469</v>
      </c>
      <c r="C20" s="291">
        <f>C19 * C15</f>
        <v>204325.52927420556</v>
      </c>
      <c r="D20" s="292"/>
      <c r="G20" s="202" t="s">
        <v>470</v>
      </c>
      <c r="H20" s="289">
        <f>H19 * H15</f>
        <v>3509747.013907019</v>
      </c>
      <c r="I20" s="290"/>
      <c r="K20" s="184" t="s">
        <v>289</v>
      </c>
      <c r="L20" s="213">
        <f>L19*L18</f>
        <v>950</v>
      </c>
      <c r="M20" s="184"/>
      <c r="N20" s="184"/>
      <c r="O20" s="184"/>
      <c r="P20" s="202" t="s">
        <v>332</v>
      </c>
      <c r="Q20" s="184"/>
      <c r="R20" s="184">
        <f>R19</f>
        <v>5</v>
      </c>
    </row>
    <row r="21" spans="2:18">
      <c r="B21" s="202"/>
      <c r="C21" s="293"/>
      <c r="D21" s="294"/>
      <c r="G21" s="202"/>
      <c r="H21" s="293"/>
      <c r="I21" s="294"/>
      <c r="K21" s="184"/>
      <c r="L21" s="213"/>
      <c r="M21" s="210" t="s">
        <v>331</v>
      </c>
      <c r="N21" s="211">
        <v>10</v>
      </c>
      <c r="O21" s="211">
        <v>2</v>
      </c>
      <c r="P21" s="184">
        <f>N21/O21</f>
        <v>5</v>
      </c>
      <c r="Q21" s="184">
        <f>P21*R20</f>
        <v>25</v>
      </c>
      <c r="R21" s="184">
        <f>Q21</f>
        <v>25</v>
      </c>
    </row>
    <row r="22" spans="2:18">
      <c r="B22" s="202"/>
      <c r="C22" s="287"/>
      <c r="D22" s="287"/>
      <c r="G22" s="202"/>
      <c r="H22" s="287"/>
      <c r="I22" s="287"/>
      <c r="K22" s="202" t="s">
        <v>292</v>
      </c>
      <c r="L22" s="214">
        <f>L20/L17</f>
        <v>19</v>
      </c>
      <c r="M22" s="210"/>
      <c r="N22" s="184"/>
      <c r="O22" s="184"/>
      <c r="P22" s="202" t="s">
        <v>332</v>
      </c>
      <c r="Q22" s="184"/>
      <c r="R22" s="184">
        <f>R21</f>
        <v>25</v>
      </c>
    </row>
    <row r="26" spans="2:18">
      <c r="B26" s="277" t="s">
        <v>471</v>
      </c>
      <c r="C26" s="277"/>
      <c r="D26" s="277"/>
      <c r="G26" s="277" t="s">
        <v>472</v>
      </c>
      <c r="H26" s="277"/>
      <c r="I26" s="277"/>
      <c r="K26" s="277" t="s">
        <v>15</v>
      </c>
      <c r="L26" s="277"/>
    </row>
    <row r="27" spans="2:18">
      <c r="B27" s="184" t="s">
        <v>466</v>
      </c>
      <c r="C27" s="282">
        <v>100</v>
      </c>
      <c r="D27" s="282"/>
      <c r="G27" s="184" t="s">
        <v>466</v>
      </c>
      <c r="H27" s="282">
        <v>200000</v>
      </c>
      <c r="I27" s="282"/>
      <c r="K27" s="10" t="s">
        <v>16</v>
      </c>
      <c r="L27" s="11">
        <v>45</v>
      </c>
      <c r="M27" s="215">
        <f>L27*M39</f>
        <v>9375000</v>
      </c>
      <c r="N27" t="s">
        <v>473</v>
      </c>
    </row>
    <row r="28" spans="2:18">
      <c r="B28" s="184" t="s">
        <v>451</v>
      </c>
      <c r="C28" s="283">
        <v>0.05</v>
      </c>
      <c r="D28" s="284"/>
      <c r="G28" s="184" t="s">
        <v>451</v>
      </c>
      <c r="H28" s="283">
        <v>0.12</v>
      </c>
      <c r="I28" s="284"/>
      <c r="K28" s="10" t="s">
        <v>17</v>
      </c>
      <c r="L28" s="11">
        <v>240</v>
      </c>
      <c r="M28" s="216"/>
      <c r="R28">
        <v>416</v>
      </c>
    </row>
    <row r="29" spans="2:18">
      <c r="B29" s="184" t="s">
        <v>453</v>
      </c>
      <c r="C29" s="282">
        <v>3</v>
      </c>
      <c r="D29" s="282"/>
      <c r="G29" s="184" t="s">
        <v>453</v>
      </c>
      <c r="H29" s="282">
        <v>11</v>
      </c>
      <c r="I29" s="282"/>
      <c r="K29" s="10" t="s">
        <v>18</v>
      </c>
      <c r="L29" s="12">
        <v>10</v>
      </c>
      <c r="M29" s="217">
        <f>L27/100000</f>
        <v>4.4999999999999999E-4</v>
      </c>
      <c r="N29" t="s">
        <v>474</v>
      </c>
    </row>
    <row r="30" spans="2:18" ht="15.75" thickBot="1">
      <c r="B30" s="184"/>
      <c r="C30" s="286"/>
      <c r="D30" s="286"/>
      <c r="G30" s="184"/>
      <c r="H30" s="286"/>
      <c r="I30" s="286"/>
      <c r="K30" s="13" t="s">
        <v>19</v>
      </c>
      <c r="L30" s="3">
        <f>((L28/L27)^(1/L29))-1</f>
        <v>0.18222427548378417</v>
      </c>
      <c r="M30" s="217">
        <f>L28/100000</f>
        <v>2.3999999999999998E-3</v>
      </c>
      <c r="N30" t="s">
        <v>475</v>
      </c>
    </row>
    <row r="31" spans="2:18">
      <c r="B31" s="202" t="s">
        <v>467</v>
      </c>
      <c r="C31" s="289">
        <f>( ( ( 1-  (1/ ( (1+C28)^C29) ) ) / C28) ) * (1+C28)</f>
        <v>2.859410430839004</v>
      </c>
      <c r="D31" s="290"/>
      <c r="G31" s="202" t="s">
        <v>468</v>
      </c>
      <c r="H31" s="289">
        <f>(( ((1+H28)^H29) -1 ) / H28 ) * ( 1+H28)</f>
        <v>23.133133271224832</v>
      </c>
      <c r="I31" s="290"/>
      <c r="K31" s="13" t="s">
        <v>20</v>
      </c>
      <c r="L31" s="14">
        <f>L29*12</f>
        <v>120</v>
      </c>
      <c r="P31" s="218" t="s">
        <v>476</v>
      </c>
      <c r="Q31" s="219" t="s">
        <v>477</v>
      </c>
    </row>
    <row r="32" spans="2:18">
      <c r="B32" s="202" t="s">
        <v>478</v>
      </c>
      <c r="C32" s="289">
        <f>C31 * C27</f>
        <v>285.94104308390041</v>
      </c>
      <c r="D32" s="290"/>
      <c r="G32" s="202" t="s">
        <v>479</v>
      </c>
      <c r="H32" s="289">
        <f>H31 * H27</f>
        <v>4626626.6542449668</v>
      </c>
      <c r="I32" s="290"/>
      <c r="K32" s="10" t="s">
        <v>18</v>
      </c>
      <c r="L32" s="15">
        <f>L31/12</f>
        <v>10</v>
      </c>
      <c r="M32">
        <v>62.56</v>
      </c>
      <c r="P32" s="220">
        <v>0.05</v>
      </c>
      <c r="Q32" s="221">
        <v>14</v>
      </c>
    </row>
    <row r="33" spans="2:17">
      <c r="B33" s="202"/>
      <c r="C33" s="293"/>
      <c r="D33" s="294"/>
      <c r="G33" s="202"/>
      <c r="H33" s="293"/>
      <c r="I33" s="294"/>
      <c r="K33" s="13" t="s">
        <v>21</v>
      </c>
      <c r="L33" s="3">
        <f>((L28/L27)^(1/L32))-1</f>
        <v>0.18222427548378417</v>
      </c>
      <c r="P33" s="220">
        <v>0.08</v>
      </c>
      <c r="Q33" s="221">
        <v>9</v>
      </c>
    </row>
    <row r="34" spans="2:17">
      <c r="B34" s="202"/>
      <c r="C34" s="287"/>
      <c r="D34" s="287"/>
      <c r="G34" s="202"/>
      <c r="H34" s="287"/>
      <c r="I34" s="287"/>
      <c r="P34" s="220">
        <v>0.1</v>
      </c>
      <c r="Q34" s="221">
        <v>10</v>
      </c>
    </row>
    <row r="35" spans="2:17">
      <c r="P35" s="220">
        <v>0.15</v>
      </c>
      <c r="Q35" s="221">
        <v>5</v>
      </c>
    </row>
    <row r="36" spans="2:17">
      <c r="B36" s="277" t="s">
        <v>24</v>
      </c>
      <c r="C36" s="277"/>
      <c r="D36" s="277"/>
      <c r="E36" s="222"/>
      <c r="G36" s="277" t="s">
        <v>53</v>
      </c>
      <c r="H36" s="277"/>
      <c r="K36" s="277" t="s">
        <v>337</v>
      </c>
      <c r="L36" s="277"/>
      <c r="P36" s="220">
        <v>0.2</v>
      </c>
      <c r="Q36" s="221">
        <v>4</v>
      </c>
    </row>
    <row r="37" spans="2:17">
      <c r="B37" s="19" t="s">
        <v>25</v>
      </c>
      <c r="C37" s="19"/>
      <c r="D37" s="223">
        <v>1000000</v>
      </c>
      <c r="E37" s="222"/>
      <c r="G37" s="19" t="s">
        <v>29</v>
      </c>
      <c r="H37" s="44">
        <v>342</v>
      </c>
      <c r="K37" s="10" t="s">
        <v>16</v>
      </c>
      <c r="L37" s="11">
        <f>L27</f>
        <v>45</v>
      </c>
      <c r="M37" s="216">
        <v>50000000</v>
      </c>
      <c r="N37" t="s">
        <v>480</v>
      </c>
      <c r="P37" s="220">
        <v>0.25</v>
      </c>
      <c r="Q37" s="221">
        <v>3</v>
      </c>
    </row>
    <row r="38" spans="2:17">
      <c r="B38" s="19" t="s">
        <v>26</v>
      </c>
      <c r="C38" s="19"/>
      <c r="D38" s="21">
        <v>0.66</v>
      </c>
      <c r="E38" s="222"/>
      <c r="G38" s="19" t="s">
        <v>26</v>
      </c>
      <c r="H38" s="21">
        <v>0.12</v>
      </c>
      <c r="K38" s="10" t="s">
        <v>17</v>
      </c>
      <c r="L38" s="11">
        <f>L28</f>
        <v>240</v>
      </c>
      <c r="M38" s="216">
        <f>L38/L37</f>
        <v>5.333333333333333</v>
      </c>
      <c r="N38" t="s">
        <v>481</v>
      </c>
      <c r="P38" s="220">
        <v>0.3</v>
      </c>
      <c r="Q38" s="221">
        <v>2.5</v>
      </c>
    </row>
    <row r="39" spans="2:17">
      <c r="B39" s="19" t="s">
        <v>27</v>
      </c>
      <c r="C39" s="19"/>
      <c r="D39" s="224">
        <v>6</v>
      </c>
      <c r="E39" s="222"/>
      <c r="G39" s="19" t="s">
        <v>27</v>
      </c>
      <c r="H39" s="22">
        <v>10</v>
      </c>
      <c r="K39" s="10" t="s">
        <v>482</v>
      </c>
      <c r="L39" s="10"/>
      <c r="M39" s="216">
        <f>M37/L38</f>
        <v>208333.33333333334</v>
      </c>
      <c r="N39" t="s">
        <v>483</v>
      </c>
      <c r="P39" s="225">
        <v>0.4</v>
      </c>
      <c r="Q39" s="226">
        <v>2</v>
      </c>
    </row>
    <row r="40" spans="2:17">
      <c r="B40" s="19" t="s">
        <v>28</v>
      </c>
      <c r="C40" s="19"/>
      <c r="D40" s="23">
        <v>500000</v>
      </c>
      <c r="E40" s="222"/>
      <c r="G40" s="19" t="s">
        <v>28</v>
      </c>
      <c r="H40" s="20">
        <v>0</v>
      </c>
      <c r="K40" s="10" t="s">
        <v>338</v>
      </c>
      <c r="L40" s="189">
        <f>(L38-L37)/L37</f>
        <v>4.333333333333333</v>
      </c>
      <c r="P40" s="225">
        <v>0.5</v>
      </c>
      <c r="Q40" s="226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2"/>
      <c r="G41" s="24" t="s">
        <v>54</v>
      </c>
      <c r="H41" s="45">
        <f>PV(H38,H39,H40,-H37)</f>
        <v>110.11484691401803</v>
      </c>
      <c r="K41" s="10" t="s">
        <v>339</v>
      </c>
      <c r="L41" s="227">
        <f>L38/L37</f>
        <v>5.333333333333333</v>
      </c>
      <c r="P41" s="225">
        <v>0.75</v>
      </c>
      <c r="Q41" s="226">
        <v>1.3</v>
      </c>
    </row>
    <row r="42" spans="2:17" ht="15.75" thickBot="1">
      <c r="B42" s="228" t="s">
        <v>484</v>
      </c>
      <c r="D42" s="229">
        <f>D41/10000000</f>
        <v>3.6018262604416011</v>
      </c>
      <c r="P42" s="230">
        <v>1</v>
      </c>
      <c r="Q42" s="231">
        <v>1</v>
      </c>
    </row>
    <row r="43" spans="2:17" ht="15.75" thickBot="1">
      <c r="C43" s="297" t="s">
        <v>458</v>
      </c>
      <c r="D43" s="297"/>
      <c r="E43" s="297"/>
      <c r="F43" s="297"/>
      <c r="J43" s="297" t="s">
        <v>458</v>
      </c>
      <c r="K43" s="297"/>
      <c r="L43" s="297"/>
      <c r="M43" s="297"/>
    </row>
    <row r="44" spans="2:17" ht="15.75" thickBot="1">
      <c r="B44" s="232"/>
      <c r="C44" s="295" t="s">
        <v>485</v>
      </c>
      <c r="D44" s="296"/>
      <c r="E44" s="233" t="s">
        <v>486</v>
      </c>
      <c r="F44" s="233"/>
      <c r="G44" s="234"/>
      <c r="I44" s="232"/>
      <c r="J44" s="295" t="s">
        <v>487</v>
      </c>
      <c r="K44" s="296"/>
      <c r="L44" s="233" t="s">
        <v>488</v>
      </c>
      <c r="M44" s="233"/>
      <c r="N44" s="234"/>
    </row>
    <row r="45" spans="2:17" ht="15.75" thickBot="1">
      <c r="B45" s="200"/>
      <c r="C45" s="197"/>
      <c r="D45" s="197"/>
      <c r="E45" s="197"/>
      <c r="F45" s="197"/>
      <c r="G45" s="198"/>
      <c r="I45" s="200"/>
      <c r="J45" s="197"/>
      <c r="K45" s="197"/>
      <c r="L45" s="197"/>
      <c r="M45" s="197"/>
      <c r="N45" s="198"/>
    </row>
    <row r="46" spans="2:17" ht="15.75" thickBot="1">
      <c r="B46" s="298" t="s">
        <v>489</v>
      </c>
      <c r="C46" s="299"/>
      <c r="D46" s="299"/>
      <c r="E46" s="299"/>
      <c r="F46" s="299"/>
      <c r="G46" s="300"/>
      <c r="I46" s="298" t="s">
        <v>489</v>
      </c>
      <c r="J46" s="299"/>
      <c r="K46" s="299"/>
      <c r="L46" s="299"/>
      <c r="M46" s="299"/>
      <c r="N46" s="300"/>
    </row>
    <row r="47" spans="2:17">
      <c r="B47" s="200"/>
      <c r="C47" s="197"/>
      <c r="D47" s="235">
        <v>1100000</v>
      </c>
      <c r="E47" s="197"/>
      <c r="F47" s="197"/>
      <c r="G47" s="198"/>
      <c r="I47" s="200"/>
      <c r="J47" s="197"/>
      <c r="K47" s="197"/>
      <c r="L47" s="197"/>
      <c r="M47" s="197"/>
      <c r="N47" s="198"/>
    </row>
    <row r="48" spans="2:17" ht="30">
      <c r="B48" s="236" t="s">
        <v>14</v>
      </c>
      <c r="C48" s="237" t="s">
        <v>490</v>
      </c>
      <c r="D48" s="237" t="s">
        <v>491</v>
      </c>
      <c r="E48" s="237" t="s">
        <v>492</v>
      </c>
      <c r="F48" s="237" t="s">
        <v>493</v>
      </c>
      <c r="G48" s="238" t="s">
        <v>494</v>
      </c>
      <c r="I48" s="236" t="s">
        <v>14</v>
      </c>
      <c r="J48" s="237" t="s">
        <v>490</v>
      </c>
      <c r="K48" s="237" t="s">
        <v>495</v>
      </c>
      <c r="L48" s="237" t="s">
        <v>492</v>
      </c>
      <c r="M48" s="237" t="s">
        <v>493</v>
      </c>
      <c r="N48" s="238" t="s">
        <v>494</v>
      </c>
      <c r="O48" s="239" t="s">
        <v>496</v>
      </c>
      <c r="P48" s="240" t="s">
        <v>4</v>
      </c>
    </row>
    <row r="49" spans="1:16">
      <c r="A49">
        <v>2013</v>
      </c>
      <c r="B49" s="241">
        <v>0</v>
      </c>
      <c r="C49" s="242">
        <v>0</v>
      </c>
      <c r="D49" s="243">
        <v>1000000</v>
      </c>
      <c r="E49" s="244">
        <v>0.5</v>
      </c>
      <c r="F49" s="245">
        <f xml:space="preserve"> (C49) * E49</f>
        <v>0</v>
      </c>
      <c r="G49" s="246">
        <f>C49+D49+F49</f>
        <v>1000000</v>
      </c>
      <c r="H49" s="216"/>
      <c r="I49" s="241">
        <v>0</v>
      </c>
      <c r="J49" s="242">
        <v>1</v>
      </c>
      <c r="K49" s="243">
        <v>0</v>
      </c>
      <c r="L49" s="244">
        <v>3</v>
      </c>
      <c r="M49" s="242">
        <f xml:space="preserve"> (J49+K49) * L49</f>
        <v>3</v>
      </c>
      <c r="N49" s="247">
        <f>J49+K49+M49</f>
        <v>4</v>
      </c>
      <c r="O49">
        <v>2015</v>
      </c>
      <c r="P49" s="248">
        <f t="shared" ref="P49:P64" si="1">N49/10000000</f>
        <v>3.9999999999999998E-7</v>
      </c>
    </row>
    <row r="50" spans="1:16">
      <c r="A50">
        <f>A49+1</f>
        <v>2014</v>
      </c>
      <c r="B50" s="241">
        <f>B49+1</f>
        <v>1</v>
      </c>
      <c r="C50" s="242">
        <f t="shared" ref="C50:C79" si="2">G49</f>
        <v>1000000</v>
      </c>
      <c r="D50" s="243">
        <v>1500000</v>
      </c>
      <c r="E50" s="244">
        <f>E49</f>
        <v>0.5</v>
      </c>
      <c r="F50" s="245">
        <f t="shared" ref="F50:F79" si="3" xml:space="preserve"> (C50) * E50</f>
        <v>500000</v>
      </c>
      <c r="G50" s="246">
        <f t="shared" ref="G50:G80" si="4">C50+D50+F50</f>
        <v>3000000</v>
      </c>
      <c r="H50" s="216"/>
      <c r="I50" s="241">
        <f>I49+1</f>
        <v>1</v>
      </c>
      <c r="J50" s="242">
        <f>N49</f>
        <v>4</v>
      </c>
      <c r="K50" s="243">
        <v>0</v>
      </c>
      <c r="L50" s="244">
        <v>2</v>
      </c>
      <c r="M50" s="242">
        <f t="shared" ref="M50:M80" si="5" xml:space="preserve"> (J50+K50) * L50</f>
        <v>8</v>
      </c>
      <c r="N50" s="247">
        <f t="shared" ref="N50:N80" si="6">J50+K50+M50</f>
        <v>12</v>
      </c>
      <c r="O50">
        <f t="shared" ref="O50:O64" si="7">O49+1</f>
        <v>2016</v>
      </c>
      <c r="P50" s="248">
        <f t="shared" si="1"/>
        <v>1.1999999999999999E-6</v>
      </c>
    </row>
    <row r="51" spans="1:16">
      <c r="A51">
        <f t="shared" ref="A51:B66" si="8">A50+1</f>
        <v>2015</v>
      </c>
      <c r="B51" s="241">
        <f t="shared" si="8"/>
        <v>2</v>
      </c>
      <c r="C51" s="242">
        <f t="shared" si="2"/>
        <v>3000000</v>
      </c>
      <c r="D51" s="243">
        <v>2000000</v>
      </c>
      <c r="E51" s="244">
        <f>E50</f>
        <v>0.5</v>
      </c>
      <c r="F51" s="245">
        <f t="shared" si="3"/>
        <v>1500000</v>
      </c>
      <c r="G51" s="246">
        <f t="shared" si="4"/>
        <v>6500000</v>
      </c>
      <c r="H51" s="216"/>
      <c r="I51" s="241">
        <f t="shared" ref="I51:I79" si="9">I50+1</f>
        <v>2</v>
      </c>
      <c r="J51" s="242">
        <f t="shared" ref="J51:J80" si="10">N50</f>
        <v>12</v>
      </c>
      <c r="K51" s="243">
        <v>0</v>
      </c>
      <c r="L51" s="244">
        <v>0.8</v>
      </c>
      <c r="M51" s="242">
        <f t="shared" si="5"/>
        <v>9.6000000000000014</v>
      </c>
      <c r="N51" s="247">
        <f t="shared" si="6"/>
        <v>21.6</v>
      </c>
      <c r="O51">
        <f t="shared" si="7"/>
        <v>2017</v>
      </c>
      <c r="P51" s="248">
        <f t="shared" si="1"/>
        <v>2.1600000000000001E-6</v>
      </c>
    </row>
    <row r="52" spans="1:16">
      <c r="A52">
        <f t="shared" si="8"/>
        <v>2016</v>
      </c>
      <c r="B52" s="241">
        <f t="shared" si="8"/>
        <v>3</v>
      </c>
      <c r="C52" s="242">
        <f t="shared" si="2"/>
        <v>6500000</v>
      </c>
      <c r="D52" s="243">
        <v>2500000</v>
      </c>
      <c r="E52" s="244">
        <f t="shared" ref="E52:E70" si="11">E51</f>
        <v>0.5</v>
      </c>
      <c r="F52" s="245">
        <f t="shared" si="3"/>
        <v>3250000</v>
      </c>
      <c r="G52" s="246">
        <f t="shared" si="4"/>
        <v>12250000</v>
      </c>
      <c r="H52" s="216"/>
      <c r="I52" s="241">
        <f t="shared" si="9"/>
        <v>3</v>
      </c>
      <c r="J52" s="242">
        <f t="shared" si="10"/>
        <v>21.6</v>
      </c>
      <c r="K52" s="243">
        <v>0</v>
      </c>
      <c r="L52" s="249">
        <v>0.4</v>
      </c>
      <c r="M52" s="242">
        <f t="shared" si="5"/>
        <v>8.64</v>
      </c>
      <c r="N52" s="247">
        <f t="shared" si="6"/>
        <v>30.240000000000002</v>
      </c>
      <c r="O52">
        <f t="shared" si="7"/>
        <v>2018</v>
      </c>
      <c r="P52" s="248">
        <f t="shared" si="1"/>
        <v>3.0240000000000002E-6</v>
      </c>
    </row>
    <row r="53" spans="1:16">
      <c r="A53">
        <f t="shared" si="8"/>
        <v>2017</v>
      </c>
      <c r="B53" s="241">
        <f t="shared" si="8"/>
        <v>4</v>
      </c>
      <c r="C53" s="242">
        <f t="shared" si="2"/>
        <v>12250000</v>
      </c>
      <c r="D53" s="243">
        <v>3000000</v>
      </c>
      <c r="E53" s="244">
        <f t="shared" si="11"/>
        <v>0.5</v>
      </c>
      <c r="F53" s="245">
        <f t="shared" si="3"/>
        <v>6125000</v>
      </c>
      <c r="G53" s="246">
        <f t="shared" si="4"/>
        <v>21375000</v>
      </c>
      <c r="H53" s="216"/>
      <c r="I53" s="241">
        <f t="shared" si="9"/>
        <v>4</v>
      </c>
      <c r="J53" s="242">
        <f t="shared" si="10"/>
        <v>30.240000000000002</v>
      </c>
      <c r="K53" s="243">
        <v>0</v>
      </c>
      <c r="L53" s="249">
        <v>0.3</v>
      </c>
      <c r="M53" s="242">
        <f t="shared" si="5"/>
        <v>9.072000000000001</v>
      </c>
      <c r="N53" s="247">
        <f t="shared" si="6"/>
        <v>39.312000000000005</v>
      </c>
      <c r="O53">
        <f t="shared" si="7"/>
        <v>2019</v>
      </c>
      <c r="P53" s="248">
        <f t="shared" si="1"/>
        <v>3.9312000000000006E-6</v>
      </c>
    </row>
    <row r="54" spans="1:16">
      <c r="A54">
        <f t="shared" si="8"/>
        <v>2018</v>
      </c>
      <c r="B54" s="241">
        <f t="shared" si="8"/>
        <v>5</v>
      </c>
      <c r="C54" s="242">
        <f t="shared" si="2"/>
        <v>21375000</v>
      </c>
      <c r="D54" s="243">
        <v>3500000</v>
      </c>
      <c r="E54" s="244">
        <f t="shared" si="11"/>
        <v>0.5</v>
      </c>
      <c r="F54" s="245">
        <f t="shared" si="3"/>
        <v>10687500</v>
      </c>
      <c r="G54" s="246">
        <f t="shared" si="4"/>
        <v>35562500</v>
      </c>
      <c r="H54" s="216"/>
      <c r="I54" s="241">
        <f t="shared" si="9"/>
        <v>5</v>
      </c>
      <c r="J54" s="242">
        <f t="shared" si="10"/>
        <v>39.312000000000005</v>
      </c>
      <c r="K54" s="243">
        <v>0</v>
      </c>
      <c r="L54" s="244">
        <v>0.2</v>
      </c>
      <c r="M54" s="242">
        <f t="shared" si="5"/>
        <v>7.8624000000000009</v>
      </c>
      <c r="N54" s="247">
        <f t="shared" si="6"/>
        <v>47.174400000000006</v>
      </c>
      <c r="O54">
        <f t="shared" si="7"/>
        <v>2020</v>
      </c>
      <c r="P54" s="248">
        <f t="shared" si="1"/>
        <v>4.7174400000000002E-6</v>
      </c>
    </row>
    <row r="55" spans="1:16">
      <c r="A55">
        <f t="shared" si="8"/>
        <v>2019</v>
      </c>
      <c r="B55" s="241">
        <f t="shared" si="8"/>
        <v>6</v>
      </c>
      <c r="C55" s="242">
        <f t="shared" si="2"/>
        <v>35562500</v>
      </c>
      <c r="D55" s="243">
        <v>4000000</v>
      </c>
      <c r="E55" s="244">
        <f t="shared" si="11"/>
        <v>0.5</v>
      </c>
      <c r="F55" s="245">
        <f t="shared" si="3"/>
        <v>17781250</v>
      </c>
      <c r="G55" s="246">
        <f t="shared" si="4"/>
        <v>57343750</v>
      </c>
      <c r="H55" s="216"/>
      <c r="I55" s="241">
        <f t="shared" si="9"/>
        <v>6</v>
      </c>
      <c r="J55" s="242">
        <f t="shared" si="10"/>
        <v>47.174400000000006</v>
      </c>
      <c r="K55" s="243">
        <v>0</v>
      </c>
      <c r="L55" s="244">
        <f t="shared" ref="L55:L67" si="12">L54</f>
        <v>0.2</v>
      </c>
      <c r="M55" s="242">
        <f t="shared" si="5"/>
        <v>9.4348800000000015</v>
      </c>
      <c r="N55" s="247">
        <f t="shared" si="6"/>
        <v>56.609280000000005</v>
      </c>
      <c r="O55">
        <f t="shared" si="7"/>
        <v>2021</v>
      </c>
      <c r="P55" s="248">
        <f t="shared" si="1"/>
        <v>5.6609280000000002E-6</v>
      </c>
    </row>
    <row r="56" spans="1:16">
      <c r="A56">
        <f t="shared" si="8"/>
        <v>2020</v>
      </c>
      <c r="B56" s="241">
        <f t="shared" si="8"/>
        <v>7</v>
      </c>
      <c r="C56" s="242">
        <f t="shared" si="2"/>
        <v>57343750</v>
      </c>
      <c r="D56" s="243">
        <v>5000000</v>
      </c>
      <c r="E56" s="244">
        <f t="shared" si="11"/>
        <v>0.5</v>
      </c>
      <c r="F56" s="245">
        <f t="shared" si="3"/>
        <v>28671875</v>
      </c>
      <c r="G56" s="246">
        <f t="shared" si="4"/>
        <v>91015625</v>
      </c>
      <c r="H56" s="216">
        <f>G56/10000000</f>
        <v>9.1015625</v>
      </c>
      <c r="I56" s="241">
        <f t="shared" si="9"/>
        <v>7</v>
      </c>
      <c r="J56" s="242">
        <f t="shared" si="10"/>
        <v>56.609280000000005</v>
      </c>
      <c r="K56" s="243">
        <v>0</v>
      </c>
      <c r="L56" s="244">
        <f t="shared" si="12"/>
        <v>0.2</v>
      </c>
      <c r="M56" s="242">
        <f t="shared" si="5"/>
        <v>11.321856000000002</v>
      </c>
      <c r="N56" s="247">
        <f t="shared" si="6"/>
        <v>67.931136000000009</v>
      </c>
      <c r="O56">
        <f t="shared" si="7"/>
        <v>2022</v>
      </c>
      <c r="P56" s="248">
        <f t="shared" si="1"/>
        <v>6.7931136000000013E-6</v>
      </c>
    </row>
    <row r="57" spans="1:16">
      <c r="A57">
        <f t="shared" si="8"/>
        <v>2021</v>
      </c>
      <c r="B57" s="241">
        <f t="shared" si="8"/>
        <v>8</v>
      </c>
      <c r="C57" s="242">
        <f t="shared" si="2"/>
        <v>91015625</v>
      </c>
      <c r="D57" s="243">
        <v>0</v>
      </c>
      <c r="E57" s="244">
        <f t="shared" si="11"/>
        <v>0.5</v>
      </c>
      <c r="F57" s="245">
        <f t="shared" si="3"/>
        <v>45507812.5</v>
      </c>
      <c r="G57" s="246">
        <f t="shared" si="4"/>
        <v>136523437.5</v>
      </c>
      <c r="H57" s="216"/>
      <c r="I57" s="241">
        <f t="shared" si="9"/>
        <v>8</v>
      </c>
      <c r="J57" s="242">
        <f t="shared" si="10"/>
        <v>67.931136000000009</v>
      </c>
      <c r="K57" s="243">
        <v>0</v>
      </c>
      <c r="L57" s="244">
        <f t="shared" si="12"/>
        <v>0.2</v>
      </c>
      <c r="M57" s="242">
        <f t="shared" si="5"/>
        <v>13.586227200000003</v>
      </c>
      <c r="N57" s="247">
        <f t="shared" si="6"/>
        <v>81.517363200000005</v>
      </c>
      <c r="O57">
        <f t="shared" si="7"/>
        <v>2023</v>
      </c>
      <c r="P57" s="248">
        <f t="shared" si="1"/>
        <v>8.1517363199999998E-6</v>
      </c>
    </row>
    <row r="58" spans="1:16">
      <c r="A58">
        <f t="shared" si="8"/>
        <v>2022</v>
      </c>
      <c r="B58" s="241">
        <f t="shared" si="8"/>
        <v>9</v>
      </c>
      <c r="C58" s="242">
        <f t="shared" si="2"/>
        <v>136523437.5</v>
      </c>
      <c r="D58" s="243">
        <v>0</v>
      </c>
      <c r="E58" s="244">
        <f t="shared" si="11"/>
        <v>0.5</v>
      </c>
      <c r="F58" s="245">
        <f t="shared" si="3"/>
        <v>68261718.75</v>
      </c>
      <c r="G58" s="246">
        <f t="shared" si="4"/>
        <v>204785156.25</v>
      </c>
      <c r="H58" s="216"/>
      <c r="I58" s="241">
        <f t="shared" si="9"/>
        <v>9</v>
      </c>
      <c r="J58" s="242">
        <f t="shared" si="10"/>
        <v>81.517363200000005</v>
      </c>
      <c r="K58" s="243">
        <v>0</v>
      </c>
      <c r="L58" s="244">
        <f t="shared" si="12"/>
        <v>0.2</v>
      </c>
      <c r="M58" s="242">
        <f t="shared" si="5"/>
        <v>16.303472640000003</v>
      </c>
      <c r="N58" s="247">
        <f t="shared" si="6"/>
        <v>97.820835840000001</v>
      </c>
      <c r="O58">
        <f t="shared" si="7"/>
        <v>2024</v>
      </c>
      <c r="P58" s="248">
        <f t="shared" si="1"/>
        <v>9.7820835840000005E-6</v>
      </c>
    </row>
    <row r="59" spans="1:16">
      <c r="A59">
        <f t="shared" si="8"/>
        <v>2023</v>
      </c>
      <c r="B59" s="241">
        <f t="shared" si="8"/>
        <v>10</v>
      </c>
      <c r="C59" s="242">
        <f t="shared" si="2"/>
        <v>204785156.25</v>
      </c>
      <c r="D59" s="243">
        <v>0</v>
      </c>
      <c r="E59" s="244">
        <f t="shared" si="11"/>
        <v>0.5</v>
      </c>
      <c r="F59" s="245">
        <f t="shared" si="3"/>
        <v>102392578.125</v>
      </c>
      <c r="G59" s="246">
        <f t="shared" si="4"/>
        <v>307177734.375</v>
      </c>
      <c r="H59" s="216"/>
      <c r="I59" s="241">
        <f t="shared" si="9"/>
        <v>10</v>
      </c>
      <c r="J59" s="242">
        <f t="shared" si="10"/>
        <v>97.820835840000001</v>
      </c>
      <c r="K59" s="243">
        <v>0</v>
      </c>
      <c r="L59" s="244">
        <f t="shared" si="12"/>
        <v>0.2</v>
      </c>
      <c r="M59" s="242">
        <f t="shared" si="5"/>
        <v>19.564167168000001</v>
      </c>
      <c r="N59" s="247">
        <f t="shared" si="6"/>
        <v>117.385003008</v>
      </c>
      <c r="O59">
        <f t="shared" si="7"/>
        <v>2025</v>
      </c>
      <c r="P59" s="248">
        <f t="shared" si="1"/>
        <v>1.17385003008E-5</v>
      </c>
    </row>
    <row r="60" spans="1:16">
      <c r="A60">
        <f t="shared" si="8"/>
        <v>2024</v>
      </c>
      <c r="B60" s="241">
        <f t="shared" si="8"/>
        <v>11</v>
      </c>
      <c r="C60" s="242">
        <f t="shared" si="2"/>
        <v>307177734.375</v>
      </c>
      <c r="D60" s="243">
        <v>0</v>
      </c>
      <c r="E60" s="244">
        <f t="shared" si="11"/>
        <v>0.5</v>
      </c>
      <c r="F60" s="245">
        <f t="shared" si="3"/>
        <v>153588867.1875</v>
      </c>
      <c r="G60" s="246">
        <f t="shared" si="4"/>
        <v>460766601.5625</v>
      </c>
      <c r="H60" s="216"/>
      <c r="I60" s="241">
        <f t="shared" si="9"/>
        <v>11</v>
      </c>
      <c r="J60" s="242">
        <f t="shared" si="10"/>
        <v>117.385003008</v>
      </c>
      <c r="K60" s="243">
        <v>0</v>
      </c>
      <c r="L60" s="244">
        <f t="shared" si="12"/>
        <v>0.2</v>
      </c>
      <c r="M60" s="242">
        <f t="shared" si="5"/>
        <v>23.4770006016</v>
      </c>
      <c r="N60" s="247">
        <f t="shared" si="6"/>
        <v>140.86200360960001</v>
      </c>
      <c r="O60">
        <f t="shared" si="7"/>
        <v>2026</v>
      </c>
      <c r="P60" s="248">
        <f t="shared" si="1"/>
        <v>1.4086200360960001E-5</v>
      </c>
    </row>
    <row r="61" spans="1:16">
      <c r="A61">
        <f t="shared" si="8"/>
        <v>2025</v>
      </c>
      <c r="B61" s="241">
        <f t="shared" si="8"/>
        <v>12</v>
      </c>
      <c r="C61" s="242">
        <f t="shared" si="2"/>
        <v>460766601.5625</v>
      </c>
      <c r="D61" s="243">
        <v>0</v>
      </c>
      <c r="E61" s="244">
        <f t="shared" si="11"/>
        <v>0.5</v>
      </c>
      <c r="F61" s="245">
        <f t="shared" si="3"/>
        <v>230383300.78125</v>
      </c>
      <c r="G61" s="246">
        <f t="shared" si="4"/>
        <v>691149902.34375</v>
      </c>
      <c r="H61" s="216"/>
      <c r="I61" s="241">
        <f t="shared" si="9"/>
        <v>12</v>
      </c>
      <c r="J61" s="242">
        <f t="shared" si="10"/>
        <v>140.86200360960001</v>
      </c>
      <c r="K61" s="243">
        <v>0</v>
      </c>
      <c r="L61" s="244">
        <f t="shared" si="12"/>
        <v>0.2</v>
      </c>
      <c r="M61" s="242">
        <f t="shared" si="5"/>
        <v>28.172400721920003</v>
      </c>
      <c r="N61" s="247">
        <f t="shared" si="6"/>
        <v>169.03440433152002</v>
      </c>
      <c r="O61">
        <f t="shared" si="7"/>
        <v>2027</v>
      </c>
      <c r="P61" s="248">
        <f t="shared" si="1"/>
        <v>1.6903440433152003E-5</v>
      </c>
    </row>
    <row r="62" spans="1:16">
      <c r="A62">
        <f t="shared" si="8"/>
        <v>2026</v>
      </c>
      <c r="B62" s="241">
        <f t="shared" si="8"/>
        <v>13</v>
      </c>
      <c r="C62" s="242">
        <f t="shared" si="2"/>
        <v>691149902.34375</v>
      </c>
      <c r="D62" s="243">
        <v>0</v>
      </c>
      <c r="E62" s="244">
        <f t="shared" si="11"/>
        <v>0.5</v>
      </c>
      <c r="F62" s="245">
        <f t="shared" si="3"/>
        <v>345574951.171875</v>
      </c>
      <c r="G62" s="246">
        <f t="shared" si="4"/>
        <v>1036724853.515625</v>
      </c>
      <c r="H62" s="216"/>
      <c r="I62" s="241">
        <f t="shared" si="9"/>
        <v>13</v>
      </c>
      <c r="J62" s="242">
        <f t="shared" si="10"/>
        <v>169.03440433152002</v>
      </c>
      <c r="K62" s="243">
        <v>0</v>
      </c>
      <c r="L62" s="244">
        <f t="shared" si="12"/>
        <v>0.2</v>
      </c>
      <c r="M62" s="242">
        <f t="shared" si="5"/>
        <v>33.806880866304006</v>
      </c>
      <c r="N62" s="247">
        <f t="shared" si="6"/>
        <v>202.84128519782402</v>
      </c>
      <c r="O62">
        <f t="shared" si="7"/>
        <v>2028</v>
      </c>
      <c r="P62" s="248">
        <f t="shared" si="1"/>
        <v>2.0284128519782403E-5</v>
      </c>
    </row>
    <row r="63" spans="1:16">
      <c r="A63">
        <f t="shared" si="8"/>
        <v>2027</v>
      </c>
      <c r="B63" s="241">
        <f t="shared" si="8"/>
        <v>14</v>
      </c>
      <c r="C63" s="242">
        <f t="shared" si="2"/>
        <v>1036724853.515625</v>
      </c>
      <c r="D63" s="243">
        <v>0</v>
      </c>
      <c r="E63" s="244">
        <f t="shared" si="11"/>
        <v>0.5</v>
      </c>
      <c r="F63" s="245">
        <f t="shared" si="3"/>
        <v>518362426.7578125</v>
      </c>
      <c r="G63" s="246">
        <f t="shared" si="4"/>
        <v>1555087280.2734375</v>
      </c>
      <c r="H63" s="216"/>
      <c r="I63" s="241">
        <f t="shared" si="9"/>
        <v>14</v>
      </c>
      <c r="J63" s="242">
        <f t="shared" si="10"/>
        <v>202.84128519782402</v>
      </c>
      <c r="K63" s="243">
        <v>0</v>
      </c>
      <c r="L63" s="244">
        <f t="shared" si="12"/>
        <v>0.2</v>
      </c>
      <c r="M63" s="242">
        <f t="shared" si="5"/>
        <v>40.568257039564806</v>
      </c>
      <c r="N63" s="247">
        <f t="shared" si="6"/>
        <v>243.40954223738882</v>
      </c>
      <c r="O63">
        <f t="shared" si="7"/>
        <v>2029</v>
      </c>
      <c r="P63" s="248">
        <f t="shared" si="1"/>
        <v>2.4340954223738881E-5</v>
      </c>
    </row>
    <row r="64" spans="1:16">
      <c r="A64">
        <f t="shared" si="8"/>
        <v>2028</v>
      </c>
      <c r="B64" s="241">
        <f t="shared" si="8"/>
        <v>15</v>
      </c>
      <c r="C64" s="242">
        <f t="shared" si="2"/>
        <v>1555087280.2734375</v>
      </c>
      <c r="D64" s="243">
        <v>0</v>
      </c>
      <c r="E64" s="244">
        <f t="shared" si="11"/>
        <v>0.5</v>
      </c>
      <c r="F64" s="245">
        <f t="shared" si="3"/>
        <v>777543640.13671875</v>
      </c>
      <c r="G64" s="246">
        <f t="shared" si="4"/>
        <v>2332630920.4101562</v>
      </c>
      <c r="H64" s="216"/>
      <c r="I64" s="241">
        <f t="shared" si="9"/>
        <v>15</v>
      </c>
      <c r="J64" s="242">
        <f t="shared" si="10"/>
        <v>243.40954223738882</v>
      </c>
      <c r="K64" s="243">
        <v>0</v>
      </c>
      <c r="L64" s="244">
        <f t="shared" si="12"/>
        <v>0.2</v>
      </c>
      <c r="M64" s="242">
        <f t="shared" si="5"/>
        <v>48.681908447477767</v>
      </c>
      <c r="N64" s="247">
        <f t="shared" si="6"/>
        <v>292.09145068486657</v>
      </c>
      <c r="O64">
        <f t="shared" si="7"/>
        <v>2030</v>
      </c>
      <c r="P64" s="248">
        <f t="shared" si="1"/>
        <v>2.9209145068486657E-5</v>
      </c>
    </row>
    <row r="65" spans="1:14">
      <c r="A65">
        <f t="shared" si="8"/>
        <v>2029</v>
      </c>
      <c r="B65" s="241">
        <f t="shared" si="8"/>
        <v>16</v>
      </c>
      <c r="C65" s="242">
        <f t="shared" si="2"/>
        <v>2332630920.4101562</v>
      </c>
      <c r="D65" s="243">
        <v>0</v>
      </c>
      <c r="E65" s="244">
        <f t="shared" si="11"/>
        <v>0.5</v>
      </c>
      <c r="F65" s="245">
        <f t="shared" si="3"/>
        <v>1166315460.2050781</v>
      </c>
      <c r="G65" s="246">
        <f t="shared" si="4"/>
        <v>3498946380.6152344</v>
      </c>
      <c r="H65" s="216"/>
      <c r="I65" s="241">
        <f t="shared" si="9"/>
        <v>16</v>
      </c>
      <c r="J65" s="242">
        <f t="shared" si="10"/>
        <v>292.09145068486657</v>
      </c>
      <c r="K65" s="243">
        <v>0</v>
      </c>
      <c r="L65" s="244">
        <f t="shared" si="12"/>
        <v>0.2</v>
      </c>
      <c r="M65" s="242">
        <f t="shared" si="5"/>
        <v>58.418290136973319</v>
      </c>
      <c r="N65" s="247">
        <f t="shared" si="6"/>
        <v>350.5097408218399</v>
      </c>
    </row>
    <row r="66" spans="1:14">
      <c r="A66" s="250">
        <f t="shared" si="8"/>
        <v>2030</v>
      </c>
      <c r="B66" s="241">
        <f t="shared" si="8"/>
        <v>17</v>
      </c>
      <c r="C66" s="242">
        <f t="shared" si="2"/>
        <v>3498946380.6152344</v>
      </c>
      <c r="D66" s="243">
        <v>0</v>
      </c>
      <c r="E66" s="244">
        <f t="shared" si="11"/>
        <v>0.5</v>
      </c>
      <c r="F66" s="245">
        <f t="shared" si="3"/>
        <v>1749473190.3076172</v>
      </c>
      <c r="G66" s="251">
        <f t="shared" si="4"/>
        <v>5248419570.9228516</v>
      </c>
      <c r="H66" s="216">
        <f>G66/10000000</f>
        <v>524.84195709228516</v>
      </c>
      <c r="I66" s="241">
        <f t="shared" si="9"/>
        <v>17</v>
      </c>
      <c r="J66" s="242">
        <f t="shared" si="10"/>
        <v>350.5097408218399</v>
      </c>
      <c r="K66" s="243">
        <v>0</v>
      </c>
      <c r="L66" s="244">
        <f t="shared" si="12"/>
        <v>0.2</v>
      </c>
      <c r="M66" s="242">
        <f t="shared" si="5"/>
        <v>70.101948164367982</v>
      </c>
      <c r="N66" s="247">
        <f t="shared" si="6"/>
        <v>420.61168898620787</v>
      </c>
    </row>
    <row r="67" spans="1:14">
      <c r="A67">
        <f t="shared" ref="A67:B79" si="13">A66+1</f>
        <v>2031</v>
      </c>
      <c r="B67" s="241">
        <f t="shared" si="13"/>
        <v>18</v>
      </c>
      <c r="C67" s="242">
        <f t="shared" si="2"/>
        <v>5248419570.9228516</v>
      </c>
      <c r="D67" s="243">
        <v>0</v>
      </c>
      <c r="E67" s="244">
        <v>0</v>
      </c>
      <c r="F67" s="245">
        <f t="shared" si="3"/>
        <v>0</v>
      </c>
      <c r="G67" s="246">
        <f t="shared" si="4"/>
        <v>5248419570.9228516</v>
      </c>
      <c r="H67" s="252"/>
      <c r="I67" s="241">
        <f t="shared" si="9"/>
        <v>18</v>
      </c>
      <c r="J67" s="242">
        <f t="shared" si="10"/>
        <v>420.61168898620787</v>
      </c>
      <c r="K67" s="243">
        <v>0</v>
      </c>
      <c r="L67" s="244">
        <f t="shared" si="12"/>
        <v>0.2</v>
      </c>
      <c r="M67" s="242">
        <f t="shared" si="5"/>
        <v>84.122337797241585</v>
      </c>
      <c r="N67" s="247">
        <f t="shared" si="6"/>
        <v>504.73402678344945</v>
      </c>
    </row>
    <row r="68" spans="1:14">
      <c r="B68" s="241">
        <f t="shared" si="13"/>
        <v>19</v>
      </c>
      <c r="C68" s="242">
        <f t="shared" si="2"/>
        <v>5248419570.9228516</v>
      </c>
      <c r="D68" s="243">
        <v>0</v>
      </c>
      <c r="E68" s="244">
        <v>0</v>
      </c>
      <c r="F68" s="245">
        <f t="shared" si="3"/>
        <v>0</v>
      </c>
      <c r="G68" s="246">
        <f t="shared" si="4"/>
        <v>5248419570.9228516</v>
      </c>
      <c r="H68" s="253" t="e">
        <f>H49/C49</f>
        <v>#DIV/0!</v>
      </c>
      <c r="I68" s="241">
        <f t="shared" si="9"/>
        <v>19</v>
      </c>
      <c r="J68" s="242">
        <f t="shared" si="10"/>
        <v>504.73402678344945</v>
      </c>
      <c r="K68" s="243"/>
      <c r="L68" s="244"/>
      <c r="M68" s="242">
        <f t="shared" si="5"/>
        <v>0</v>
      </c>
      <c r="N68" s="247">
        <f t="shared" si="6"/>
        <v>504.73402678344945</v>
      </c>
    </row>
    <row r="69" spans="1:14">
      <c r="B69" s="241">
        <f t="shared" si="13"/>
        <v>20</v>
      </c>
      <c r="C69" s="242">
        <f t="shared" si="2"/>
        <v>5248419570.9228516</v>
      </c>
      <c r="D69" s="243">
        <v>0</v>
      </c>
      <c r="E69" s="244">
        <f t="shared" si="11"/>
        <v>0</v>
      </c>
      <c r="F69" s="245">
        <f t="shared" si="3"/>
        <v>0</v>
      </c>
      <c r="G69" s="246">
        <f t="shared" si="4"/>
        <v>5248419570.9228516</v>
      </c>
      <c r="H69" s="253">
        <f t="shared" ref="H69:H88" si="14">H50/C50</f>
        <v>0</v>
      </c>
      <c r="I69" s="241">
        <f t="shared" si="9"/>
        <v>20</v>
      </c>
      <c r="J69" s="242">
        <f t="shared" si="10"/>
        <v>504.73402678344945</v>
      </c>
      <c r="K69" s="243"/>
      <c r="L69" s="244"/>
      <c r="M69" s="242">
        <f t="shared" si="5"/>
        <v>0</v>
      </c>
      <c r="N69" s="247">
        <f t="shared" si="6"/>
        <v>504.73402678344945</v>
      </c>
    </row>
    <row r="70" spans="1:14">
      <c r="B70" s="241">
        <f t="shared" si="13"/>
        <v>21</v>
      </c>
      <c r="C70" s="242">
        <f t="shared" si="2"/>
        <v>5248419570.9228516</v>
      </c>
      <c r="D70" s="243"/>
      <c r="E70" s="244">
        <f t="shared" si="11"/>
        <v>0</v>
      </c>
      <c r="F70" s="245">
        <f t="shared" si="3"/>
        <v>0</v>
      </c>
      <c r="G70" s="246">
        <f t="shared" si="4"/>
        <v>5248419570.9228516</v>
      </c>
      <c r="H70" s="253">
        <f t="shared" si="14"/>
        <v>0</v>
      </c>
      <c r="I70" s="241">
        <f t="shared" si="9"/>
        <v>21</v>
      </c>
      <c r="J70" s="242">
        <f t="shared" si="10"/>
        <v>504.73402678344945</v>
      </c>
      <c r="K70" s="243"/>
      <c r="L70" s="244"/>
      <c r="M70" s="242">
        <f t="shared" si="5"/>
        <v>0</v>
      </c>
      <c r="N70" s="247">
        <f t="shared" si="6"/>
        <v>504.73402678344945</v>
      </c>
    </row>
    <row r="71" spans="1:14">
      <c r="B71" s="241">
        <f t="shared" si="13"/>
        <v>22</v>
      </c>
      <c r="C71" s="242">
        <f t="shared" si="2"/>
        <v>5248419570.9228516</v>
      </c>
      <c r="D71" s="243"/>
      <c r="E71" s="244"/>
      <c r="F71" s="245">
        <f t="shared" si="3"/>
        <v>0</v>
      </c>
      <c r="G71" s="246">
        <f t="shared" si="4"/>
        <v>5248419570.9228516</v>
      </c>
      <c r="H71" s="253">
        <f t="shared" si="14"/>
        <v>0</v>
      </c>
      <c r="I71" s="241">
        <f t="shared" si="9"/>
        <v>22</v>
      </c>
      <c r="J71" s="242">
        <f t="shared" si="10"/>
        <v>504.73402678344945</v>
      </c>
      <c r="K71" s="243"/>
      <c r="L71" s="244"/>
      <c r="M71" s="242">
        <f t="shared" si="5"/>
        <v>0</v>
      </c>
      <c r="N71" s="247">
        <f t="shared" si="6"/>
        <v>504.73402678344945</v>
      </c>
    </row>
    <row r="72" spans="1:14">
      <c r="B72" s="241">
        <f t="shared" si="13"/>
        <v>23</v>
      </c>
      <c r="C72" s="242">
        <f t="shared" si="2"/>
        <v>5248419570.9228516</v>
      </c>
      <c r="D72" s="243"/>
      <c r="E72" s="244"/>
      <c r="F72" s="245">
        <f t="shared" si="3"/>
        <v>0</v>
      </c>
      <c r="G72" s="246">
        <f t="shared" si="4"/>
        <v>5248419570.9228516</v>
      </c>
      <c r="H72" s="253">
        <f t="shared" si="14"/>
        <v>0</v>
      </c>
      <c r="I72" s="241">
        <f t="shared" si="9"/>
        <v>23</v>
      </c>
      <c r="J72" s="242">
        <f t="shared" si="10"/>
        <v>504.73402678344945</v>
      </c>
      <c r="K72" s="243"/>
      <c r="L72" s="244"/>
      <c r="M72" s="242">
        <f t="shared" si="5"/>
        <v>0</v>
      </c>
      <c r="N72" s="247">
        <f t="shared" si="6"/>
        <v>504.73402678344945</v>
      </c>
    </row>
    <row r="73" spans="1:14">
      <c r="B73" s="241">
        <f t="shared" si="13"/>
        <v>24</v>
      </c>
      <c r="C73" s="242">
        <f t="shared" si="2"/>
        <v>5248419570.9228516</v>
      </c>
      <c r="D73" s="243"/>
      <c r="E73" s="244"/>
      <c r="F73" s="245">
        <f t="shared" si="3"/>
        <v>0</v>
      </c>
      <c r="G73" s="246">
        <f t="shared" si="4"/>
        <v>5248419570.9228516</v>
      </c>
      <c r="H73" s="253">
        <f t="shared" si="14"/>
        <v>0</v>
      </c>
      <c r="I73" s="241">
        <f t="shared" si="9"/>
        <v>24</v>
      </c>
      <c r="J73" s="242">
        <f t="shared" si="10"/>
        <v>504.73402678344945</v>
      </c>
      <c r="K73" s="243"/>
      <c r="L73" s="244"/>
      <c r="M73" s="242">
        <f t="shared" si="5"/>
        <v>0</v>
      </c>
      <c r="N73" s="247">
        <f t="shared" si="6"/>
        <v>504.73402678344945</v>
      </c>
    </row>
    <row r="74" spans="1:14">
      <c r="B74" s="241">
        <f t="shared" si="13"/>
        <v>25</v>
      </c>
      <c r="C74" s="242">
        <f t="shared" si="2"/>
        <v>5248419570.9228516</v>
      </c>
      <c r="D74" s="243"/>
      <c r="E74" s="244"/>
      <c r="F74" s="245">
        <f t="shared" si="3"/>
        <v>0</v>
      </c>
      <c r="G74" s="246">
        <f t="shared" si="4"/>
        <v>5248419570.9228516</v>
      </c>
      <c r="H74" s="253">
        <f t="shared" si="14"/>
        <v>0</v>
      </c>
      <c r="I74" s="241">
        <f t="shared" si="9"/>
        <v>25</v>
      </c>
      <c r="J74" s="242">
        <f t="shared" si="10"/>
        <v>504.73402678344945</v>
      </c>
      <c r="K74" s="243"/>
      <c r="L74" s="244"/>
      <c r="M74" s="242">
        <f t="shared" si="5"/>
        <v>0</v>
      </c>
      <c r="N74" s="247">
        <f t="shared" si="6"/>
        <v>504.73402678344945</v>
      </c>
    </row>
    <row r="75" spans="1:14">
      <c r="B75" s="241">
        <f t="shared" si="13"/>
        <v>26</v>
      </c>
      <c r="C75" s="242">
        <f t="shared" si="2"/>
        <v>5248419570.9228516</v>
      </c>
      <c r="D75" s="243"/>
      <c r="E75" s="244"/>
      <c r="F75" s="245">
        <f t="shared" si="3"/>
        <v>0</v>
      </c>
      <c r="G75" s="246">
        <f t="shared" si="4"/>
        <v>5248419570.9228516</v>
      </c>
      <c r="H75" s="253">
        <f t="shared" si="14"/>
        <v>1.5871934604904632E-7</v>
      </c>
      <c r="I75" s="241">
        <f t="shared" si="9"/>
        <v>26</v>
      </c>
      <c r="J75" s="242">
        <f t="shared" si="10"/>
        <v>504.73402678344945</v>
      </c>
      <c r="K75" s="243"/>
      <c r="L75" s="244"/>
      <c r="M75" s="242">
        <f t="shared" si="5"/>
        <v>0</v>
      </c>
      <c r="N75" s="247">
        <f t="shared" si="6"/>
        <v>504.73402678344945</v>
      </c>
    </row>
    <row r="76" spans="1:14">
      <c r="B76" s="241">
        <f t="shared" si="13"/>
        <v>27</v>
      </c>
      <c r="C76" s="242">
        <f t="shared" si="2"/>
        <v>5248419570.9228516</v>
      </c>
      <c r="D76" s="243"/>
      <c r="E76" s="244"/>
      <c r="F76" s="245">
        <f t="shared" si="3"/>
        <v>0</v>
      </c>
      <c r="G76" s="246">
        <f t="shared" si="4"/>
        <v>5248419570.9228516</v>
      </c>
      <c r="H76" s="253">
        <f t="shared" si="14"/>
        <v>0</v>
      </c>
      <c r="I76" s="241">
        <f t="shared" si="9"/>
        <v>27</v>
      </c>
      <c r="J76" s="242">
        <f t="shared" si="10"/>
        <v>504.73402678344945</v>
      </c>
      <c r="K76" s="243"/>
      <c r="L76" s="244"/>
      <c r="M76" s="242">
        <f t="shared" si="5"/>
        <v>0</v>
      </c>
      <c r="N76" s="247">
        <f t="shared" si="6"/>
        <v>504.73402678344945</v>
      </c>
    </row>
    <row r="77" spans="1:14">
      <c r="B77" s="241">
        <f t="shared" si="13"/>
        <v>28</v>
      </c>
      <c r="C77" s="242">
        <f t="shared" si="2"/>
        <v>5248419570.9228516</v>
      </c>
      <c r="D77" s="243"/>
      <c r="E77" s="244"/>
      <c r="F77" s="245">
        <f t="shared" si="3"/>
        <v>0</v>
      </c>
      <c r="G77" s="246">
        <f t="shared" si="4"/>
        <v>5248419570.9228516</v>
      </c>
      <c r="H77" s="253">
        <f t="shared" si="14"/>
        <v>0</v>
      </c>
      <c r="I77" s="241">
        <f t="shared" si="9"/>
        <v>28</v>
      </c>
      <c r="J77" s="242">
        <f t="shared" si="10"/>
        <v>504.73402678344945</v>
      </c>
      <c r="K77" s="243"/>
      <c r="L77" s="244"/>
      <c r="M77" s="242">
        <f t="shared" si="5"/>
        <v>0</v>
      </c>
      <c r="N77" s="247">
        <f t="shared" si="6"/>
        <v>504.73402678344945</v>
      </c>
    </row>
    <row r="78" spans="1:14">
      <c r="B78" s="241">
        <f t="shared" si="13"/>
        <v>29</v>
      </c>
      <c r="C78" s="242">
        <f t="shared" si="2"/>
        <v>5248419570.9228516</v>
      </c>
      <c r="D78" s="243"/>
      <c r="E78" s="244"/>
      <c r="F78" s="245">
        <f t="shared" si="3"/>
        <v>0</v>
      </c>
      <c r="G78" s="246">
        <f t="shared" si="4"/>
        <v>5248419570.9228516</v>
      </c>
      <c r="H78" s="253">
        <f t="shared" si="14"/>
        <v>0</v>
      </c>
      <c r="I78" s="241">
        <f t="shared" si="9"/>
        <v>29</v>
      </c>
      <c r="J78" s="242">
        <f t="shared" si="10"/>
        <v>504.73402678344945</v>
      </c>
      <c r="K78" s="243"/>
      <c r="L78" s="244"/>
      <c r="M78" s="242">
        <f t="shared" si="5"/>
        <v>0</v>
      </c>
      <c r="N78" s="247">
        <f t="shared" si="6"/>
        <v>504.73402678344945</v>
      </c>
    </row>
    <row r="79" spans="1:14">
      <c r="B79" s="241">
        <f t="shared" si="13"/>
        <v>30</v>
      </c>
      <c r="C79" s="242">
        <f t="shared" si="2"/>
        <v>5248419570.9228516</v>
      </c>
      <c r="D79" s="243"/>
      <c r="E79" s="244"/>
      <c r="F79" s="245">
        <f t="shared" si="3"/>
        <v>0</v>
      </c>
      <c r="G79" s="246">
        <f t="shared" si="4"/>
        <v>5248419570.9228516</v>
      </c>
      <c r="H79" s="253">
        <f t="shared" si="14"/>
        <v>0</v>
      </c>
      <c r="I79" s="241">
        <f t="shared" si="9"/>
        <v>30</v>
      </c>
      <c r="J79" s="242">
        <f t="shared" si="10"/>
        <v>504.73402678344945</v>
      </c>
      <c r="K79" s="243"/>
      <c r="L79" s="244"/>
      <c r="M79" s="242">
        <f t="shared" si="5"/>
        <v>0</v>
      </c>
      <c r="N79" s="247">
        <f t="shared" si="6"/>
        <v>504.73402678344945</v>
      </c>
    </row>
    <row r="80" spans="1:14" ht="15.75" thickBot="1">
      <c r="B80" s="241"/>
      <c r="C80" s="254"/>
      <c r="D80" s="243"/>
      <c r="E80" s="244"/>
      <c r="F80" s="254"/>
      <c r="G80" s="246">
        <f t="shared" si="4"/>
        <v>0</v>
      </c>
      <c r="H80" s="253">
        <f t="shared" si="14"/>
        <v>0</v>
      </c>
      <c r="I80" s="241"/>
      <c r="J80" s="242">
        <f t="shared" si="10"/>
        <v>504.73402678344945</v>
      </c>
      <c r="K80" s="243"/>
      <c r="L80" s="244"/>
      <c r="M80" s="242">
        <f t="shared" si="5"/>
        <v>0</v>
      </c>
      <c r="N80" s="247">
        <f t="shared" si="6"/>
        <v>504.73402678344945</v>
      </c>
    </row>
    <row r="81" spans="2:14" ht="15.75" thickBot="1">
      <c r="B81" s="301" t="s">
        <v>497</v>
      </c>
      <c r="C81" s="302"/>
      <c r="D81" s="255">
        <f>SUM(D48:D80)</f>
        <v>22500000</v>
      </c>
      <c r="E81" s="256"/>
      <c r="F81" s="256"/>
      <c r="G81" s="257">
        <f>G78</f>
        <v>5248419570.9228516</v>
      </c>
      <c r="H81" s="253">
        <f t="shared" si="14"/>
        <v>0</v>
      </c>
      <c r="I81" s="301" t="s">
        <v>497</v>
      </c>
      <c r="J81" s="302"/>
      <c r="K81" s="258">
        <f>SUM(K48:K80)</f>
        <v>0</v>
      </c>
      <c r="L81" s="256"/>
      <c r="M81" s="255"/>
      <c r="N81" s="259">
        <f>N78</f>
        <v>504.73402678344945</v>
      </c>
    </row>
    <row r="82" spans="2:14" ht="15.75" thickBot="1">
      <c r="B82" s="260"/>
      <c r="C82" s="261" t="s">
        <v>498</v>
      </c>
      <c r="D82" s="262">
        <f>D81/10000000</f>
        <v>2.25</v>
      </c>
      <c r="E82" s="261"/>
      <c r="F82" s="261"/>
      <c r="G82" s="263">
        <f>G81/10000000</f>
        <v>524.84195709228516</v>
      </c>
      <c r="H82" s="253">
        <f t="shared" si="14"/>
        <v>0</v>
      </c>
      <c r="I82" s="260"/>
      <c r="J82" s="261" t="s">
        <v>498</v>
      </c>
      <c r="K82" s="262">
        <f>K81/10000000</f>
        <v>0</v>
      </c>
      <c r="L82" s="261"/>
      <c r="M82" s="261"/>
      <c r="N82" s="263">
        <f>N81/10000000</f>
        <v>5.0473402678344942E-5</v>
      </c>
    </row>
    <row r="83" spans="2:14">
      <c r="G83" s="264"/>
      <c r="H83" s="253">
        <f t="shared" si="14"/>
        <v>0</v>
      </c>
    </row>
    <row r="84" spans="2:14" ht="15.75" thickBot="1">
      <c r="C84" s="297" t="s">
        <v>499</v>
      </c>
      <c r="D84" s="297"/>
      <c r="E84" s="297"/>
      <c r="F84" s="297"/>
      <c r="H84" s="253">
        <f t="shared" si="14"/>
        <v>0</v>
      </c>
      <c r="J84" s="297" t="s">
        <v>499</v>
      </c>
      <c r="K84" s="297"/>
      <c r="L84" s="297"/>
      <c r="M84" s="297"/>
    </row>
    <row r="85" spans="2:14" ht="15.75" thickBot="1">
      <c r="H85" s="253">
        <f t="shared" si="14"/>
        <v>1.4999999999999999E-7</v>
      </c>
    </row>
    <row r="86" spans="2:14" ht="15.75" thickBot="1">
      <c r="B86" s="232"/>
      <c r="C86" s="295" t="s">
        <v>485</v>
      </c>
      <c r="D86" s="296"/>
      <c r="E86" s="233" t="s">
        <v>486</v>
      </c>
      <c r="F86" s="233"/>
      <c r="G86" s="234"/>
      <c r="H86" s="253">
        <f t="shared" si="14"/>
        <v>0</v>
      </c>
      <c r="I86" s="232"/>
      <c r="J86" s="295" t="s">
        <v>500</v>
      </c>
      <c r="K86" s="296"/>
      <c r="L86" s="233" t="s">
        <v>501</v>
      </c>
      <c r="M86" s="233"/>
      <c r="N86" s="234"/>
    </row>
    <row r="87" spans="2:14" ht="15.75" thickBot="1">
      <c r="B87" s="200"/>
      <c r="C87" s="197"/>
      <c r="D87" s="197"/>
      <c r="E87" s="197"/>
      <c r="F87" s="197"/>
      <c r="G87" s="198"/>
      <c r="H87" s="253" t="e">
        <f t="shared" si="14"/>
        <v>#DIV/0!</v>
      </c>
      <c r="I87" s="200"/>
      <c r="J87" s="197"/>
      <c r="K87" s="197"/>
      <c r="L87" s="197"/>
      <c r="M87" s="197"/>
      <c r="N87" s="198"/>
    </row>
    <row r="88" spans="2:14" ht="15.75" thickBot="1">
      <c r="B88" s="298" t="s">
        <v>502</v>
      </c>
      <c r="C88" s="299"/>
      <c r="D88" s="299"/>
      <c r="E88" s="299"/>
      <c r="F88" s="299"/>
      <c r="G88" s="300"/>
      <c r="H88" s="253">
        <f t="shared" si="14"/>
        <v>0</v>
      </c>
      <c r="I88" s="298" t="s">
        <v>502</v>
      </c>
      <c r="J88" s="299"/>
      <c r="K88" s="299"/>
      <c r="L88" s="299"/>
      <c r="M88" s="299"/>
      <c r="N88" s="300"/>
    </row>
    <row r="89" spans="2:14">
      <c r="B89" s="265"/>
      <c r="C89" s="266"/>
      <c r="D89" s="266"/>
      <c r="E89" s="266"/>
      <c r="F89" s="266"/>
      <c r="G89" s="267">
        <f>G124</f>
        <v>1413.1902480939689</v>
      </c>
      <c r="I89" s="265"/>
      <c r="J89" s="266"/>
      <c r="K89" s="266"/>
      <c r="L89" s="266"/>
      <c r="M89" s="266"/>
      <c r="N89" s="267">
        <f>N124</f>
        <v>285.94104308390024</v>
      </c>
    </row>
    <row r="90" spans="2:14" ht="30">
      <c r="B90" s="236" t="s">
        <v>14</v>
      </c>
      <c r="C90" s="237" t="s">
        <v>490</v>
      </c>
      <c r="D90" s="237" t="s">
        <v>503</v>
      </c>
      <c r="E90" s="237" t="s">
        <v>492</v>
      </c>
      <c r="F90" s="237" t="s">
        <v>504</v>
      </c>
      <c r="G90" s="238" t="s">
        <v>505</v>
      </c>
      <c r="I90" s="236" t="s">
        <v>14</v>
      </c>
      <c r="J90" s="237" t="s">
        <v>506</v>
      </c>
      <c r="K90" s="237" t="s">
        <v>507</v>
      </c>
      <c r="L90" s="237" t="s">
        <v>492</v>
      </c>
      <c r="M90" s="237" t="s">
        <v>504</v>
      </c>
      <c r="N90" s="238" t="s">
        <v>505</v>
      </c>
    </row>
    <row r="91" spans="2:14">
      <c r="B91" s="241">
        <v>0</v>
      </c>
      <c r="C91" s="254">
        <v>0</v>
      </c>
      <c r="D91" s="254">
        <v>100</v>
      </c>
      <c r="E91" s="268">
        <v>0.06</v>
      </c>
      <c r="F91" s="254">
        <f>((1/(1+E91) ) ^ (B91 + 1) ) * D91</f>
        <v>94.339622641509422</v>
      </c>
      <c r="G91" s="269">
        <f>F91+C91</f>
        <v>94.339622641509422</v>
      </c>
      <c r="I91" s="241">
        <v>0</v>
      </c>
      <c r="J91" s="254">
        <v>0</v>
      </c>
      <c r="K91" s="254">
        <v>100</v>
      </c>
      <c r="L91" s="268">
        <v>0</v>
      </c>
      <c r="M91" s="254">
        <f t="shared" ref="M91:M92" si="15">((1/(1+L91) ) ^ (I91) ) * K91</f>
        <v>100</v>
      </c>
      <c r="N91" s="269">
        <f>M91+J91</f>
        <v>100</v>
      </c>
    </row>
    <row r="92" spans="2:14">
      <c r="B92" s="241">
        <f>B91+1</f>
        <v>1</v>
      </c>
      <c r="C92" s="254">
        <f>G91</f>
        <v>94.339622641509422</v>
      </c>
      <c r="D92" s="254">
        <v>200</v>
      </c>
      <c r="E92" s="268">
        <v>0.06</v>
      </c>
      <c r="F92" s="254">
        <f>((1/(1+E92) ) ^ (B92 + 1) ) * D92</f>
        <v>177.99928800284795</v>
      </c>
      <c r="G92" s="269">
        <f>F92+C92</f>
        <v>272.33891064435738</v>
      </c>
      <c r="I92" s="241">
        <f>I91+1</f>
        <v>1</v>
      </c>
      <c r="J92" s="254">
        <f>N91</f>
        <v>100</v>
      </c>
      <c r="K92" s="254">
        <v>100</v>
      </c>
      <c r="L92" s="268">
        <v>0.05</v>
      </c>
      <c r="M92" s="254">
        <f t="shared" si="15"/>
        <v>95.238095238095227</v>
      </c>
      <c r="N92" s="269">
        <f>M92+J92</f>
        <v>195.23809523809524</v>
      </c>
    </row>
    <row r="93" spans="2:14">
      <c r="B93" s="241">
        <f t="shared" ref="B93:B121" si="16">B92+1</f>
        <v>2</v>
      </c>
      <c r="C93" s="254">
        <f t="shared" ref="C93:C121" si="17">G92</f>
        <v>272.33891064435738</v>
      </c>
      <c r="D93" s="254">
        <v>200</v>
      </c>
      <c r="E93" s="268">
        <v>0.06</v>
      </c>
      <c r="F93" s="254">
        <f t="shared" ref="F93:F121" si="18">((1/(1+E93) ) ^ (B93 + 1) ) * D93</f>
        <v>167.9238566064603</v>
      </c>
      <c r="G93" s="269">
        <f t="shared" ref="G93:G121" si="19">F93+C93</f>
        <v>440.26276725081766</v>
      </c>
      <c r="I93" s="241">
        <f t="shared" ref="I93:I121" si="20">I92+1</f>
        <v>2</v>
      </c>
      <c r="J93" s="254">
        <f t="shared" ref="J93:J121" si="21">N92</f>
        <v>195.23809523809524</v>
      </c>
      <c r="K93" s="254">
        <v>100</v>
      </c>
      <c r="L93" s="268">
        <v>0.05</v>
      </c>
      <c r="M93" s="254">
        <f>((1/(1+L93) ) ^ (I93) ) * K93</f>
        <v>90.702947845804985</v>
      </c>
      <c r="N93" s="269">
        <f t="shared" ref="N93:N121" si="22">M93+J93</f>
        <v>285.94104308390024</v>
      </c>
    </row>
    <row r="94" spans="2:14">
      <c r="B94" s="241">
        <f t="shared" si="16"/>
        <v>3</v>
      </c>
      <c r="C94" s="254">
        <f t="shared" si="17"/>
        <v>440.26276725081766</v>
      </c>
      <c r="D94" s="254">
        <v>200</v>
      </c>
      <c r="E94" s="268">
        <v>0.06</v>
      </c>
      <c r="F94" s="254">
        <f t="shared" si="18"/>
        <v>158.41873264760403</v>
      </c>
      <c r="G94" s="269">
        <f t="shared" si="19"/>
        <v>598.68149989842163</v>
      </c>
      <c r="I94" s="241">
        <f t="shared" si="20"/>
        <v>3</v>
      </c>
      <c r="J94" s="254">
        <f t="shared" si="21"/>
        <v>285.94104308390024</v>
      </c>
      <c r="K94" s="254"/>
      <c r="L94" s="268">
        <v>0.05</v>
      </c>
      <c r="M94" s="254">
        <f t="shared" ref="M94:M121" si="23">((1/(1+L94) ) ^ (I94) ) * K94</f>
        <v>0</v>
      </c>
      <c r="N94" s="269">
        <f t="shared" si="22"/>
        <v>285.94104308390024</v>
      </c>
    </row>
    <row r="95" spans="2:14">
      <c r="B95" s="241">
        <f t="shared" si="16"/>
        <v>4</v>
      </c>
      <c r="C95" s="254">
        <f t="shared" si="17"/>
        <v>598.68149989842163</v>
      </c>
      <c r="D95" s="254">
        <v>200</v>
      </c>
      <c r="E95" s="268">
        <v>0.06</v>
      </c>
      <c r="F95" s="254">
        <f t="shared" si="18"/>
        <v>149.45163457321135</v>
      </c>
      <c r="G95" s="269">
        <f t="shared" si="19"/>
        <v>748.13313447163296</v>
      </c>
      <c r="I95" s="241">
        <f t="shared" si="20"/>
        <v>4</v>
      </c>
      <c r="J95" s="254">
        <f t="shared" si="21"/>
        <v>285.94104308390024</v>
      </c>
      <c r="K95" s="254"/>
      <c r="L95" s="268">
        <v>0.05</v>
      </c>
      <c r="M95" s="254">
        <f t="shared" si="23"/>
        <v>0</v>
      </c>
      <c r="N95" s="269">
        <f t="shared" si="22"/>
        <v>285.94104308390024</v>
      </c>
    </row>
    <row r="96" spans="2:14">
      <c r="B96" s="241">
        <f t="shared" si="16"/>
        <v>5</v>
      </c>
      <c r="C96" s="254">
        <f t="shared" si="17"/>
        <v>748.13313447163296</v>
      </c>
      <c r="D96" s="254">
        <v>0</v>
      </c>
      <c r="E96" s="268">
        <v>0.06</v>
      </c>
      <c r="F96" s="254">
        <f t="shared" si="18"/>
        <v>0</v>
      </c>
      <c r="G96" s="269">
        <f t="shared" si="19"/>
        <v>748.13313447163296</v>
      </c>
      <c r="I96" s="241">
        <f t="shared" si="20"/>
        <v>5</v>
      </c>
      <c r="J96" s="254">
        <f t="shared" si="21"/>
        <v>285.94104308390024</v>
      </c>
      <c r="K96" s="254"/>
      <c r="L96" s="268">
        <v>0.05</v>
      </c>
      <c r="M96" s="254">
        <f t="shared" si="23"/>
        <v>0</v>
      </c>
      <c r="N96" s="269">
        <f t="shared" si="22"/>
        <v>285.94104308390024</v>
      </c>
    </row>
    <row r="97" spans="2:14">
      <c r="B97" s="241">
        <f t="shared" si="16"/>
        <v>6</v>
      </c>
      <c r="C97" s="254">
        <f t="shared" si="17"/>
        <v>748.13313447163296</v>
      </c>
      <c r="D97" s="254">
        <v>1000</v>
      </c>
      <c r="E97" s="268">
        <v>0.06</v>
      </c>
      <c r="F97" s="254">
        <f t="shared" si="18"/>
        <v>665.05711362233581</v>
      </c>
      <c r="G97" s="269">
        <f t="shared" si="19"/>
        <v>1413.1902480939689</v>
      </c>
      <c r="I97" s="241">
        <f t="shared" si="20"/>
        <v>6</v>
      </c>
      <c r="J97" s="254">
        <f t="shared" si="21"/>
        <v>285.94104308390024</v>
      </c>
      <c r="K97" s="254"/>
      <c r="L97" s="268">
        <v>0.05</v>
      </c>
      <c r="M97" s="254">
        <f t="shared" si="23"/>
        <v>0</v>
      </c>
      <c r="N97" s="269">
        <f t="shared" si="22"/>
        <v>285.94104308390024</v>
      </c>
    </row>
    <row r="98" spans="2:14">
      <c r="B98" s="241">
        <f t="shared" si="16"/>
        <v>7</v>
      </c>
      <c r="C98" s="254">
        <f t="shared" si="17"/>
        <v>1413.1902480939689</v>
      </c>
      <c r="D98" s="254"/>
      <c r="E98" s="268">
        <v>0.05</v>
      </c>
      <c r="F98" s="254">
        <f t="shared" si="18"/>
        <v>0</v>
      </c>
      <c r="G98" s="269">
        <f t="shared" si="19"/>
        <v>1413.1902480939689</v>
      </c>
      <c r="I98" s="241">
        <f t="shared" si="20"/>
        <v>7</v>
      </c>
      <c r="J98" s="254">
        <f t="shared" si="21"/>
        <v>285.94104308390024</v>
      </c>
      <c r="K98" s="254"/>
      <c r="L98" s="268">
        <v>0.05</v>
      </c>
      <c r="M98" s="254">
        <f t="shared" si="23"/>
        <v>0</v>
      </c>
      <c r="N98" s="269">
        <f t="shared" si="22"/>
        <v>285.94104308390024</v>
      </c>
    </row>
    <row r="99" spans="2:14">
      <c r="B99" s="241">
        <f t="shared" si="16"/>
        <v>8</v>
      </c>
      <c r="C99" s="254">
        <f t="shared" si="17"/>
        <v>1413.1902480939689</v>
      </c>
      <c r="D99" s="254"/>
      <c r="E99" s="268">
        <v>0.05</v>
      </c>
      <c r="F99" s="254">
        <f t="shared" si="18"/>
        <v>0</v>
      </c>
      <c r="G99" s="269">
        <f t="shared" si="19"/>
        <v>1413.1902480939689</v>
      </c>
      <c r="I99" s="241">
        <f t="shared" si="20"/>
        <v>8</v>
      </c>
      <c r="J99" s="254">
        <f t="shared" si="21"/>
        <v>285.94104308390024</v>
      </c>
      <c r="K99" s="254"/>
      <c r="L99" s="268">
        <v>0.05</v>
      </c>
      <c r="M99" s="254">
        <f t="shared" si="23"/>
        <v>0</v>
      </c>
      <c r="N99" s="269">
        <f t="shared" si="22"/>
        <v>285.94104308390024</v>
      </c>
    </row>
    <row r="100" spans="2:14">
      <c r="B100" s="241">
        <f t="shared" si="16"/>
        <v>9</v>
      </c>
      <c r="C100" s="254">
        <f t="shared" si="17"/>
        <v>1413.1902480939689</v>
      </c>
      <c r="D100" s="254"/>
      <c r="E100" s="268">
        <v>0.05</v>
      </c>
      <c r="F100" s="254">
        <f t="shared" si="18"/>
        <v>0</v>
      </c>
      <c r="G100" s="269">
        <f t="shared" si="19"/>
        <v>1413.1902480939689</v>
      </c>
      <c r="I100" s="241">
        <f t="shared" si="20"/>
        <v>9</v>
      </c>
      <c r="J100" s="254">
        <f t="shared" si="21"/>
        <v>285.94104308390024</v>
      </c>
      <c r="K100" s="254"/>
      <c r="L100" s="268">
        <v>0.05</v>
      </c>
      <c r="M100" s="254">
        <f t="shared" si="23"/>
        <v>0</v>
      </c>
      <c r="N100" s="269">
        <f t="shared" si="22"/>
        <v>285.94104308390024</v>
      </c>
    </row>
    <row r="101" spans="2:14">
      <c r="B101" s="241">
        <f t="shared" si="16"/>
        <v>10</v>
      </c>
      <c r="C101" s="254">
        <f t="shared" si="17"/>
        <v>1413.1902480939689</v>
      </c>
      <c r="D101" s="254"/>
      <c r="E101" s="268">
        <v>0.05</v>
      </c>
      <c r="F101" s="254">
        <f t="shared" si="18"/>
        <v>0</v>
      </c>
      <c r="G101" s="269">
        <f t="shared" si="19"/>
        <v>1413.1902480939689</v>
      </c>
      <c r="I101" s="241">
        <f t="shared" si="20"/>
        <v>10</v>
      </c>
      <c r="J101" s="254">
        <f t="shared" si="21"/>
        <v>285.94104308390024</v>
      </c>
      <c r="K101" s="254"/>
      <c r="L101" s="268">
        <v>0.05</v>
      </c>
      <c r="M101" s="254">
        <f t="shared" si="23"/>
        <v>0</v>
      </c>
      <c r="N101" s="269">
        <f t="shared" si="22"/>
        <v>285.94104308390024</v>
      </c>
    </row>
    <row r="102" spans="2:14">
      <c r="B102" s="241">
        <f t="shared" si="16"/>
        <v>11</v>
      </c>
      <c r="C102" s="254">
        <f t="shared" si="17"/>
        <v>1413.1902480939689</v>
      </c>
      <c r="D102" s="254"/>
      <c r="E102" s="268">
        <v>0.05</v>
      </c>
      <c r="F102" s="254">
        <f t="shared" si="18"/>
        <v>0</v>
      </c>
      <c r="G102" s="269">
        <f t="shared" si="19"/>
        <v>1413.1902480939689</v>
      </c>
      <c r="I102" s="241">
        <f t="shared" si="20"/>
        <v>11</v>
      </c>
      <c r="J102" s="254">
        <f t="shared" si="21"/>
        <v>285.94104308390024</v>
      </c>
      <c r="K102" s="254"/>
      <c r="L102" s="268">
        <v>0.05</v>
      </c>
      <c r="M102" s="254">
        <f t="shared" si="23"/>
        <v>0</v>
      </c>
      <c r="N102" s="269">
        <f t="shared" si="22"/>
        <v>285.94104308390024</v>
      </c>
    </row>
    <row r="103" spans="2:14">
      <c r="B103" s="241">
        <f t="shared" si="16"/>
        <v>12</v>
      </c>
      <c r="C103" s="254">
        <f t="shared" si="17"/>
        <v>1413.1902480939689</v>
      </c>
      <c r="D103" s="254"/>
      <c r="E103" s="268">
        <v>0.05</v>
      </c>
      <c r="F103" s="254">
        <f t="shared" si="18"/>
        <v>0</v>
      </c>
      <c r="G103" s="269">
        <f t="shared" si="19"/>
        <v>1413.1902480939689</v>
      </c>
      <c r="I103" s="241">
        <f t="shared" si="20"/>
        <v>12</v>
      </c>
      <c r="J103" s="254">
        <f t="shared" si="21"/>
        <v>285.94104308390024</v>
      </c>
      <c r="K103" s="254"/>
      <c r="L103" s="268">
        <v>0.05</v>
      </c>
      <c r="M103" s="254">
        <f t="shared" si="23"/>
        <v>0</v>
      </c>
      <c r="N103" s="269">
        <f t="shared" si="22"/>
        <v>285.94104308390024</v>
      </c>
    </row>
    <row r="104" spans="2:14">
      <c r="B104" s="241">
        <f t="shared" si="16"/>
        <v>13</v>
      </c>
      <c r="C104" s="254">
        <f t="shared" si="17"/>
        <v>1413.1902480939689</v>
      </c>
      <c r="D104" s="254"/>
      <c r="E104" s="268">
        <v>0.05</v>
      </c>
      <c r="F104" s="254">
        <f t="shared" si="18"/>
        <v>0</v>
      </c>
      <c r="G104" s="269">
        <f t="shared" si="19"/>
        <v>1413.1902480939689</v>
      </c>
      <c r="I104" s="241">
        <f t="shared" si="20"/>
        <v>13</v>
      </c>
      <c r="J104" s="254">
        <f t="shared" si="21"/>
        <v>285.94104308390024</v>
      </c>
      <c r="K104" s="254"/>
      <c r="L104" s="268">
        <v>0.05</v>
      </c>
      <c r="M104" s="254">
        <f t="shared" si="23"/>
        <v>0</v>
      </c>
      <c r="N104" s="269">
        <f t="shared" si="22"/>
        <v>285.94104308390024</v>
      </c>
    </row>
    <row r="105" spans="2:14">
      <c r="B105" s="241">
        <f t="shared" si="16"/>
        <v>14</v>
      </c>
      <c r="C105" s="254">
        <f t="shared" si="17"/>
        <v>1413.1902480939689</v>
      </c>
      <c r="D105" s="254"/>
      <c r="E105" s="268">
        <v>0.05</v>
      </c>
      <c r="F105" s="254">
        <f t="shared" si="18"/>
        <v>0</v>
      </c>
      <c r="G105" s="269">
        <f t="shared" si="19"/>
        <v>1413.1902480939689</v>
      </c>
      <c r="I105" s="241">
        <f t="shared" si="20"/>
        <v>14</v>
      </c>
      <c r="J105" s="254">
        <f t="shared" si="21"/>
        <v>285.94104308390024</v>
      </c>
      <c r="K105" s="254"/>
      <c r="L105" s="268">
        <v>0.05</v>
      </c>
      <c r="M105" s="254">
        <f t="shared" si="23"/>
        <v>0</v>
      </c>
      <c r="N105" s="269">
        <f t="shared" si="22"/>
        <v>285.94104308390024</v>
      </c>
    </row>
    <row r="106" spans="2:14">
      <c r="B106" s="241">
        <f t="shared" si="16"/>
        <v>15</v>
      </c>
      <c r="C106" s="254">
        <f t="shared" si="17"/>
        <v>1413.1902480939689</v>
      </c>
      <c r="D106" s="254"/>
      <c r="E106" s="268">
        <v>0.05</v>
      </c>
      <c r="F106" s="254">
        <f t="shared" si="18"/>
        <v>0</v>
      </c>
      <c r="G106" s="269">
        <f t="shared" si="19"/>
        <v>1413.1902480939689</v>
      </c>
      <c r="I106" s="241">
        <f t="shared" si="20"/>
        <v>15</v>
      </c>
      <c r="J106" s="254">
        <f t="shared" si="21"/>
        <v>285.94104308390024</v>
      </c>
      <c r="K106" s="254"/>
      <c r="L106" s="268">
        <v>0.05</v>
      </c>
      <c r="M106" s="254">
        <f t="shared" si="23"/>
        <v>0</v>
      </c>
      <c r="N106" s="269">
        <f t="shared" si="22"/>
        <v>285.94104308390024</v>
      </c>
    </row>
    <row r="107" spans="2:14">
      <c r="B107" s="241">
        <f t="shared" si="16"/>
        <v>16</v>
      </c>
      <c r="C107" s="254">
        <f t="shared" si="17"/>
        <v>1413.1902480939689</v>
      </c>
      <c r="D107" s="254"/>
      <c r="E107" s="268">
        <v>0.05</v>
      </c>
      <c r="F107" s="254">
        <f t="shared" si="18"/>
        <v>0</v>
      </c>
      <c r="G107" s="269">
        <f t="shared" si="19"/>
        <v>1413.1902480939689</v>
      </c>
      <c r="I107" s="241">
        <f t="shared" si="20"/>
        <v>16</v>
      </c>
      <c r="J107" s="254">
        <f t="shared" si="21"/>
        <v>285.94104308390024</v>
      </c>
      <c r="K107" s="254"/>
      <c r="L107" s="268">
        <v>0.05</v>
      </c>
      <c r="M107" s="254">
        <f t="shared" si="23"/>
        <v>0</v>
      </c>
      <c r="N107" s="269">
        <f t="shared" si="22"/>
        <v>285.94104308390024</v>
      </c>
    </row>
    <row r="108" spans="2:14">
      <c r="B108" s="241">
        <f t="shared" si="16"/>
        <v>17</v>
      </c>
      <c r="C108" s="254">
        <f t="shared" si="17"/>
        <v>1413.1902480939689</v>
      </c>
      <c r="D108" s="254"/>
      <c r="E108" s="268">
        <v>0.05</v>
      </c>
      <c r="F108" s="254">
        <f t="shared" si="18"/>
        <v>0</v>
      </c>
      <c r="G108" s="269">
        <f t="shared" si="19"/>
        <v>1413.1902480939689</v>
      </c>
      <c r="I108" s="241">
        <f t="shared" si="20"/>
        <v>17</v>
      </c>
      <c r="J108" s="254">
        <f t="shared" si="21"/>
        <v>285.94104308390024</v>
      </c>
      <c r="K108" s="254"/>
      <c r="L108" s="268">
        <v>0.05</v>
      </c>
      <c r="M108" s="254">
        <f t="shared" si="23"/>
        <v>0</v>
      </c>
      <c r="N108" s="269">
        <f t="shared" si="22"/>
        <v>285.94104308390024</v>
      </c>
    </row>
    <row r="109" spans="2:14">
      <c r="B109" s="241">
        <f t="shared" si="16"/>
        <v>18</v>
      </c>
      <c r="C109" s="254">
        <f t="shared" si="17"/>
        <v>1413.1902480939689</v>
      </c>
      <c r="D109" s="254"/>
      <c r="E109" s="268">
        <v>0.05</v>
      </c>
      <c r="F109" s="254">
        <f t="shared" si="18"/>
        <v>0</v>
      </c>
      <c r="G109" s="269">
        <f t="shared" si="19"/>
        <v>1413.1902480939689</v>
      </c>
      <c r="I109" s="241">
        <f t="shared" si="20"/>
        <v>18</v>
      </c>
      <c r="J109" s="254">
        <f t="shared" si="21"/>
        <v>285.94104308390024</v>
      </c>
      <c r="K109" s="254"/>
      <c r="L109" s="268">
        <v>0.05</v>
      </c>
      <c r="M109" s="254">
        <f t="shared" si="23"/>
        <v>0</v>
      </c>
      <c r="N109" s="269">
        <f t="shared" si="22"/>
        <v>285.94104308390024</v>
      </c>
    </row>
    <row r="110" spans="2:14">
      <c r="B110" s="241">
        <f t="shared" si="16"/>
        <v>19</v>
      </c>
      <c r="C110" s="254">
        <f t="shared" si="17"/>
        <v>1413.1902480939689</v>
      </c>
      <c r="D110" s="254"/>
      <c r="E110" s="268">
        <v>0.05</v>
      </c>
      <c r="F110" s="254">
        <f t="shared" si="18"/>
        <v>0</v>
      </c>
      <c r="G110" s="269">
        <f t="shared" si="19"/>
        <v>1413.1902480939689</v>
      </c>
      <c r="I110" s="241">
        <f t="shared" si="20"/>
        <v>19</v>
      </c>
      <c r="J110" s="254">
        <f t="shared" si="21"/>
        <v>285.94104308390024</v>
      </c>
      <c r="K110" s="254"/>
      <c r="L110" s="268">
        <v>0.05</v>
      </c>
      <c r="M110" s="254">
        <f t="shared" si="23"/>
        <v>0</v>
      </c>
      <c r="N110" s="269">
        <f t="shared" si="22"/>
        <v>285.94104308390024</v>
      </c>
    </row>
    <row r="111" spans="2:14">
      <c r="B111" s="241">
        <f t="shared" si="16"/>
        <v>20</v>
      </c>
      <c r="C111" s="254">
        <f t="shared" si="17"/>
        <v>1413.1902480939689</v>
      </c>
      <c r="D111" s="254"/>
      <c r="E111" s="268">
        <v>0.05</v>
      </c>
      <c r="F111" s="254">
        <f t="shared" si="18"/>
        <v>0</v>
      </c>
      <c r="G111" s="269">
        <f t="shared" si="19"/>
        <v>1413.1902480939689</v>
      </c>
      <c r="I111" s="241">
        <f t="shared" si="20"/>
        <v>20</v>
      </c>
      <c r="J111" s="254">
        <f t="shared" si="21"/>
        <v>285.94104308390024</v>
      </c>
      <c r="K111" s="254"/>
      <c r="L111" s="268">
        <v>0.05</v>
      </c>
      <c r="M111" s="254">
        <f t="shared" si="23"/>
        <v>0</v>
      </c>
      <c r="N111" s="269">
        <f t="shared" si="22"/>
        <v>285.94104308390024</v>
      </c>
    </row>
    <row r="112" spans="2:14">
      <c r="B112" s="241">
        <f t="shared" si="16"/>
        <v>21</v>
      </c>
      <c r="C112" s="254">
        <f t="shared" si="17"/>
        <v>1413.1902480939689</v>
      </c>
      <c r="D112" s="254"/>
      <c r="E112" s="268">
        <v>0.05</v>
      </c>
      <c r="F112" s="254">
        <f t="shared" si="18"/>
        <v>0</v>
      </c>
      <c r="G112" s="269">
        <f t="shared" si="19"/>
        <v>1413.1902480939689</v>
      </c>
      <c r="I112" s="241">
        <f t="shared" si="20"/>
        <v>21</v>
      </c>
      <c r="J112" s="254">
        <f t="shared" si="21"/>
        <v>285.94104308390024</v>
      </c>
      <c r="K112" s="254"/>
      <c r="L112" s="268">
        <v>0.05</v>
      </c>
      <c r="M112" s="254">
        <f t="shared" si="23"/>
        <v>0</v>
      </c>
      <c r="N112" s="269">
        <f t="shared" si="22"/>
        <v>285.94104308390024</v>
      </c>
    </row>
    <row r="113" spans="2:14">
      <c r="B113" s="241">
        <f t="shared" si="16"/>
        <v>22</v>
      </c>
      <c r="C113" s="254">
        <f t="shared" si="17"/>
        <v>1413.1902480939689</v>
      </c>
      <c r="D113" s="254"/>
      <c r="E113" s="268">
        <v>0.05</v>
      </c>
      <c r="F113" s="254">
        <f t="shared" si="18"/>
        <v>0</v>
      </c>
      <c r="G113" s="269">
        <f t="shared" si="19"/>
        <v>1413.1902480939689</v>
      </c>
      <c r="I113" s="241">
        <f t="shared" si="20"/>
        <v>22</v>
      </c>
      <c r="J113" s="254">
        <f t="shared" si="21"/>
        <v>285.94104308390024</v>
      </c>
      <c r="K113" s="254"/>
      <c r="L113" s="268">
        <v>0.05</v>
      </c>
      <c r="M113" s="254">
        <f t="shared" si="23"/>
        <v>0</v>
      </c>
      <c r="N113" s="269">
        <f t="shared" si="22"/>
        <v>285.94104308390024</v>
      </c>
    </row>
    <row r="114" spans="2:14">
      <c r="B114" s="241">
        <f t="shared" si="16"/>
        <v>23</v>
      </c>
      <c r="C114" s="254">
        <f t="shared" si="17"/>
        <v>1413.1902480939689</v>
      </c>
      <c r="D114" s="254"/>
      <c r="E114" s="268">
        <v>0.05</v>
      </c>
      <c r="F114" s="254">
        <f t="shared" si="18"/>
        <v>0</v>
      </c>
      <c r="G114" s="269">
        <f t="shared" si="19"/>
        <v>1413.1902480939689</v>
      </c>
      <c r="I114" s="241">
        <f t="shared" si="20"/>
        <v>23</v>
      </c>
      <c r="J114" s="254">
        <f t="shared" si="21"/>
        <v>285.94104308390024</v>
      </c>
      <c r="K114" s="254"/>
      <c r="L114" s="268">
        <v>0.05</v>
      </c>
      <c r="M114" s="254">
        <f t="shared" si="23"/>
        <v>0</v>
      </c>
      <c r="N114" s="269">
        <f t="shared" si="22"/>
        <v>285.94104308390024</v>
      </c>
    </row>
    <row r="115" spans="2:14">
      <c r="B115" s="241">
        <f t="shared" si="16"/>
        <v>24</v>
      </c>
      <c r="C115" s="254">
        <f t="shared" si="17"/>
        <v>1413.1902480939689</v>
      </c>
      <c r="D115" s="254"/>
      <c r="E115" s="268">
        <v>0.05</v>
      </c>
      <c r="F115" s="254">
        <f t="shared" si="18"/>
        <v>0</v>
      </c>
      <c r="G115" s="269">
        <f t="shared" si="19"/>
        <v>1413.1902480939689</v>
      </c>
      <c r="I115" s="241">
        <f t="shared" si="20"/>
        <v>24</v>
      </c>
      <c r="J115" s="254">
        <f t="shared" si="21"/>
        <v>285.94104308390024</v>
      </c>
      <c r="K115" s="254"/>
      <c r="L115" s="268">
        <v>0.05</v>
      </c>
      <c r="M115" s="254">
        <f t="shared" si="23"/>
        <v>0</v>
      </c>
      <c r="N115" s="269">
        <f t="shared" si="22"/>
        <v>285.94104308390024</v>
      </c>
    </row>
    <row r="116" spans="2:14">
      <c r="B116" s="241">
        <f t="shared" si="16"/>
        <v>25</v>
      </c>
      <c r="C116" s="254">
        <f t="shared" si="17"/>
        <v>1413.1902480939689</v>
      </c>
      <c r="D116" s="254"/>
      <c r="E116" s="268">
        <v>0.05</v>
      </c>
      <c r="F116" s="254">
        <f t="shared" si="18"/>
        <v>0</v>
      </c>
      <c r="G116" s="269">
        <f t="shared" si="19"/>
        <v>1413.1902480939689</v>
      </c>
      <c r="I116" s="241">
        <f t="shared" si="20"/>
        <v>25</v>
      </c>
      <c r="J116" s="254">
        <f t="shared" si="21"/>
        <v>285.94104308390024</v>
      </c>
      <c r="K116" s="254"/>
      <c r="L116" s="268">
        <v>0.05</v>
      </c>
      <c r="M116" s="254">
        <f t="shared" si="23"/>
        <v>0</v>
      </c>
      <c r="N116" s="269">
        <f t="shared" si="22"/>
        <v>285.94104308390024</v>
      </c>
    </row>
    <row r="117" spans="2:14">
      <c r="B117" s="241">
        <f t="shared" si="16"/>
        <v>26</v>
      </c>
      <c r="C117" s="254">
        <f t="shared" si="17"/>
        <v>1413.1902480939689</v>
      </c>
      <c r="D117" s="254"/>
      <c r="E117" s="268">
        <v>0.05</v>
      </c>
      <c r="F117" s="254">
        <f t="shared" si="18"/>
        <v>0</v>
      </c>
      <c r="G117" s="269">
        <f t="shared" si="19"/>
        <v>1413.1902480939689</v>
      </c>
      <c r="I117" s="241">
        <f t="shared" si="20"/>
        <v>26</v>
      </c>
      <c r="J117" s="254">
        <f t="shared" si="21"/>
        <v>285.94104308390024</v>
      </c>
      <c r="K117" s="254"/>
      <c r="L117" s="268">
        <v>0.05</v>
      </c>
      <c r="M117" s="254">
        <f t="shared" si="23"/>
        <v>0</v>
      </c>
      <c r="N117" s="269">
        <f t="shared" si="22"/>
        <v>285.94104308390024</v>
      </c>
    </row>
    <row r="118" spans="2:14">
      <c r="B118" s="241">
        <f t="shared" si="16"/>
        <v>27</v>
      </c>
      <c r="C118" s="254">
        <f t="shared" si="17"/>
        <v>1413.1902480939689</v>
      </c>
      <c r="D118" s="254"/>
      <c r="E118" s="268">
        <v>0.05</v>
      </c>
      <c r="F118" s="254">
        <f t="shared" si="18"/>
        <v>0</v>
      </c>
      <c r="G118" s="269">
        <f t="shared" si="19"/>
        <v>1413.1902480939689</v>
      </c>
      <c r="I118" s="241">
        <f t="shared" si="20"/>
        <v>27</v>
      </c>
      <c r="J118" s="254">
        <f t="shared" si="21"/>
        <v>285.94104308390024</v>
      </c>
      <c r="K118" s="254"/>
      <c r="L118" s="268">
        <v>0.05</v>
      </c>
      <c r="M118" s="254">
        <f t="shared" si="23"/>
        <v>0</v>
      </c>
      <c r="N118" s="269">
        <f t="shared" si="22"/>
        <v>285.94104308390024</v>
      </c>
    </row>
    <row r="119" spans="2:14">
      <c r="B119" s="241">
        <f t="shared" si="16"/>
        <v>28</v>
      </c>
      <c r="C119" s="254">
        <f t="shared" si="17"/>
        <v>1413.1902480939689</v>
      </c>
      <c r="D119" s="254"/>
      <c r="E119" s="268">
        <v>0.05</v>
      </c>
      <c r="F119" s="254">
        <f t="shared" si="18"/>
        <v>0</v>
      </c>
      <c r="G119" s="269">
        <f t="shared" si="19"/>
        <v>1413.1902480939689</v>
      </c>
      <c r="I119" s="241">
        <f t="shared" si="20"/>
        <v>28</v>
      </c>
      <c r="J119" s="254">
        <f t="shared" si="21"/>
        <v>285.94104308390024</v>
      </c>
      <c r="K119" s="254"/>
      <c r="L119" s="268">
        <v>0.05</v>
      </c>
      <c r="M119" s="254">
        <f t="shared" si="23"/>
        <v>0</v>
      </c>
      <c r="N119" s="269">
        <f t="shared" si="22"/>
        <v>285.94104308390024</v>
      </c>
    </row>
    <row r="120" spans="2:14">
      <c r="B120" s="241">
        <f t="shared" si="16"/>
        <v>29</v>
      </c>
      <c r="C120" s="254">
        <f t="shared" si="17"/>
        <v>1413.1902480939689</v>
      </c>
      <c r="D120" s="254"/>
      <c r="E120" s="268">
        <v>0.05</v>
      </c>
      <c r="F120" s="254">
        <f t="shared" si="18"/>
        <v>0</v>
      </c>
      <c r="G120" s="269">
        <f t="shared" si="19"/>
        <v>1413.1902480939689</v>
      </c>
      <c r="I120" s="241">
        <f t="shared" si="20"/>
        <v>29</v>
      </c>
      <c r="J120" s="254">
        <f t="shared" si="21"/>
        <v>285.94104308390024</v>
      </c>
      <c r="K120" s="254"/>
      <c r="L120" s="268">
        <v>0.05</v>
      </c>
      <c r="M120" s="254">
        <f t="shared" si="23"/>
        <v>0</v>
      </c>
      <c r="N120" s="269">
        <f t="shared" si="22"/>
        <v>285.94104308390024</v>
      </c>
    </row>
    <row r="121" spans="2:14">
      <c r="B121" s="241">
        <f t="shared" si="16"/>
        <v>30</v>
      </c>
      <c r="C121" s="254">
        <f t="shared" si="17"/>
        <v>1413.1902480939689</v>
      </c>
      <c r="D121" s="254"/>
      <c r="E121" s="268">
        <v>0.05</v>
      </c>
      <c r="F121" s="254">
        <f t="shared" si="18"/>
        <v>0</v>
      </c>
      <c r="G121" s="269">
        <f t="shared" si="19"/>
        <v>1413.1902480939689</v>
      </c>
      <c r="I121" s="241">
        <f t="shared" si="20"/>
        <v>30</v>
      </c>
      <c r="J121" s="254">
        <f t="shared" si="21"/>
        <v>285.94104308390024</v>
      </c>
      <c r="K121" s="254"/>
      <c r="L121" s="268">
        <v>0.05</v>
      </c>
      <c r="M121" s="254">
        <f t="shared" si="23"/>
        <v>0</v>
      </c>
      <c r="N121" s="269">
        <f t="shared" si="22"/>
        <v>285.94104308390024</v>
      </c>
    </row>
    <row r="122" spans="2:14">
      <c r="B122" s="200"/>
      <c r="C122" s="197"/>
      <c r="D122" s="197"/>
      <c r="E122" s="197"/>
      <c r="F122" s="197"/>
      <c r="G122" s="198"/>
      <c r="I122" s="200"/>
      <c r="J122" s="197"/>
      <c r="K122" s="197"/>
      <c r="L122" s="197"/>
      <c r="M122" s="197"/>
      <c r="N122" s="198"/>
    </row>
    <row r="123" spans="2:14" ht="15.75" thickBot="1">
      <c r="B123" s="200"/>
      <c r="C123" s="197"/>
      <c r="D123" s="197"/>
      <c r="E123" s="197"/>
      <c r="F123" s="197"/>
      <c r="G123" s="198"/>
      <c r="I123" s="200"/>
      <c r="J123" s="197"/>
      <c r="K123" s="197"/>
      <c r="L123" s="197"/>
      <c r="M123" s="197"/>
      <c r="N123" s="198"/>
    </row>
    <row r="124" spans="2:14" ht="15.75" thickBot="1">
      <c r="B124" s="301" t="s">
        <v>508</v>
      </c>
      <c r="C124" s="302"/>
      <c r="D124" s="258">
        <f>SUM(D91:D123)</f>
        <v>1900</v>
      </c>
      <c r="E124" s="256"/>
      <c r="F124" s="256"/>
      <c r="G124" s="270">
        <f>G121</f>
        <v>1413.1902480939689</v>
      </c>
      <c r="I124" s="301" t="s">
        <v>508</v>
      </c>
      <c r="J124" s="302"/>
      <c r="K124" s="258">
        <f>SUM(K91:K123)</f>
        <v>300</v>
      </c>
      <c r="L124" s="256"/>
      <c r="M124" s="256"/>
      <c r="N124" s="270">
        <f>N121</f>
        <v>285.94104308390024</v>
      </c>
    </row>
    <row r="125" spans="2:14" ht="15.75" thickBot="1">
      <c r="B125" s="205"/>
      <c r="C125" s="206"/>
      <c r="D125" s="206"/>
      <c r="E125" s="206"/>
      <c r="F125" s="206"/>
      <c r="G125" s="207"/>
      <c r="I125" s="205"/>
      <c r="J125" s="206"/>
      <c r="K125" s="206"/>
      <c r="L125" s="206"/>
      <c r="M125" s="206"/>
      <c r="N125" s="207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279"/>
  <sheetViews>
    <sheetView tabSelected="1" zoomScale="80" zoomScaleNormal="80" workbookViewId="0">
      <pane xSplit="2" ySplit="3" topLeftCell="M44" activePane="bottomRight" state="frozen"/>
      <selection pane="topRight" activeCell="C1" sqref="C1"/>
      <selection pane="bottomLeft" activeCell="A5" sqref="A5"/>
      <selection pane="bottomRight" activeCell="V58" sqref="V58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7" width="9.85546875" style="89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0" width="10.7109375" style="89" customWidth="1"/>
    <col min="21" max="21" width="9.42578125" style="89" bestFit="1" customWidth="1"/>
    <col min="22" max="22" width="10.85546875" style="89" bestFit="1" customWidth="1"/>
    <col min="23" max="24" width="9.7109375" style="89" bestFit="1" customWidth="1"/>
    <col min="25" max="31" width="8" style="89" bestFit="1" customWidth="1"/>
    <col min="32" max="32" width="11.28515625" style="89" bestFit="1" customWidth="1"/>
    <col min="33" max="33" width="9.28515625" style="89" bestFit="1" customWidth="1"/>
    <col min="34" max="34" width="9" style="89" customWidth="1"/>
    <col min="35" max="35" width="10.7109375" style="89" customWidth="1"/>
    <col min="36" max="16384" width="9.140625" style="89"/>
  </cols>
  <sheetData>
    <row r="1" spans="2:35">
      <c r="B1" s="106" t="s">
        <v>199</v>
      </c>
      <c r="C1" s="107">
        <f>S2</f>
        <v>0.22</v>
      </c>
      <c r="I1" s="89" t="s">
        <v>210</v>
      </c>
      <c r="K1" s="108">
        <v>2004</v>
      </c>
      <c r="M1" s="89" t="s">
        <v>272</v>
      </c>
      <c r="O1" s="141">
        <v>0.05</v>
      </c>
      <c r="Q1" s="89" t="s">
        <v>343</v>
      </c>
      <c r="S1" s="141">
        <v>0.05</v>
      </c>
    </row>
    <row r="2" spans="2:35">
      <c r="B2" s="130" t="s">
        <v>262</v>
      </c>
      <c r="C2" s="103"/>
      <c r="I2" s="89" t="s">
        <v>211</v>
      </c>
      <c r="K2" s="108">
        <v>2017</v>
      </c>
      <c r="M2" s="89" t="s">
        <v>273</v>
      </c>
      <c r="O2" s="141">
        <v>0.15</v>
      </c>
      <c r="Q2" s="89" t="s">
        <v>409</v>
      </c>
      <c r="S2" s="141">
        <v>0.22</v>
      </c>
      <c r="W2" s="98" t="s">
        <v>5</v>
      </c>
      <c r="X2" s="98" t="s">
        <v>6</v>
      </c>
      <c r="Y2" s="98" t="s">
        <v>7</v>
      </c>
      <c r="Z2" s="98" t="s">
        <v>8</v>
      </c>
      <c r="AA2" s="98" t="s">
        <v>9</v>
      </c>
      <c r="AB2" s="98" t="s">
        <v>192</v>
      </c>
      <c r="AC2" s="98" t="s">
        <v>193</v>
      </c>
      <c r="AD2" s="98" t="s">
        <v>194</v>
      </c>
      <c r="AE2" s="98" t="s">
        <v>195</v>
      </c>
      <c r="AF2" s="98" t="s">
        <v>196</v>
      </c>
      <c r="AH2" s="307" t="s">
        <v>241</v>
      </c>
      <c r="AI2" s="308"/>
    </row>
    <row r="3" spans="2:35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9" t="s">
        <v>1</v>
      </c>
      <c r="V3" s="99" t="s">
        <v>212</v>
      </c>
      <c r="W3" s="98">
        <v>2018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114" t="s">
        <v>1</v>
      </c>
      <c r="AH3" s="309" t="s">
        <v>242</v>
      </c>
      <c r="AI3" s="310"/>
    </row>
    <row r="4" spans="2:3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15"/>
      <c r="AH4" s="10"/>
      <c r="AI4" s="10"/>
    </row>
    <row r="5" spans="2:35" ht="15.75">
      <c r="B5" s="93" t="s">
        <v>200</v>
      </c>
      <c r="C5" s="10"/>
      <c r="D5" s="10"/>
      <c r="E5" s="124"/>
      <c r="F5" s="124"/>
      <c r="G5" s="275" t="s">
        <v>513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0"/>
      <c r="V5" s="10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15"/>
      <c r="AH5" s="10"/>
      <c r="AI5" s="131"/>
    </row>
    <row r="6" spans="2:35">
      <c r="B6" s="10" t="s">
        <v>10</v>
      </c>
      <c r="C6" s="119"/>
      <c r="D6" s="119"/>
      <c r="E6" s="125"/>
      <c r="F6" s="125"/>
      <c r="G6" s="181">
        <f>H6</f>
        <v>17</v>
      </c>
      <c r="H6" s="181">
        <v>17</v>
      </c>
      <c r="I6" s="181">
        <v>303</v>
      </c>
      <c r="J6" s="181">
        <v>507</v>
      </c>
      <c r="K6" s="181">
        <v>1023</v>
      </c>
      <c r="L6" s="181">
        <v>1327</v>
      </c>
      <c r="M6" s="181">
        <v>2749</v>
      </c>
      <c r="N6" s="181">
        <v>3446</v>
      </c>
      <c r="O6" s="181">
        <v>4323</v>
      </c>
      <c r="P6" s="181">
        <v>5449</v>
      </c>
      <c r="Q6" s="181">
        <v>6761</v>
      </c>
      <c r="R6" s="181">
        <v>11247</v>
      </c>
      <c r="S6" s="181">
        <v>13341</v>
      </c>
      <c r="T6" s="181">
        <v>21583</v>
      </c>
      <c r="U6" s="101">
        <f>((T6/G6)^(1/($K$2-$K$1) ))-1</f>
        <v>0.73277949153538713</v>
      </c>
      <c r="V6" s="21">
        <f>$O$2</f>
        <v>0.15</v>
      </c>
      <c r="W6" s="131">
        <f>T6*(1+$V6)</f>
        <v>24820.449999999997</v>
      </c>
      <c r="X6" s="131">
        <f>W6*(1+$V6)</f>
        <v>28543.517499999994</v>
      </c>
      <c r="Y6" s="131">
        <f t="shared" ref="Y6:AF6" si="0">X6*(1+$V6)</f>
        <v>32825.04512499999</v>
      </c>
      <c r="Z6" s="131">
        <f t="shared" si="0"/>
        <v>37748.801893749987</v>
      </c>
      <c r="AA6" s="131">
        <f t="shared" si="0"/>
        <v>43411.122177812482</v>
      </c>
      <c r="AB6" s="131">
        <f t="shared" si="0"/>
        <v>49922.79050448435</v>
      </c>
      <c r="AC6" s="131">
        <f t="shared" si="0"/>
        <v>57411.209080157001</v>
      </c>
      <c r="AD6" s="131">
        <f t="shared" si="0"/>
        <v>66022.890442180549</v>
      </c>
      <c r="AE6" s="131">
        <f t="shared" si="0"/>
        <v>75926.324008507625</v>
      </c>
      <c r="AF6" s="131">
        <f t="shared" si="0"/>
        <v>87315.272609783759</v>
      </c>
      <c r="AG6" s="116">
        <f>((AF6/J6)^(1/($AF$3-$K$1) ))-1</f>
        <v>0.25089531976273594</v>
      </c>
      <c r="AH6" s="21">
        <f>$O$1</f>
        <v>0.05</v>
      </c>
      <c r="AI6" s="124">
        <f t="shared" ref="AI6:AI59" si="1">(AF6*(1+AH6))/($C$1-AH6)</f>
        <v>539300.2131780762</v>
      </c>
    </row>
    <row r="7" spans="2:35">
      <c r="B7" s="10" t="s">
        <v>198</v>
      </c>
      <c r="C7" s="119"/>
      <c r="D7" s="119"/>
      <c r="E7" s="125"/>
      <c r="F7" s="125"/>
      <c r="G7" s="181">
        <f>H7</f>
        <v>217</v>
      </c>
      <c r="H7" s="181">
        <v>217</v>
      </c>
      <c r="I7" s="181">
        <v>572</v>
      </c>
      <c r="J7" s="181">
        <v>787</v>
      </c>
      <c r="K7" s="181">
        <v>1319</v>
      </c>
      <c r="L7" s="181">
        <v>1624</v>
      </c>
      <c r="M7" s="181">
        <v>3089</v>
      </c>
      <c r="N7" s="181">
        <v>3794</v>
      </c>
      <c r="O7" s="181">
        <v>4676</v>
      </c>
      <c r="P7" s="181">
        <v>5807</v>
      </c>
      <c r="Q7" s="181">
        <v>7115</v>
      </c>
      <c r="R7" s="181">
        <v>11665</v>
      </c>
      <c r="S7" s="181">
        <v>13762</v>
      </c>
      <c r="T7" s="181">
        <v>22039</v>
      </c>
      <c r="U7" s="101">
        <f t="shared" ref="U7:U59" si="2">((T7/G7)^(1/($K$2-$K$1) ))-1</f>
        <v>0.42680299278335632</v>
      </c>
      <c r="V7" s="21">
        <f>$O$2</f>
        <v>0.15</v>
      </c>
      <c r="W7" s="131">
        <f t="shared" ref="W7:W59" si="3">T7*(1+$V7)</f>
        <v>25344.85</v>
      </c>
      <c r="X7" s="131">
        <f t="shared" ref="X7:AF7" si="4">W7*(1+$V7)</f>
        <v>29146.577499999996</v>
      </c>
      <c r="Y7" s="131">
        <f t="shared" si="4"/>
        <v>33518.56412499999</v>
      </c>
      <c r="Z7" s="131">
        <f t="shared" si="4"/>
        <v>38546.348743749986</v>
      </c>
      <c r="AA7" s="131">
        <f t="shared" si="4"/>
        <v>44328.301055312484</v>
      </c>
      <c r="AB7" s="131">
        <f t="shared" si="4"/>
        <v>50977.546213609356</v>
      </c>
      <c r="AC7" s="131">
        <f t="shared" si="4"/>
        <v>58624.178145650752</v>
      </c>
      <c r="AD7" s="131">
        <f t="shared" si="4"/>
        <v>67417.804867498358</v>
      </c>
      <c r="AE7" s="131">
        <f t="shared" si="4"/>
        <v>77530.47559762311</v>
      </c>
      <c r="AF7" s="131">
        <f t="shared" si="4"/>
        <v>89160.046937266568</v>
      </c>
      <c r="AG7" s="116">
        <f>((AF7/J7)^(1/($AF$3-$K$1) ))-1</f>
        <v>0.22832375317912312</v>
      </c>
      <c r="AH7" s="21">
        <f>$O$1</f>
        <v>0.05</v>
      </c>
      <c r="AI7" s="124">
        <f t="shared" si="1"/>
        <v>550694.40755370539</v>
      </c>
    </row>
    <row r="8" spans="2:35">
      <c r="B8" s="10"/>
      <c r="C8" s="119"/>
      <c r="D8" s="119"/>
      <c r="E8" s="125"/>
      <c r="F8" s="271"/>
      <c r="G8" s="128" t="e">
        <f t="shared" ref="G8:S8" si="5">(G7-F7)/F7</f>
        <v>#DIV/0!</v>
      </c>
      <c r="H8" s="128">
        <f t="shared" si="5"/>
        <v>0</v>
      </c>
      <c r="I8" s="128">
        <f t="shared" si="5"/>
        <v>1.6359447004608294</v>
      </c>
      <c r="J8" s="128">
        <f t="shared" si="5"/>
        <v>0.37587412587412589</v>
      </c>
      <c r="K8" s="128">
        <f t="shared" si="5"/>
        <v>0.67598475222363408</v>
      </c>
      <c r="L8" s="128">
        <f t="shared" si="5"/>
        <v>0.23123578468536771</v>
      </c>
      <c r="M8" s="128">
        <f t="shared" si="5"/>
        <v>0.90209359605911332</v>
      </c>
      <c r="N8" s="128">
        <f t="shared" si="5"/>
        <v>0.22822920038847525</v>
      </c>
      <c r="O8" s="128">
        <f t="shared" si="5"/>
        <v>0.23247232472324722</v>
      </c>
      <c r="P8" s="128">
        <f t="shared" si="5"/>
        <v>0.24187339606501282</v>
      </c>
      <c r="Q8" s="128">
        <f t="shared" si="5"/>
        <v>0.22524539349061479</v>
      </c>
      <c r="R8" s="128">
        <f t="shared" si="5"/>
        <v>0.63949402670414612</v>
      </c>
      <c r="S8" s="128">
        <f t="shared" si="5"/>
        <v>0.17976853836262324</v>
      </c>
      <c r="T8" s="128">
        <f t="shared" ref="T8" si="6">(T7-S7)/S7</f>
        <v>0.60143874436855105</v>
      </c>
      <c r="U8" s="10"/>
      <c r="V8" s="10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15"/>
      <c r="AH8" s="115"/>
      <c r="AI8" s="124"/>
    </row>
    <row r="9" spans="2:35">
      <c r="B9" s="10" t="s">
        <v>221</v>
      </c>
      <c r="C9" s="119"/>
      <c r="D9" s="119"/>
      <c r="E9" s="125"/>
      <c r="F9" s="125"/>
      <c r="G9" s="181">
        <f>H9</f>
        <v>0</v>
      </c>
      <c r="H9" s="181">
        <v>0</v>
      </c>
      <c r="I9" s="181">
        <v>0</v>
      </c>
      <c r="J9" s="181">
        <v>0</v>
      </c>
      <c r="K9" s="181">
        <v>0</v>
      </c>
      <c r="L9" s="181">
        <v>0</v>
      </c>
      <c r="M9" s="181">
        <v>0</v>
      </c>
      <c r="N9" s="181">
        <v>0</v>
      </c>
      <c r="O9" s="181">
        <v>0</v>
      </c>
      <c r="P9" s="181">
        <v>0</v>
      </c>
      <c r="Q9" s="181">
        <v>0</v>
      </c>
      <c r="R9" s="181">
        <v>0</v>
      </c>
      <c r="S9" s="181">
        <v>0</v>
      </c>
      <c r="T9" s="181"/>
      <c r="U9" s="101" t="e">
        <f t="shared" si="2"/>
        <v>#DIV/0!</v>
      </c>
      <c r="V9" s="21">
        <f t="shared" ref="V9:V55" si="7">$O$2</f>
        <v>0.15</v>
      </c>
      <c r="W9" s="131">
        <f t="shared" si="3"/>
        <v>0</v>
      </c>
      <c r="X9" s="131">
        <f t="shared" ref="X9" si="8">W9*(1+$V9)</f>
        <v>0</v>
      </c>
      <c r="Y9" s="131">
        <f t="shared" ref="Y9" si="9">X9*(1+$V9)</f>
        <v>0</v>
      </c>
      <c r="Z9" s="131">
        <f t="shared" ref="Z9" si="10">Y9*(1+$V9)</f>
        <v>0</v>
      </c>
      <c r="AA9" s="131">
        <f t="shared" ref="AA9" si="11">Z9*(1+$V9)</f>
        <v>0</v>
      </c>
      <c r="AB9" s="131">
        <f t="shared" ref="AB9" si="12">AA9*(1+$V9)</f>
        <v>0</v>
      </c>
      <c r="AC9" s="131">
        <f t="shared" ref="AC9" si="13">AB9*(1+$V9)</f>
        <v>0</v>
      </c>
      <c r="AD9" s="131">
        <f t="shared" ref="AD9" si="14">AC9*(1+$V9)</f>
        <v>0</v>
      </c>
      <c r="AE9" s="131">
        <f t="shared" ref="AE9" si="15">AD9*(1+$V9)</f>
        <v>0</v>
      </c>
      <c r="AF9" s="131">
        <f t="shared" ref="AF9" si="16">AE9*(1+$V9)</f>
        <v>0</v>
      </c>
      <c r="AG9" s="116" t="e">
        <f>((AF9/J9)^(1/($AF$3-$K$1) ))-1</f>
        <v>#DIV/0!</v>
      </c>
      <c r="AH9" s="21">
        <f t="shared" ref="AH9:AH99" si="17">$O$1</f>
        <v>0.05</v>
      </c>
      <c r="AI9" s="124">
        <f t="shared" si="1"/>
        <v>0</v>
      </c>
    </row>
    <row r="10" spans="2:35">
      <c r="B10" s="10" t="s">
        <v>3</v>
      </c>
      <c r="C10" s="119"/>
      <c r="D10" s="119"/>
      <c r="E10" s="125"/>
      <c r="F10" s="125"/>
      <c r="G10" s="181">
        <f>H10</f>
        <v>1032</v>
      </c>
      <c r="H10" s="181">
        <v>1032</v>
      </c>
      <c r="I10" s="181">
        <v>3375</v>
      </c>
      <c r="J10" s="181">
        <v>9087</v>
      </c>
      <c r="K10" s="181">
        <v>14259</v>
      </c>
      <c r="L10" s="181">
        <v>18358</v>
      </c>
      <c r="M10" s="181">
        <v>31547</v>
      </c>
      <c r="N10" s="181">
        <v>52629</v>
      </c>
      <c r="O10" s="181">
        <v>63308</v>
      </c>
      <c r="P10" s="181">
        <v>87877</v>
      </c>
      <c r="Q10" s="181">
        <v>95499</v>
      </c>
      <c r="R10" s="181">
        <v>117379</v>
      </c>
      <c r="S10" s="181">
        <v>143363</v>
      </c>
      <c r="T10" s="181">
        <v>181464.11</v>
      </c>
      <c r="U10" s="101">
        <f t="shared" si="2"/>
        <v>0.48833553062565738</v>
      </c>
      <c r="V10" s="21">
        <f t="shared" si="7"/>
        <v>0.15</v>
      </c>
      <c r="W10" s="131">
        <f t="shared" si="3"/>
        <v>208683.72649999996</v>
      </c>
      <c r="X10" s="131">
        <f t="shared" ref="X10:AF10" si="18">W10*(1+$V10)</f>
        <v>239986.28547499992</v>
      </c>
      <c r="Y10" s="131">
        <f t="shared" si="18"/>
        <v>275984.22829624987</v>
      </c>
      <c r="Z10" s="131">
        <f t="shared" si="18"/>
        <v>317381.86254068732</v>
      </c>
      <c r="AA10" s="131">
        <f t="shared" si="18"/>
        <v>364989.14192179037</v>
      </c>
      <c r="AB10" s="131">
        <f t="shared" si="18"/>
        <v>419737.51321005891</v>
      </c>
      <c r="AC10" s="131">
        <f t="shared" si="18"/>
        <v>482698.14019156771</v>
      </c>
      <c r="AD10" s="131">
        <f t="shared" si="18"/>
        <v>555102.86122030288</v>
      </c>
      <c r="AE10" s="131">
        <f t="shared" si="18"/>
        <v>638368.29040334828</v>
      </c>
      <c r="AF10" s="131">
        <f t="shared" si="18"/>
        <v>734123.53396385047</v>
      </c>
      <c r="AG10" s="116">
        <f t="shared" ref="AG10:AG57" si="19">((AF10/J10)^(1/($AF$3-$K$1) ))-1</f>
        <v>0.21039800946341414</v>
      </c>
      <c r="AH10" s="21">
        <f t="shared" si="17"/>
        <v>0.05</v>
      </c>
      <c r="AI10" s="124">
        <f t="shared" si="1"/>
        <v>4534292.4156590775</v>
      </c>
    </row>
    <row r="11" spans="2:35">
      <c r="B11" s="10"/>
      <c r="C11" s="119"/>
      <c r="D11" s="119"/>
      <c r="E11" s="125"/>
      <c r="F11" s="271"/>
      <c r="G11" s="128" t="e">
        <f t="shared" ref="G11:S11" si="20">(G10-F10)/F10</f>
        <v>#DIV/0!</v>
      </c>
      <c r="H11" s="128">
        <f t="shared" si="20"/>
        <v>0</v>
      </c>
      <c r="I11" s="128">
        <f t="shared" si="20"/>
        <v>2.2703488372093021</v>
      </c>
      <c r="J11" s="128">
        <f t="shared" si="20"/>
        <v>1.6924444444444444</v>
      </c>
      <c r="K11" s="128">
        <f t="shared" si="20"/>
        <v>0.56916474083856061</v>
      </c>
      <c r="L11" s="128">
        <f t="shared" si="20"/>
        <v>0.28746756434532578</v>
      </c>
      <c r="M11" s="128">
        <f t="shared" si="20"/>
        <v>0.7184333805425428</v>
      </c>
      <c r="N11" s="128">
        <f t="shared" si="20"/>
        <v>0.66827273591783687</v>
      </c>
      <c r="O11" s="128">
        <f t="shared" si="20"/>
        <v>0.20291094263618917</v>
      </c>
      <c r="P11" s="128">
        <f t="shared" si="20"/>
        <v>0.38808681367283754</v>
      </c>
      <c r="Q11" s="128">
        <f t="shared" si="20"/>
        <v>8.6734868054212141E-2</v>
      </c>
      <c r="R11" s="128">
        <f t="shared" si="20"/>
        <v>0.22911234672614372</v>
      </c>
      <c r="S11" s="128">
        <f t="shared" si="20"/>
        <v>0.22136838787176583</v>
      </c>
      <c r="T11" s="128">
        <f t="shared" ref="T11" si="21">(T10-S10)/S10</f>
        <v>0.26576669015017812</v>
      </c>
      <c r="U11" s="10"/>
      <c r="V11" s="10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02"/>
      <c r="AH11" s="21">
        <f t="shared" si="17"/>
        <v>0.05</v>
      </c>
      <c r="AI11" s="131"/>
    </row>
    <row r="12" spans="2:35">
      <c r="B12" s="10" t="s">
        <v>2</v>
      </c>
      <c r="C12" s="119"/>
      <c r="D12" s="119"/>
      <c r="E12" s="125"/>
      <c r="F12" s="125"/>
      <c r="G12" s="181">
        <f>H12</f>
        <v>0</v>
      </c>
      <c r="H12" s="181">
        <v>0</v>
      </c>
      <c r="I12" s="181">
        <v>0</v>
      </c>
      <c r="J12" s="181">
        <v>0</v>
      </c>
      <c r="K12" s="181">
        <v>0</v>
      </c>
      <c r="L12" s="181">
        <v>0</v>
      </c>
      <c r="M12" s="181">
        <v>0</v>
      </c>
      <c r="N12" s="181">
        <v>0</v>
      </c>
      <c r="O12" s="181">
        <v>0</v>
      </c>
      <c r="P12" s="181">
        <v>0</v>
      </c>
      <c r="Q12" s="181">
        <v>0</v>
      </c>
      <c r="R12" s="181">
        <v>0</v>
      </c>
      <c r="S12" s="181">
        <v>0</v>
      </c>
      <c r="T12" s="181" t="s">
        <v>57</v>
      </c>
      <c r="U12" s="101" t="e">
        <f t="shared" si="2"/>
        <v>#VALUE!</v>
      </c>
      <c r="V12" s="21">
        <f t="shared" si="7"/>
        <v>0.15</v>
      </c>
      <c r="W12" s="131" t="e">
        <f t="shared" si="3"/>
        <v>#VALUE!</v>
      </c>
      <c r="X12" s="131" t="e">
        <f t="shared" ref="X12:AF12" si="22">W12*(1+$V12)</f>
        <v>#VALUE!</v>
      </c>
      <c r="Y12" s="131" t="e">
        <f t="shared" si="22"/>
        <v>#VALUE!</v>
      </c>
      <c r="Z12" s="131" t="e">
        <f t="shared" si="22"/>
        <v>#VALUE!</v>
      </c>
      <c r="AA12" s="131" t="e">
        <f t="shared" si="22"/>
        <v>#VALUE!</v>
      </c>
      <c r="AB12" s="131" t="e">
        <f t="shared" si="22"/>
        <v>#VALUE!</v>
      </c>
      <c r="AC12" s="131" t="e">
        <f t="shared" si="22"/>
        <v>#VALUE!</v>
      </c>
      <c r="AD12" s="131" t="e">
        <f t="shared" si="22"/>
        <v>#VALUE!</v>
      </c>
      <c r="AE12" s="131" t="e">
        <f t="shared" si="22"/>
        <v>#VALUE!</v>
      </c>
      <c r="AF12" s="131" t="e">
        <f t="shared" si="22"/>
        <v>#VALUE!</v>
      </c>
      <c r="AG12" s="116" t="e">
        <f t="shared" si="19"/>
        <v>#VALUE!</v>
      </c>
      <c r="AH12" s="21">
        <f t="shared" si="17"/>
        <v>0.05</v>
      </c>
      <c r="AI12" s="124" t="e">
        <f t="shared" si="1"/>
        <v>#VALUE!</v>
      </c>
    </row>
    <row r="13" spans="2:35">
      <c r="B13" s="10" t="s">
        <v>191</v>
      </c>
      <c r="C13" s="119"/>
      <c r="D13" s="119"/>
      <c r="E13" s="125"/>
      <c r="F13" s="125"/>
      <c r="G13" s="181">
        <f>H13</f>
        <v>395</v>
      </c>
      <c r="H13" s="181">
        <v>395</v>
      </c>
      <c r="I13" s="181">
        <v>1350</v>
      </c>
      <c r="J13" s="181">
        <v>3073</v>
      </c>
      <c r="K13" s="181">
        <v>5093</v>
      </c>
      <c r="L13" s="181">
        <v>7117</v>
      </c>
      <c r="M13" s="181">
        <v>10209</v>
      </c>
      <c r="N13" s="181">
        <v>18828</v>
      </c>
      <c r="O13" s="181">
        <v>27757</v>
      </c>
      <c r="P13" s="181">
        <v>42975</v>
      </c>
      <c r="Q13" s="181">
        <v>40932</v>
      </c>
      <c r="R13" s="181">
        <v>46570</v>
      </c>
      <c r="S13" s="181">
        <v>48788</v>
      </c>
      <c r="T13" s="181">
        <v>49981.8</v>
      </c>
      <c r="U13" s="101">
        <f t="shared" si="2"/>
        <v>0.45113838651755001</v>
      </c>
      <c r="V13" s="21">
        <f t="shared" si="7"/>
        <v>0.15</v>
      </c>
      <c r="W13" s="131">
        <f t="shared" si="3"/>
        <v>57479.07</v>
      </c>
      <c r="X13" s="131">
        <f t="shared" ref="X13:AF13" si="23">W13*(1+$V13)</f>
        <v>66100.930499999988</v>
      </c>
      <c r="Y13" s="131">
        <f t="shared" si="23"/>
        <v>76016.070074999981</v>
      </c>
      <c r="Z13" s="131">
        <f t="shared" si="23"/>
        <v>87418.480586249978</v>
      </c>
      <c r="AA13" s="131">
        <f t="shared" si="23"/>
        <v>100531.25267418746</v>
      </c>
      <c r="AB13" s="131">
        <f t="shared" si="23"/>
        <v>115610.94057531557</v>
      </c>
      <c r="AC13" s="131">
        <f t="shared" si="23"/>
        <v>132952.5816616129</v>
      </c>
      <c r="AD13" s="131">
        <f t="shared" si="23"/>
        <v>152895.46891085483</v>
      </c>
      <c r="AE13" s="131">
        <f t="shared" si="23"/>
        <v>175829.78924748304</v>
      </c>
      <c r="AF13" s="131">
        <f t="shared" si="23"/>
        <v>202204.25763460548</v>
      </c>
      <c r="AG13" s="116">
        <f t="shared" si="19"/>
        <v>0.19964674453656528</v>
      </c>
      <c r="AH13" s="21">
        <f t="shared" si="17"/>
        <v>0.05</v>
      </c>
      <c r="AI13" s="124">
        <f t="shared" si="1"/>
        <v>1248908.6500960928</v>
      </c>
    </row>
    <row r="14" spans="2:35">
      <c r="B14" s="10" t="s">
        <v>318</v>
      </c>
      <c r="C14" s="119"/>
      <c r="D14" s="119"/>
      <c r="E14" s="125"/>
      <c r="F14" s="125"/>
      <c r="G14" s="181">
        <f>H14</f>
        <v>0</v>
      </c>
      <c r="H14" s="181">
        <v>0</v>
      </c>
      <c r="I14" s="181">
        <v>0</v>
      </c>
      <c r="J14" s="181">
        <v>0</v>
      </c>
      <c r="K14" s="181">
        <v>0</v>
      </c>
      <c r="L14" s="181">
        <v>0</v>
      </c>
      <c r="M14" s="181">
        <v>0</v>
      </c>
      <c r="N14" s="181">
        <v>0</v>
      </c>
      <c r="O14" s="181">
        <v>0</v>
      </c>
      <c r="P14" s="181">
        <v>0</v>
      </c>
      <c r="Q14" s="181">
        <v>0</v>
      </c>
      <c r="R14" s="181">
        <v>0</v>
      </c>
      <c r="S14" s="181">
        <v>0</v>
      </c>
      <c r="T14" s="181" t="s">
        <v>57</v>
      </c>
      <c r="U14" s="101" t="e">
        <f t="shared" si="2"/>
        <v>#VALUE!</v>
      </c>
      <c r="V14" s="21">
        <f t="shared" si="7"/>
        <v>0.15</v>
      </c>
      <c r="W14" s="131" t="e">
        <f t="shared" si="3"/>
        <v>#VALUE!</v>
      </c>
      <c r="X14" s="131" t="e">
        <f t="shared" ref="X14" si="24">W14*(1+$V14)</f>
        <v>#VALUE!</v>
      </c>
      <c r="Y14" s="131" t="e">
        <f t="shared" ref="Y14" si="25">X14*(1+$V14)</f>
        <v>#VALUE!</v>
      </c>
      <c r="Z14" s="131" t="e">
        <f t="shared" ref="Z14" si="26">Y14*(1+$V14)</f>
        <v>#VALUE!</v>
      </c>
      <c r="AA14" s="131" t="e">
        <f t="shared" ref="AA14" si="27">Z14*(1+$V14)</f>
        <v>#VALUE!</v>
      </c>
      <c r="AB14" s="131" t="e">
        <f t="shared" ref="AB14" si="28">AA14*(1+$V14)</f>
        <v>#VALUE!</v>
      </c>
      <c r="AC14" s="131" t="e">
        <f t="shared" ref="AC14" si="29">AB14*(1+$V14)</f>
        <v>#VALUE!</v>
      </c>
      <c r="AD14" s="131" t="e">
        <f t="shared" ref="AD14" si="30">AC14*(1+$V14)</f>
        <v>#VALUE!</v>
      </c>
      <c r="AE14" s="131" t="e">
        <f t="shared" ref="AE14" si="31">AD14*(1+$V14)</f>
        <v>#VALUE!</v>
      </c>
      <c r="AF14" s="131" t="e">
        <f t="shared" ref="AF14" si="32">AE14*(1+$V14)</f>
        <v>#VALUE!</v>
      </c>
      <c r="AG14" s="116" t="e">
        <f t="shared" ref="AG14" si="33">((AF14/J14)^(1/($AF$3-$K$1) ))-1</f>
        <v>#VALUE!</v>
      </c>
      <c r="AH14" s="21">
        <f t="shared" si="17"/>
        <v>0.05</v>
      </c>
      <c r="AI14" s="124" t="e">
        <f t="shared" ref="AI14" si="34">(AF14*(1+AH14))/($C$1-AH14)</f>
        <v>#VALUE!</v>
      </c>
    </row>
    <row r="15" spans="2:35">
      <c r="B15" s="10" t="s">
        <v>11</v>
      </c>
      <c r="C15" s="119"/>
      <c r="D15" s="119"/>
      <c r="E15" s="125"/>
      <c r="F15" s="125"/>
      <c r="G15" s="181">
        <f>H15</f>
        <v>0</v>
      </c>
      <c r="H15" s="181">
        <v>0</v>
      </c>
      <c r="I15" s="181">
        <v>0</v>
      </c>
      <c r="J15" s="181">
        <v>0</v>
      </c>
      <c r="K15" s="181">
        <v>0</v>
      </c>
      <c r="L15" s="181">
        <v>0</v>
      </c>
      <c r="M15" s="181">
        <v>0</v>
      </c>
      <c r="N15" s="181">
        <v>0</v>
      </c>
      <c r="O15" s="181">
        <v>0</v>
      </c>
      <c r="P15" s="181">
        <v>0</v>
      </c>
      <c r="Q15" s="181">
        <v>0</v>
      </c>
      <c r="R15" s="181">
        <v>0</v>
      </c>
      <c r="S15" s="181">
        <v>0</v>
      </c>
      <c r="T15" s="181" t="s">
        <v>57</v>
      </c>
      <c r="U15" s="101" t="e">
        <f t="shared" si="2"/>
        <v>#VALUE!</v>
      </c>
      <c r="V15" s="21">
        <f t="shared" si="7"/>
        <v>0.15</v>
      </c>
      <c r="W15" s="131" t="e">
        <f t="shared" si="3"/>
        <v>#VALUE!</v>
      </c>
      <c r="X15" s="131" t="e">
        <f t="shared" ref="X15:AF15" si="35">W15*(1+$V15)</f>
        <v>#VALUE!</v>
      </c>
      <c r="Y15" s="131" t="e">
        <f t="shared" si="35"/>
        <v>#VALUE!</v>
      </c>
      <c r="Z15" s="131" t="e">
        <f t="shared" si="35"/>
        <v>#VALUE!</v>
      </c>
      <c r="AA15" s="131" t="e">
        <f t="shared" si="35"/>
        <v>#VALUE!</v>
      </c>
      <c r="AB15" s="131" t="e">
        <f t="shared" si="35"/>
        <v>#VALUE!</v>
      </c>
      <c r="AC15" s="131" t="e">
        <f t="shared" si="35"/>
        <v>#VALUE!</v>
      </c>
      <c r="AD15" s="131" t="e">
        <f t="shared" si="35"/>
        <v>#VALUE!</v>
      </c>
      <c r="AE15" s="131" t="e">
        <f t="shared" si="35"/>
        <v>#VALUE!</v>
      </c>
      <c r="AF15" s="131" t="e">
        <f t="shared" si="35"/>
        <v>#VALUE!</v>
      </c>
      <c r="AG15" s="116" t="e">
        <f t="shared" si="19"/>
        <v>#VALUE!</v>
      </c>
      <c r="AH15" s="21">
        <f t="shared" si="17"/>
        <v>0.05</v>
      </c>
      <c r="AI15" s="124" t="e">
        <f t="shared" si="1"/>
        <v>#VALUE!</v>
      </c>
    </row>
    <row r="16" spans="2:35">
      <c r="B16" s="10" t="s">
        <v>12</v>
      </c>
      <c r="C16" s="119"/>
      <c r="D16" s="119"/>
      <c r="E16" s="125"/>
      <c r="F16" s="125"/>
      <c r="G16" s="181">
        <f>H16</f>
        <v>0</v>
      </c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>
        <v>0</v>
      </c>
      <c r="N16" s="181">
        <v>0</v>
      </c>
      <c r="O16" s="181">
        <v>0</v>
      </c>
      <c r="P16" s="181">
        <v>0</v>
      </c>
      <c r="Q16" s="181">
        <v>0</v>
      </c>
      <c r="R16" s="181">
        <v>0</v>
      </c>
      <c r="S16" s="181">
        <v>0</v>
      </c>
      <c r="T16" s="181" t="s">
        <v>57</v>
      </c>
      <c r="U16" s="101" t="e">
        <f t="shared" si="2"/>
        <v>#VALUE!</v>
      </c>
      <c r="V16" s="21">
        <f t="shared" si="7"/>
        <v>0.15</v>
      </c>
      <c r="W16" s="131" t="e">
        <f t="shared" si="3"/>
        <v>#VALUE!</v>
      </c>
      <c r="X16" s="131" t="e">
        <f t="shared" ref="X16:AF16" si="36">W16*(1+$V16)</f>
        <v>#VALUE!</v>
      </c>
      <c r="Y16" s="131" t="e">
        <f t="shared" si="36"/>
        <v>#VALUE!</v>
      </c>
      <c r="Z16" s="131" t="e">
        <f t="shared" si="36"/>
        <v>#VALUE!</v>
      </c>
      <c r="AA16" s="131" t="e">
        <f t="shared" si="36"/>
        <v>#VALUE!</v>
      </c>
      <c r="AB16" s="131" t="e">
        <f t="shared" si="36"/>
        <v>#VALUE!</v>
      </c>
      <c r="AC16" s="131" t="e">
        <f t="shared" si="36"/>
        <v>#VALUE!</v>
      </c>
      <c r="AD16" s="131" t="e">
        <f t="shared" si="36"/>
        <v>#VALUE!</v>
      </c>
      <c r="AE16" s="131" t="e">
        <f t="shared" si="36"/>
        <v>#VALUE!</v>
      </c>
      <c r="AF16" s="131" t="e">
        <f t="shared" si="36"/>
        <v>#VALUE!</v>
      </c>
      <c r="AG16" s="116" t="e">
        <f t="shared" si="19"/>
        <v>#VALUE!</v>
      </c>
      <c r="AH16" s="21">
        <f t="shared" si="17"/>
        <v>0.05</v>
      </c>
      <c r="AI16" s="124" t="e">
        <f t="shared" si="1"/>
        <v>#VALUE!</v>
      </c>
    </row>
    <row r="17" spans="2:35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81"/>
      <c r="U17" s="10"/>
      <c r="V17" s="10"/>
      <c r="W17" s="131">
        <f t="shared" si="3"/>
        <v>0</v>
      </c>
      <c r="X17" s="131"/>
      <c r="Y17" s="131"/>
      <c r="Z17" s="131"/>
      <c r="AA17" s="131"/>
      <c r="AB17" s="131"/>
      <c r="AC17" s="131"/>
      <c r="AD17" s="131"/>
      <c r="AE17" s="131"/>
      <c r="AF17" s="131"/>
      <c r="AG17" s="117"/>
      <c r="AH17" s="115"/>
      <c r="AI17" s="131"/>
    </row>
    <row r="18" spans="2:35">
      <c r="B18" s="10" t="s">
        <v>229</v>
      </c>
      <c r="C18" s="119"/>
      <c r="D18" s="119"/>
      <c r="E18" s="125"/>
      <c r="F18" s="125"/>
      <c r="G18" s="181">
        <f>H18</f>
        <v>16</v>
      </c>
      <c r="H18" s="181">
        <v>16</v>
      </c>
      <c r="I18" s="181">
        <v>29</v>
      </c>
      <c r="J18" s="181">
        <v>69</v>
      </c>
      <c r="K18" s="181">
        <v>97</v>
      </c>
      <c r="L18" s="181">
        <v>130</v>
      </c>
      <c r="M18" s="181">
        <v>114</v>
      </c>
      <c r="N18" s="181">
        <v>129</v>
      </c>
      <c r="O18" s="181">
        <v>169</v>
      </c>
      <c r="P18" s="181">
        <v>218</v>
      </c>
      <c r="Q18" s="181">
        <v>277</v>
      </c>
      <c r="R18" s="181">
        <v>296</v>
      </c>
      <c r="S18" s="181">
        <v>414</v>
      </c>
      <c r="T18" s="181">
        <v>13260</v>
      </c>
      <c r="U18" s="101">
        <f t="shared" si="2"/>
        <v>0.67684962687125894</v>
      </c>
      <c r="V18" s="21">
        <f t="shared" si="7"/>
        <v>0.15</v>
      </c>
      <c r="W18" s="131">
        <f t="shared" si="3"/>
        <v>15248.999999999998</v>
      </c>
      <c r="X18" s="131">
        <f t="shared" ref="X18:X34" si="37">W18*(1+$V18)</f>
        <v>17536.349999999995</v>
      </c>
      <c r="Y18" s="131">
        <f t="shared" ref="Y18:Y34" si="38">X18*(1+$V18)</f>
        <v>20166.802499999994</v>
      </c>
      <c r="Z18" s="131">
        <f t="shared" ref="Z18:Z34" si="39">Y18*(1+$V18)</f>
        <v>23191.822874999991</v>
      </c>
      <c r="AA18" s="131">
        <f t="shared" ref="AA18:AA51" si="40">Z18*(1+$V18)</f>
        <v>26670.596306249987</v>
      </c>
      <c r="AB18" s="131">
        <f t="shared" ref="AB18:AB51" si="41">AA18*(1+$V18)</f>
        <v>30671.185752187481</v>
      </c>
      <c r="AC18" s="131">
        <f t="shared" ref="AC18:AC51" si="42">AB18*(1+$V18)</f>
        <v>35271.863615015602</v>
      </c>
      <c r="AD18" s="131">
        <f t="shared" ref="AD18:AD51" si="43">AC18*(1+$V18)</f>
        <v>40562.643157267936</v>
      </c>
      <c r="AE18" s="131">
        <f t="shared" ref="AE18:AE51" si="44">AD18*(1+$V18)</f>
        <v>46647.039630858126</v>
      </c>
      <c r="AF18" s="131">
        <f t="shared" ref="AF18:AF51" si="45">AE18*(1+$V18)</f>
        <v>53644.095575486841</v>
      </c>
      <c r="AG18" s="116">
        <f t="shared" si="19"/>
        <v>0.33561542997889449</v>
      </c>
      <c r="AH18" s="21">
        <f t="shared" si="17"/>
        <v>0.05</v>
      </c>
      <c r="AI18" s="124">
        <f t="shared" si="1"/>
        <v>331331.17855447758</v>
      </c>
    </row>
    <row r="19" spans="2:35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81"/>
      <c r="U19" s="10"/>
      <c r="V19" s="10"/>
      <c r="W19" s="131">
        <f t="shared" si="3"/>
        <v>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17"/>
      <c r="AH19" s="115"/>
      <c r="AI19" s="131"/>
    </row>
    <row r="20" spans="2:35">
      <c r="B20" s="10" t="s">
        <v>234</v>
      </c>
      <c r="C20" s="119"/>
      <c r="D20" s="119"/>
      <c r="E20" s="125"/>
      <c r="F20" s="125"/>
      <c r="G20" s="125">
        <f>H20</f>
        <v>-55</v>
      </c>
      <c r="H20" s="125">
        <v>-55</v>
      </c>
      <c r="I20" s="125">
        <v>-166</v>
      </c>
      <c r="J20" s="125">
        <v>1801</v>
      </c>
      <c r="K20" s="125">
        <v>-196</v>
      </c>
      <c r="L20" s="125">
        <v>-365</v>
      </c>
      <c r="M20" s="125">
        <v>960</v>
      </c>
      <c r="N20" s="125">
        <v>3050</v>
      </c>
      <c r="O20" s="125">
        <v>3588</v>
      </c>
      <c r="P20" s="125">
        <v>540</v>
      </c>
      <c r="Q20" s="125">
        <v>4448</v>
      </c>
      <c r="R20" s="181">
        <v>-1449</v>
      </c>
      <c r="S20" s="181">
        <v>-363</v>
      </c>
      <c r="T20" s="181"/>
      <c r="U20" s="101">
        <f t="shared" si="2"/>
        <v>-1</v>
      </c>
      <c r="V20" s="21">
        <f t="shared" si="7"/>
        <v>0.15</v>
      </c>
      <c r="W20" s="131">
        <f t="shared" si="3"/>
        <v>0</v>
      </c>
      <c r="X20" s="131">
        <f t="shared" ref="X20:X22" si="46">W20*(1+$V20)</f>
        <v>0</v>
      </c>
      <c r="Y20" s="131">
        <f t="shared" ref="Y20:Y22" si="47">X20*(1+$V20)</f>
        <v>0</v>
      </c>
      <c r="Z20" s="131">
        <f t="shared" ref="Z20:Z22" si="48">Y20*(1+$V20)</f>
        <v>0</v>
      </c>
      <c r="AA20" s="131">
        <f t="shared" ref="AA20:AA22" si="49">Z20*(1+$V20)</f>
        <v>0</v>
      </c>
      <c r="AB20" s="131">
        <f t="shared" ref="AB20:AB22" si="50">AA20*(1+$V20)</f>
        <v>0</v>
      </c>
      <c r="AC20" s="131">
        <f t="shared" ref="AC20:AC22" si="51">AB20*(1+$V20)</f>
        <v>0</v>
      </c>
      <c r="AD20" s="131">
        <f t="shared" ref="AD20:AD22" si="52">AC20*(1+$V20)</f>
        <v>0</v>
      </c>
      <c r="AE20" s="131">
        <f t="shared" ref="AE20:AE22" si="53">AD20*(1+$V20)</f>
        <v>0</v>
      </c>
      <c r="AF20" s="131">
        <f t="shared" ref="AF20:AF22" si="54">AE20*(1+$V20)</f>
        <v>0</v>
      </c>
      <c r="AG20" s="116">
        <f t="shared" ref="AG20:AG22" si="55">((AF20/J20)^(1/($AF$3-$K$1) ))-1</f>
        <v>-1</v>
      </c>
      <c r="AH20" s="21">
        <f t="shared" si="17"/>
        <v>0.05</v>
      </c>
      <c r="AI20" s="124">
        <f t="shared" si="1"/>
        <v>0</v>
      </c>
    </row>
    <row r="21" spans="2:35">
      <c r="B21" s="10" t="s">
        <v>235</v>
      </c>
      <c r="C21" s="119"/>
      <c r="D21" s="119"/>
      <c r="E21" s="125"/>
      <c r="F21" s="125"/>
      <c r="G21" s="125">
        <f>H21</f>
        <v>-108</v>
      </c>
      <c r="H21" s="125">
        <v>-108</v>
      </c>
      <c r="I21" s="125">
        <v>-70</v>
      </c>
      <c r="J21" s="125">
        <v>-1222</v>
      </c>
      <c r="K21" s="125">
        <v>-49</v>
      </c>
      <c r="L21" s="125">
        <v>-60</v>
      </c>
      <c r="M21" s="125">
        <v>-2006</v>
      </c>
      <c r="N21" s="125">
        <v>-3423</v>
      </c>
      <c r="O21" s="125">
        <v>-4863</v>
      </c>
      <c r="P21" s="125">
        <v>-6741</v>
      </c>
      <c r="Q21" s="125">
        <v>-2798</v>
      </c>
      <c r="R21" s="181">
        <v>-4459</v>
      </c>
      <c r="S21" s="181">
        <v>-4035</v>
      </c>
      <c r="T21" s="181"/>
      <c r="U21" s="101">
        <f t="shared" si="2"/>
        <v>-1</v>
      </c>
      <c r="V21" s="21">
        <f t="shared" si="7"/>
        <v>0.15</v>
      </c>
      <c r="W21" s="131">
        <f t="shared" si="3"/>
        <v>0</v>
      </c>
      <c r="X21" s="131">
        <f t="shared" si="46"/>
        <v>0</v>
      </c>
      <c r="Y21" s="131">
        <f t="shared" si="47"/>
        <v>0</v>
      </c>
      <c r="Z21" s="131">
        <f t="shared" si="48"/>
        <v>0</v>
      </c>
      <c r="AA21" s="131">
        <f t="shared" si="49"/>
        <v>0</v>
      </c>
      <c r="AB21" s="131">
        <f t="shared" si="50"/>
        <v>0</v>
      </c>
      <c r="AC21" s="131">
        <f t="shared" si="51"/>
        <v>0</v>
      </c>
      <c r="AD21" s="131">
        <f t="shared" si="52"/>
        <v>0</v>
      </c>
      <c r="AE21" s="131">
        <f t="shared" si="53"/>
        <v>0</v>
      </c>
      <c r="AF21" s="131">
        <f t="shared" si="54"/>
        <v>0</v>
      </c>
      <c r="AG21" s="116">
        <f t="shared" si="55"/>
        <v>-1</v>
      </c>
      <c r="AH21" s="21">
        <f t="shared" si="17"/>
        <v>0.05</v>
      </c>
      <c r="AI21" s="124">
        <f t="shared" si="1"/>
        <v>0</v>
      </c>
    </row>
    <row r="22" spans="2:35">
      <c r="B22" s="10" t="s">
        <v>236</v>
      </c>
      <c r="C22" s="119"/>
      <c r="D22" s="119"/>
      <c r="E22" s="125"/>
      <c r="F22" s="125"/>
      <c r="G22" s="125">
        <f>H22</f>
        <v>217</v>
      </c>
      <c r="H22" s="125">
        <v>217</v>
      </c>
      <c r="I22" s="125">
        <v>398</v>
      </c>
      <c r="J22" s="125">
        <v>498</v>
      </c>
      <c r="K22" s="125">
        <v>580</v>
      </c>
      <c r="L22" s="125">
        <v>720</v>
      </c>
      <c r="M22" s="125">
        <v>1796</v>
      </c>
      <c r="N22" s="125">
        <v>1195</v>
      </c>
      <c r="O22" s="125">
        <v>1364</v>
      </c>
      <c r="P22" s="125">
        <v>6681</v>
      </c>
      <c r="Q22" s="125">
        <v>175</v>
      </c>
      <c r="R22" s="181">
        <v>7573</v>
      </c>
      <c r="S22" s="181">
        <v>5059</v>
      </c>
      <c r="T22" s="181"/>
      <c r="U22" s="101">
        <f t="shared" si="2"/>
        <v>-1</v>
      </c>
      <c r="V22" s="21">
        <f t="shared" si="7"/>
        <v>0.15</v>
      </c>
      <c r="W22" s="131">
        <f t="shared" si="3"/>
        <v>0</v>
      </c>
      <c r="X22" s="131">
        <f t="shared" si="46"/>
        <v>0</v>
      </c>
      <c r="Y22" s="131">
        <f t="shared" si="47"/>
        <v>0</v>
      </c>
      <c r="Z22" s="131">
        <f t="shared" si="48"/>
        <v>0</v>
      </c>
      <c r="AA22" s="131">
        <f t="shared" si="49"/>
        <v>0</v>
      </c>
      <c r="AB22" s="131">
        <f t="shared" si="50"/>
        <v>0</v>
      </c>
      <c r="AC22" s="131">
        <f t="shared" si="51"/>
        <v>0</v>
      </c>
      <c r="AD22" s="131">
        <f t="shared" si="52"/>
        <v>0</v>
      </c>
      <c r="AE22" s="131">
        <f t="shared" si="53"/>
        <v>0</v>
      </c>
      <c r="AF22" s="131">
        <f t="shared" si="54"/>
        <v>0</v>
      </c>
      <c r="AG22" s="116">
        <f t="shared" si="55"/>
        <v>-1</v>
      </c>
      <c r="AH22" s="21">
        <f t="shared" si="17"/>
        <v>0.05</v>
      </c>
      <c r="AI22" s="124">
        <f t="shared" si="1"/>
        <v>0</v>
      </c>
    </row>
    <row r="23" spans="2:35">
      <c r="B23" s="10" t="s">
        <v>245</v>
      </c>
      <c r="C23" s="119"/>
      <c r="D23" s="119"/>
      <c r="E23" s="125"/>
      <c r="F23" s="125"/>
      <c r="G23" s="125">
        <f>H23</f>
        <v>53</v>
      </c>
      <c r="H23" s="125">
        <v>53</v>
      </c>
      <c r="I23" s="125">
        <v>216</v>
      </c>
      <c r="J23" s="125">
        <v>1292</v>
      </c>
      <c r="K23" s="125">
        <v>1627</v>
      </c>
      <c r="L23" s="125">
        <v>1922</v>
      </c>
      <c r="M23" s="125">
        <v>2673</v>
      </c>
      <c r="N23" s="125">
        <v>3495</v>
      </c>
      <c r="O23" s="125">
        <v>3585</v>
      </c>
      <c r="P23" s="125">
        <v>4065</v>
      </c>
      <c r="Q23" s="125">
        <v>5891</v>
      </c>
      <c r="R23" s="181">
        <v>7557</v>
      </c>
      <c r="S23" s="181">
        <v>8218</v>
      </c>
      <c r="T23" s="181"/>
      <c r="U23" s="101">
        <f t="shared" si="2"/>
        <v>-1</v>
      </c>
      <c r="V23" s="21">
        <f t="shared" si="7"/>
        <v>0.15</v>
      </c>
      <c r="W23" s="131">
        <f t="shared" si="3"/>
        <v>0</v>
      </c>
      <c r="X23" s="131">
        <f t="shared" ref="X23" si="56">W23*(1+$V23)</f>
        <v>0</v>
      </c>
      <c r="Y23" s="131">
        <f t="shared" ref="Y23" si="57">X23*(1+$V23)</f>
        <v>0</v>
      </c>
      <c r="Z23" s="131">
        <f t="shared" ref="Z23" si="58">Y23*(1+$V23)</f>
        <v>0</v>
      </c>
      <c r="AA23" s="131">
        <f t="shared" ref="AA23" si="59">Z23*(1+$V23)</f>
        <v>0</v>
      </c>
      <c r="AB23" s="131">
        <f t="shared" ref="AB23" si="60">AA23*(1+$V23)</f>
        <v>0</v>
      </c>
      <c r="AC23" s="131">
        <f t="shared" ref="AC23" si="61">AB23*(1+$V23)</f>
        <v>0</v>
      </c>
      <c r="AD23" s="131">
        <f t="shared" ref="AD23" si="62">AC23*(1+$V23)</f>
        <v>0</v>
      </c>
      <c r="AE23" s="131">
        <f t="shared" ref="AE23" si="63">AD23*(1+$V23)</f>
        <v>0</v>
      </c>
      <c r="AF23" s="131">
        <f t="shared" ref="AF23" si="64">AE23*(1+$V23)</f>
        <v>0</v>
      </c>
      <c r="AG23" s="116">
        <f t="shared" ref="AG23" si="65">((AF23/J23)^(1/($AF$3-$K$1) ))-1</f>
        <v>-1</v>
      </c>
      <c r="AH23" s="21">
        <f t="shared" si="17"/>
        <v>0.05</v>
      </c>
      <c r="AI23" s="124">
        <f t="shared" si="1"/>
        <v>0</v>
      </c>
    </row>
    <row r="24" spans="2:35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81"/>
      <c r="U24" s="10"/>
      <c r="V24" s="10"/>
      <c r="W24" s="131">
        <f t="shared" si="3"/>
        <v>0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02"/>
      <c r="AH24" s="115"/>
      <c r="AI24" s="131"/>
    </row>
    <row r="25" spans="2:35">
      <c r="B25" s="10" t="s">
        <v>68</v>
      </c>
      <c r="C25" s="119"/>
      <c r="D25" s="119"/>
      <c r="E25" s="125"/>
      <c r="F25" s="125"/>
      <c r="G25" s="121">
        <f>H25</f>
        <v>48</v>
      </c>
      <c r="H25" s="273">
        <v>48</v>
      </c>
      <c r="I25" s="273">
        <v>289</v>
      </c>
      <c r="J25" s="121">
        <v>788</v>
      </c>
      <c r="K25" s="121">
        <v>1671</v>
      </c>
      <c r="L25" s="274">
        <v>2438</v>
      </c>
      <c r="M25" s="274">
        <v>2945</v>
      </c>
      <c r="N25" s="274">
        <v>4665</v>
      </c>
      <c r="O25" s="274">
        <v>7164</v>
      </c>
      <c r="P25" s="274">
        <v>9551</v>
      </c>
      <c r="Q25" s="274">
        <v>11702</v>
      </c>
      <c r="R25" s="181">
        <v>13619</v>
      </c>
      <c r="S25" s="181">
        <v>16262</v>
      </c>
      <c r="T25" s="181">
        <v>20642</v>
      </c>
      <c r="U25" s="101">
        <f t="shared" si="2"/>
        <v>0.59432822102920024</v>
      </c>
      <c r="V25" s="21">
        <f t="shared" si="7"/>
        <v>0.15</v>
      </c>
      <c r="W25" s="131">
        <f t="shared" si="3"/>
        <v>23738.3</v>
      </c>
      <c r="X25" s="131">
        <f t="shared" si="37"/>
        <v>27299.044999999998</v>
      </c>
      <c r="Y25" s="131">
        <f t="shared" si="38"/>
        <v>31393.901749999997</v>
      </c>
      <c r="Z25" s="131">
        <f t="shared" si="39"/>
        <v>36102.987012499994</v>
      </c>
      <c r="AA25" s="131">
        <f t="shared" si="40"/>
        <v>41518.435064374993</v>
      </c>
      <c r="AB25" s="131">
        <f t="shared" si="41"/>
        <v>47746.200324031241</v>
      </c>
      <c r="AC25" s="131">
        <f t="shared" si="42"/>
        <v>54908.130372635926</v>
      </c>
      <c r="AD25" s="131">
        <f t="shared" si="43"/>
        <v>63144.349928531308</v>
      </c>
      <c r="AE25" s="131">
        <f t="shared" si="44"/>
        <v>72616.002417811003</v>
      </c>
      <c r="AF25" s="131">
        <f t="shared" si="45"/>
        <v>83508.402780482647</v>
      </c>
      <c r="AG25" s="116">
        <f t="shared" si="19"/>
        <v>0.22476381273804646</v>
      </c>
      <c r="AH25" s="21">
        <f t="shared" si="17"/>
        <v>0.05</v>
      </c>
      <c r="AI25" s="124">
        <f t="shared" si="1"/>
        <v>515787.19364415761</v>
      </c>
    </row>
    <row r="26" spans="2:35" s="106" customFormat="1">
      <c r="B26" s="13"/>
      <c r="C26" s="126"/>
      <c r="D26" s="126"/>
      <c r="E26" s="127"/>
      <c r="F26" s="271"/>
      <c r="G26" s="128" t="e">
        <f t="shared" ref="G26:S26" si="66">(G25-F25)/F25</f>
        <v>#DIV/0!</v>
      </c>
      <c r="H26" s="128">
        <f t="shared" si="66"/>
        <v>0</v>
      </c>
      <c r="I26" s="128">
        <f t="shared" si="66"/>
        <v>5.020833333333333</v>
      </c>
      <c r="J26" s="128">
        <f t="shared" si="66"/>
        <v>1.726643598615917</v>
      </c>
      <c r="K26" s="128">
        <f t="shared" si="66"/>
        <v>1.1205583756345177</v>
      </c>
      <c r="L26" s="128">
        <f t="shared" si="66"/>
        <v>0.4590065828845003</v>
      </c>
      <c r="M26" s="128">
        <f t="shared" si="66"/>
        <v>0.20795734208367514</v>
      </c>
      <c r="N26" s="128">
        <f t="shared" si="66"/>
        <v>0.58404074702886244</v>
      </c>
      <c r="O26" s="128">
        <f t="shared" si="66"/>
        <v>0.53569131832797423</v>
      </c>
      <c r="P26" s="128">
        <f t="shared" si="66"/>
        <v>0.3331937465103294</v>
      </c>
      <c r="Q26" s="128">
        <f t="shared" si="66"/>
        <v>0.22521201968380275</v>
      </c>
      <c r="R26" s="128">
        <f t="shared" si="66"/>
        <v>0.16381815074346265</v>
      </c>
      <c r="S26" s="128">
        <f t="shared" si="66"/>
        <v>0.19406711212276967</v>
      </c>
      <c r="T26" s="128">
        <f t="shared" ref="T26" si="67">(T25-S25)/S25</f>
        <v>0.26933956462919689</v>
      </c>
      <c r="U26" s="10"/>
      <c r="V26" s="10"/>
      <c r="W26" s="131"/>
      <c r="X26" s="132"/>
      <c r="Y26" s="132"/>
      <c r="Z26" s="132"/>
      <c r="AA26" s="132"/>
      <c r="AB26" s="132"/>
      <c r="AC26" s="132"/>
      <c r="AD26" s="132"/>
      <c r="AE26" s="132"/>
      <c r="AF26" s="132"/>
      <c r="AG26" s="102"/>
      <c r="AH26" s="115"/>
      <c r="AI26" s="131"/>
    </row>
    <row r="27" spans="2:35">
      <c r="B27" s="10" t="s">
        <v>219</v>
      </c>
      <c r="C27" s="119"/>
      <c r="D27" s="119"/>
      <c r="E27" s="125"/>
      <c r="F27" s="125"/>
      <c r="G27" s="121">
        <f>H27</f>
        <v>11.85</v>
      </c>
      <c r="H27" s="273">
        <v>11.85</v>
      </c>
      <c r="I27" s="273">
        <v>105</v>
      </c>
      <c r="J27" s="121">
        <v>416</v>
      </c>
      <c r="K27" s="121">
        <v>974</v>
      </c>
      <c r="L27" s="274">
        <v>1492</v>
      </c>
      <c r="M27" s="274">
        <v>2467</v>
      </c>
      <c r="N27" s="274">
        <v>3937</v>
      </c>
      <c r="O27" s="274">
        <v>6187</v>
      </c>
      <c r="P27" s="274">
        <v>8250</v>
      </c>
      <c r="Q27" s="274">
        <v>10091</v>
      </c>
      <c r="R27" s="181">
        <v>11622</v>
      </c>
      <c r="S27" s="181">
        <v>13733</v>
      </c>
      <c r="T27" s="181">
        <v>17302</v>
      </c>
      <c r="U27" s="101">
        <f t="shared" si="2"/>
        <v>0.75151430653124196</v>
      </c>
      <c r="V27" s="21">
        <f t="shared" si="7"/>
        <v>0.15</v>
      </c>
      <c r="W27" s="131">
        <f t="shared" si="3"/>
        <v>19897.3</v>
      </c>
      <c r="X27" s="131">
        <f t="shared" si="37"/>
        <v>22881.894999999997</v>
      </c>
      <c r="Y27" s="131">
        <f t="shared" si="38"/>
        <v>26314.179249999994</v>
      </c>
      <c r="Z27" s="131">
        <f t="shared" si="39"/>
        <v>30261.306137499989</v>
      </c>
      <c r="AA27" s="131">
        <f t="shared" si="40"/>
        <v>34800.502058124985</v>
      </c>
      <c r="AB27" s="131">
        <f t="shared" si="41"/>
        <v>40020.577366843732</v>
      </c>
      <c r="AC27" s="131">
        <f t="shared" si="42"/>
        <v>46023.663971870286</v>
      </c>
      <c r="AD27" s="131">
        <f t="shared" si="43"/>
        <v>52927.213567650826</v>
      </c>
      <c r="AE27" s="131">
        <f t="shared" si="44"/>
        <v>60866.295602798447</v>
      </c>
      <c r="AF27" s="131">
        <f t="shared" si="45"/>
        <v>69996.239943218214</v>
      </c>
      <c r="AG27" s="116">
        <f t="shared" si="19"/>
        <v>0.2496310253374121</v>
      </c>
      <c r="AH27" s="21">
        <f t="shared" si="17"/>
        <v>0.05</v>
      </c>
      <c r="AI27" s="124">
        <f t="shared" si="1"/>
        <v>432329.71729634784</v>
      </c>
    </row>
    <row r="28" spans="2:35" s="106" customFormat="1">
      <c r="B28" s="13"/>
      <c r="C28" s="126"/>
      <c r="D28" s="126"/>
      <c r="E28" s="127"/>
      <c r="F28" s="271"/>
      <c r="G28" s="128" t="e">
        <f t="shared" ref="G28:S28" si="68">(G27-F27)/F27</f>
        <v>#DIV/0!</v>
      </c>
      <c r="H28" s="128">
        <f t="shared" si="68"/>
        <v>0</v>
      </c>
      <c r="I28" s="128">
        <f t="shared" si="68"/>
        <v>7.8607594936708871</v>
      </c>
      <c r="J28" s="128">
        <f t="shared" si="68"/>
        <v>2.961904761904762</v>
      </c>
      <c r="K28" s="128">
        <f t="shared" si="68"/>
        <v>1.3413461538461537</v>
      </c>
      <c r="L28" s="128">
        <f t="shared" si="68"/>
        <v>0.53182751540041073</v>
      </c>
      <c r="M28" s="128">
        <f t="shared" si="68"/>
        <v>0.65348525469168905</v>
      </c>
      <c r="N28" s="128">
        <f t="shared" si="68"/>
        <v>0.5958654235914066</v>
      </c>
      <c r="O28" s="128">
        <f t="shared" si="68"/>
        <v>0.57150114300228605</v>
      </c>
      <c r="P28" s="128">
        <f t="shared" si="68"/>
        <v>0.33344108614837564</v>
      </c>
      <c r="Q28" s="128">
        <f t="shared" si="68"/>
        <v>0.22315151515151516</v>
      </c>
      <c r="R28" s="128">
        <f t="shared" si="68"/>
        <v>0.15171935387969479</v>
      </c>
      <c r="S28" s="128">
        <f t="shared" si="68"/>
        <v>0.18163827224229909</v>
      </c>
      <c r="T28" s="128">
        <f t="shared" ref="T28" si="69">(T27-S27)/S27</f>
        <v>0.25988494866380252</v>
      </c>
      <c r="U28" s="10"/>
      <c r="V28" s="10"/>
      <c r="W28" s="131"/>
      <c r="X28" s="132"/>
      <c r="Y28" s="132"/>
      <c r="Z28" s="132"/>
      <c r="AA28" s="132"/>
      <c r="AB28" s="132"/>
      <c r="AC28" s="132"/>
      <c r="AD28" s="132"/>
      <c r="AE28" s="132"/>
      <c r="AF28" s="132"/>
      <c r="AG28" s="102"/>
      <c r="AH28" s="115"/>
      <c r="AI28" s="131"/>
    </row>
    <row r="29" spans="2:35" s="106" customFormat="1">
      <c r="B29" s="10" t="s">
        <v>269</v>
      </c>
      <c r="C29" s="126"/>
      <c r="D29" s="126"/>
      <c r="E29" s="127"/>
      <c r="F29" s="125"/>
      <c r="G29" s="125">
        <f>H29</f>
        <v>12</v>
      </c>
      <c r="H29" s="125">
        <v>12</v>
      </c>
      <c r="I29" s="125">
        <v>105</v>
      </c>
      <c r="J29" s="125">
        <v>416</v>
      </c>
      <c r="K29" s="125">
        <v>974</v>
      </c>
      <c r="L29" s="125">
        <v>1492</v>
      </c>
      <c r="M29" s="125">
        <v>1581</v>
      </c>
      <c r="N29" s="125">
        <v>2794</v>
      </c>
      <c r="O29" s="125">
        <v>4691</v>
      </c>
      <c r="P29" s="125">
        <v>6075</v>
      </c>
      <c r="Q29" s="125">
        <v>7265</v>
      </c>
      <c r="R29" s="181">
        <v>8083</v>
      </c>
      <c r="S29" s="181">
        <v>8965</v>
      </c>
      <c r="T29" s="181">
        <v>10626.53</v>
      </c>
      <c r="U29" s="101">
        <f t="shared" si="2"/>
        <v>0.68542130320274608</v>
      </c>
      <c r="V29" s="21">
        <f t="shared" si="7"/>
        <v>0.15</v>
      </c>
      <c r="W29" s="131">
        <f t="shared" si="3"/>
        <v>12220.5095</v>
      </c>
      <c r="X29" s="131">
        <f t="shared" ref="X29" si="70">W29*(1+$V29)</f>
        <v>14053.585924999999</v>
      </c>
      <c r="Y29" s="131">
        <f t="shared" ref="Y29" si="71">X29*(1+$V29)</f>
        <v>16161.623813749999</v>
      </c>
      <c r="Z29" s="131">
        <f t="shared" ref="Z29" si="72">Y29*(1+$V29)</f>
        <v>18585.867385812497</v>
      </c>
      <c r="AA29" s="131">
        <f t="shared" ref="AA29" si="73">Z29*(1+$V29)</f>
        <v>21373.747493684368</v>
      </c>
      <c r="AB29" s="131">
        <f t="shared" ref="AB29" si="74">AA29*(1+$V29)</f>
        <v>24579.809617737021</v>
      </c>
      <c r="AC29" s="131">
        <f t="shared" ref="AC29" si="75">AB29*(1+$V29)</f>
        <v>28266.78106039757</v>
      </c>
      <c r="AD29" s="131">
        <f t="shared" ref="AD29" si="76">AC29*(1+$V29)</f>
        <v>32506.798219457203</v>
      </c>
      <c r="AE29" s="131">
        <f t="shared" ref="AE29" si="77">AD29*(1+$V29)</f>
        <v>37382.817952375779</v>
      </c>
      <c r="AF29" s="131">
        <f t="shared" ref="AF29" si="78">AE29*(1+$V29)</f>
        <v>42990.240645232145</v>
      </c>
      <c r="AG29" s="116">
        <f t="shared" ref="AG29" si="79">((AF29/J29)^(1/($AF$3-$K$1) ))-1</f>
        <v>0.22342469095638173</v>
      </c>
      <c r="AH29" s="21">
        <f t="shared" si="17"/>
        <v>0.05</v>
      </c>
      <c r="AI29" s="124">
        <f t="shared" ref="AI29" si="80">(AF29*(1+AH29))/($C$1-AH29)</f>
        <v>265527.95692643384</v>
      </c>
    </row>
    <row r="30" spans="2:35" s="106" customFormat="1">
      <c r="B30" s="13"/>
      <c r="C30" s="126"/>
      <c r="D30" s="126"/>
      <c r="E30" s="127"/>
      <c r="F30" s="271"/>
      <c r="G30" s="128" t="e">
        <f t="shared" ref="G30:S30" si="81">(G29-F29)/F29</f>
        <v>#DIV/0!</v>
      </c>
      <c r="H30" s="128">
        <f t="shared" si="81"/>
        <v>0</v>
      </c>
      <c r="I30" s="128">
        <f t="shared" si="81"/>
        <v>7.75</v>
      </c>
      <c r="J30" s="128">
        <f t="shared" si="81"/>
        <v>2.961904761904762</v>
      </c>
      <c r="K30" s="128">
        <f t="shared" si="81"/>
        <v>1.3413461538461537</v>
      </c>
      <c r="L30" s="128">
        <f t="shared" si="81"/>
        <v>0.53182751540041073</v>
      </c>
      <c r="M30" s="128">
        <f t="shared" si="81"/>
        <v>5.9651474530831097E-2</v>
      </c>
      <c r="N30" s="128">
        <f t="shared" si="81"/>
        <v>0.76723592662871598</v>
      </c>
      <c r="O30" s="128">
        <f t="shared" si="81"/>
        <v>0.67895490336435216</v>
      </c>
      <c r="P30" s="128">
        <f t="shared" si="81"/>
        <v>0.29503304199531016</v>
      </c>
      <c r="Q30" s="128">
        <f t="shared" si="81"/>
        <v>0.19588477366255144</v>
      </c>
      <c r="R30" s="128">
        <f t="shared" si="81"/>
        <v>0.11259463179628355</v>
      </c>
      <c r="S30" s="128">
        <f t="shared" si="81"/>
        <v>0.10911790176914513</v>
      </c>
      <c r="T30" s="128">
        <f t="shared" ref="T30" si="82">(T29-S29)/S29</f>
        <v>0.18533519241494709</v>
      </c>
      <c r="U30" s="10"/>
      <c r="V30" s="10"/>
      <c r="W30" s="131"/>
      <c r="X30" s="132"/>
      <c r="Y30" s="132"/>
      <c r="Z30" s="132"/>
      <c r="AA30" s="132"/>
      <c r="AB30" s="132"/>
      <c r="AC30" s="132"/>
      <c r="AD30" s="132"/>
      <c r="AE30" s="132"/>
      <c r="AF30" s="132"/>
      <c r="AG30" s="139"/>
      <c r="AH30" s="115"/>
      <c r="AI30" s="131"/>
    </row>
    <row r="31" spans="2:35">
      <c r="B31" s="10" t="s">
        <v>277</v>
      </c>
      <c r="C31" s="119"/>
      <c r="D31" s="119"/>
      <c r="E31" s="125"/>
      <c r="F31" s="125"/>
      <c r="G31" s="181">
        <f>H31</f>
        <v>0</v>
      </c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>
        <v>0</v>
      </c>
      <c r="U31" s="101" t="e">
        <f t="shared" si="2"/>
        <v>#DIV/0!</v>
      </c>
      <c r="V31" s="21">
        <f t="shared" si="7"/>
        <v>0.15</v>
      </c>
      <c r="W31" s="131">
        <f t="shared" si="3"/>
        <v>0</v>
      </c>
      <c r="X31" s="131">
        <f>W31*(1+$V31)</f>
        <v>0</v>
      </c>
      <c r="Y31" s="131">
        <f t="shared" ref="Y31:AF32" si="83">X31*(1+$V31)</f>
        <v>0</v>
      </c>
      <c r="Z31" s="131">
        <f t="shared" si="83"/>
        <v>0</v>
      </c>
      <c r="AA31" s="131">
        <f t="shared" si="83"/>
        <v>0</v>
      </c>
      <c r="AB31" s="131">
        <f t="shared" si="83"/>
        <v>0</v>
      </c>
      <c r="AC31" s="131">
        <f t="shared" si="83"/>
        <v>0</v>
      </c>
      <c r="AD31" s="131">
        <f t="shared" si="83"/>
        <v>0</v>
      </c>
      <c r="AE31" s="131">
        <f t="shared" si="83"/>
        <v>0</v>
      </c>
      <c r="AF31" s="131">
        <f t="shared" si="83"/>
        <v>0</v>
      </c>
      <c r="AG31" s="116" t="e">
        <f t="shared" ref="AG31" si="84">((AF31/J31)^(1/($AF$3-$K$1) ))-1</f>
        <v>#DIV/0!</v>
      </c>
      <c r="AH31" s="21">
        <f t="shared" si="17"/>
        <v>0.05</v>
      </c>
      <c r="AI31" s="124">
        <f t="shared" si="1"/>
        <v>0</v>
      </c>
    </row>
    <row r="32" spans="2:35">
      <c r="B32" s="10" t="s">
        <v>276</v>
      </c>
      <c r="C32" s="119"/>
      <c r="D32" s="119"/>
      <c r="E32" s="125"/>
      <c r="F32" s="125"/>
      <c r="G32" s="181">
        <f>H32</f>
        <v>0</v>
      </c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01" t="e">
        <f t="shared" si="2"/>
        <v>#DIV/0!</v>
      </c>
      <c r="V32" s="21">
        <f t="shared" si="7"/>
        <v>0.15</v>
      </c>
      <c r="W32" s="131">
        <f t="shared" si="3"/>
        <v>0</v>
      </c>
      <c r="X32" s="131">
        <f>W32*(1+$V32)</f>
        <v>0</v>
      </c>
      <c r="Y32" s="131">
        <f t="shared" si="83"/>
        <v>0</v>
      </c>
      <c r="Z32" s="131">
        <f t="shared" si="83"/>
        <v>0</v>
      </c>
      <c r="AA32" s="131">
        <f t="shared" si="83"/>
        <v>0</v>
      </c>
      <c r="AB32" s="131">
        <f t="shared" si="83"/>
        <v>0</v>
      </c>
      <c r="AC32" s="131">
        <f t="shared" si="83"/>
        <v>0</v>
      </c>
      <c r="AD32" s="131">
        <f t="shared" si="83"/>
        <v>0</v>
      </c>
      <c r="AE32" s="131">
        <f t="shared" si="83"/>
        <v>0</v>
      </c>
      <c r="AF32" s="131">
        <f t="shared" si="83"/>
        <v>0</v>
      </c>
      <c r="AG32" s="116" t="e">
        <f t="shared" ref="AG32" si="85">((AF32/J32)^(1/($AF$3-$K$1) ))-1</f>
        <v>#DIV/0!</v>
      </c>
      <c r="AH32" s="21">
        <f t="shared" si="17"/>
        <v>0.05</v>
      </c>
      <c r="AI32" s="124">
        <f t="shared" si="1"/>
        <v>0</v>
      </c>
    </row>
    <row r="33" spans="1:35">
      <c r="B33" s="10" t="s">
        <v>509</v>
      </c>
      <c r="C33" s="119"/>
      <c r="D33" s="119"/>
      <c r="E33" s="125"/>
      <c r="F33" s="125"/>
      <c r="G33" s="125">
        <f>H33</f>
        <v>12</v>
      </c>
      <c r="H33" s="125">
        <v>12</v>
      </c>
      <c r="I33" s="125">
        <v>105</v>
      </c>
      <c r="J33" s="125">
        <v>416</v>
      </c>
      <c r="K33" s="125">
        <v>974</v>
      </c>
      <c r="L33" s="274">
        <v>1492</v>
      </c>
      <c r="M33" s="125">
        <v>1581</v>
      </c>
      <c r="N33" s="125">
        <v>2794</v>
      </c>
      <c r="O33" s="125">
        <v>4691</v>
      </c>
      <c r="P33" s="125">
        <v>6075</v>
      </c>
      <c r="Q33" s="125">
        <v>7265</v>
      </c>
      <c r="R33" s="181">
        <v>8083</v>
      </c>
      <c r="S33" s="181">
        <v>8965</v>
      </c>
      <c r="T33" s="181">
        <v>10626</v>
      </c>
      <c r="U33" s="101">
        <f t="shared" si="2"/>
        <v>0.68541483684808102</v>
      </c>
      <c r="V33" s="21">
        <f t="shared" si="7"/>
        <v>0.15</v>
      </c>
      <c r="W33" s="131">
        <f t="shared" si="3"/>
        <v>12219.9</v>
      </c>
      <c r="X33" s="131">
        <f t="shared" si="37"/>
        <v>14052.884999999998</v>
      </c>
      <c r="Y33" s="131">
        <f t="shared" si="38"/>
        <v>16160.817749999997</v>
      </c>
      <c r="Z33" s="131">
        <f t="shared" si="39"/>
        <v>18584.940412499993</v>
      </c>
      <c r="AA33" s="131">
        <f t="shared" si="40"/>
        <v>21372.681474374989</v>
      </c>
      <c r="AB33" s="131">
        <f t="shared" si="41"/>
        <v>24578.583695531237</v>
      </c>
      <c r="AC33" s="131">
        <f t="shared" si="42"/>
        <v>28265.37124986092</v>
      </c>
      <c r="AD33" s="131">
        <f t="shared" si="43"/>
        <v>32505.176937340057</v>
      </c>
      <c r="AE33" s="131">
        <f t="shared" si="44"/>
        <v>37380.953477941061</v>
      </c>
      <c r="AF33" s="131">
        <f t="shared" si="45"/>
        <v>42988.096499632215</v>
      </c>
      <c r="AG33" s="116">
        <f t="shared" si="19"/>
        <v>0.2234220379141596</v>
      </c>
      <c r="AH33" s="21">
        <f t="shared" si="17"/>
        <v>0.05</v>
      </c>
      <c r="AI33" s="124">
        <f t="shared" si="1"/>
        <v>265514.71367419901</v>
      </c>
    </row>
    <row r="34" spans="1:35">
      <c r="B34" s="10" t="s">
        <v>510</v>
      </c>
      <c r="C34" s="119"/>
      <c r="D34" s="119"/>
      <c r="E34" s="125"/>
      <c r="F34" s="125"/>
      <c r="G34" s="273">
        <v>21</v>
      </c>
      <c r="H34" s="273">
        <v>21</v>
      </c>
      <c r="I34" s="273">
        <v>50</v>
      </c>
      <c r="J34" s="273">
        <v>118</v>
      </c>
      <c r="K34" s="121">
        <v>202</v>
      </c>
      <c r="L34" s="121">
        <v>218</v>
      </c>
      <c r="M34" s="274">
        <v>257</v>
      </c>
      <c r="N34" s="274">
        <v>362</v>
      </c>
      <c r="O34" s="274">
        <v>475</v>
      </c>
      <c r="P34" s="274">
        <v>655</v>
      </c>
      <c r="Q34" s="274">
        <v>786</v>
      </c>
      <c r="R34" s="181">
        <v>986</v>
      </c>
      <c r="S34" s="181">
        <v>1319</v>
      </c>
      <c r="T34" s="181">
        <v>1840.24</v>
      </c>
      <c r="U34" s="101">
        <f t="shared" si="2"/>
        <v>0.41070112670246961</v>
      </c>
      <c r="V34" s="21">
        <f t="shared" si="7"/>
        <v>0.15</v>
      </c>
      <c r="W34" s="131">
        <f t="shared" si="3"/>
        <v>2116.2759999999998</v>
      </c>
      <c r="X34" s="131">
        <f t="shared" si="37"/>
        <v>2433.7173999999995</v>
      </c>
      <c r="Y34" s="131">
        <f t="shared" si="38"/>
        <v>2798.7750099999994</v>
      </c>
      <c r="Z34" s="131">
        <f t="shared" si="39"/>
        <v>3218.5912614999988</v>
      </c>
      <c r="AA34" s="131">
        <f t="shared" si="40"/>
        <v>3701.3799507249983</v>
      </c>
      <c r="AB34" s="131">
        <f t="shared" si="41"/>
        <v>4256.5869433337475</v>
      </c>
      <c r="AC34" s="131">
        <f t="shared" si="42"/>
        <v>4895.0749848338091</v>
      </c>
      <c r="AD34" s="131">
        <f t="shared" si="43"/>
        <v>5629.3362325588805</v>
      </c>
      <c r="AE34" s="131">
        <f t="shared" si="44"/>
        <v>6473.7366674427121</v>
      </c>
      <c r="AF34" s="131">
        <f t="shared" si="45"/>
        <v>7444.797167559118</v>
      </c>
      <c r="AG34" s="116">
        <f t="shared" si="19"/>
        <v>0.19745610561927118</v>
      </c>
      <c r="AH34" s="21">
        <f t="shared" si="17"/>
        <v>0.05</v>
      </c>
      <c r="AI34" s="124">
        <f t="shared" si="1"/>
        <v>45982.570740806324</v>
      </c>
    </row>
    <row r="35" spans="1:35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0"/>
      <c r="V35" s="125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17"/>
      <c r="AH35" s="115"/>
      <c r="AI35" s="131"/>
    </row>
    <row r="36" spans="1:35">
      <c r="A36" s="303" t="s">
        <v>423</v>
      </c>
      <c r="B36" s="178" t="s">
        <v>417</v>
      </c>
      <c r="C36" s="119"/>
      <c r="D36" s="119"/>
      <c r="E36" s="125"/>
      <c r="F36" s="181"/>
      <c r="G36" s="121">
        <f>H36</f>
        <v>663</v>
      </c>
      <c r="H36" s="125">
        <v>663</v>
      </c>
      <c r="I36" s="125">
        <v>2910</v>
      </c>
      <c r="J36" s="125">
        <v>8220</v>
      </c>
      <c r="K36" s="125">
        <v>13273</v>
      </c>
      <c r="L36" s="125">
        <v>16169</v>
      </c>
      <c r="M36" s="125">
        <v>26798</v>
      </c>
      <c r="N36" s="125">
        <v>45938</v>
      </c>
      <c r="O36" s="125">
        <v>49151</v>
      </c>
      <c r="P36" s="125">
        <v>66955</v>
      </c>
      <c r="Q36" s="125">
        <v>74192</v>
      </c>
      <c r="R36" s="181">
        <v>91158</v>
      </c>
      <c r="S36" s="181">
        <v>111704</v>
      </c>
      <c r="T36" s="181">
        <v>142857</v>
      </c>
      <c r="U36" s="101">
        <f t="shared" si="2"/>
        <v>0.5117897079722209</v>
      </c>
      <c r="V36" s="21">
        <f t="shared" si="7"/>
        <v>0.15</v>
      </c>
      <c r="W36" s="131">
        <f t="shared" ref="W36:W49" si="86">T36*(1+$V36)</f>
        <v>164285.54999999999</v>
      </c>
      <c r="X36" s="131">
        <f t="shared" ref="X36:X49" si="87">W36*(1+$V36)</f>
        <v>188928.38249999998</v>
      </c>
      <c r="Y36" s="131">
        <f t="shared" ref="Y36:Y49" si="88">X36*(1+$V36)</f>
        <v>217267.63987499996</v>
      </c>
      <c r="Z36" s="131">
        <f t="shared" ref="Z36:Z49" si="89">Y36*(1+$V36)</f>
        <v>249857.78585624995</v>
      </c>
      <c r="AA36" s="131">
        <f t="shared" ref="AA36:AA49" si="90">Z36*(1+$V36)</f>
        <v>287336.45373468741</v>
      </c>
      <c r="AB36" s="131">
        <f t="shared" ref="AB36:AB49" si="91">AA36*(1+$V36)</f>
        <v>330436.92179489048</v>
      </c>
      <c r="AC36" s="131">
        <f t="shared" ref="AC36:AC49" si="92">AB36*(1+$V36)</f>
        <v>380002.46006412402</v>
      </c>
      <c r="AD36" s="131">
        <f t="shared" ref="AD36:AD49" si="93">AC36*(1+$V36)</f>
        <v>437002.82907374261</v>
      </c>
      <c r="AE36" s="131">
        <f t="shared" ref="AE36:AE49" si="94">AD36*(1+$V36)</f>
        <v>502553.25343480398</v>
      </c>
      <c r="AF36" s="131">
        <f t="shared" ref="AF36:AF49" si="95">AE36*(1+$V36)</f>
        <v>577936.24145002454</v>
      </c>
      <c r="AG36" s="116">
        <f t="shared" ref="AG36:AG49" si="96">((AF36/J36)^(1/($AF$3-$K$1) ))-1</f>
        <v>0.20310823793066679</v>
      </c>
      <c r="AH36" s="21">
        <f t="shared" si="17"/>
        <v>0.05</v>
      </c>
      <c r="AI36" s="124">
        <f t="shared" ref="AI36:AI49" si="97">(AF36*(1+AH36))/($C$1-AH36)</f>
        <v>3569606.1971913287</v>
      </c>
    </row>
    <row r="37" spans="1:35">
      <c r="A37" s="303"/>
      <c r="B37" s="178"/>
      <c r="C37" s="119"/>
      <c r="D37" s="119"/>
      <c r="E37" s="125"/>
      <c r="F37" s="128"/>
      <c r="G37" s="128" t="e">
        <f t="shared" ref="G37:S37" si="98">(G36-F36)/F36</f>
        <v>#DIV/0!</v>
      </c>
      <c r="H37" s="128">
        <f t="shared" si="98"/>
        <v>0</v>
      </c>
      <c r="I37" s="128">
        <f t="shared" si="98"/>
        <v>3.3891402714932126</v>
      </c>
      <c r="J37" s="128">
        <f t="shared" si="98"/>
        <v>1.8247422680412371</v>
      </c>
      <c r="K37" s="128">
        <f t="shared" si="98"/>
        <v>0.61472019464720196</v>
      </c>
      <c r="L37" s="128">
        <f t="shared" si="98"/>
        <v>0.2181872975212838</v>
      </c>
      <c r="M37" s="128">
        <f t="shared" si="98"/>
        <v>0.65736903952006931</v>
      </c>
      <c r="N37" s="128">
        <f t="shared" si="98"/>
        <v>0.71423240540338828</v>
      </c>
      <c r="O37" s="128">
        <f t="shared" si="98"/>
        <v>6.9942095868344295E-2</v>
      </c>
      <c r="P37" s="128">
        <f t="shared" si="98"/>
        <v>0.36223067689365424</v>
      </c>
      <c r="Q37" s="128">
        <f t="shared" si="98"/>
        <v>0.10808752146964379</v>
      </c>
      <c r="R37" s="128">
        <f t="shared" si="98"/>
        <v>0.22867694630148802</v>
      </c>
      <c r="S37" s="128">
        <f t="shared" si="98"/>
        <v>0.22538888523223413</v>
      </c>
      <c r="T37" s="128">
        <f t="shared" ref="T37" si="99">(T36-S36)/S36</f>
        <v>0.27888884910119605</v>
      </c>
      <c r="U37" s="10"/>
      <c r="V37" s="10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24"/>
    </row>
    <row r="38" spans="1:35">
      <c r="A38" s="303"/>
      <c r="B38" s="178" t="s">
        <v>418</v>
      </c>
      <c r="C38" s="119"/>
      <c r="D38" s="119"/>
      <c r="E38" s="125"/>
      <c r="F38" s="181"/>
      <c r="G38" s="121">
        <f>H38</f>
        <v>4749</v>
      </c>
      <c r="H38" s="125">
        <v>4749</v>
      </c>
      <c r="I38" s="125">
        <v>6690</v>
      </c>
      <c r="J38" s="125">
        <v>14156</v>
      </c>
      <c r="K38" s="125">
        <v>20922</v>
      </c>
      <c r="L38" s="125">
        <v>21314</v>
      </c>
      <c r="M38" s="125">
        <v>4749</v>
      </c>
      <c r="N38" s="125">
        <v>6690</v>
      </c>
      <c r="O38" s="125">
        <v>14156</v>
      </c>
      <c r="P38" s="125">
        <v>20922</v>
      </c>
      <c r="Q38" s="125">
        <v>21314</v>
      </c>
      <c r="R38" s="181">
        <v>26220</v>
      </c>
      <c r="S38" s="181">
        <v>31658</v>
      </c>
      <c r="T38" s="181">
        <v>38606</v>
      </c>
      <c r="U38" s="101">
        <f t="shared" si="2"/>
        <v>0.17490850870637442</v>
      </c>
      <c r="V38" s="21">
        <f t="shared" si="7"/>
        <v>0.15</v>
      </c>
      <c r="W38" s="131">
        <f t="shared" si="86"/>
        <v>44396.899999999994</v>
      </c>
      <c r="X38" s="131">
        <f t="shared" si="87"/>
        <v>51056.43499999999</v>
      </c>
      <c r="Y38" s="131">
        <f t="shared" si="88"/>
        <v>58714.900249999984</v>
      </c>
      <c r="Z38" s="131">
        <f t="shared" si="89"/>
        <v>67522.135287499972</v>
      </c>
      <c r="AA38" s="131">
        <f t="shared" si="90"/>
        <v>77650.455580624955</v>
      </c>
      <c r="AB38" s="131">
        <f t="shared" si="91"/>
        <v>89298.023917718689</v>
      </c>
      <c r="AC38" s="131">
        <f t="shared" si="92"/>
        <v>102692.72750537649</v>
      </c>
      <c r="AD38" s="131">
        <f t="shared" si="93"/>
        <v>118096.63663118295</v>
      </c>
      <c r="AE38" s="131">
        <f t="shared" si="94"/>
        <v>135811.13212586037</v>
      </c>
      <c r="AF38" s="131">
        <f t="shared" si="95"/>
        <v>156182.80194473942</v>
      </c>
      <c r="AG38" s="116">
        <f t="shared" si="96"/>
        <v>0.11002935330612096</v>
      </c>
      <c r="AH38" s="21">
        <f t="shared" si="17"/>
        <v>0.05</v>
      </c>
      <c r="AI38" s="124">
        <f t="shared" si="97"/>
        <v>964658.48259986134</v>
      </c>
    </row>
    <row r="39" spans="1:35">
      <c r="A39" s="303"/>
      <c r="B39" s="178"/>
      <c r="C39" s="119"/>
      <c r="D39" s="119"/>
      <c r="E39" s="125"/>
      <c r="F39" s="128"/>
      <c r="G39" s="128" t="e">
        <f t="shared" ref="G39:S39" si="100">(G38-F38)/F38</f>
        <v>#DIV/0!</v>
      </c>
      <c r="H39" s="128">
        <f t="shared" si="100"/>
        <v>0</v>
      </c>
      <c r="I39" s="128">
        <f t="shared" si="100"/>
        <v>0.40871762476310802</v>
      </c>
      <c r="J39" s="128">
        <f t="shared" si="100"/>
        <v>1.1159940209267563</v>
      </c>
      <c r="K39" s="128">
        <f t="shared" si="100"/>
        <v>0.47795987567109355</v>
      </c>
      <c r="L39" s="128">
        <f t="shared" si="100"/>
        <v>1.8736258483892553E-2</v>
      </c>
      <c r="M39" s="128">
        <f t="shared" si="100"/>
        <v>-0.77718870226142445</v>
      </c>
      <c r="N39" s="128">
        <f t="shared" si="100"/>
        <v>0.40871762476310802</v>
      </c>
      <c r="O39" s="128">
        <f t="shared" si="100"/>
        <v>1.1159940209267563</v>
      </c>
      <c r="P39" s="128">
        <f t="shared" si="100"/>
        <v>0.47795987567109355</v>
      </c>
      <c r="Q39" s="128">
        <f t="shared" si="100"/>
        <v>1.8736258483892553E-2</v>
      </c>
      <c r="R39" s="128">
        <f t="shared" si="100"/>
        <v>0.23017734822182603</v>
      </c>
      <c r="S39" s="128">
        <f t="shared" si="100"/>
        <v>0.20739893211289093</v>
      </c>
      <c r="T39" s="128">
        <f t="shared" ref="T39" si="101">(T38-S38)/S38</f>
        <v>0.21947059195148147</v>
      </c>
      <c r="U39" s="10"/>
      <c r="V39" s="10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24"/>
    </row>
    <row r="40" spans="1:35">
      <c r="A40" s="303"/>
      <c r="B40" s="178" t="s">
        <v>422</v>
      </c>
      <c r="C40" s="119"/>
      <c r="D40" s="119"/>
      <c r="E40" s="125"/>
      <c r="F40" s="181"/>
      <c r="G40" s="121">
        <f>H40</f>
        <v>1745</v>
      </c>
      <c r="H40" s="125">
        <v>1745</v>
      </c>
      <c r="I40" s="125">
        <v>2583</v>
      </c>
      <c r="J40" s="125">
        <v>5677</v>
      </c>
      <c r="K40" s="125">
        <v>5418</v>
      </c>
      <c r="L40" s="125">
        <v>6387</v>
      </c>
      <c r="M40" s="125">
        <v>1745</v>
      </c>
      <c r="N40" s="125">
        <v>2583</v>
      </c>
      <c r="O40" s="125">
        <v>5677</v>
      </c>
      <c r="P40" s="125">
        <v>5418</v>
      </c>
      <c r="Q40" s="125">
        <v>6387</v>
      </c>
      <c r="R40" s="181">
        <v>7098</v>
      </c>
      <c r="S40" s="181">
        <v>8117</v>
      </c>
      <c r="T40" s="181">
        <v>11555.94</v>
      </c>
      <c r="U40" s="101">
        <f t="shared" si="2"/>
        <v>0.15652387751153385</v>
      </c>
      <c r="V40" s="21">
        <f t="shared" si="7"/>
        <v>0.15</v>
      </c>
      <c r="W40" s="131">
        <f t="shared" si="86"/>
        <v>13289.331</v>
      </c>
      <c r="X40" s="131">
        <f t="shared" si="87"/>
        <v>15282.73065</v>
      </c>
      <c r="Y40" s="131">
        <f t="shared" si="88"/>
        <v>17575.1402475</v>
      </c>
      <c r="Z40" s="131">
        <f t="shared" si="89"/>
        <v>20211.411284624999</v>
      </c>
      <c r="AA40" s="131">
        <f t="shared" si="90"/>
        <v>23243.122977318748</v>
      </c>
      <c r="AB40" s="131">
        <f t="shared" si="91"/>
        <v>26729.591423916558</v>
      </c>
      <c r="AC40" s="131">
        <f t="shared" si="92"/>
        <v>30739.03013750404</v>
      </c>
      <c r="AD40" s="131">
        <f t="shared" si="93"/>
        <v>35349.884658129646</v>
      </c>
      <c r="AE40" s="131">
        <f t="shared" si="94"/>
        <v>40652.367356849092</v>
      </c>
      <c r="AF40" s="131">
        <f t="shared" si="95"/>
        <v>46750.222460376455</v>
      </c>
      <c r="AG40" s="116">
        <f t="shared" si="96"/>
        <v>9.6002418538795098E-2</v>
      </c>
      <c r="AH40" s="21">
        <f t="shared" si="17"/>
        <v>0.05</v>
      </c>
      <c r="AI40" s="124">
        <f t="shared" si="97"/>
        <v>288751.37401997228</v>
      </c>
    </row>
    <row r="41" spans="1:35">
      <c r="A41" s="303"/>
      <c r="B41" s="178" t="s">
        <v>419</v>
      </c>
      <c r="C41" s="119"/>
      <c r="D41" s="119"/>
      <c r="E41" s="125"/>
      <c r="F41" s="181"/>
      <c r="G41" s="181">
        <f>H41</f>
        <v>41</v>
      </c>
      <c r="H41" s="181">
        <v>41</v>
      </c>
      <c r="I41" s="181">
        <v>88</v>
      </c>
      <c r="J41" s="181">
        <v>390</v>
      </c>
      <c r="K41" s="181">
        <v>959</v>
      </c>
      <c r="L41" s="181">
        <v>1277</v>
      </c>
      <c r="M41" s="181">
        <v>1995</v>
      </c>
      <c r="N41" s="181">
        <v>3076</v>
      </c>
      <c r="O41" s="181">
        <v>2332</v>
      </c>
      <c r="P41" s="181">
        <v>3339</v>
      </c>
      <c r="Q41" s="181">
        <v>4541</v>
      </c>
      <c r="R41" s="181">
        <v>5240</v>
      </c>
      <c r="S41" s="181">
        <v>5776</v>
      </c>
      <c r="T41" s="181">
        <v>6952</v>
      </c>
      <c r="U41" s="101">
        <f t="shared" si="2"/>
        <v>0.48418011357036406</v>
      </c>
      <c r="V41" s="21">
        <f t="shared" si="7"/>
        <v>0.15</v>
      </c>
      <c r="W41" s="131">
        <f t="shared" si="86"/>
        <v>7994.7999999999993</v>
      </c>
      <c r="X41" s="131">
        <f t="shared" si="87"/>
        <v>9194.0199999999986</v>
      </c>
      <c r="Y41" s="131">
        <f t="shared" si="88"/>
        <v>10573.122999999998</v>
      </c>
      <c r="Z41" s="131">
        <f t="shared" si="89"/>
        <v>12159.091449999996</v>
      </c>
      <c r="AA41" s="131">
        <f t="shared" si="90"/>
        <v>13982.955167499995</v>
      </c>
      <c r="AB41" s="131">
        <f t="shared" si="91"/>
        <v>16080.398442624994</v>
      </c>
      <c r="AC41" s="131">
        <f t="shared" si="92"/>
        <v>18492.45820901874</v>
      </c>
      <c r="AD41" s="131">
        <f t="shared" si="93"/>
        <v>21266.326940371549</v>
      </c>
      <c r="AE41" s="131">
        <f t="shared" si="94"/>
        <v>24456.275981427279</v>
      </c>
      <c r="AF41" s="131">
        <f t="shared" si="95"/>
        <v>28124.71737864137</v>
      </c>
      <c r="AG41" s="116">
        <f t="shared" si="96"/>
        <v>0.20443573697317396</v>
      </c>
      <c r="AH41" s="21">
        <f t="shared" si="17"/>
        <v>0.05</v>
      </c>
      <c r="AI41" s="124">
        <f t="shared" si="97"/>
        <v>173711.48969160847</v>
      </c>
    </row>
    <row r="42" spans="1:35">
      <c r="A42" s="303"/>
      <c r="B42" s="178" t="s">
        <v>421</v>
      </c>
      <c r="C42" s="119"/>
      <c r="D42" s="119"/>
      <c r="E42" s="125"/>
      <c r="F42" s="181"/>
      <c r="G42" s="181">
        <f>H42</f>
        <v>12</v>
      </c>
      <c r="H42" s="181">
        <v>12</v>
      </c>
      <c r="I42" s="181">
        <v>128</v>
      </c>
      <c r="J42" s="181">
        <v>904</v>
      </c>
      <c r="K42" s="181">
        <v>668</v>
      </c>
      <c r="L42" s="181">
        <v>645</v>
      </c>
      <c r="M42" s="181">
        <v>677</v>
      </c>
      <c r="N42" s="181">
        <v>420</v>
      </c>
      <c r="O42" s="181">
        <v>1253</v>
      </c>
      <c r="P42" s="181">
        <v>727</v>
      </c>
      <c r="Q42" s="181">
        <v>1350</v>
      </c>
      <c r="R42" s="181">
        <v>2316</v>
      </c>
      <c r="S42" s="181">
        <v>2442</v>
      </c>
      <c r="T42" s="181">
        <v>12602.59</v>
      </c>
      <c r="U42" s="101">
        <f t="shared" si="2"/>
        <v>0.70767823494256787</v>
      </c>
      <c r="V42" s="21">
        <f t="shared" si="7"/>
        <v>0.15</v>
      </c>
      <c r="W42" s="131">
        <f t="shared" si="86"/>
        <v>14492.978499999999</v>
      </c>
      <c r="X42" s="131">
        <f t="shared" si="87"/>
        <v>16666.925274999998</v>
      </c>
      <c r="Y42" s="131">
        <f t="shared" si="88"/>
        <v>19166.964066249995</v>
      </c>
      <c r="Z42" s="131">
        <f t="shared" si="89"/>
        <v>22042.008676187492</v>
      </c>
      <c r="AA42" s="131">
        <f t="shared" si="90"/>
        <v>25348.309977615612</v>
      </c>
      <c r="AB42" s="131">
        <f t="shared" si="91"/>
        <v>29150.556474257952</v>
      </c>
      <c r="AC42" s="131">
        <f t="shared" si="92"/>
        <v>33523.139945396644</v>
      </c>
      <c r="AD42" s="131">
        <f t="shared" si="93"/>
        <v>38551.61093720614</v>
      </c>
      <c r="AE42" s="131">
        <f t="shared" si="94"/>
        <v>44334.35257778706</v>
      </c>
      <c r="AF42" s="131">
        <f t="shared" si="95"/>
        <v>50984.505464455113</v>
      </c>
      <c r="AG42" s="116">
        <f t="shared" si="96"/>
        <v>0.19163201965579324</v>
      </c>
      <c r="AH42" s="21">
        <f t="shared" si="17"/>
        <v>0.05</v>
      </c>
      <c r="AI42" s="124">
        <f t="shared" si="97"/>
        <v>314904.29845692869</v>
      </c>
    </row>
    <row r="43" spans="1:35">
      <c r="A43" s="303"/>
      <c r="B43" s="178" t="s">
        <v>420</v>
      </c>
      <c r="C43" s="119"/>
      <c r="D43" s="119"/>
      <c r="E43" s="125"/>
      <c r="F43" s="181"/>
      <c r="G43" s="121">
        <f>H43</f>
        <v>22193</v>
      </c>
      <c r="H43" s="125">
        <v>22193</v>
      </c>
      <c r="I43" s="125">
        <v>34363</v>
      </c>
      <c r="J43" s="125">
        <v>37988</v>
      </c>
      <c r="K43" s="125">
        <v>46999</v>
      </c>
      <c r="L43" s="125">
        <v>55632</v>
      </c>
      <c r="M43" s="125">
        <v>22193</v>
      </c>
      <c r="N43" s="125">
        <v>34363</v>
      </c>
      <c r="O43" s="125">
        <v>37988</v>
      </c>
      <c r="P43" s="125">
        <v>46999</v>
      </c>
      <c r="Q43" s="125">
        <v>55632</v>
      </c>
      <c r="R43" s="181">
        <v>75549</v>
      </c>
      <c r="S43" s="181">
        <v>98209</v>
      </c>
      <c r="T43" s="181">
        <v>132262.68</v>
      </c>
      <c r="U43" s="101">
        <f t="shared" si="2"/>
        <v>0.14718222207614784</v>
      </c>
      <c r="V43" s="21">
        <f t="shared" si="7"/>
        <v>0.15</v>
      </c>
      <c r="W43" s="131">
        <f t="shared" si="86"/>
        <v>152102.08199999997</v>
      </c>
      <c r="X43" s="131">
        <f t="shared" si="87"/>
        <v>174917.39429999996</v>
      </c>
      <c r="Y43" s="131">
        <f t="shared" si="88"/>
        <v>201155.00344499992</v>
      </c>
      <c r="Z43" s="131">
        <f t="shared" si="89"/>
        <v>231328.2539617499</v>
      </c>
      <c r="AA43" s="131">
        <f t="shared" si="90"/>
        <v>266027.49205601239</v>
      </c>
      <c r="AB43" s="131">
        <f t="shared" si="91"/>
        <v>305931.6158644142</v>
      </c>
      <c r="AC43" s="131">
        <f t="shared" si="92"/>
        <v>351821.35824407631</v>
      </c>
      <c r="AD43" s="131">
        <f t="shared" si="93"/>
        <v>404594.56198068772</v>
      </c>
      <c r="AE43" s="131">
        <f t="shared" si="94"/>
        <v>465283.74627779087</v>
      </c>
      <c r="AF43" s="131">
        <f t="shared" si="95"/>
        <v>535076.30821945949</v>
      </c>
      <c r="AG43" s="116">
        <f t="shared" si="96"/>
        <v>0.12188021997733434</v>
      </c>
      <c r="AH43" s="21">
        <f t="shared" si="17"/>
        <v>0.05</v>
      </c>
      <c r="AI43" s="124">
        <f t="shared" si="97"/>
        <v>3304883.0801790152</v>
      </c>
    </row>
    <row r="44" spans="1:35">
      <c r="A44" s="303"/>
      <c r="B44" s="178"/>
      <c r="C44" s="119"/>
      <c r="D44" s="119"/>
      <c r="E44" s="125"/>
      <c r="F44" s="128"/>
      <c r="G44" s="128" t="e">
        <f t="shared" ref="G44:S44" si="102">(G43-F43)/F43</f>
        <v>#DIV/0!</v>
      </c>
      <c r="H44" s="128">
        <f t="shared" si="102"/>
        <v>0</v>
      </c>
      <c r="I44" s="128">
        <f t="shared" si="102"/>
        <v>0.54837110800702926</v>
      </c>
      <c r="J44" s="128">
        <f t="shared" si="102"/>
        <v>0.10549137153333528</v>
      </c>
      <c r="K44" s="128">
        <f t="shared" si="102"/>
        <v>0.23720648625881857</v>
      </c>
      <c r="L44" s="128">
        <f t="shared" si="102"/>
        <v>0.18368475925019681</v>
      </c>
      <c r="M44" s="128">
        <f t="shared" si="102"/>
        <v>-0.60107492090882941</v>
      </c>
      <c r="N44" s="128">
        <f t="shared" si="102"/>
        <v>0.54837110800702926</v>
      </c>
      <c r="O44" s="128">
        <f t="shared" si="102"/>
        <v>0.10549137153333528</v>
      </c>
      <c r="P44" s="128">
        <f t="shared" si="102"/>
        <v>0.23720648625881857</v>
      </c>
      <c r="Q44" s="128">
        <f t="shared" si="102"/>
        <v>0.18368475925019681</v>
      </c>
      <c r="R44" s="128">
        <f t="shared" si="102"/>
        <v>0.35801337359792923</v>
      </c>
      <c r="S44" s="128">
        <f t="shared" si="102"/>
        <v>0.29993778871990362</v>
      </c>
      <c r="T44" s="128">
        <f t="shared" ref="T44" si="103">(T43-S43)/S43</f>
        <v>0.34674703947703361</v>
      </c>
      <c r="U44" s="10"/>
      <c r="V44" s="10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24"/>
    </row>
    <row r="45" spans="1:35">
      <c r="A45" s="303"/>
      <c r="B45" s="178" t="s">
        <v>191</v>
      </c>
      <c r="C45" s="119"/>
      <c r="D45" s="119"/>
      <c r="E45" s="125"/>
      <c r="F45" s="181"/>
      <c r="G45" s="181">
        <f>H45</f>
        <v>395</v>
      </c>
      <c r="H45" s="181">
        <v>395</v>
      </c>
      <c r="I45" s="181">
        <v>1350</v>
      </c>
      <c r="J45" s="181">
        <v>3073</v>
      </c>
      <c r="K45" s="181">
        <v>5093</v>
      </c>
      <c r="L45" s="181">
        <v>7117</v>
      </c>
      <c r="M45" s="181">
        <v>10209</v>
      </c>
      <c r="N45" s="181">
        <v>18828</v>
      </c>
      <c r="O45" s="181">
        <v>27757</v>
      </c>
      <c r="P45" s="181">
        <v>42975</v>
      </c>
      <c r="Q45" s="181">
        <v>40932</v>
      </c>
      <c r="R45" s="181">
        <v>46750</v>
      </c>
      <c r="S45" s="181">
        <v>48788</v>
      </c>
      <c r="T45" s="181">
        <v>49981</v>
      </c>
      <c r="U45" s="101">
        <f t="shared" si="2"/>
        <v>0.45113659983752874</v>
      </c>
      <c r="V45" s="21">
        <f t="shared" si="7"/>
        <v>0.15</v>
      </c>
      <c r="W45" s="131">
        <f t="shared" si="86"/>
        <v>57478.149999999994</v>
      </c>
      <c r="X45" s="131">
        <f t="shared" si="87"/>
        <v>66099.872499999983</v>
      </c>
      <c r="Y45" s="131">
        <f t="shared" si="88"/>
        <v>76014.853374999977</v>
      </c>
      <c r="Z45" s="131">
        <f t="shared" si="89"/>
        <v>87417.081381249969</v>
      </c>
      <c r="AA45" s="131">
        <f t="shared" si="90"/>
        <v>100529.64358843745</v>
      </c>
      <c r="AB45" s="131">
        <f t="shared" si="91"/>
        <v>115609.09012670306</v>
      </c>
      <c r="AC45" s="131">
        <f t="shared" si="92"/>
        <v>132950.45364570851</v>
      </c>
      <c r="AD45" s="131">
        <f t="shared" si="93"/>
        <v>152893.02169256477</v>
      </c>
      <c r="AE45" s="131">
        <f t="shared" si="94"/>
        <v>175826.97494644948</v>
      </c>
      <c r="AF45" s="131">
        <f t="shared" si="95"/>
        <v>202201.0211884169</v>
      </c>
      <c r="AG45" s="116">
        <f t="shared" si="96"/>
        <v>0.19964590968942653</v>
      </c>
      <c r="AH45" s="21">
        <f t="shared" si="17"/>
        <v>0.05</v>
      </c>
      <c r="AI45" s="124">
        <f t="shared" si="97"/>
        <v>1248888.6602813988</v>
      </c>
    </row>
    <row r="46" spans="1:35">
      <c r="A46" s="179"/>
      <c r="B46" s="178"/>
      <c r="C46" s="119"/>
      <c r="D46" s="119"/>
      <c r="E46" s="125"/>
      <c r="F46" s="128"/>
      <c r="G46" s="128" t="e">
        <f t="shared" ref="G46:S46" si="104">(G45-F45)/F45</f>
        <v>#DIV/0!</v>
      </c>
      <c r="H46" s="128">
        <f t="shared" si="104"/>
        <v>0</v>
      </c>
      <c r="I46" s="128">
        <f t="shared" si="104"/>
        <v>2.4177215189873418</v>
      </c>
      <c r="J46" s="128">
        <f t="shared" si="104"/>
        <v>1.2762962962962963</v>
      </c>
      <c r="K46" s="128">
        <f t="shared" si="104"/>
        <v>0.65733810608525867</v>
      </c>
      <c r="L46" s="128">
        <f t="shared" si="104"/>
        <v>0.39740820734341253</v>
      </c>
      <c r="M46" s="128">
        <f t="shared" si="104"/>
        <v>0.43445271884220882</v>
      </c>
      <c r="N46" s="128">
        <f t="shared" si="104"/>
        <v>0.84425506905671466</v>
      </c>
      <c r="O46" s="128">
        <f t="shared" si="104"/>
        <v>0.47424049288294029</v>
      </c>
      <c r="P46" s="128">
        <f t="shared" si="104"/>
        <v>0.54825809705659834</v>
      </c>
      <c r="Q46" s="128">
        <f t="shared" si="104"/>
        <v>-4.7539267015706807E-2</v>
      </c>
      <c r="R46" s="128">
        <f t="shared" si="104"/>
        <v>0.1421381803967556</v>
      </c>
      <c r="S46" s="128">
        <f t="shared" si="104"/>
        <v>4.3593582887700537E-2</v>
      </c>
      <c r="T46" s="128">
        <f t="shared" ref="T46" si="105">(T45-S45)/S45</f>
        <v>2.4452734278921046E-2</v>
      </c>
      <c r="U46" s="10"/>
      <c r="V46" s="10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24"/>
    </row>
    <row r="47" spans="1:35">
      <c r="A47" s="179"/>
      <c r="B47" s="178" t="s">
        <v>433</v>
      </c>
      <c r="C47" s="119"/>
      <c r="D47" s="119"/>
      <c r="E47" s="125"/>
      <c r="F47" s="181"/>
      <c r="G47" s="125">
        <v>18</v>
      </c>
      <c r="H47" s="125">
        <v>18</v>
      </c>
      <c r="I47" s="125">
        <v>100</v>
      </c>
      <c r="J47" s="125">
        <v>200</v>
      </c>
      <c r="K47" s="125">
        <v>360</v>
      </c>
      <c r="L47" s="125">
        <v>435</v>
      </c>
      <c r="M47" s="125">
        <v>575</v>
      </c>
      <c r="N47" s="125">
        <v>623</v>
      </c>
      <c r="O47" s="125">
        <v>857</v>
      </c>
      <c r="P47" s="125">
        <v>1257</v>
      </c>
      <c r="Q47" s="125">
        <v>1721</v>
      </c>
      <c r="R47" s="181">
        <v>2047</v>
      </c>
      <c r="S47" s="181">
        <v>2729</v>
      </c>
      <c r="T47" s="181">
        <v>4217.8</v>
      </c>
      <c r="U47" s="101">
        <f t="shared" si="2"/>
        <v>0.52157493122202703</v>
      </c>
      <c r="V47" s="21">
        <f t="shared" si="7"/>
        <v>0.15</v>
      </c>
      <c r="W47" s="131">
        <f t="shared" ref="W47" si="106">T47*(1+$V47)</f>
        <v>4850.47</v>
      </c>
      <c r="X47" s="131">
        <f t="shared" ref="X47" si="107">W47*(1+$V47)</f>
        <v>5578.0405000000001</v>
      </c>
      <c r="Y47" s="131">
        <f t="shared" ref="Y47" si="108">X47*(1+$V47)</f>
        <v>6414.7465749999992</v>
      </c>
      <c r="Z47" s="131">
        <f t="shared" ref="Z47" si="109">Y47*(1+$V47)</f>
        <v>7376.9585612499986</v>
      </c>
      <c r="AA47" s="131">
        <f t="shared" ref="AA47" si="110">Z47*(1+$V47)</f>
        <v>8483.5023454374987</v>
      </c>
      <c r="AB47" s="131">
        <f t="shared" ref="AB47" si="111">AA47*(1+$V47)</f>
        <v>9756.0276972531228</v>
      </c>
      <c r="AC47" s="131">
        <f t="shared" ref="AC47" si="112">AB47*(1+$V47)</f>
        <v>11219.431851841091</v>
      </c>
      <c r="AD47" s="131">
        <f t="shared" ref="AD47" si="113">AC47*(1+$V47)</f>
        <v>12902.346629617254</v>
      </c>
      <c r="AE47" s="131">
        <f t="shared" ref="AE47" si="114">AD47*(1+$V47)</f>
        <v>14837.69862405984</v>
      </c>
      <c r="AF47" s="131">
        <f t="shared" ref="AF47" si="115">AE47*(1+$V47)</f>
        <v>17063.353417668815</v>
      </c>
      <c r="AG47" s="116">
        <f t="shared" ref="AG47" si="116">((AF47/J47)^(1/($AF$3-$K$1) ))-1</f>
        <v>0.21327155844702617</v>
      </c>
      <c r="AH47" s="21">
        <f t="shared" si="17"/>
        <v>0.05</v>
      </c>
      <c r="AI47" s="124">
        <f t="shared" si="97"/>
        <v>105391.30052089565</v>
      </c>
    </row>
    <row r="48" spans="1:35">
      <c r="A48" s="179"/>
      <c r="B48" s="178"/>
      <c r="C48" s="119"/>
      <c r="D48" s="119"/>
      <c r="E48" s="125"/>
      <c r="F48" s="128"/>
      <c r="G48" s="128" t="e">
        <f t="shared" ref="G48:S48" si="117">(G47-F47)/F47</f>
        <v>#DIV/0!</v>
      </c>
      <c r="H48" s="128">
        <f t="shared" si="117"/>
        <v>0</v>
      </c>
      <c r="I48" s="128">
        <f t="shared" si="117"/>
        <v>4.5555555555555554</v>
      </c>
      <c r="J48" s="128">
        <f t="shared" si="117"/>
        <v>1</v>
      </c>
      <c r="K48" s="128">
        <f t="shared" si="117"/>
        <v>0.8</v>
      </c>
      <c r="L48" s="128">
        <f t="shared" si="117"/>
        <v>0.20833333333333334</v>
      </c>
      <c r="M48" s="128">
        <f t="shared" si="117"/>
        <v>0.32183908045977011</v>
      </c>
      <c r="N48" s="128">
        <f t="shared" si="117"/>
        <v>8.3478260869565224E-2</v>
      </c>
      <c r="O48" s="128">
        <f t="shared" si="117"/>
        <v>0.3756019261637239</v>
      </c>
      <c r="P48" s="128">
        <f t="shared" si="117"/>
        <v>0.46674445740956827</v>
      </c>
      <c r="Q48" s="128">
        <f t="shared" si="117"/>
        <v>0.36913285600636436</v>
      </c>
      <c r="R48" s="128">
        <f t="shared" si="117"/>
        <v>0.18942475305055201</v>
      </c>
      <c r="S48" s="128">
        <f t="shared" si="117"/>
        <v>0.33317049340498289</v>
      </c>
      <c r="T48" s="128">
        <f t="shared" ref="T48" si="118">(T47-S47)/S47</f>
        <v>0.54554781971418109</v>
      </c>
      <c r="U48" s="10"/>
      <c r="V48" s="10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24"/>
    </row>
    <row r="49" spans="1:35">
      <c r="A49" s="179"/>
      <c r="B49" s="178" t="s">
        <v>424</v>
      </c>
      <c r="C49" s="119"/>
      <c r="D49" s="119"/>
      <c r="E49" s="125"/>
      <c r="F49" s="181"/>
      <c r="G49" s="181">
        <f>H49</f>
        <v>0</v>
      </c>
      <c r="H49" s="181">
        <v>0</v>
      </c>
      <c r="I49" s="181">
        <v>0</v>
      </c>
      <c r="J49" s="181">
        <v>0</v>
      </c>
      <c r="K49" s="181">
        <v>0</v>
      </c>
      <c r="L49" s="181">
        <v>0</v>
      </c>
      <c r="M49" s="181">
        <v>0</v>
      </c>
      <c r="N49" s="181">
        <v>0</v>
      </c>
      <c r="O49" s="181">
        <v>0</v>
      </c>
      <c r="P49" s="181">
        <v>0</v>
      </c>
      <c r="Q49" s="181">
        <v>0</v>
      </c>
      <c r="R49" s="181">
        <v>0</v>
      </c>
      <c r="S49" s="181">
        <v>0</v>
      </c>
      <c r="T49" s="181">
        <v>0</v>
      </c>
      <c r="U49" s="101" t="e">
        <f t="shared" si="2"/>
        <v>#DIV/0!</v>
      </c>
      <c r="V49" s="21">
        <f t="shared" si="7"/>
        <v>0.15</v>
      </c>
      <c r="W49" s="131">
        <f t="shared" si="86"/>
        <v>0</v>
      </c>
      <c r="X49" s="131">
        <f t="shared" si="87"/>
        <v>0</v>
      </c>
      <c r="Y49" s="131">
        <f t="shared" si="88"/>
        <v>0</v>
      </c>
      <c r="Z49" s="131">
        <f t="shared" si="89"/>
        <v>0</v>
      </c>
      <c r="AA49" s="131">
        <f t="shared" si="90"/>
        <v>0</v>
      </c>
      <c r="AB49" s="131">
        <f t="shared" si="91"/>
        <v>0</v>
      </c>
      <c r="AC49" s="131">
        <f t="shared" si="92"/>
        <v>0</v>
      </c>
      <c r="AD49" s="131">
        <f t="shared" si="93"/>
        <v>0</v>
      </c>
      <c r="AE49" s="131">
        <f t="shared" si="94"/>
        <v>0</v>
      </c>
      <c r="AF49" s="131">
        <f t="shared" si="95"/>
        <v>0</v>
      </c>
      <c r="AG49" s="116" t="e">
        <f t="shared" si="96"/>
        <v>#DIV/0!</v>
      </c>
      <c r="AH49" s="21">
        <f t="shared" si="17"/>
        <v>0.05</v>
      </c>
      <c r="AI49" s="124">
        <f t="shared" si="97"/>
        <v>0</v>
      </c>
    </row>
    <row r="50" spans="1:35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01" t="e">
        <f t="shared" si="2"/>
        <v>#DIV/0!</v>
      </c>
      <c r="V50" s="10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17"/>
      <c r="AH50" s="115"/>
      <c r="AI50" s="131"/>
    </row>
    <row r="51" spans="1:35">
      <c r="B51" s="10" t="s">
        <v>230</v>
      </c>
      <c r="C51" s="119"/>
      <c r="D51" s="119"/>
      <c r="E51" s="125"/>
      <c r="F51" s="125"/>
      <c r="G51" s="181">
        <f>H51</f>
        <v>0</v>
      </c>
      <c r="H51" s="181">
        <v>0</v>
      </c>
      <c r="I51" s="181">
        <v>0</v>
      </c>
      <c r="J51" s="181">
        <v>0</v>
      </c>
      <c r="K51" s="181">
        <v>0</v>
      </c>
      <c r="L51" s="181">
        <v>0</v>
      </c>
      <c r="M51" s="181">
        <v>0</v>
      </c>
      <c r="N51" s="181">
        <v>0</v>
      </c>
      <c r="O51" s="181">
        <v>0</v>
      </c>
      <c r="P51" s="181">
        <v>0</v>
      </c>
      <c r="Q51" s="181">
        <v>0</v>
      </c>
      <c r="R51" s="181">
        <v>0</v>
      </c>
      <c r="S51" s="181">
        <v>0</v>
      </c>
      <c r="T51" s="181" t="s">
        <v>57</v>
      </c>
      <c r="U51" s="101" t="e">
        <f t="shared" si="2"/>
        <v>#VALUE!</v>
      </c>
      <c r="V51" s="21">
        <f t="shared" si="7"/>
        <v>0.15</v>
      </c>
      <c r="W51" s="131" t="e">
        <f t="shared" si="3"/>
        <v>#VALUE!</v>
      </c>
      <c r="X51" s="131" t="e">
        <f t="shared" ref="X51" si="119">W51*(1+$V51)</f>
        <v>#VALUE!</v>
      </c>
      <c r="Y51" s="131" t="e">
        <f t="shared" ref="Y51" si="120">X51*(1+$V51)</f>
        <v>#VALUE!</v>
      </c>
      <c r="Z51" s="131" t="e">
        <f t="shared" ref="Z51" si="121">Y51*(1+$V51)</f>
        <v>#VALUE!</v>
      </c>
      <c r="AA51" s="131" t="e">
        <f t="shared" si="40"/>
        <v>#VALUE!</v>
      </c>
      <c r="AB51" s="131" t="e">
        <f t="shared" si="41"/>
        <v>#VALUE!</v>
      </c>
      <c r="AC51" s="131" t="e">
        <f t="shared" si="42"/>
        <v>#VALUE!</v>
      </c>
      <c r="AD51" s="131" t="e">
        <f t="shared" si="43"/>
        <v>#VALUE!</v>
      </c>
      <c r="AE51" s="131" t="e">
        <f t="shared" si="44"/>
        <v>#VALUE!</v>
      </c>
      <c r="AF51" s="131" t="e">
        <f t="shared" si="45"/>
        <v>#VALUE!</v>
      </c>
      <c r="AG51" s="116" t="e">
        <f t="shared" si="19"/>
        <v>#VALUE!</v>
      </c>
      <c r="AH51" s="21">
        <f t="shared" si="17"/>
        <v>0.05</v>
      </c>
      <c r="AI51" s="124" t="e">
        <f t="shared" si="1"/>
        <v>#VALUE!</v>
      </c>
    </row>
    <row r="52" spans="1:35" s="106" customFormat="1">
      <c r="B52" s="13"/>
      <c r="C52" s="126"/>
      <c r="D52" s="126"/>
      <c r="E52" s="127"/>
      <c r="F52" s="271"/>
      <c r="G52" s="128" t="e">
        <f t="shared" ref="G52:S52" si="122">(G51-F51)/F51</f>
        <v>#DIV/0!</v>
      </c>
      <c r="H52" s="128" t="e">
        <f t="shared" si="122"/>
        <v>#DIV/0!</v>
      </c>
      <c r="I52" s="128" t="e">
        <f t="shared" si="122"/>
        <v>#DIV/0!</v>
      </c>
      <c r="J52" s="128" t="e">
        <f t="shared" si="122"/>
        <v>#DIV/0!</v>
      </c>
      <c r="K52" s="128" t="e">
        <f t="shared" si="122"/>
        <v>#DIV/0!</v>
      </c>
      <c r="L52" s="128" t="e">
        <f t="shared" si="122"/>
        <v>#DIV/0!</v>
      </c>
      <c r="M52" s="128" t="e">
        <f t="shared" si="122"/>
        <v>#DIV/0!</v>
      </c>
      <c r="N52" s="128" t="e">
        <f t="shared" si="122"/>
        <v>#DIV/0!</v>
      </c>
      <c r="O52" s="128" t="e">
        <f t="shared" si="122"/>
        <v>#DIV/0!</v>
      </c>
      <c r="P52" s="128" t="e">
        <f t="shared" si="122"/>
        <v>#DIV/0!</v>
      </c>
      <c r="Q52" s="128" t="e">
        <f t="shared" si="122"/>
        <v>#DIV/0!</v>
      </c>
      <c r="R52" s="128" t="e">
        <f t="shared" si="122"/>
        <v>#DIV/0!</v>
      </c>
      <c r="S52" s="128" t="e">
        <f t="shared" si="122"/>
        <v>#DIV/0!</v>
      </c>
      <c r="T52" s="128" t="e">
        <f t="shared" ref="T52" si="123">(T51-S51)/S51</f>
        <v>#VALUE!</v>
      </c>
      <c r="U52" s="10"/>
      <c r="V52" s="10"/>
      <c r="W52" s="131"/>
      <c r="X52" s="132"/>
      <c r="Y52" s="132"/>
      <c r="Z52" s="132"/>
      <c r="AA52" s="132"/>
      <c r="AB52" s="132"/>
      <c r="AC52" s="132"/>
      <c r="AD52" s="132"/>
      <c r="AE52" s="132"/>
      <c r="AF52" s="132"/>
      <c r="AG52" s="117"/>
      <c r="AH52" s="115"/>
      <c r="AI52" s="133"/>
    </row>
    <row r="53" spans="1:35" s="106" customFormat="1">
      <c r="B53" s="10" t="s">
        <v>345</v>
      </c>
      <c r="C53" s="126"/>
      <c r="D53" s="126"/>
      <c r="E53" s="127"/>
      <c r="F53" s="125"/>
      <c r="G53" s="181">
        <f>H53</f>
        <v>0</v>
      </c>
      <c r="H53" s="181">
        <v>0</v>
      </c>
      <c r="I53" s="181">
        <v>0</v>
      </c>
      <c r="J53" s="181">
        <v>0</v>
      </c>
      <c r="K53" s="181">
        <v>0</v>
      </c>
      <c r="L53" s="181">
        <v>0</v>
      </c>
      <c r="M53" s="181">
        <v>0</v>
      </c>
      <c r="N53" s="181">
        <v>0</v>
      </c>
      <c r="O53" s="181">
        <v>0</v>
      </c>
      <c r="P53" s="181">
        <v>0</v>
      </c>
      <c r="Q53" s="181">
        <v>0</v>
      </c>
      <c r="R53" s="181">
        <v>0</v>
      </c>
      <c r="S53" s="181">
        <v>0</v>
      </c>
      <c r="T53" s="181" t="s">
        <v>57</v>
      </c>
      <c r="U53" s="101" t="e">
        <f t="shared" si="2"/>
        <v>#VALUE!</v>
      </c>
      <c r="V53" s="21">
        <f t="shared" si="7"/>
        <v>0.15</v>
      </c>
      <c r="W53" s="131" t="e">
        <f t="shared" si="3"/>
        <v>#VALUE!</v>
      </c>
      <c r="X53" s="131" t="e">
        <f t="shared" ref="X53" si="124">W53*(1+$V53)</f>
        <v>#VALUE!</v>
      </c>
      <c r="Y53" s="131" t="e">
        <f t="shared" ref="Y53" si="125">X53*(1+$V53)</f>
        <v>#VALUE!</v>
      </c>
      <c r="Z53" s="131" t="e">
        <f t="shared" ref="Z53" si="126">Y53*(1+$V53)</f>
        <v>#VALUE!</v>
      </c>
      <c r="AA53" s="131" t="e">
        <f t="shared" ref="AA53" si="127">Z53*(1+$V53)</f>
        <v>#VALUE!</v>
      </c>
      <c r="AB53" s="131" t="e">
        <f t="shared" ref="AB53" si="128">AA53*(1+$V53)</f>
        <v>#VALUE!</v>
      </c>
      <c r="AC53" s="131" t="e">
        <f t="shared" ref="AC53" si="129">AB53*(1+$V53)</f>
        <v>#VALUE!</v>
      </c>
      <c r="AD53" s="131" t="e">
        <f t="shared" ref="AD53" si="130">AC53*(1+$V53)</f>
        <v>#VALUE!</v>
      </c>
      <c r="AE53" s="131" t="e">
        <f t="shared" ref="AE53" si="131">AD53*(1+$V53)</f>
        <v>#VALUE!</v>
      </c>
      <c r="AF53" s="131" t="e">
        <f t="shared" ref="AF53" si="132">AE53*(1+$V53)</f>
        <v>#VALUE!</v>
      </c>
      <c r="AG53" s="116" t="e">
        <f t="shared" ref="AG53" si="133">((AF53/J53)^(1/($AF$3-$K$1) ))-1</f>
        <v>#VALUE!</v>
      </c>
      <c r="AH53" s="21">
        <f t="shared" si="17"/>
        <v>0.05</v>
      </c>
      <c r="AI53" s="124" t="e">
        <f t="shared" ref="AI53" si="134">(AF53*(1+AH53))/($C$1-AH53)</f>
        <v>#VALUE!</v>
      </c>
    </row>
    <row r="54" spans="1:35" s="106" customFormat="1">
      <c r="B54" s="13"/>
      <c r="C54" s="126"/>
      <c r="D54" s="126"/>
      <c r="E54" s="127"/>
      <c r="F54" s="271"/>
      <c r="G54" s="128" t="e">
        <f t="shared" ref="G54:T54" si="135">(G53-F53)/F53</f>
        <v>#DIV/0!</v>
      </c>
      <c r="H54" s="128" t="e">
        <f t="shared" si="135"/>
        <v>#DIV/0!</v>
      </c>
      <c r="I54" s="128" t="e">
        <f t="shared" si="135"/>
        <v>#DIV/0!</v>
      </c>
      <c r="J54" s="128" t="e">
        <f t="shared" si="135"/>
        <v>#DIV/0!</v>
      </c>
      <c r="K54" s="128" t="e">
        <f t="shared" si="135"/>
        <v>#DIV/0!</v>
      </c>
      <c r="L54" s="128" t="e">
        <f t="shared" si="135"/>
        <v>#DIV/0!</v>
      </c>
      <c r="M54" s="128" t="e">
        <f t="shared" si="135"/>
        <v>#DIV/0!</v>
      </c>
      <c r="N54" s="128" t="e">
        <f t="shared" si="135"/>
        <v>#DIV/0!</v>
      </c>
      <c r="O54" s="128" t="e">
        <f t="shared" si="135"/>
        <v>#DIV/0!</v>
      </c>
      <c r="P54" s="128" t="e">
        <f t="shared" si="135"/>
        <v>#DIV/0!</v>
      </c>
      <c r="Q54" s="128" t="e">
        <f t="shared" si="135"/>
        <v>#DIV/0!</v>
      </c>
      <c r="R54" s="128" t="e">
        <f t="shared" si="135"/>
        <v>#DIV/0!</v>
      </c>
      <c r="S54" s="128" t="e">
        <f t="shared" si="135"/>
        <v>#DIV/0!</v>
      </c>
      <c r="T54" s="128" t="e">
        <f t="shared" si="135"/>
        <v>#VALUE!</v>
      </c>
      <c r="U54" s="10"/>
      <c r="V54" s="10"/>
      <c r="W54" s="131"/>
      <c r="X54" s="132"/>
      <c r="Y54" s="132"/>
      <c r="Z54" s="132"/>
      <c r="AA54" s="132"/>
      <c r="AB54" s="132"/>
      <c r="AC54" s="132"/>
      <c r="AD54" s="132"/>
      <c r="AE54" s="132"/>
      <c r="AF54" s="132"/>
      <c r="AG54" s="117"/>
      <c r="AH54" s="115"/>
      <c r="AI54" s="133"/>
    </row>
    <row r="55" spans="1:35">
      <c r="B55" s="10" t="s">
        <v>346</v>
      </c>
      <c r="C55" s="119"/>
      <c r="D55" s="119"/>
      <c r="E55" s="125"/>
      <c r="F55" s="125"/>
      <c r="G55" s="273">
        <f>H55</f>
        <v>-4</v>
      </c>
      <c r="H55" s="273">
        <v>-4</v>
      </c>
      <c r="I55" s="273">
        <v>55</v>
      </c>
      <c r="J55" s="121">
        <v>94</v>
      </c>
      <c r="K55" s="121">
        <v>200</v>
      </c>
      <c r="L55" s="274">
        <v>304</v>
      </c>
      <c r="M55" s="274">
        <v>478</v>
      </c>
      <c r="N55" s="274">
        <v>727</v>
      </c>
      <c r="O55" s="274">
        <v>977</v>
      </c>
      <c r="P55" s="274">
        <v>1300</v>
      </c>
      <c r="Q55" s="274">
        <v>1611</v>
      </c>
      <c r="R55" s="181">
        <v>1997</v>
      </c>
      <c r="S55" s="181">
        <v>2529</v>
      </c>
      <c r="T55" s="181">
        <v>3339.89</v>
      </c>
      <c r="U55" s="101">
        <f t="shared" si="2"/>
        <v>-2.6778147700721693</v>
      </c>
      <c r="V55" s="21">
        <f t="shared" si="7"/>
        <v>0.15</v>
      </c>
      <c r="W55" s="131">
        <f t="shared" si="3"/>
        <v>3840.8734999999997</v>
      </c>
      <c r="X55" s="131">
        <f t="shared" ref="X55:AF55" si="136">W55*(1+$V55)</f>
        <v>4417.0045249999994</v>
      </c>
      <c r="Y55" s="131">
        <f t="shared" si="136"/>
        <v>5079.5552037499992</v>
      </c>
      <c r="Z55" s="131">
        <f t="shared" si="136"/>
        <v>5841.4884843124983</v>
      </c>
      <c r="AA55" s="131">
        <f t="shared" si="136"/>
        <v>6717.7117569593729</v>
      </c>
      <c r="AB55" s="131">
        <f t="shared" si="136"/>
        <v>7725.368520503278</v>
      </c>
      <c r="AC55" s="131">
        <f t="shared" si="136"/>
        <v>8884.1737985787695</v>
      </c>
      <c r="AD55" s="131">
        <f t="shared" si="136"/>
        <v>10216.799868365584</v>
      </c>
      <c r="AE55" s="131">
        <f t="shared" si="136"/>
        <v>11749.31984862042</v>
      </c>
      <c r="AF55" s="131">
        <f t="shared" si="136"/>
        <v>13511.717825913482</v>
      </c>
      <c r="AG55" s="116">
        <f t="shared" si="19"/>
        <v>0.24110333911666992</v>
      </c>
      <c r="AH55" s="21">
        <f t="shared" si="17"/>
        <v>0.05</v>
      </c>
      <c r="AI55" s="124">
        <f t="shared" si="1"/>
        <v>83454.727748289166</v>
      </c>
    </row>
    <row r="56" spans="1:35" s="106" customFormat="1">
      <c r="B56" s="13"/>
      <c r="C56" s="126"/>
      <c r="D56" s="126"/>
      <c r="E56" s="127"/>
      <c r="F56" s="271"/>
      <c r="G56" s="128" t="e">
        <f t="shared" ref="G56:S56" si="137">(G55-F55)/F55</f>
        <v>#DIV/0!</v>
      </c>
      <c r="H56" s="128">
        <f t="shared" si="137"/>
        <v>0</v>
      </c>
      <c r="I56" s="128">
        <f t="shared" si="137"/>
        <v>-14.75</v>
      </c>
      <c r="J56" s="128">
        <f t="shared" si="137"/>
        <v>0.70909090909090911</v>
      </c>
      <c r="K56" s="128">
        <f t="shared" si="137"/>
        <v>1.1276595744680851</v>
      </c>
      <c r="L56" s="128">
        <f t="shared" si="137"/>
        <v>0.52</v>
      </c>
      <c r="M56" s="128">
        <f t="shared" si="137"/>
        <v>0.57236842105263153</v>
      </c>
      <c r="N56" s="128">
        <f t="shared" si="137"/>
        <v>0.52092050209205021</v>
      </c>
      <c r="O56" s="128">
        <f t="shared" si="137"/>
        <v>0.34387895460797802</v>
      </c>
      <c r="P56" s="128">
        <f t="shared" si="137"/>
        <v>0.330603889457523</v>
      </c>
      <c r="Q56" s="128">
        <f t="shared" si="137"/>
        <v>0.23923076923076922</v>
      </c>
      <c r="R56" s="128">
        <f t="shared" si="137"/>
        <v>0.23960273122284295</v>
      </c>
      <c r="S56" s="128">
        <f t="shared" si="137"/>
        <v>0.26639959939909863</v>
      </c>
      <c r="T56" s="128">
        <f t="shared" ref="T56" si="138">(T55-S55)/S55</f>
        <v>0.32063661526294973</v>
      </c>
      <c r="U56" s="10"/>
      <c r="V56" s="10"/>
      <c r="W56" s="131"/>
      <c r="X56" s="132"/>
      <c r="Y56" s="132"/>
      <c r="Z56" s="132"/>
      <c r="AA56" s="132"/>
      <c r="AB56" s="132"/>
      <c r="AC56" s="132"/>
      <c r="AD56" s="132"/>
      <c r="AE56" s="132"/>
      <c r="AF56" s="132"/>
      <c r="AG56" s="117"/>
      <c r="AH56" s="115"/>
      <c r="AI56" s="133"/>
    </row>
    <row r="57" spans="1:35">
      <c r="B57" s="10" t="s">
        <v>197</v>
      </c>
      <c r="C57" s="120"/>
      <c r="D57" s="120"/>
      <c r="E57" s="123"/>
      <c r="F57" s="125"/>
      <c r="G57" s="273">
        <v>20</v>
      </c>
      <c r="H57" s="273">
        <v>20</v>
      </c>
      <c r="I57" s="273">
        <v>27</v>
      </c>
      <c r="J57" s="121">
        <v>28</v>
      </c>
      <c r="K57" s="121">
        <v>29.7</v>
      </c>
      <c r="L57" s="274">
        <v>29.69</v>
      </c>
      <c r="M57" s="274">
        <v>33.96</v>
      </c>
      <c r="N57" s="274">
        <v>34.700000000000003</v>
      </c>
      <c r="O57" s="274">
        <v>35.29</v>
      </c>
      <c r="P57" s="274">
        <v>35.86</v>
      </c>
      <c r="Q57" s="274">
        <v>36.06</v>
      </c>
      <c r="R57" s="123">
        <v>41.77</v>
      </c>
      <c r="S57" s="181">
        <v>42.05</v>
      </c>
      <c r="T57" s="123">
        <v>45.64</v>
      </c>
      <c r="U57" s="101">
        <f t="shared" si="2"/>
        <v>6.5522786223824792E-2</v>
      </c>
      <c r="V57" s="21">
        <v>0.02</v>
      </c>
      <c r="W57" s="276">
        <v>210</v>
      </c>
      <c r="X57" s="131">
        <f>W57*(1+$V57)</f>
        <v>214.20000000000002</v>
      </c>
      <c r="Y57" s="131">
        <f t="shared" ref="Y57:AF57" si="139">X57*(1+$V57)</f>
        <v>218.48400000000001</v>
      </c>
      <c r="Z57" s="131">
        <f t="shared" si="139"/>
        <v>222.85368000000003</v>
      </c>
      <c r="AA57" s="131">
        <f t="shared" si="139"/>
        <v>227.31075360000003</v>
      </c>
      <c r="AB57" s="131">
        <f t="shared" si="139"/>
        <v>231.85696867200002</v>
      </c>
      <c r="AC57" s="131">
        <f t="shared" si="139"/>
        <v>236.49410804544002</v>
      </c>
      <c r="AD57" s="131">
        <f t="shared" si="139"/>
        <v>241.22399020634882</v>
      </c>
      <c r="AE57" s="131">
        <f t="shared" si="139"/>
        <v>246.0484700104758</v>
      </c>
      <c r="AF57" s="131">
        <f t="shared" si="139"/>
        <v>250.96943941068531</v>
      </c>
      <c r="AG57" s="116">
        <f t="shared" si="19"/>
        <v>0.10004746988420621</v>
      </c>
      <c r="AH57" s="21">
        <f t="shared" si="17"/>
        <v>0.05</v>
      </c>
      <c r="AI57" s="124">
        <f t="shared" si="1"/>
        <v>1550.1053610659976</v>
      </c>
    </row>
    <row r="58" spans="1:35">
      <c r="B58" s="10"/>
      <c r="C58" s="120"/>
      <c r="D58" s="120"/>
      <c r="E58" s="121"/>
      <c r="F58" s="271"/>
      <c r="G58" s="128" t="e">
        <f t="shared" ref="G58:S58" si="140">(G57-F57)/F57</f>
        <v>#DIV/0!</v>
      </c>
      <c r="H58" s="128">
        <f t="shared" si="140"/>
        <v>0</v>
      </c>
      <c r="I58" s="128">
        <f t="shared" si="140"/>
        <v>0.35</v>
      </c>
      <c r="J58" s="128">
        <f t="shared" si="140"/>
        <v>3.7037037037037035E-2</v>
      </c>
      <c r="K58" s="128">
        <f t="shared" si="140"/>
        <v>6.0714285714285686E-2</v>
      </c>
      <c r="L58" s="128">
        <f t="shared" si="140"/>
        <v>-3.3670033670026971E-4</v>
      </c>
      <c r="M58" s="128">
        <f t="shared" si="140"/>
        <v>0.14381946783428762</v>
      </c>
      <c r="N58" s="128">
        <f t="shared" si="140"/>
        <v>2.1790341578327502E-2</v>
      </c>
      <c r="O58" s="128">
        <f t="shared" si="140"/>
        <v>1.7002881844380296E-2</v>
      </c>
      <c r="P58" s="128">
        <f t="shared" si="140"/>
        <v>1.6151884386511769E-2</v>
      </c>
      <c r="Q58" s="128">
        <f t="shared" si="140"/>
        <v>5.5772448410486017E-3</v>
      </c>
      <c r="R58" s="128">
        <f t="shared" si="140"/>
        <v>0.15834719911259015</v>
      </c>
      <c r="S58" s="128">
        <f t="shared" si="140"/>
        <v>6.7033756284413217E-3</v>
      </c>
      <c r="T58" s="128">
        <f t="shared" ref="T58" si="141">(T57-S57)/S57</f>
        <v>8.5374554102259304E-2</v>
      </c>
      <c r="U58" s="10"/>
      <c r="V58" s="10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17"/>
      <c r="AH58" s="115"/>
      <c r="AI58" s="124"/>
    </row>
    <row r="59" spans="1:35">
      <c r="B59" s="10" t="s">
        <v>233</v>
      </c>
      <c r="C59" s="123"/>
      <c r="D59" s="123"/>
      <c r="E59" s="123"/>
      <c r="F59" s="125"/>
      <c r="G59" s="125">
        <v>0.1</v>
      </c>
      <c r="H59" s="125">
        <v>0</v>
      </c>
      <c r="I59" s="125">
        <v>0</v>
      </c>
      <c r="J59" s="125">
        <v>0</v>
      </c>
      <c r="K59" s="125">
        <v>0</v>
      </c>
      <c r="L59" s="125">
        <v>0</v>
      </c>
      <c r="M59" s="125">
        <v>1.5</v>
      </c>
      <c r="N59" s="125">
        <v>2.5</v>
      </c>
      <c r="O59" s="125">
        <v>4</v>
      </c>
      <c r="P59" s="125">
        <v>6</v>
      </c>
      <c r="Q59" s="125">
        <v>8</v>
      </c>
      <c r="R59" s="181">
        <v>9</v>
      </c>
      <c r="S59" s="181">
        <v>10</v>
      </c>
      <c r="T59" s="181">
        <v>10</v>
      </c>
      <c r="U59" s="101">
        <f t="shared" si="2"/>
        <v>0.42510267030299809</v>
      </c>
      <c r="V59" s="21">
        <v>0.02</v>
      </c>
      <c r="W59" s="131">
        <f t="shared" si="3"/>
        <v>10.199999999999999</v>
      </c>
      <c r="X59" s="131">
        <f t="shared" ref="X59" si="142">W59*(1+$V59)</f>
        <v>10.404</v>
      </c>
      <c r="Y59" s="131">
        <f t="shared" ref="Y59" si="143">X59*(1+$V59)</f>
        <v>10.612080000000001</v>
      </c>
      <c r="Z59" s="131">
        <f t="shared" ref="Z59" si="144">Y59*(1+$V59)</f>
        <v>10.824321600000001</v>
      </c>
      <c r="AA59" s="131">
        <f t="shared" ref="AA59" si="145">Z59*(1+$V59)</f>
        <v>11.040808032000001</v>
      </c>
      <c r="AB59" s="131">
        <f t="shared" ref="AB59" si="146">AA59*(1+$V59)</f>
        <v>11.261624192640001</v>
      </c>
      <c r="AC59" s="131">
        <f t="shared" ref="AC59" si="147">AB59*(1+$V59)</f>
        <v>11.486856676492801</v>
      </c>
      <c r="AD59" s="131">
        <f t="shared" ref="AD59" si="148">AC59*(1+$V59)</f>
        <v>11.716593810022657</v>
      </c>
      <c r="AE59" s="131">
        <f t="shared" ref="AE59" si="149">AD59*(1+$V59)</f>
        <v>11.95092568622311</v>
      </c>
      <c r="AF59" s="131">
        <f t="shared" ref="AF59" si="150">AE59*(1+$V59)</f>
        <v>12.189944199947572</v>
      </c>
      <c r="AG59" s="116" t="e">
        <f t="shared" ref="AG59" si="151">((AF59/J59)^(1/($AF$3-$K$1) ))-1</f>
        <v>#DIV/0!</v>
      </c>
      <c r="AH59" s="21">
        <f t="shared" si="17"/>
        <v>0.05</v>
      </c>
      <c r="AI59" s="124">
        <f t="shared" si="1"/>
        <v>75.290831823205593</v>
      </c>
    </row>
    <row r="60" spans="1:35">
      <c r="B60" s="10"/>
      <c r="C60" s="123"/>
      <c r="D60" s="123"/>
      <c r="E60" s="123"/>
      <c r="F60" s="128"/>
      <c r="G60" s="128" t="e">
        <f t="shared" ref="G60:S60" si="152">(G59-F59)/F59</f>
        <v>#DIV/0!</v>
      </c>
      <c r="H60" s="128">
        <f t="shared" si="152"/>
        <v>-1</v>
      </c>
      <c r="I60" s="128" t="e">
        <f t="shared" si="152"/>
        <v>#DIV/0!</v>
      </c>
      <c r="J60" s="128" t="e">
        <f t="shared" si="152"/>
        <v>#DIV/0!</v>
      </c>
      <c r="K60" s="128" t="e">
        <f t="shared" si="152"/>
        <v>#DIV/0!</v>
      </c>
      <c r="L60" s="128" t="e">
        <f t="shared" si="152"/>
        <v>#DIV/0!</v>
      </c>
      <c r="M60" s="128" t="e">
        <f t="shared" si="152"/>
        <v>#DIV/0!</v>
      </c>
      <c r="N60" s="128">
        <f t="shared" si="152"/>
        <v>0.66666666666666663</v>
      </c>
      <c r="O60" s="128">
        <f t="shared" si="152"/>
        <v>0.6</v>
      </c>
      <c r="P60" s="128">
        <f t="shared" si="152"/>
        <v>0.5</v>
      </c>
      <c r="Q60" s="128">
        <f t="shared" si="152"/>
        <v>0.33333333333333331</v>
      </c>
      <c r="R60" s="128">
        <f t="shared" si="152"/>
        <v>0.125</v>
      </c>
      <c r="S60" s="128">
        <f t="shared" si="152"/>
        <v>0.1111111111111111</v>
      </c>
      <c r="T60" s="128">
        <f t="shared" ref="T60" si="153">(T59-S59)/S59</f>
        <v>0</v>
      </c>
      <c r="U60" s="110"/>
      <c r="V60" s="10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17"/>
      <c r="AH60" s="115"/>
      <c r="AI60" s="124"/>
    </row>
    <row r="61" spans="1:35">
      <c r="B61" s="10" t="s">
        <v>371</v>
      </c>
      <c r="C61" s="10"/>
      <c r="D61" s="10"/>
      <c r="E61" s="109"/>
      <c r="F61" s="125"/>
      <c r="G61" s="125"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 t="s">
        <v>514</v>
      </c>
      <c r="U61" s="125">
        <v>0</v>
      </c>
      <c r="V61" s="110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17"/>
      <c r="AH61" s="115"/>
      <c r="AI61" s="131"/>
    </row>
    <row r="62" spans="1:35">
      <c r="B62" s="10" t="s">
        <v>369</v>
      </c>
      <c r="C62" s="10"/>
      <c r="D62" s="10"/>
      <c r="E62" s="109"/>
      <c r="F62" s="125"/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10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17"/>
      <c r="AH62" s="115"/>
      <c r="AI62" s="131"/>
    </row>
    <row r="63" spans="1:35">
      <c r="B63" s="10" t="s">
        <v>370</v>
      </c>
      <c r="C63" s="10"/>
      <c r="D63" s="10"/>
      <c r="E63" s="109"/>
      <c r="F63" s="125"/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10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17"/>
      <c r="AH63" s="115"/>
      <c r="AI63" s="131"/>
    </row>
    <row r="64" spans="1:35">
      <c r="B64" s="10"/>
      <c r="C64" s="10"/>
      <c r="D64" s="10"/>
      <c r="E64" s="109"/>
      <c r="F64" s="109"/>
      <c r="G64" s="109"/>
      <c r="H64" s="109"/>
      <c r="I64" s="109"/>
      <c r="J64" s="10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0"/>
      <c r="V64" s="110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17"/>
      <c r="AH64" s="115"/>
      <c r="AI64" s="131"/>
    </row>
    <row r="65" spans="2:35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0"/>
      <c r="V65" s="110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17"/>
      <c r="AH65" s="115"/>
      <c r="AI65" s="131"/>
    </row>
    <row r="66" spans="2:35">
      <c r="B66" s="10" t="s">
        <v>253</v>
      </c>
      <c r="C66" s="112"/>
      <c r="D66" s="112"/>
      <c r="E66" s="112"/>
      <c r="F66" s="112"/>
      <c r="G66" s="112">
        <f t="shared" ref="G66" si="154">G25/G57</f>
        <v>2.4</v>
      </c>
      <c r="H66" s="112">
        <f t="shared" ref="H66:I66" si="155">H25/H57</f>
        <v>2.4</v>
      </c>
      <c r="I66" s="112">
        <f t="shared" si="155"/>
        <v>10.703703703703704</v>
      </c>
      <c r="J66" s="112">
        <f t="shared" ref="J66:S66" si="156">J25/J57</f>
        <v>28.142857142857142</v>
      </c>
      <c r="K66" s="112">
        <f t="shared" si="156"/>
        <v>56.262626262626263</v>
      </c>
      <c r="L66" s="112">
        <f t="shared" si="156"/>
        <v>82.115190299764222</v>
      </c>
      <c r="M66" s="112">
        <f t="shared" si="156"/>
        <v>86.719670200235569</v>
      </c>
      <c r="N66" s="112">
        <f t="shared" si="156"/>
        <v>134.43804034582132</v>
      </c>
      <c r="O66" s="112">
        <f t="shared" si="156"/>
        <v>203.0036837631057</v>
      </c>
      <c r="P66" s="112">
        <f t="shared" si="156"/>
        <v>266.34132738427218</v>
      </c>
      <c r="Q66" s="112">
        <f t="shared" si="156"/>
        <v>324.51469772601217</v>
      </c>
      <c r="R66" s="112">
        <f t="shared" si="156"/>
        <v>326.04740244194397</v>
      </c>
      <c r="S66" s="112">
        <f t="shared" si="156"/>
        <v>386.730083234245</v>
      </c>
      <c r="T66" s="112">
        <f t="shared" ref="T66" si="157">T25/T57</f>
        <v>452.27870289219982</v>
      </c>
      <c r="U66" s="101">
        <f t="shared" ref="U66:U129" si="158">((T66/G66)^(1/($K$2-$K$1) ))-1</f>
        <v>0.49628730764120332</v>
      </c>
      <c r="V66" s="110"/>
      <c r="W66" s="135">
        <f t="shared" ref="W66:AF66" si="159">W25/W57</f>
        <v>113.0395238095238</v>
      </c>
      <c r="X66" s="135">
        <f t="shared" si="159"/>
        <v>127.44652194211015</v>
      </c>
      <c r="Y66" s="135">
        <f t="shared" si="159"/>
        <v>143.68970611120264</v>
      </c>
      <c r="Z66" s="135">
        <f t="shared" si="159"/>
        <v>162.00310002733627</v>
      </c>
      <c r="AA66" s="135">
        <f t="shared" si="159"/>
        <v>182.65055395238895</v>
      </c>
      <c r="AB66" s="135">
        <f t="shared" si="159"/>
        <v>205.92954612279144</v>
      </c>
      <c r="AC66" s="135">
        <f t="shared" si="159"/>
        <v>232.1754686678531</v>
      </c>
      <c r="AD66" s="135">
        <f t="shared" si="159"/>
        <v>261.76645977257948</v>
      </c>
      <c r="AE66" s="135">
        <f t="shared" si="159"/>
        <v>295.1288517043788</v>
      </c>
      <c r="AF66" s="135">
        <f t="shared" si="159"/>
        <v>332.74331319611332</v>
      </c>
      <c r="AG66" s="116">
        <f t="shared" ref="AG66" si="160">((AF66/J66)^(1/($AF$3-$K$1) ))-1</f>
        <v>0.113373600929211</v>
      </c>
      <c r="AH66" s="21">
        <f t="shared" si="17"/>
        <v>0.05</v>
      </c>
      <c r="AI66" s="124">
        <f t="shared" ref="AI66:AI67" si="161">(AF66*(1+AH66))/($C$1-AH66)</f>
        <v>2055.1792873877594</v>
      </c>
    </row>
    <row r="67" spans="2:35">
      <c r="B67" s="10" t="s">
        <v>254</v>
      </c>
      <c r="C67" s="112"/>
      <c r="D67" s="112"/>
      <c r="E67" s="112"/>
      <c r="F67" s="112"/>
      <c r="G67" s="112">
        <f t="shared" ref="G67" si="162">G27/G57</f>
        <v>0.59250000000000003</v>
      </c>
      <c r="H67" s="112">
        <f t="shared" ref="H67:I67" si="163">H27/H57</f>
        <v>0.59250000000000003</v>
      </c>
      <c r="I67" s="112">
        <f t="shared" si="163"/>
        <v>3.8888888888888888</v>
      </c>
      <c r="J67" s="112">
        <f t="shared" ref="J67:S67" si="164">J27/J57</f>
        <v>14.857142857142858</v>
      </c>
      <c r="K67" s="112">
        <f t="shared" si="164"/>
        <v>32.794612794612796</v>
      </c>
      <c r="L67" s="112">
        <f t="shared" si="164"/>
        <v>50.2526103065005</v>
      </c>
      <c r="M67" s="112">
        <f t="shared" si="164"/>
        <v>72.644287396937571</v>
      </c>
      <c r="N67" s="112">
        <f t="shared" si="164"/>
        <v>113.45821325648414</v>
      </c>
      <c r="O67" s="112">
        <f t="shared" si="164"/>
        <v>175.31878719183905</v>
      </c>
      <c r="P67" s="112">
        <f t="shared" si="164"/>
        <v>230.06134969325154</v>
      </c>
      <c r="Q67" s="112">
        <f t="shared" si="164"/>
        <v>279.83915696062115</v>
      </c>
      <c r="R67" s="112">
        <f t="shared" si="164"/>
        <v>278.23796983480963</v>
      </c>
      <c r="S67" s="112">
        <f t="shared" si="164"/>
        <v>326.58739595719385</v>
      </c>
      <c r="T67" s="112">
        <f t="shared" ref="T67" si="165">T27/T57</f>
        <v>379.09728308501315</v>
      </c>
      <c r="U67" s="101">
        <f t="shared" si="158"/>
        <v>0.643807461629748</v>
      </c>
      <c r="V67" s="110"/>
      <c r="W67" s="135">
        <f t="shared" ref="W67:AF67" si="166">W27/W57</f>
        <v>94.749047619047616</v>
      </c>
      <c r="X67" s="135">
        <f t="shared" si="166"/>
        <v>106.82490662931838</v>
      </c>
      <c r="Y67" s="135">
        <f t="shared" si="166"/>
        <v>120.43984570952561</v>
      </c>
      <c r="Z67" s="135">
        <f t="shared" si="166"/>
        <v>135.79002212348473</v>
      </c>
      <c r="AA67" s="135">
        <f t="shared" si="166"/>
        <v>153.0965935705955</v>
      </c>
      <c r="AB67" s="135">
        <f t="shared" si="166"/>
        <v>172.60890451586749</v>
      </c>
      <c r="AC67" s="135">
        <f t="shared" si="166"/>
        <v>194.60807862083098</v>
      </c>
      <c r="AD67" s="135">
        <f t="shared" si="166"/>
        <v>219.41106903328981</v>
      </c>
      <c r="AE67" s="135">
        <f t="shared" si="166"/>
        <v>247.37522489047379</v>
      </c>
      <c r="AF67" s="135">
        <f t="shared" si="166"/>
        <v>278.90343982749494</v>
      </c>
      <c r="AG67" s="116">
        <f t="shared" ref="AG67" si="167">((AF67/J67)^(1/($AF$3-$K$1) ))-1</f>
        <v>0.13597918230651596</v>
      </c>
      <c r="AH67" s="21">
        <f t="shared" si="17"/>
        <v>0.05</v>
      </c>
      <c r="AI67" s="124">
        <f t="shared" si="161"/>
        <v>1722.6388930521748</v>
      </c>
    </row>
    <row r="68" spans="2:35">
      <c r="B68" s="10" t="s">
        <v>372</v>
      </c>
      <c r="C68" s="112"/>
      <c r="D68" s="112"/>
      <c r="E68" s="112"/>
      <c r="F68" s="112"/>
      <c r="G68" s="112">
        <f t="shared" ref="G68" si="168">G53-G55</f>
        <v>4</v>
      </c>
      <c r="H68" s="112">
        <f t="shared" ref="H68:I68" si="169">H53-H55</f>
        <v>4</v>
      </c>
      <c r="I68" s="112">
        <f t="shared" si="169"/>
        <v>-55</v>
      </c>
      <c r="J68" s="112">
        <f>J53-J55</f>
        <v>-94</v>
      </c>
      <c r="K68" s="112">
        <f t="shared" ref="K68:T68" si="170">K53-K55</f>
        <v>-200</v>
      </c>
      <c r="L68" s="112">
        <f t="shared" si="170"/>
        <v>-304</v>
      </c>
      <c r="M68" s="112">
        <f t="shared" si="170"/>
        <v>-478</v>
      </c>
      <c r="N68" s="112">
        <f t="shared" si="170"/>
        <v>-727</v>
      </c>
      <c r="O68" s="112">
        <f t="shared" si="170"/>
        <v>-977</v>
      </c>
      <c r="P68" s="112">
        <f t="shared" si="170"/>
        <v>-1300</v>
      </c>
      <c r="Q68" s="112">
        <f t="shared" si="170"/>
        <v>-1611</v>
      </c>
      <c r="R68" s="112">
        <f t="shared" si="170"/>
        <v>-1997</v>
      </c>
      <c r="S68" s="112">
        <f t="shared" si="170"/>
        <v>-2529</v>
      </c>
      <c r="T68" s="112" t="e">
        <f t="shared" si="170"/>
        <v>#VALUE!</v>
      </c>
      <c r="U68" s="101" t="e">
        <f t="shared" si="158"/>
        <v>#VALUE!</v>
      </c>
      <c r="V68" s="110"/>
      <c r="W68" s="112" t="e">
        <f t="shared" ref="W68:AF68" si="171">W53-W55</f>
        <v>#VALUE!</v>
      </c>
      <c r="X68" s="112" t="e">
        <f t="shared" si="171"/>
        <v>#VALUE!</v>
      </c>
      <c r="Y68" s="112" t="e">
        <f t="shared" si="171"/>
        <v>#VALUE!</v>
      </c>
      <c r="Z68" s="112" t="e">
        <f t="shared" si="171"/>
        <v>#VALUE!</v>
      </c>
      <c r="AA68" s="112" t="e">
        <f t="shared" si="171"/>
        <v>#VALUE!</v>
      </c>
      <c r="AB68" s="112" t="e">
        <f t="shared" si="171"/>
        <v>#VALUE!</v>
      </c>
      <c r="AC68" s="112" t="e">
        <f t="shared" si="171"/>
        <v>#VALUE!</v>
      </c>
      <c r="AD68" s="112" t="e">
        <f t="shared" si="171"/>
        <v>#VALUE!</v>
      </c>
      <c r="AE68" s="112" t="e">
        <f t="shared" si="171"/>
        <v>#VALUE!</v>
      </c>
      <c r="AF68" s="112" t="e">
        <f t="shared" si="171"/>
        <v>#VALUE!</v>
      </c>
      <c r="AG68" s="116" t="e">
        <f t="shared" ref="AG68" si="172">((AF68/J68)^(1/($AF$3-$K$1) ))-1</f>
        <v>#VALUE!</v>
      </c>
      <c r="AH68" s="21">
        <f t="shared" si="17"/>
        <v>0.05</v>
      </c>
      <c r="AI68" s="124" t="e">
        <f t="shared" ref="AI68" si="173">(AF68*(1+AH68))/($C$1-AH68)</f>
        <v>#VALUE!</v>
      </c>
    </row>
    <row r="69" spans="2:35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0"/>
      <c r="V69" s="110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02"/>
      <c r="AH69" s="115"/>
      <c r="AI69" s="124"/>
    </row>
    <row r="70" spans="2:35">
      <c r="B70" s="10" t="s">
        <v>405</v>
      </c>
      <c r="C70" s="112"/>
      <c r="D70" s="112"/>
      <c r="E70" s="112"/>
      <c r="F70" s="15"/>
      <c r="G70" s="15">
        <f t="shared" ref="G70" si="174">G51/G57</f>
        <v>0</v>
      </c>
      <c r="H70" s="15">
        <f t="shared" ref="H70:I70" si="175">H51/H57</f>
        <v>0</v>
      </c>
      <c r="I70" s="15">
        <f t="shared" si="175"/>
        <v>0</v>
      </c>
      <c r="J70" s="15">
        <f t="shared" ref="J70:S70" si="176">J51/J57</f>
        <v>0</v>
      </c>
      <c r="K70" s="15">
        <f t="shared" si="176"/>
        <v>0</v>
      </c>
      <c r="L70" s="15">
        <f t="shared" si="176"/>
        <v>0</v>
      </c>
      <c r="M70" s="15">
        <f t="shared" si="176"/>
        <v>0</v>
      </c>
      <c r="N70" s="15">
        <f t="shared" si="176"/>
        <v>0</v>
      </c>
      <c r="O70" s="15">
        <f t="shared" si="176"/>
        <v>0</v>
      </c>
      <c r="P70" s="15">
        <f t="shared" si="176"/>
        <v>0</v>
      </c>
      <c r="Q70" s="15">
        <f t="shared" si="176"/>
        <v>0</v>
      </c>
      <c r="R70" s="15">
        <f t="shared" si="176"/>
        <v>0</v>
      </c>
      <c r="S70" s="15">
        <f t="shared" si="176"/>
        <v>0</v>
      </c>
      <c r="T70" s="15" t="e">
        <f>T51/T57</f>
        <v>#VALUE!</v>
      </c>
      <c r="U70" s="101" t="e">
        <f t="shared" si="158"/>
        <v>#VALUE!</v>
      </c>
      <c r="V70" s="110"/>
      <c r="W70" s="96" t="e">
        <f>W51/W57</f>
        <v>#VALUE!</v>
      </c>
      <c r="X70" s="96" t="e">
        <f t="shared" ref="X70:AF70" si="177">X51/X57</f>
        <v>#VALUE!</v>
      </c>
      <c r="Y70" s="96" t="e">
        <f t="shared" si="177"/>
        <v>#VALUE!</v>
      </c>
      <c r="Z70" s="96" t="e">
        <f t="shared" si="177"/>
        <v>#VALUE!</v>
      </c>
      <c r="AA70" s="96" t="e">
        <f t="shared" si="177"/>
        <v>#VALUE!</v>
      </c>
      <c r="AB70" s="96" t="e">
        <f t="shared" si="177"/>
        <v>#VALUE!</v>
      </c>
      <c r="AC70" s="96" t="e">
        <f t="shared" si="177"/>
        <v>#VALUE!</v>
      </c>
      <c r="AD70" s="96" t="e">
        <f t="shared" si="177"/>
        <v>#VALUE!</v>
      </c>
      <c r="AE70" s="96" t="e">
        <f t="shared" si="177"/>
        <v>#VALUE!</v>
      </c>
      <c r="AF70" s="96" t="e">
        <f t="shared" si="177"/>
        <v>#VALUE!</v>
      </c>
      <c r="AG70" s="116" t="e">
        <f t="shared" ref="AG70:AG71" si="178">((AF70/J70)^(1/($AF$3-$K$1) ))-1</f>
        <v>#VALUE!</v>
      </c>
      <c r="AH70" s="21">
        <f t="shared" si="17"/>
        <v>0.05</v>
      </c>
      <c r="AI70" s="124" t="e">
        <f t="shared" ref="AI70:AI71" si="179">(AF70*(1+AH70))/($C$1-AH70)</f>
        <v>#VALUE!</v>
      </c>
    </row>
    <row r="71" spans="2:35">
      <c r="B71" s="10" t="s">
        <v>406</v>
      </c>
      <c r="C71" s="112"/>
      <c r="D71" s="112"/>
      <c r="E71" s="112"/>
      <c r="F71" s="15"/>
      <c r="G71" s="15">
        <f t="shared" ref="G71" si="180">G53/G57</f>
        <v>0</v>
      </c>
      <c r="H71" s="15">
        <f t="shared" ref="H71:I71" si="181">H53/H57</f>
        <v>0</v>
      </c>
      <c r="I71" s="15">
        <f t="shared" si="181"/>
        <v>0</v>
      </c>
      <c r="J71" s="15">
        <f t="shared" ref="J71:S71" si="182">J53/J57</f>
        <v>0</v>
      </c>
      <c r="K71" s="15">
        <f t="shared" si="182"/>
        <v>0</v>
      </c>
      <c r="L71" s="15">
        <f t="shared" si="182"/>
        <v>0</v>
      </c>
      <c r="M71" s="15">
        <f t="shared" si="182"/>
        <v>0</v>
      </c>
      <c r="N71" s="15">
        <f t="shared" si="182"/>
        <v>0</v>
      </c>
      <c r="O71" s="15">
        <f t="shared" si="182"/>
        <v>0</v>
      </c>
      <c r="P71" s="15">
        <f t="shared" si="182"/>
        <v>0</v>
      </c>
      <c r="Q71" s="15">
        <f t="shared" si="182"/>
        <v>0</v>
      </c>
      <c r="R71" s="15">
        <f t="shared" si="182"/>
        <v>0</v>
      </c>
      <c r="S71" s="15">
        <f t="shared" si="182"/>
        <v>0</v>
      </c>
      <c r="T71" s="15" t="e">
        <f>T53/T57</f>
        <v>#VALUE!</v>
      </c>
      <c r="U71" s="101" t="e">
        <f t="shared" si="158"/>
        <v>#VALUE!</v>
      </c>
      <c r="V71" s="110"/>
      <c r="W71" s="96" t="e">
        <f>W53/W57</f>
        <v>#VALUE!</v>
      </c>
      <c r="X71" s="96" t="e">
        <f t="shared" ref="X71:AF71" si="183">X53/X57</f>
        <v>#VALUE!</v>
      </c>
      <c r="Y71" s="96" t="e">
        <f t="shared" si="183"/>
        <v>#VALUE!</v>
      </c>
      <c r="Z71" s="96" t="e">
        <f t="shared" si="183"/>
        <v>#VALUE!</v>
      </c>
      <c r="AA71" s="96" t="e">
        <f t="shared" si="183"/>
        <v>#VALUE!</v>
      </c>
      <c r="AB71" s="96" t="e">
        <f t="shared" si="183"/>
        <v>#VALUE!</v>
      </c>
      <c r="AC71" s="96" t="e">
        <f t="shared" si="183"/>
        <v>#VALUE!</v>
      </c>
      <c r="AD71" s="96" t="e">
        <f t="shared" si="183"/>
        <v>#VALUE!</v>
      </c>
      <c r="AE71" s="96" t="e">
        <f t="shared" si="183"/>
        <v>#VALUE!</v>
      </c>
      <c r="AF71" s="96" t="e">
        <f t="shared" si="183"/>
        <v>#VALUE!</v>
      </c>
      <c r="AG71" s="116" t="e">
        <f t="shared" si="178"/>
        <v>#VALUE!</v>
      </c>
      <c r="AH71" s="21">
        <f t="shared" si="17"/>
        <v>0.05</v>
      </c>
      <c r="AI71" s="124" t="e">
        <f t="shared" si="179"/>
        <v>#VALUE!</v>
      </c>
    </row>
    <row r="72" spans="2:35">
      <c r="B72" s="10" t="s">
        <v>215</v>
      </c>
      <c r="C72" s="15"/>
      <c r="D72" s="15"/>
      <c r="E72" s="15"/>
      <c r="F72" s="112"/>
      <c r="G72" s="112">
        <f t="shared" ref="G72" si="184">G55/G57</f>
        <v>-0.2</v>
      </c>
      <c r="H72" s="112">
        <f t="shared" ref="H72:I72" si="185">H55/H57</f>
        <v>-0.2</v>
      </c>
      <c r="I72" s="112">
        <f t="shared" si="185"/>
        <v>2.0370370370370372</v>
      </c>
      <c r="J72" s="112">
        <f t="shared" ref="J72:S72" si="186">J55/J57</f>
        <v>3.3571428571428572</v>
      </c>
      <c r="K72" s="112">
        <f t="shared" si="186"/>
        <v>6.7340067340067344</v>
      </c>
      <c r="L72" s="112">
        <f t="shared" si="186"/>
        <v>10.239137756820478</v>
      </c>
      <c r="M72" s="112">
        <f t="shared" si="186"/>
        <v>14.075382803297996</v>
      </c>
      <c r="N72" s="112">
        <f t="shared" si="186"/>
        <v>20.95100864553314</v>
      </c>
      <c r="O72" s="112">
        <f t="shared" si="186"/>
        <v>27.684896571266648</v>
      </c>
      <c r="P72" s="112">
        <f t="shared" si="186"/>
        <v>36.252091466815394</v>
      </c>
      <c r="Q72" s="112">
        <f t="shared" si="186"/>
        <v>44.675540765391013</v>
      </c>
      <c r="R72" s="112">
        <f t="shared" si="186"/>
        <v>47.809432607134305</v>
      </c>
      <c r="S72" s="112">
        <f t="shared" si="186"/>
        <v>60.142687277051131</v>
      </c>
      <c r="T72" s="112">
        <f t="shared" ref="T72" si="187">T55/T57</f>
        <v>73.179009640666081</v>
      </c>
      <c r="U72" s="101">
        <f t="shared" si="158"/>
        <v>-2.5746399718191726</v>
      </c>
      <c r="V72" s="110"/>
      <c r="W72" s="135">
        <f t="shared" ref="W72:AF72" si="188">W55/W57</f>
        <v>18.289873809523808</v>
      </c>
      <c r="X72" s="135">
        <f t="shared" si="188"/>
        <v>20.620936157796447</v>
      </c>
      <c r="Y72" s="135">
        <f t="shared" si="188"/>
        <v>23.249094687711683</v>
      </c>
      <c r="Z72" s="135">
        <f t="shared" si="188"/>
        <v>26.212214598890615</v>
      </c>
      <c r="AA72" s="135">
        <f t="shared" si="188"/>
        <v>29.552987047768831</v>
      </c>
      <c r="AB72" s="135">
        <f t="shared" si="188"/>
        <v>33.319544220523682</v>
      </c>
      <c r="AC72" s="135">
        <f t="shared" si="188"/>
        <v>37.566152797649245</v>
      </c>
      <c r="AD72" s="135">
        <f t="shared" si="188"/>
        <v>42.353995801271203</v>
      </c>
      <c r="AE72" s="135">
        <f t="shared" si="188"/>
        <v>47.752054089668512</v>
      </c>
      <c r="AF72" s="135">
        <f t="shared" si="188"/>
        <v>53.838100199136058</v>
      </c>
      <c r="AG72" s="116">
        <f t="shared" ref="AG72:AG86" si="189">((AF72/J72)^(1/($AF$3-$K$1) ))-1</f>
        <v>0.12822707482551787</v>
      </c>
      <c r="AH72" s="21">
        <f t="shared" si="17"/>
        <v>0.05</v>
      </c>
      <c r="AI72" s="124">
        <f t="shared" ref="AI72:AI100" si="190">(AF72*(1+AH72))/($C$1-AH72)</f>
        <v>332.52944240642864</v>
      </c>
    </row>
    <row r="73" spans="2:35">
      <c r="B73" s="10" t="s">
        <v>333</v>
      </c>
      <c r="C73" s="112"/>
      <c r="D73" s="112"/>
      <c r="E73" s="112"/>
      <c r="F73" s="112"/>
      <c r="G73" s="112">
        <f t="shared" ref="G73" si="191">G20/G57</f>
        <v>-2.75</v>
      </c>
      <c r="H73" s="112">
        <f t="shared" ref="H73:I73" si="192">H20/H57</f>
        <v>-2.75</v>
      </c>
      <c r="I73" s="112">
        <f t="shared" si="192"/>
        <v>-6.1481481481481479</v>
      </c>
      <c r="J73" s="112">
        <f>J20/J57</f>
        <v>64.321428571428569</v>
      </c>
      <c r="K73" s="112">
        <f t="shared" ref="K73:S73" si="193">K20/K57</f>
        <v>-6.5993265993265995</v>
      </c>
      <c r="L73" s="112">
        <f t="shared" si="193"/>
        <v>-12.293701583024587</v>
      </c>
      <c r="M73" s="112">
        <f t="shared" si="193"/>
        <v>28.268551236749115</v>
      </c>
      <c r="N73" s="112">
        <f t="shared" si="193"/>
        <v>87.896253602305464</v>
      </c>
      <c r="O73" s="112">
        <f t="shared" si="193"/>
        <v>101.67186171720034</v>
      </c>
      <c r="P73" s="112">
        <f t="shared" si="193"/>
        <v>15.05856107083101</v>
      </c>
      <c r="Q73" s="112">
        <f t="shared" si="193"/>
        <v>123.34997226844148</v>
      </c>
      <c r="R73" s="112">
        <f t="shared" si="193"/>
        <v>-34.689968877184583</v>
      </c>
      <c r="S73" s="112">
        <f t="shared" si="193"/>
        <v>-8.6325802615933416</v>
      </c>
      <c r="T73" s="112">
        <f t="shared" ref="T73" si="194">T20/T57</f>
        <v>0</v>
      </c>
      <c r="U73" s="110"/>
      <c r="V73" s="110"/>
      <c r="W73" s="112">
        <f t="shared" ref="W73:AF73" si="195">W20/W57</f>
        <v>0</v>
      </c>
      <c r="X73" s="112">
        <f t="shared" si="195"/>
        <v>0</v>
      </c>
      <c r="Y73" s="112">
        <f t="shared" si="195"/>
        <v>0</v>
      </c>
      <c r="Z73" s="112">
        <f t="shared" si="195"/>
        <v>0</v>
      </c>
      <c r="AA73" s="112">
        <f t="shared" si="195"/>
        <v>0</v>
      </c>
      <c r="AB73" s="112">
        <f t="shared" si="195"/>
        <v>0</v>
      </c>
      <c r="AC73" s="112">
        <f t="shared" si="195"/>
        <v>0</v>
      </c>
      <c r="AD73" s="112">
        <f t="shared" si="195"/>
        <v>0</v>
      </c>
      <c r="AE73" s="112">
        <f t="shared" si="195"/>
        <v>0</v>
      </c>
      <c r="AF73" s="112">
        <f t="shared" si="195"/>
        <v>0</v>
      </c>
      <c r="AG73" s="116">
        <f t="shared" ref="AG73" si="196">((AF73/J73)^(1/($AF$3-$K$1) ))-1</f>
        <v>-1</v>
      </c>
      <c r="AH73" s="21">
        <f t="shared" si="17"/>
        <v>0.05</v>
      </c>
      <c r="AI73" s="124">
        <f t="shared" si="190"/>
        <v>0</v>
      </c>
    </row>
    <row r="74" spans="2:35">
      <c r="B74" s="10" t="s">
        <v>203</v>
      </c>
      <c r="C74" s="15"/>
      <c r="D74" s="15"/>
      <c r="E74" s="15"/>
      <c r="F74" s="112"/>
      <c r="G74" s="112">
        <f t="shared" ref="G74" si="197">G7/G57</f>
        <v>10.85</v>
      </c>
      <c r="H74" s="112">
        <f t="shared" ref="H74:I74" si="198">H7/H57</f>
        <v>10.85</v>
      </c>
      <c r="I74" s="112">
        <f t="shared" si="198"/>
        <v>21.185185185185187</v>
      </c>
      <c r="J74" s="112">
        <f t="shared" ref="J74:S74" si="199">J7/J57</f>
        <v>28.107142857142858</v>
      </c>
      <c r="K74" s="112">
        <f t="shared" si="199"/>
        <v>44.410774410774415</v>
      </c>
      <c r="L74" s="112">
        <f t="shared" si="199"/>
        <v>54.698551700909398</v>
      </c>
      <c r="M74" s="112">
        <f t="shared" si="199"/>
        <v>90.959952885747938</v>
      </c>
      <c r="N74" s="112">
        <f t="shared" si="199"/>
        <v>109.3371757925072</v>
      </c>
      <c r="O74" s="112">
        <f t="shared" si="199"/>
        <v>132.5021252479456</v>
      </c>
      <c r="P74" s="112">
        <f t="shared" si="199"/>
        <v>161.93530395984385</v>
      </c>
      <c r="Q74" s="112">
        <f t="shared" si="199"/>
        <v>197.3100388241819</v>
      </c>
      <c r="R74" s="112">
        <f t="shared" si="199"/>
        <v>279.26741680632028</v>
      </c>
      <c r="S74" s="112">
        <f t="shared" si="199"/>
        <v>327.27705112960763</v>
      </c>
      <c r="T74" s="112">
        <f t="shared" ref="T74" si="200">T7/T57</f>
        <v>482.88781770376863</v>
      </c>
      <c r="U74" s="101">
        <f t="shared" si="158"/>
        <v>0.33906380157283733</v>
      </c>
      <c r="V74" s="110"/>
      <c r="W74" s="135">
        <f t="shared" ref="W74:AF74" si="201">W7/W57</f>
        <v>120.68976190476189</v>
      </c>
      <c r="X74" s="135">
        <f t="shared" si="201"/>
        <v>136.07179038281976</v>
      </c>
      <c r="Y74" s="135">
        <f t="shared" si="201"/>
        <v>153.41427347082617</v>
      </c>
      <c r="Z74" s="135">
        <f t="shared" si="201"/>
        <v>172.96707303083343</v>
      </c>
      <c r="AA74" s="135">
        <f t="shared" si="201"/>
        <v>195.01189606417495</v>
      </c>
      <c r="AB74" s="135">
        <f t="shared" si="201"/>
        <v>219.86635340568742</v>
      </c>
      <c r="AC74" s="135">
        <f t="shared" si="201"/>
        <v>247.88853570249071</v>
      </c>
      <c r="AD74" s="135">
        <f t="shared" si="201"/>
        <v>279.48217260574933</v>
      </c>
      <c r="AE74" s="135">
        <f t="shared" si="201"/>
        <v>315.10244950648206</v>
      </c>
      <c r="AF74" s="135">
        <f t="shared" si="201"/>
        <v>355.26256562005324</v>
      </c>
      <c r="AG74" s="116">
        <f t="shared" si="189"/>
        <v>0.11660977076600121</v>
      </c>
      <c r="AH74" s="21">
        <f t="shared" si="17"/>
        <v>0.05</v>
      </c>
      <c r="AI74" s="124">
        <f t="shared" si="190"/>
        <v>2194.26878765327</v>
      </c>
    </row>
    <row r="75" spans="2:35">
      <c r="B75" s="10" t="s">
        <v>204</v>
      </c>
      <c r="C75" s="109"/>
      <c r="D75" s="109"/>
      <c r="E75" s="109"/>
      <c r="F75" s="122"/>
      <c r="G75" s="122">
        <f t="shared" ref="G75" si="202">G6/G57</f>
        <v>0.85</v>
      </c>
      <c r="H75" s="122">
        <f t="shared" ref="H75:I75" si="203">H6/H57</f>
        <v>0.85</v>
      </c>
      <c r="I75" s="122">
        <f t="shared" si="203"/>
        <v>11.222222222222221</v>
      </c>
      <c r="J75" s="122">
        <f t="shared" ref="J75:S75" si="204">J6/J57</f>
        <v>18.107142857142858</v>
      </c>
      <c r="K75" s="122">
        <f t="shared" si="204"/>
        <v>34.444444444444443</v>
      </c>
      <c r="L75" s="122">
        <f t="shared" si="204"/>
        <v>44.695183563489387</v>
      </c>
      <c r="M75" s="122">
        <f t="shared" si="204"/>
        <v>80.948174322732626</v>
      </c>
      <c r="N75" s="122">
        <f t="shared" si="204"/>
        <v>99.308357348703169</v>
      </c>
      <c r="O75" s="122">
        <f t="shared" si="204"/>
        <v>122.49929158401814</v>
      </c>
      <c r="P75" s="122">
        <f t="shared" si="204"/>
        <v>151.952035694367</v>
      </c>
      <c r="Q75" s="122">
        <f t="shared" si="204"/>
        <v>187.49306711037158</v>
      </c>
      <c r="R75" s="122">
        <f t="shared" si="204"/>
        <v>269.26023461814697</v>
      </c>
      <c r="S75" s="122">
        <f t="shared" si="204"/>
        <v>317.26516052318669</v>
      </c>
      <c r="T75" s="122">
        <f t="shared" ref="T75" si="205">T6/T57</f>
        <v>472.89658194566169</v>
      </c>
      <c r="U75" s="101">
        <f t="shared" si="158"/>
        <v>0.62622471704832927</v>
      </c>
      <c r="V75" s="110"/>
      <c r="W75" s="134">
        <f t="shared" ref="W75:AF75" si="206">W6/W57</f>
        <v>118.19261904761903</v>
      </c>
      <c r="X75" s="134">
        <f t="shared" si="206"/>
        <v>133.25638422035476</v>
      </c>
      <c r="Y75" s="134">
        <f t="shared" si="206"/>
        <v>150.24004103275291</v>
      </c>
      <c r="Z75" s="134">
        <f t="shared" si="206"/>
        <v>169.38828155653513</v>
      </c>
      <c r="AA75" s="134">
        <f t="shared" si="206"/>
        <v>190.97698410785821</v>
      </c>
      <c r="AB75" s="134">
        <f t="shared" si="206"/>
        <v>215.31718796474209</v>
      </c>
      <c r="AC75" s="134">
        <f t="shared" si="206"/>
        <v>242.75957466613082</v>
      </c>
      <c r="AD75" s="134">
        <f t="shared" si="206"/>
        <v>273.69952045691218</v>
      </c>
      <c r="AE75" s="134">
        <f t="shared" si="206"/>
        <v>308.58279267200879</v>
      </c>
      <c r="AF75" s="134">
        <f t="shared" si="206"/>
        <v>347.91197213020592</v>
      </c>
      <c r="AG75" s="116">
        <f t="shared" si="189"/>
        <v>0.13712849127720683</v>
      </c>
      <c r="AH75" s="21">
        <f t="shared" si="17"/>
        <v>0.05</v>
      </c>
      <c r="AI75" s="124">
        <f t="shared" si="190"/>
        <v>2148.8680631571547</v>
      </c>
    </row>
    <row r="76" spans="2:35">
      <c r="B76" s="10" t="s">
        <v>205</v>
      </c>
      <c r="C76" s="109"/>
      <c r="D76" s="109"/>
      <c r="E76" s="109"/>
      <c r="F76" s="122"/>
      <c r="G76" s="122">
        <f t="shared" ref="G76" si="207">G10/G57</f>
        <v>51.6</v>
      </c>
      <c r="H76" s="122">
        <f t="shared" ref="H76:I76" si="208">H10/H57</f>
        <v>51.6</v>
      </c>
      <c r="I76" s="122">
        <f t="shared" si="208"/>
        <v>125</v>
      </c>
      <c r="J76" s="122">
        <f t="shared" ref="J76:S76" si="209">J10/J57</f>
        <v>324.53571428571428</v>
      </c>
      <c r="K76" s="122">
        <f t="shared" si="209"/>
        <v>480.1010101010101</v>
      </c>
      <c r="L76" s="122">
        <f t="shared" si="209"/>
        <v>618.32266756483659</v>
      </c>
      <c r="M76" s="122">
        <f t="shared" si="209"/>
        <v>928.94581861012955</v>
      </c>
      <c r="N76" s="122">
        <f t="shared" si="209"/>
        <v>1516.685878962536</v>
      </c>
      <c r="O76" s="122">
        <f t="shared" si="209"/>
        <v>1793.9359591952395</v>
      </c>
      <c r="P76" s="122">
        <f t="shared" si="209"/>
        <v>2450.5577244841047</v>
      </c>
      <c r="Q76" s="122">
        <f t="shared" si="209"/>
        <v>2648.3361064891847</v>
      </c>
      <c r="R76" s="122">
        <f t="shared" si="209"/>
        <v>2810.1268853243951</v>
      </c>
      <c r="S76" s="122">
        <f t="shared" si="209"/>
        <v>3409.3460166468494</v>
      </c>
      <c r="T76" s="122">
        <f t="shared" ref="T76" si="210">T10/T57</f>
        <v>3975.9883873794915</v>
      </c>
      <c r="U76" s="101">
        <f t="shared" si="158"/>
        <v>0.3968124847899932</v>
      </c>
      <c r="V76" s="110"/>
      <c r="W76" s="134">
        <f t="shared" ref="W76:AF76" si="211">W10/W57</f>
        <v>993.7320309523808</v>
      </c>
      <c r="X76" s="134">
        <f t="shared" si="211"/>
        <v>1120.3841525443506</v>
      </c>
      <c r="Y76" s="134">
        <f t="shared" si="211"/>
        <v>1263.1782112019639</v>
      </c>
      <c r="Z76" s="134">
        <f t="shared" si="211"/>
        <v>1424.1715126296649</v>
      </c>
      <c r="AA76" s="134">
        <f t="shared" si="211"/>
        <v>1605.6835681608964</v>
      </c>
      <c r="AB76" s="134">
        <f t="shared" si="211"/>
        <v>1810.3295131225793</v>
      </c>
      <c r="AC76" s="134">
        <f t="shared" si="211"/>
        <v>2041.0577844029078</v>
      </c>
      <c r="AD76" s="134">
        <f t="shared" si="211"/>
        <v>2301.192600062102</v>
      </c>
      <c r="AE76" s="134">
        <f t="shared" si="211"/>
        <v>2594.4818530111934</v>
      </c>
      <c r="AF76" s="134">
        <f t="shared" si="211"/>
        <v>2925.1511087871295</v>
      </c>
      <c r="AG76" s="116">
        <f t="shared" si="189"/>
        <v>0.10031434333540523</v>
      </c>
      <c r="AH76" s="21">
        <f t="shared" si="17"/>
        <v>0.05</v>
      </c>
      <c r="AI76" s="124">
        <f t="shared" si="190"/>
        <v>18067.109789567567</v>
      </c>
    </row>
    <row r="77" spans="2:35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10"/>
      <c r="V77" s="110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17"/>
      <c r="AH77" s="115"/>
      <c r="AI77" s="124"/>
    </row>
    <row r="78" spans="2:35">
      <c r="B78" s="10" t="s">
        <v>222</v>
      </c>
      <c r="C78" s="109"/>
      <c r="D78" s="109"/>
      <c r="E78" s="109"/>
      <c r="F78" s="122"/>
      <c r="G78" s="122">
        <f t="shared" ref="G78" si="212">(G7-G10)/G57</f>
        <v>-40.75</v>
      </c>
      <c r="H78" s="122">
        <f t="shared" ref="H78:I78" si="213">(H7-H10)/H57</f>
        <v>-40.75</v>
      </c>
      <c r="I78" s="122">
        <f t="shared" si="213"/>
        <v>-103.81481481481481</v>
      </c>
      <c r="J78" s="122">
        <f t="shared" ref="J78:S78" si="214">(J7-J10)/J57</f>
        <v>-296.42857142857144</v>
      </c>
      <c r="K78" s="122">
        <f t="shared" si="214"/>
        <v>-435.69023569023568</v>
      </c>
      <c r="L78" s="122">
        <f t="shared" si="214"/>
        <v>-563.62411586392727</v>
      </c>
      <c r="M78" s="122">
        <f t="shared" si="214"/>
        <v>-837.9858657243816</v>
      </c>
      <c r="N78" s="122">
        <f t="shared" si="214"/>
        <v>-1407.3487031700288</v>
      </c>
      <c r="O78" s="122">
        <f t="shared" si="214"/>
        <v>-1661.4338339472938</v>
      </c>
      <c r="P78" s="122">
        <f t="shared" si="214"/>
        <v>-2288.6224205242611</v>
      </c>
      <c r="Q78" s="122">
        <f t="shared" si="214"/>
        <v>-2451.0260676650028</v>
      </c>
      <c r="R78" s="122">
        <f t="shared" si="214"/>
        <v>-2530.8594685180751</v>
      </c>
      <c r="S78" s="122">
        <f t="shared" si="214"/>
        <v>-3082.0689655172414</v>
      </c>
      <c r="T78" s="122">
        <f t="shared" ref="T78" si="215">(T7-T10)/T57</f>
        <v>-3493.1005696757229</v>
      </c>
      <c r="U78" s="101">
        <f t="shared" si="158"/>
        <v>0.40831151068935756</v>
      </c>
      <c r="V78" s="110"/>
      <c r="W78" s="134">
        <f t="shared" ref="W78:AF78" si="216">(W7-W10)/W57</f>
        <v>-873.04226904761879</v>
      </c>
      <c r="X78" s="134">
        <f t="shared" si="216"/>
        <v>-984.31236216153093</v>
      </c>
      <c r="Y78" s="134">
        <f t="shared" si="216"/>
        <v>-1109.7639377311377</v>
      </c>
      <c r="Z78" s="134">
        <f t="shared" si="216"/>
        <v>-1251.2044395988312</v>
      </c>
      <c r="AA78" s="134">
        <f t="shared" si="216"/>
        <v>-1410.6716720967213</v>
      </c>
      <c r="AB78" s="134">
        <f t="shared" si="216"/>
        <v>-1590.4631597168918</v>
      </c>
      <c r="AC78" s="134">
        <f t="shared" si="216"/>
        <v>-1793.169248700417</v>
      </c>
      <c r="AD78" s="134">
        <f t="shared" si="216"/>
        <v>-2021.7104274563528</v>
      </c>
      <c r="AE78" s="134">
        <f t="shared" si="216"/>
        <v>-2279.3794035047113</v>
      </c>
      <c r="AF78" s="134">
        <f t="shared" si="216"/>
        <v>-2569.888543167076</v>
      </c>
      <c r="AG78" s="116">
        <f t="shared" si="189"/>
        <v>9.8455221732404841E-2</v>
      </c>
      <c r="AH78" s="21">
        <f t="shared" si="17"/>
        <v>0.05</v>
      </c>
      <c r="AI78" s="124">
        <f t="shared" si="190"/>
        <v>-15872.841001914296</v>
      </c>
    </row>
    <row r="79" spans="2:35">
      <c r="B79" s="10" t="s">
        <v>223</v>
      </c>
      <c r="C79" s="109"/>
      <c r="D79" s="109"/>
      <c r="E79" s="109"/>
      <c r="F79" s="122"/>
      <c r="G79" s="122">
        <f t="shared" ref="G79" si="217">(G7-G10-G9)/G57</f>
        <v>-40.75</v>
      </c>
      <c r="H79" s="122">
        <f t="shared" ref="H79:I79" si="218">(H7-H10-H9)/H57</f>
        <v>-40.75</v>
      </c>
      <c r="I79" s="122">
        <f t="shared" si="218"/>
        <v>-103.81481481481481</v>
      </c>
      <c r="J79" s="122">
        <f t="shared" ref="J79:S79" si="219">(J7-J10-J9)/J57</f>
        <v>-296.42857142857144</v>
      </c>
      <c r="K79" s="122">
        <f t="shared" si="219"/>
        <v>-435.69023569023568</v>
      </c>
      <c r="L79" s="122">
        <f t="shared" si="219"/>
        <v>-563.62411586392727</v>
      </c>
      <c r="M79" s="122">
        <f t="shared" si="219"/>
        <v>-837.9858657243816</v>
      </c>
      <c r="N79" s="122">
        <f t="shared" si="219"/>
        <v>-1407.3487031700288</v>
      </c>
      <c r="O79" s="122">
        <f t="shared" si="219"/>
        <v>-1661.4338339472938</v>
      </c>
      <c r="P79" s="122">
        <f t="shared" si="219"/>
        <v>-2288.6224205242611</v>
      </c>
      <c r="Q79" s="122">
        <f t="shared" si="219"/>
        <v>-2451.0260676650028</v>
      </c>
      <c r="R79" s="122">
        <f t="shared" si="219"/>
        <v>-2530.8594685180751</v>
      </c>
      <c r="S79" s="122">
        <f t="shared" si="219"/>
        <v>-3082.0689655172414</v>
      </c>
      <c r="T79" s="122">
        <f t="shared" ref="T79" si="220">(T7-T10-T9)/T57</f>
        <v>-3493.1005696757229</v>
      </c>
      <c r="U79" s="101">
        <f t="shared" si="158"/>
        <v>0.40831151068935756</v>
      </c>
      <c r="V79" s="110"/>
      <c r="W79" s="134">
        <f t="shared" ref="W79:AF79" si="221">(W7-W10-W9)/W57</f>
        <v>-873.04226904761879</v>
      </c>
      <c r="X79" s="134">
        <f t="shared" si="221"/>
        <v>-984.31236216153093</v>
      </c>
      <c r="Y79" s="134">
        <f t="shared" si="221"/>
        <v>-1109.7639377311377</v>
      </c>
      <c r="Z79" s="134">
        <f t="shared" si="221"/>
        <v>-1251.2044395988312</v>
      </c>
      <c r="AA79" s="134">
        <f t="shared" si="221"/>
        <v>-1410.6716720967213</v>
      </c>
      <c r="AB79" s="134">
        <f t="shared" si="221"/>
        <v>-1590.4631597168918</v>
      </c>
      <c r="AC79" s="134">
        <f t="shared" si="221"/>
        <v>-1793.169248700417</v>
      </c>
      <c r="AD79" s="134">
        <f t="shared" si="221"/>
        <v>-2021.7104274563528</v>
      </c>
      <c r="AE79" s="134">
        <f t="shared" si="221"/>
        <v>-2279.3794035047113</v>
      </c>
      <c r="AF79" s="134">
        <f t="shared" si="221"/>
        <v>-2569.888543167076</v>
      </c>
      <c r="AG79" s="116">
        <f t="shared" si="189"/>
        <v>9.8455221732404841E-2</v>
      </c>
      <c r="AH79" s="21">
        <f t="shared" si="17"/>
        <v>0.05</v>
      </c>
      <c r="AI79" s="124">
        <f t="shared" si="190"/>
        <v>-15872.841001914296</v>
      </c>
    </row>
    <row r="80" spans="2:35">
      <c r="B80" s="10" t="s">
        <v>228</v>
      </c>
      <c r="C80" s="109"/>
      <c r="D80" s="109"/>
      <c r="E80" s="109"/>
      <c r="F80" s="122"/>
      <c r="G80" s="122">
        <f t="shared" ref="G80" si="222">(G7+G15-G10-G9)/G57</f>
        <v>-40.75</v>
      </c>
      <c r="H80" s="122">
        <f t="shared" ref="H80:I80" si="223">(H7+H15-H10-H9)/H57</f>
        <v>-40.75</v>
      </c>
      <c r="I80" s="122">
        <f t="shared" si="223"/>
        <v>-103.81481481481481</v>
      </c>
      <c r="J80" s="122">
        <f t="shared" ref="J80:S80" si="224">(J7+J15-J10-J9)/J57</f>
        <v>-296.42857142857144</v>
      </c>
      <c r="K80" s="122">
        <f t="shared" si="224"/>
        <v>-435.69023569023568</v>
      </c>
      <c r="L80" s="122">
        <f t="shared" si="224"/>
        <v>-563.62411586392727</v>
      </c>
      <c r="M80" s="122">
        <f t="shared" si="224"/>
        <v>-837.9858657243816</v>
      </c>
      <c r="N80" s="122">
        <f t="shared" si="224"/>
        <v>-1407.3487031700288</v>
      </c>
      <c r="O80" s="122">
        <f t="shared" si="224"/>
        <v>-1661.4338339472938</v>
      </c>
      <c r="P80" s="122">
        <f t="shared" si="224"/>
        <v>-2288.6224205242611</v>
      </c>
      <c r="Q80" s="122">
        <f t="shared" si="224"/>
        <v>-2451.0260676650028</v>
      </c>
      <c r="R80" s="122">
        <f t="shared" si="224"/>
        <v>-2530.8594685180751</v>
      </c>
      <c r="S80" s="122">
        <f t="shared" si="224"/>
        <v>-3082.0689655172414</v>
      </c>
      <c r="T80" s="122" t="e">
        <f t="shared" ref="T80" si="225">(T7+T15-T10-T9)/T57</f>
        <v>#VALUE!</v>
      </c>
      <c r="U80" s="101" t="e">
        <f t="shared" si="158"/>
        <v>#VALUE!</v>
      </c>
      <c r="V80" s="110"/>
      <c r="W80" s="134" t="e">
        <f t="shared" ref="W80:AF80" si="226">(W7+W15-W10-W9)/W57</f>
        <v>#VALUE!</v>
      </c>
      <c r="X80" s="134" t="e">
        <f t="shared" si="226"/>
        <v>#VALUE!</v>
      </c>
      <c r="Y80" s="134" t="e">
        <f t="shared" si="226"/>
        <v>#VALUE!</v>
      </c>
      <c r="Z80" s="134" t="e">
        <f t="shared" si="226"/>
        <v>#VALUE!</v>
      </c>
      <c r="AA80" s="134" t="e">
        <f t="shared" si="226"/>
        <v>#VALUE!</v>
      </c>
      <c r="AB80" s="134" t="e">
        <f t="shared" si="226"/>
        <v>#VALUE!</v>
      </c>
      <c r="AC80" s="134" t="e">
        <f t="shared" si="226"/>
        <v>#VALUE!</v>
      </c>
      <c r="AD80" s="134" t="e">
        <f t="shared" si="226"/>
        <v>#VALUE!</v>
      </c>
      <c r="AE80" s="134" t="e">
        <f t="shared" si="226"/>
        <v>#VALUE!</v>
      </c>
      <c r="AF80" s="134" t="e">
        <f t="shared" si="226"/>
        <v>#VALUE!</v>
      </c>
      <c r="AG80" s="116" t="e">
        <f t="shared" si="189"/>
        <v>#VALUE!</v>
      </c>
      <c r="AH80" s="21">
        <f t="shared" si="17"/>
        <v>0.05</v>
      </c>
      <c r="AI80" s="124" t="e">
        <f t="shared" si="190"/>
        <v>#VALUE!</v>
      </c>
    </row>
    <row r="81" spans="2:35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10"/>
      <c r="V81" s="110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17"/>
      <c r="AH81" s="115"/>
      <c r="AI81" s="131"/>
    </row>
    <row r="82" spans="2:35">
      <c r="B82" s="10" t="s">
        <v>206</v>
      </c>
      <c r="C82" s="109"/>
      <c r="D82" s="109"/>
      <c r="E82" s="109"/>
      <c r="F82" s="122"/>
      <c r="G82" s="122">
        <f t="shared" ref="G82" si="227">G12/G57</f>
        <v>0</v>
      </c>
      <c r="H82" s="122">
        <f t="shared" ref="H82:I82" si="228">H12/H57</f>
        <v>0</v>
      </c>
      <c r="I82" s="122">
        <f t="shared" si="228"/>
        <v>0</v>
      </c>
      <c r="J82" s="122">
        <f t="shared" ref="J82:S82" si="229">J12/J57</f>
        <v>0</v>
      </c>
      <c r="K82" s="122">
        <f t="shared" si="229"/>
        <v>0</v>
      </c>
      <c r="L82" s="122">
        <f t="shared" si="229"/>
        <v>0</v>
      </c>
      <c r="M82" s="122">
        <f t="shared" si="229"/>
        <v>0</v>
      </c>
      <c r="N82" s="122">
        <f t="shared" si="229"/>
        <v>0</v>
      </c>
      <c r="O82" s="122">
        <f t="shared" si="229"/>
        <v>0</v>
      </c>
      <c r="P82" s="122">
        <f t="shared" si="229"/>
        <v>0</v>
      </c>
      <c r="Q82" s="122">
        <f t="shared" si="229"/>
        <v>0</v>
      </c>
      <c r="R82" s="122">
        <f t="shared" si="229"/>
        <v>0</v>
      </c>
      <c r="S82" s="122">
        <f t="shared" si="229"/>
        <v>0</v>
      </c>
      <c r="T82" s="122" t="e">
        <f t="shared" ref="T82" si="230">T12/T57</f>
        <v>#VALUE!</v>
      </c>
      <c r="U82" s="101" t="e">
        <f t="shared" si="158"/>
        <v>#VALUE!</v>
      </c>
      <c r="V82" s="110"/>
      <c r="W82" s="134" t="e">
        <f t="shared" ref="W82:AF82" si="231">W12/W57</f>
        <v>#VALUE!</v>
      </c>
      <c r="X82" s="134" t="e">
        <f t="shared" si="231"/>
        <v>#VALUE!</v>
      </c>
      <c r="Y82" s="134" t="e">
        <f t="shared" si="231"/>
        <v>#VALUE!</v>
      </c>
      <c r="Z82" s="134" t="e">
        <f t="shared" si="231"/>
        <v>#VALUE!</v>
      </c>
      <c r="AA82" s="134" t="e">
        <f t="shared" si="231"/>
        <v>#VALUE!</v>
      </c>
      <c r="AB82" s="134" t="e">
        <f t="shared" si="231"/>
        <v>#VALUE!</v>
      </c>
      <c r="AC82" s="134" t="e">
        <f t="shared" si="231"/>
        <v>#VALUE!</v>
      </c>
      <c r="AD82" s="134" t="e">
        <f t="shared" si="231"/>
        <v>#VALUE!</v>
      </c>
      <c r="AE82" s="134" t="e">
        <f t="shared" si="231"/>
        <v>#VALUE!</v>
      </c>
      <c r="AF82" s="134" t="e">
        <f t="shared" si="231"/>
        <v>#VALUE!</v>
      </c>
      <c r="AG82" s="116" t="e">
        <f t="shared" si="189"/>
        <v>#VALUE!</v>
      </c>
      <c r="AH82" s="21">
        <f t="shared" si="17"/>
        <v>0.05</v>
      </c>
      <c r="AI82" s="124" t="e">
        <f t="shared" si="190"/>
        <v>#VALUE!</v>
      </c>
    </row>
    <row r="83" spans="2:35">
      <c r="B83" s="10" t="s">
        <v>213</v>
      </c>
      <c r="C83" s="109"/>
      <c r="D83" s="109"/>
      <c r="E83" s="109"/>
      <c r="F83" s="122"/>
      <c r="G83" s="122">
        <f t="shared" ref="G83" si="232">G13/G57</f>
        <v>19.75</v>
      </c>
      <c r="H83" s="122">
        <f t="shared" ref="H83:I83" si="233">H13/H57</f>
        <v>19.75</v>
      </c>
      <c r="I83" s="122">
        <f t="shared" si="233"/>
        <v>50</v>
      </c>
      <c r="J83" s="122">
        <f t="shared" ref="J83:S83" si="234">J13/J57</f>
        <v>109.75</v>
      </c>
      <c r="K83" s="122">
        <f t="shared" si="234"/>
        <v>171.4814814814815</v>
      </c>
      <c r="L83" s="122">
        <f t="shared" si="234"/>
        <v>239.71034018187942</v>
      </c>
      <c r="M83" s="122">
        <f t="shared" si="234"/>
        <v>300.61837455830386</v>
      </c>
      <c r="N83" s="122">
        <f t="shared" si="234"/>
        <v>542.59365994236305</v>
      </c>
      <c r="O83" s="122">
        <f t="shared" si="234"/>
        <v>786.5400963445735</v>
      </c>
      <c r="P83" s="122">
        <f t="shared" si="234"/>
        <v>1198.4104852203011</v>
      </c>
      <c r="Q83" s="122">
        <f t="shared" si="234"/>
        <v>1135.108153078203</v>
      </c>
      <c r="R83" s="122">
        <f t="shared" si="234"/>
        <v>1114.9150107732821</v>
      </c>
      <c r="S83" s="122">
        <f t="shared" si="234"/>
        <v>1160.2378121284187</v>
      </c>
      <c r="T83" s="122">
        <f t="shared" ref="T83" si="235">T13/T57</f>
        <v>1095.1314636283962</v>
      </c>
      <c r="U83" s="101">
        <f t="shared" si="158"/>
        <v>0.36190272538453483</v>
      </c>
      <c r="V83" s="110"/>
      <c r="W83" s="134">
        <f t="shared" ref="W83:AF83" si="236">W13/W57</f>
        <v>273.70985714285712</v>
      </c>
      <c r="X83" s="134">
        <f t="shared" si="236"/>
        <v>308.59444677871141</v>
      </c>
      <c r="Y83" s="134">
        <f t="shared" si="236"/>
        <v>347.92511156423342</v>
      </c>
      <c r="Z83" s="134">
        <f t="shared" si="236"/>
        <v>392.2685081361455</v>
      </c>
      <c r="AA83" s="134">
        <f t="shared" si="236"/>
        <v>442.26351407506593</v>
      </c>
      <c r="AB83" s="134">
        <f t="shared" si="236"/>
        <v>498.63043253561358</v>
      </c>
      <c r="AC83" s="134">
        <f t="shared" si="236"/>
        <v>562.18137001564276</v>
      </c>
      <c r="AD83" s="134">
        <f t="shared" si="236"/>
        <v>633.83193678234227</v>
      </c>
      <c r="AE83" s="134">
        <f t="shared" si="236"/>
        <v>714.61443852911134</v>
      </c>
      <c r="AF83" s="134">
        <f t="shared" si="236"/>
        <v>805.69274932203723</v>
      </c>
      <c r="AG83" s="116">
        <f t="shared" si="189"/>
        <v>9.0540887897176958E-2</v>
      </c>
      <c r="AH83" s="21">
        <f t="shared" si="17"/>
        <v>0.05</v>
      </c>
      <c r="AI83" s="124">
        <f t="shared" si="190"/>
        <v>4976.3375693419957</v>
      </c>
    </row>
    <row r="84" spans="2:35">
      <c r="B84" s="10" t="s">
        <v>214</v>
      </c>
      <c r="C84" s="109"/>
      <c r="D84" s="109"/>
      <c r="E84" s="109"/>
      <c r="F84" s="122"/>
      <c r="G84" s="122">
        <f t="shared" ref="G84" si="237">(G82+G83)</f>
        <v>19.75</v>
      </c>
      <c r="H84" s="122">
        <f t="shared" ref="H84:I84" si="238">(H82+H83)</f>
        <v>19.75</v>
      </c>
      <c r="I84" s="122">
        <f t="shared" si="238"/>
        <v>50</v>
      </c>
      <c r="J84" s="122">
        <f t="shared" ref="J84:S84" si="239">(J82+J83)</f>
        <v>109.75</v>
      </c>
      <c r="K84" s="122">
        <f t="shared" si="239"/>
        <v>171.4814814814815</v>
      </c>
      <c r="L84" s="122">
        <f t="shared" si="239"/>
        <v>239.71034018187942</v>
      </c>
      <c r="M84" s="122">
        <f t="shared" si="239"/>
        <v>300.61837455830386</v>
      </c>
      <c r="N84" s="122">
        <f t="shared" si="239"/>
        <v>542.59365994236305</v>
      </c>
      <c r="O84" s="122">
        <f t="shared" si="239"/>
        <v>786.5400963445735</v>
      </c>
      <c r="P84" s="122">
        <f t="shared" si="239"/>
        <v>1198.4104852203011</v>
      </c>
      <c r="Q84" s="122">
        <f t="shared" si="239"/>
        <v>1135.108153078203</v>
      </c>
      <c r="R84" s="122">
        <f t="shared" ref="R84" si="240">(R82+R83)</f>
        <v>1114.9150107732821</v>
      </c>
      <c r="S84" s="122">
        <f t="shared" si="239"/>
        <v>1160.2378121284187</v>
      </c>
      <c r="T84" s="122" t="e">
        <f t="shared" ref="T84" si="241">(T82+T83)</f>
        <v>#VALUE!</v>
      </c>
      <c r="U84" s="101" t="e">
        <f t="shared" si="158"/>
        <v>#VALUE!</v>
      </c>
      <c r="V84" s="110"/>
      <c r="W84" s="134" t="e">
        <f t="shared" ref="W84:AF84" si="242">(W82+W83)</f>
        <v>#VALUE!</v>
      </c>
      <c r="X84" s="134" t="e">
        <f t="shared" si="242"/>
        <v>#VALUE!</v>
      </c>
      <c r="Y84" s="134" t="e">
        <f t="shared" si="242"/>
        <v>#VALUE!</v>
      </c>
      <c r="Z84" s="134" t="e">
        <f t="shared" si="242"/>
        <v>#VALUE!</v>
      </c>
      <c r="AA84" s="134" t="e">
        <f t="shared" si="242"/>
        <v>#VALUE!</v>
      </c>
      <c r="AB84" s="134" t="e">
        <f t="shared" si="242"/>
        <v>#VALUE!</v>
      </c>
      <c r="AC84" s="134" t="e">
        <f t="shared" si="242"/>
        <v>#VALUE!</v>
      </c>
      <c r="AD84" s="134" t="e">
        <f t="shared" si="242"/>
        <v>#VALUE!</v>
      </c>
      <c r="AE84" s="134" t="e">
        <f t="shared" si="242"/>
        <v>#VALUE!</v>
      </c>
      <c r="AF84" s="134" t="e">
        <f t="shared" si="242"/>
        <v>#VALUE!</v>
      </c>
      <c r="AG84" s="116" t="e">
        <f t="shared" si="189"/>
        <v>#VALUE!</v>
      </c>
      <c r="AH84" s="21">
        <f t="shared" si="17"/>
        <v>0.05</v>
      </c>
      <c r="AI84" s="124" t="e">
        <f t="shared" si="190"/>
        <v>#VALUE!</v>
      </c>
    </row>
    <row r="85" spans="2:35">
      <c r="B85" s="10" t="s">
        <v>207</v>
      </c>
      <c r="C85" s="109"/>
      <c r="D85" s="109"/>
      <c r="E85" s="109"/>
      <c r="F85" s="122"/>
      <c r="G85" s="122">
        <f t="shared" ref="G85" si="243">G15/G57</f>
        <v>0</v>
      </c>
      <c r="H85" s="122">
        <f t="shared" ref="H85:I85" si="244">H15/H57</f>
        <v>0</v>
      </c>
      <c r="I85" s="122">
        <f t="shared" si="244"/>
        <v>0</v>
      </c>
      <c r="J85" s="122">
        <f t="shared" ref="J85:S85" si="245">J15/J57</f>
        <v>0</v>
      </c>
      <c r="K85" s="122">
        <f t="shared" si="245"/>
        <v>0</v>
      </c>
      <c r="L85" s="122">
        <f t="shared" si="245"/>
        <v>0</v>
      </c>
      <c r="M85" s="122">
        <f t="shared" si="245"/>
        <v>0</v>
      </c>
      <c r="N85" s="122">
        <f t="shared" si="245"/>
        <v>0</v>
      </c>
      <c r="O85" s="122">
        <f t="shared" si="245"/>
        <v>0</v>
      </c>
      <c r="P85" s="122">
        <f t="shared" si="245"/>
        <v>0</v>
      </c>
      <c r="Q85" s="122">
        <f t="shared" si="245"/>
        <v>0</v>
      </c>
      <c r="R85" s="122">
        <f t="shared" si="245"/>
        <v>0</v>
      </c>
      <c r="S85" s="122">
        <f t="shared" si="245"/>
        <v>0</v>
      </c>
      <c r="T85" s="122" t="e">
        <f t="shared" ref="T85" si="246">T15/T57</f>
        <v>#VALUE!</v>
      </c>
      <c r="U85" s="101" t="e">
        <f t="shared" si="158"/>
        <v>#VALUE!</v>
      </c>
      <c r="V85" s="110"/>
      <c r="W85" s="134" t="e">
        <f t="shared" ref="W85:AF85" si="247">W15/W57</f>
        <v>#VALUE!</v>
      </c>
      <c r="X85" s="134" t="e">
        <f t="shared" si="247"/>
        <v>#VALUE!</v>
      </c>
      <c r="Y85" s="134" t="e">
        <f t="shared" si="247"/>
        <v>#VALUE!</v>
      </c>
      <c r="Z85" s="134" t="e">
        <f t="shared" si="247"/>
        <v>#VALUE!</v>
      </c>
      <c r="AA85" s="134" t="e">
        <f t="shared" si="247"/>
        <v>#VALUE!</v>
      </c>
      <c r="AB85" s="134" t="e">
        <f t="shared" si="247"/>
        <v>#VALUE!</v>
      </c>
      <c r="AC85" s="134" t="e">
        <f t="shared" si="247"/>
        <v>#VALUE!</v>
      </c>
      <c r="AD85" s="134" t="e">
        <f t="shared" si="247"/>
        <v>#VALUE!</v>
      </c>
      <c r="AE85" s="134" t="e">
        <f t="shared" si="247"/>
        <v>#VALUE!</v>
      </c>
      <c r="AF85" s="134" t="e">
        <f t="shared" si="247"/>
        <v>#VALUE!</v>
      </c>
      <c r="AG85" s="116" t="e">
        <f t="shared" si="189"/>
        <v>#VALUE!</v>
      </c>
      <c r="AH85" s="21">
        <f t="shared" si="17"/>
        <v>0.05</v>
      </c>
      <c r="AI85" s="124" t="e">
        <f t="shared" si="190"/>
        <v>#VALUE!</v>
      </c>
    </row>
    <row r="86" spans="2:35">
      <c r="B86" s="10" t="s">
        <v>208</v>
      </c>
      <c r="C86" s="109"/>
      <c r="D86" s="109"/>
      <c r="E86" s="109"/>
      <c r="F86" s="122"/>
      <c r="G86" s="122">
        <f t="shared" ref="G86" si="248">G16/G57</f>
        <v>0</v>
      </c>
      <c r="H86" s="122">
        <f t="shared" ref="H86:I86" si="249">H16/H57</f>
        <v>0</v>
      </c>
      <c r="I86" s="122">
        <f t="shared" si="249"/>
        <v>0</v>
      </c>
      <c r="J86" s="122">
        <f t="shared" ref="J86:S86" si="250">J16/J57</f>
        <v>0</v>
      </c>
      <c r="K86" s="122">
        <f t="shared" si="250"/>
        <v>0</v>
      </c>
      <c r="L86" s="122">
        <f t="shared" si="250"/>
        <v>0</v>
      </c>
      <c r="M86" s="122">
        <f t="shared" si="250"/>
        <v>0</v>
      </c>
      <c r="N86" s="122">
        <f t="shared" si="250"/>
        <v>0</v>
      </c>
      <c r="O86" s="122">
        <f t="shared" si="250"/>
        <v>0</v>
      </c>
      <c r="P86" s="122">
        <f t="shared" si="250"/>
        <v>0</v>
      </c>
      <c r="Q86" s="122">
        <f t="shared" si="250"/>
        <v>0</v>
      </c>
      <c r="R86" s="122">
        <f t="shared" si="250"/>
        <v>0</v>
      </c>
      <c r="S86" s="122">
        <f t="shared" si="250"/>
        <v>0</v>
      </c>
      <c r="T86" s="122" t="e">
        <f t="shared" ref="T86" si="251">T16/T57</f>
        <v>#VALUE!</v>
      </c>
      <c r="U86" s="101" t="e">
        <f t="shared" si="158"/>
        <v>#VALUE!</v>
      </c>
      <c r="V86" s="110"/>
      <c r="W86" s="134" t="e">
        <f t="shared" ref="W86:AF86" si="252">W16/W57</f>
        <v>#VALUE!</v>
      </c>
      <c r="X86" s="134" t="e">
        <f t="shared" si="252"/>
        <v>#VALUE!</v>
      </c>
      <c r="Y86" s="134" t="e">
        <f t="shared" si="252"/>
        <v>#VALUE!</v>
      </c>
      <c r="Z86" s="134" t="e">
        <f t="shared" si="252"/>
        <v>#VALUE!</v>
      </c>
      <c r="AA86" s="134" t="e">
        <f t="shared" si="252"/>
        <v>#VALUE!</v>
      </c>
      <c r="AB86" s="134" t="e">
        <f t="shared" si="252"/>
        <v>#VALUE!</v>
      </c>
      <c r="AC86" s="134" t="e">
        <f t="shared" si="252"/>
        <v>#VALUE!</v>
      </c>
      <c r="AD86" s="134" t="e">
        <f t="shared" si="252"/>
        <v>#VALUE!</v>
      </c>
      <c r="AE86" s="134" t="e">
        <f t="shared" si="252"/>
        <v>#VALUE!</v>
      </c>
      <c r="AF86" s="134" t="e">
        <f t="shared" si="252"/>
        <v>#VALUE!</v>
      </c>
      <c r="AG86" s="116" t="e">
        <f t="shared" si="189"/>
        <v>#VALUE!</v>
      </c>
      <c r="AH86" s="115"/>
      <c r="AI86" s="124" t="e">
        <f t="shared" si="190"/>
        <v>#VALUE!</v>
      </c>
    </row>
    <row r="87" spans="2:35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10"/>
      <c r="V87" s="11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17"/>
      <c r="AH87" s="21">
        <f t="shared" si="17"/>
        <v>0.05</v>
      </c>
      <c r="AI87" s="124">
        <f t="shared" si="190"/>
        <v>0</v>
      </c>
    </row>
    <row r="88" spans="2:35">
      <c r="B88" s="10" t="s">
        <v>233</v>
      </c>
      <c r="C88" s="136"/>
      <c r="D88" s="136"/>
      <c r="E88" s="136"/>
      <c r="F88" s="136"/>
      <c r="G88" s="136">
        <f t="shared" ref="G88" si="253">G59</f>
        <v>0.1</v>
      </c>
      <c r="H88" s="136">
        <f t="shared" ref="H88:I88" si="254">H59</f>
        <v>0</v>
      </c>
      <c r="I88" s="136">
        <f t="shared" si="254"/>
        <v>0</v>
      </c>
      <c r="J88" s="136">
        <f t="shared" ref="J88:S88" si="255">J59</f>
        <v>0</v>
      </c>
      <c r="K88" s="136">
        <f t="shared" si="255"/>
        <v>0</v>
      </c>
      <c r="L88" s="136">
        <f t="shared" si="255"/>
        <v>0</v>
      </c>
      <c r="M88" s="136">
        <f t="shared" si="255"/>
        <v>1.5</v>
      </c>
      <c r="N88" s="136">
        <f t="shared" si="255"/>
        <v>2.5</v>
      </c>
      <c r="O88" s="136">
        <f t="shared" si="255"/>
        <v>4</v>
      </c>
      <c r="P88" s="136">
        <f t="shared" si="255"/>
        <v>6</v>
      </c>
      <c r="Q88" s="136">
        <f t="shared" si="255"/>
        <v>8</v>
      </c>
      <c r="R88" s="136">
        <f t="shared" si="255"/>
        <v>9</v>
      </c>
      <c r="S88" s="136">
        <f t="shared" si="255"/>
        <v>10</v>
      </c>
      <c r="T88" s="136">
        <f t="shared" ref="T88" si="256">T59</f>
        <v>10</v>
      </c>
      <c r="U88" s="101">
        <f t="shared" si="158"/>
        <v>0.42510267030299809</v>
      </c>
      <c r="V88" s="110"/>
      <c r="W88" s="136">
        <f t="shared" ref="W88:AF88" si="257">W59</f>
        <v>10.199999999999999</v>
      </c>
      <c r="X88" s="136">
        <f t="shared" si="257"/>
        <v>10.404</v>
      </c>
      <c r="Y88" s="136">
        <f t="shared" si="257"/>
        <v>10.612080000000001</v>
      </c>
      <c r="Z88" s="136">
        <f t="shared" si="257"/>
        <v>10.824321600000001</v>
      </c>
      <c r="AA88" s="136">
        <f t="shared" si="257"/>
        <v>11.040808032000001</v>
      </c>
      <c r="AB88" s="136">
        <f t="shared" si="257"/>
        <v>11.261624192640001</v>
      </c>
      <c r="AC88" s="136">
        <f t="shared" si="257"/>
        <v>11.486856676492801</v>
      </c>
      <c r="AD88" s="136">
        <f t="shared" si="257"/>
        <v>11.716593810022657</v>
      </c>
      <c r="AE88" s="136">
        <f t="shared" si="257"/>
        <v>11.95092568622311</v>
      </c>
      <c r="AF88" s="136">
        <f t="shared" si="257"/>
        <v>12.189944199947572</v>
      </c>
      <c r="AG88" s="116" t="e">
        <f t="shared" ref="AG88" si="258">((AF88/J88)^(1/($AF$3-$K$1) ))-1</f>
        <v>#DIV/0!</v>
      </c>
      <c r="AH88" s="21">
        <f t="shared" si="17"/>
        <v>0.05</v>
      </c>
      <c r="AI88" s="124">
        <f t="shared" si="190"/>
        <v>75.290831823205593</v>
      </c>
    </row>
    <row r="89" spans="2:35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10"/>
      <c r="V89" s="110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17"/>
      <c r="AH89" s="115"/>
      <c r="AI89" s="131"/>
    </row>
    <row r="90" spans="2:35">
      <c r="B90" s="10" t="s">
        <v>263</v>
      </c>
      <c r="C90" s="109"/>
      <c r="D90" s="109"/>
      <c r="E90" s="109"/>
      <c r="F90" s="122"/>
      <c r="G90" s="122">
        <f t="shared" ref="G90" si="259">G20+G21</f>
        <v>-163</v>
      </c>
      <c r="H90" s="122">
        <f t="shared" ref="H90:I90" si="260">H20+H21</f>
        <v>-163</v>
      </c>
      <c r="I90" s="122">
        <f t="shared" si="260"/>
        <v>-236</v>
      </c>
      <c r="J90" s="122">
        <f t="shared" ref="J90:S90" si="261">J20+J21</f>
        <v>579</v>
      </c>
      <c r="K90" s="122">
        <f t="shared" si="261"/>
        <v>-245</v>
      </c>
      <c r="L90" s="122">
        <f t="shared" si="261"/>
        <v>-425</v>
      </c>
      <c r="M90" s="122">
        <f t="shared" si="261"/>
        <v>-1046</v>
      </c>
      <c r="N90" s="122">
        <f t="shared" si="261"/>
        <v>-373</v>
      </c>
      <c r="O90" s="122">
        <f t="shared" si="261"/>
        <v>-1275</v>
      </c>
      <c r="P90" s="122">
        <f t="shared" si="261"/>
        <v>-6201</v>
      </c>
      <c r="Q90" s="122">
        <f t="shared" si="261"/>
        <v>1650</v>
      </c>
      <c r="R90" s="122">
        <f t="shared" si="261"/>
        <v>-5908</v>
      </c>
      <c r="S90" s="122">
        <f t="shared" si="261"/>
        <v>-4398</v>
      </c>
      <c r="T90" s="122">
        <f t="shared" ref="T90" si="262">T20+T21</f>
        <v>0</v>
      </c>
      <c r="U90" s="101">
        <f t="shared" si="158"/>
        <v>-1</v>
      </c>
      <c r="V90" s="110"/>
      <c r="W90" s="122">
        <f t="shared" ref="W90:AF90" si="263">W20+W21</f>
        <v>0</v>
      </c>
      <c r="X90" s="122">
        <f t="shared" si="263"/>
        <v>0</v>
      </c>
      <c r="Y90" s="122">
        <f t="shared" si="263"/>
        <v>0</v>
      </c>
      <c r="Z90" s="122">
        <f t="shared" si="263"/>
        <v>0</v>
      </c>
      <c r="AA90" s="122">
        <f t="shared" si="263"/>
        <v>0</v>
      </c>
      <c r="AB90" s="122">
        <f t="shared" si="263"/>
        <v>0</v>
      </c>
      <c r="AC90" s="122">
        <f t="shared" si="263"/>
        <v>0</v>
      </c>
      <c r="AD90" s="122">
        <f t="shared" si="263"/>
        <v>0</v>
      </c>
      <c r="AE90" s="122">
        <f t="shared" si="263"/>
        <v>0</v>
      </c>
      <c r="AF90" s="122">
        <f t="shared" si="263"/>
        <v>0</v>
      </c>
      <c r="AG90" s="116">
        <f t="shared" ref="AG90:AG95" si="264">((AF90/J90)^(1/($AF$3-$K$1) ))-1</f>
        <v>-1</v>
      </c>
      <c r="AH90" s="21">
        <f t="shared" si="17"/>
        <v>0.05</v>
      </c>
      <c r="AI90" s="124">
        <f t="shared" si="190"/>
        <v>0</v>
      </c>
    </row>
    <row r="91" spans="2:35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10"/>
      <c r="V91" s="110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17"/>
      <c r="AH91" s="115"/>
      <c r="AI91" s="124"/>
    </row>
    <row r="92" spans="2:35">
      <c r="B92" s="10" t="s">
        <v>264</v>
      </c>
      <c r="C92" s="109"/>
      <c r="D92" s="109"/>
      <c r="E92" s="109"/>
      <c r="F92" s="122"/>
      <c r="G92" s="122">
        <f t="shared" ref="G92" si="265">G90/G57</f>
        <v>-8.15</v>
      </c>
      <c r="H92" s="122">
        <f t="shared" ref="H92:I92" si="266">H90/H57</f>
        <v>-8.15</v>
      </c>
      <c r="I92" s="122">
        <f t="shared" si="266"/>
        <v>-8.7407407407407405</v>
      </c>
      <c r="J92" s="122">
        <f t="shared" ref="J92:S92" si="267">J90/J57</f>
        <v>20.678571428571427</v>
      </c>
      <c r="K92" s="122">
        <f t="shared" si="267"/>
        <v>-8.2491582491582491</v>
      </c>
      <c r="L92" s="122">
        <f t="shared" si="267"/>
        <v>-14.314584035028629</v>
      </c>
      <c r="M92" s="122">
        <f t="shared" si="267"/>
        <v>-30.800942285041224</v>
      </c>
      <c r="N92" s="122">
        <f t="shared" si="267"/>
        <v>-10.749279538904899</v>
      </c>
      <c r="O92" s="122">
        <f t="shared" si="267"/>
        <v>-36.129215075092098</v>
      </c>
      <c r="P92" s="122">
        <f t="shared" si="267"/>
        <v>-172.92247629670942</v>
      </c>
      <c r="Q92" s="122">
        <f t="shared" si="267"/>
        <v>45.757071547420963</v>
      </c>
      <c r="R92" s="122">
        <f t="shared" si="267"/>
        <v>-141.44122576011492</v>
      </c>
      <c r="S92" s="122">
        <f t="shared" si="267"/>
        <v>-104.58977407847802</v>
      </c>
      <c r="T92" s="122">
        <f t="shared" ref="T92" si="268">T90/T57</f>
        <v>0</v>
      </c>
      <c r="U92" s="101">
        <f t="shared" si="158"/>
        <v>-1</v>
      </c>
      <c r="V92" s="110"/>
      <c r="W92" s="124">
        <f t="shared" ref="W92:AF92" si="269">W90/W57</f>
        <v>0</v>
      </c>
      <c r="X92" s="124">
        <f t="shared" si="269"/>
        <v>0</v>
      </c>
      <c r="Y92" s="124">
        <f t="shared" si="269"/>
        <v>0</v>
      </c>
      <c r="Z92" s="124">
        <f t="shared" si="269"/>
        <v>0</v>
      </c>
      <c r="AA92" s="124">
        <f t="shared" si="269"/>
        <v>0</v>
      </c>
      <c r="AB92" s="124">
        <f t="shared" si="269"/>
        <v>0</v>
      </c>
      <c r="AC92" s="124">
        <f t="shared" si="269"/>
        <v>0</v>
      </c>
      <c r="AD92" s="124">
        <f t="shared" si="269"/>
        <v>0</v>
      </c>
      <c r="AE92" s="124">
        <f t="shared" si="269"/>
        <v>0</v>
      </c>
      <c r="AF92" s="124">
        <f t="shared" si="269"/>
        <v>0</v>
      </c>
      <c r="AG92" s="116">
        <f t="shared" si="264"/>
        <v>-1</v>
      </c>
      <c r="AH92" s="21">
        <f t="shared" si="17"/>
        <v>0.05</v>
      </c>
      <c r="AI92" s="124">
        <f t="shared" si="190"/>
        <v>0</v>
      </c>
    </row>
    <row r="93" spans="2:35">
      <c r="B93" s="10" t="s">
        <v>237</v>
      </c>
      <c r="C93" s="109"/>
      <c r="D93" s="109"/>
      <c r="E93" s="109"/>
      <c r="F93" s="122"/>
      <c r="G93" s="122">
        <f t="shared" ref="G93" si="270">G20/G57</f>
        <v>-2.75</v>
      </c>
      <c r="H93" s="122">
        <f t="shared" ref="H93:I93" si="271">H20/H57</f>
        <v>-2.75</v>
      </c>
      <c r="I93" s="122">
        <f t="shared" si="271"/>
        <v>-6.1481481481481479</v>
      </c>
      <c r="J93" s="122">
        <f t="shared" ref="J93:S93" si="272">J20/J57</f>
        <v>64.321428571428569</v>
      </c>
      <c r="K93" s="122">
        <f t="shared" si="272"/>
        <v>-6.5993265993265995</v>
      </c>
      <c r="L93" s="122">
        <f t="shared" si="272"/>
        <v>-12.293701583024587</v>
      </c>
      <c r="M93" s="122">
        <f t="shared" si="272"/>
        <v>28.268551236749115</v>
      </c>
      <c r="N93" s="122">
        <f t="shared" si="272"/>
        <v>87.896253602305464</v>
      </c>
      <c r="O93" s="122">
        <f t="shared" si="272"/>
        <v>101.67186171720034</v>
      </c>
      <c r="P93" s="122">
        <f t="shared" si="272"/>
        <v>15.05856107083101</v>
      </c>
      <c r="Q93" s="122">
        <f t="shared" si="272"/>
        <v>123.34997226844148</v>
      </c>
      <c r="R93" s="122">
        <f t="shared" si="272"/>
        <v>-34.689968877184583</v>
      </c>
      <c r="S93" s="122">
        <f t="shared" si="272"/>
        <v>-8.6325802615933416</v>
      </c>
      <c r="T93" s="122">
        <f t="shared" ref="T93" si="273">T20/T57</f>
        <v>0</v>
      </c>
      <c r="U93" s="101">
        <f t="shared" si="158"/>
        <v>-1</v>
      </c>
      <c r="V93" s="110"/>
      <c r="W93" s="124">
        <f t="shared" ref="W93:AF93" si="274">W20/W57</f>
        <v>0</v>
      </c>
      <c r="X93" s="124">
        <f t="shared" si="274"/>
        <v>0</v>
      </c>
      <c r="Y93" s="124">
        <f t="shared" si="274"/>
        <v>0</v>
      </c>
      <c r="Z93" s="124">
        <f t="shared" si="274"/>
        <v>0</v>
      </c>
      <c r="AA93" s="124">
        <f t="shared" si="274"/>
        <v>0</v>
      </c>
      <c r="AB93" s="124">
        <f t="shared" si="274"/>
        <v>0</v>
      </c>
      <c r="AC93" s="124">
        <f t="shared" si="274"/>
        <v>0</v>
      </c>
      <c r="AD93" s="124">
        <f t="shared" si="274"/>
        <v>0</v>
      </c>
      <c r="AE93" s="124">
        <f t="shared" si="274"/>
        <v>0</v>
      </c>
      <c r="AF93" s="124">
        <f t="shared" si="274"/>
        <v>0</v>
      </c>
      <c r="AG93" s="116">
        <f t="shared" si="264"/>
        <v>-1</v>
      </c>
      <c r="AH93" s="21">
        <f t="shared" si="17"/>
        <v>0.05</v>
      </c>
      <c r="AI93" s="124">
        <f t="shared" si="190"/>
        <v>0</v>
      </c>
    </row>
    <row r="94" spans="2:35">
      <c r="B94" s="10" t="s">
        <v>238</v>
      </c>
      <c r="C94" s="109"/>
      <c r="D94" s="109"/>
      <c r="E94" s="109"/>
      <c r="F94" s="122"/>
      <c r="G94" s="122">
        <f t="shared" ref="G94" si="275">G21/G57</f>
        <v>-5.4</v>
      </c>
      <c r="H94" s="122">
        <f t="shared" ref="H94:I94" si="276">H21/H57</f>
        <v>-5.4</v>
      </c>
      <c r="I94" s="122">
        <f t="shared" si="276"/>
        <v>-2.5925925925925926</v>
      </c>
      <c r="J94" s="122">
        <f t="shared" ref="J94:S94" si="277">J21/J57</f>
        <v>-43.642857142857146</v>
      </c>
      <c r="K94" s="122">
        <f t="shared" si="277"/>
        <v>-1.6498316498316499</v>
      </c>
      <c r="L94" s="122">
        <f t="shared" si="277"/>
        <v>-2.0208824520040416</v>
      </c>
      <c r="M94" s="122">
        <f t="shared" si="277"/>
        <v>-59.069493521790342</v>
      </c>
      <c r="N94" s="122">
        <f t="shared" si="277"/>
        <v>-98.645533141210365</v>
      </c>
      <c r="O94" s="122">
        <f t="shared" si="277"/>
        <v>-137.80107679229243</v>
      </c>
      <c r="P94" s="122">
        <f t="shared" si="277"/>
        <v>-187.98103736754044</v>
      </c>
      <c r="Q94" s="122">
        <f t="shared" si="277"/>
        <v>-77.592900721020513</v>
      </c>
      <c r="R94" s="122">
        <f t="shared" si="277"/>
        <v>-106.75125688293032</v>
      </c>
      <c r="S94" s="122">
        <f t="shared" si="277"/>
        <v>-95.957193816884669</v>
      </c>
      <c r="T94" s="122">
        <f t="shared" ref="T94" si="278">T21/T57</f>
        <v>0</v>
      </c>
      <c r="U94" s="101">
        <f t="shared" si="158"/>
        <v>-1</v>
      </c>
      <c r="V94" s="110"/>
      <c r="W94" s="124">
        <f t="shared" ref="W94:AF94" si="279">W21/W57</f>
        <v>0</v>
      </c>
      <c r="X94" s="124">
        <f t="shared" si="279"/>
        <v>0</v>
      </c>
      <c r="Y94" s="124">
        <f t="shared" si="279"/>
        <v>0</v>
      </c>
      <c r="Z94" s="124">
        <f t="shared" si="279"/>
        <v>0</v>
      </c>
      <c r="AA94" s="124">
        <f t="shared" si="279"/>
        <v>0</v>
      </c>
      <c r="AB94" s="124">
        <f t="shared" si="279"/>
        <v>0</v>
      </c>
      <c r="AC94" s="124">
        <f t="shared" si="279"/>
        <v>0</v>
      </c>
      <c r="AD94" s="124">
        <f t="shared" si="279"/>
        <v>0</v>
      </c>
      <c r="AE94" s="124">
        <f t="shared" si="279"/>
        <v>0</v>
      </c>
      <c r="AF94" s="124">
        <f t="shared" si="279"/>
        <v>0</v>
      </c>
      <c r="AG94" s="116">
        <f t="shared" si="264"/>
        <v>-1</v>
      </c>
      <c r="AH94" s="21">
        <f t="shared" si="17"/>
        <v>0.05</v>
      </c>
      <c r="AI94" s="124">
        <f t="shared" si="190"/>
        <v>0</v>
      </c>
    </row>
    <row r="95" spans="2:35">
      <c r="B95" s="10" t="s">
        <v>239</v>
      </c>
      <c r="C95" s="109"/>
      <c r="D95" s="109"/>
      <c r="E95" s="109"/>
      <c r="F95" s="122"/>
      <c r="G95" s="122">
        <f t="shared" ref="G95" si="280">G22/G57</f>
        <v>10.85</v>
      </c>
      <c r="H95" s="122">
        <f t="shared" ref="H95:I95" si="281">H22/H57</f>
        <v>10.85</v>
      </c>
      <c r="I95" s="122">
        <f t="shared" si="281"/>
        <v>14.74074074074074</v>
      </c>
      <c r="J95" s="122">
        <f t="shared" ref="J95:S95" si="282">J22/J57</f>
        <v>17.785714285714285</v>
      </c>
      <c r="K95" s="122">
        <f t="shared" si="282"/>
        <v>19.528619528619529</v>
      </c>
      <c r="L95" s="122">
        <f t="shared" si="282"/>
        <v>24.250589424048499</v>
      </c>
      <c r="M95" s="122">
        <f t="shared" si="282"/>
        <v>52.885747938751472</v>
      </c>
      <c r="N95" s="122">
        <f t="shared" si="282"/>
        <v>34.438040345821321</v>
      </c>
      <c r="O95" s="122">
        <f t="shared" si="282"/>
        <v>38.651175970529899</v>
      </c>
      <c r="P95" s="122">
        <f t="shared" si="282"/>
        <v>186.30786391522588</v>
      </c>
      <c r="Q95" s="122">
        <f t="shared" si="282"/>
        <v>4.8530227398779813</v>
      </c>
      <c r="R95" s="122">
        <f t="shared" si="282"/>
        <v>181.30237012209719</v>
      </c>
      <c r="S95" s="122">
        <f t="shared" si="282"/>
        <v>120.30915576694412</v>
      </c>
      <c r="T95" s="122">
        <f t="shared" ref="T95" si="283">T22/T57</f>
        <v>0</v>
      </c>
      <c r="U95" s="101">
        <f t="shared" si="158"/>
        <v>-1</v>
      </c>
      <c r="V95" s="110"/>
      <c r="W95" s="124">
        <f t="shared" ref="W95:AF95" si="284">W22/W57</f>
        <v>0</v>
      </c>
      <c r="X95" s="124">
        <f t="shared" si="284"/>
        <v>0</v>
      </c>
      <c r="Y95" s="124">
        <f t="shared" si="284"/>
        <v>0</v>
      </c>
      <c r="Z95" s="124">
        <f t="shared" si="284"/>
        <v>0</v>
      </c>
      <c r="AA95" s="124">
        <f t="shared" si="284"/>
        <v>0</v>
      </c>
      <c r="AB95" s="124">
        <f t="shared" si="284"/>
        <v>0</v>
      </c>
      <c r="AC95" s="124">
        <f t="shared" si="284"/>
        <v>0</v>
      </c>
      <c r="AD95" s="124">
        <f t="shared" si="284"/>
        <v>0</v>
      </c>
      <c r="AE95" s="124">
        <f t="shared" si="284"/>
        <v>0</v>
      </c>
      <c r="AF95" s="124">
        <f t="shared" si="284"/>
        <v>0</v>
      </c>
      <c r="AG95" s="116">
        <f t="shared" si="264"/>
        <v>-1</v>
      </c>
      <c r="AH95" s="21">
        <f t="shared" si="17"/>
        <v>0.05</v>
      </c>
      <c r="AI95" s="124">
        <f t="shared" si="190"/>
        <v>0</v>
      </c>
    </row>
    <row r="96" spans="2:35">
      <c r="B96" s="10" t="s">
        <v>246</v>
      </c>
      <c r="C96" s="109"/>
      <c r="D96" s="109"/>
      <c r="E96" s="109"/>
      <c r="F96" s="122"/>
      <c r="G96" s="122">
        <f t="shared" ref="G96" si="285">G23/G57</f>
        <v>2.65</v>
      </c>
      <c r="H96" s="122">
        <f t="shared" ref="H96:I96" si="286">H23/H57</f>
        <v>2.65</v>
      </c>
      <c r="I96" s="122">
        <f t="shared" si="286"/>
        <v>8</v>
      </c>
      <c r="J96" s="122">
        <f t="shared" ref="J96:S96" si="287">J23/J57</f>
        <v>46.142857142857146</v>
      </c>
      <c r="K96" s="122">
        <f t="shared" si="287"/>
        <v>54.781144781144782</v>
      </c>
      <c r="L96" s="122">
        <f t="shared" si="287"/>
        <v>64.735601212529474</v>
      </c>
      <c r="M96" s="122">
        <f t="shared" si="287"/>
        <v>78.710247349823319</v>
      </c>
      <c r="N96" s="122">
        <f t="shared" si="287"/>
        <v>100.72046109510086</v>
      </c>
      <c r="O96" s="122">
        <f t="shared" si="287"/>
        <v>101.5868517993766</v>
      </c>
      <c r="P96" s="122">
        <f t="shared" si="287"/>
        <v>113.35750139431121</v>
      </c>
      <c r="Q96" s="122">
        <f t="shared" si="287"/>
        <v>163.36661120354964</v>
      </c>
      <c r="R96" s="122">
        <f t="shared" si="287"/>
        <v>180.91932008618625</v>
      </c>
      <c r="S96" s="122">
        <f t="shared" si="287"/>
        <v>195.43400713436387</v>
      </c>
      <c r="T96" s="122">
        <f t="shared" ref="T96" si="288">T23/T57</f>
        <v>0</v>
      </c>
      <c r="U96" s="101">
        <f t="shared" si="158"/>
        <v>-1</v>
      </c>
      <c r="V96" s="110"/>
      <c r="W96" s="124">
        <f t="shared" ref="W96:AF96" si="289">W23/W57</f>
        <v>0</v>
      </c>
      <c r="X96" s="124">
        <f t="shared" si="289"/>
        <v>0</v>
      </c>
      <c r="Y96" s="124">
        <f t="shared" si="289"/>
        <v>0</v>
      </c>
      <c r="Z96" s="124">
        <f t="shared" si="289"/>
        <v>0</v>
      </c>
      <c r="AA96" s="124">
        <f t="shared" si="289"/>
        <v>0</v>
      </c>
      <c r="AB96" s="124">
        <f t="shared" si="289"/>
        <v>0</v>
      </c>
      <c r="AC96" s="124">
        <f t="shared" si="289"/>
        <v>0</v>
      </c>
      <c r="AD96" s="124">
        <f t="shared" si="289"/>
        <v>0</v>
      </c>
      <c r="AE96" s="124">
        <f t="shared" si="289"/>
        <v>0</v>
      </c>
      <c r="AF96" s="124">
        <f t="shared" si="289"/>
        <v>0</v>
      </c>
      <c r="AG96" s="116">
        <f t="shared" ref="AG96" si="290">((AF96/J96)^(1/($AF$3-$K$1) ))-1</f>
        <v>-1</v>
      </c>
      <c r="AH96" s="21">
        <f t="shared" si="17"/>
        <v>0.05</v>
      </c>
      <c r="AI96" s="124">
        <f t="shared" si="190"/>
        <v>0</v>
      </c>
    </row>
    <row r="97" spans="2:35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10"/>
      <c r="V97" s="110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17"/>
      <c r="AH97" s="115"/>
      <c r="AI97" s="131"/>
    </row>
    <row r="98" spans="2:35">
      <c r="B98" s="10" t="s">
        <v>435</v>
      </c>
      <c r="C98" s="122"/>
      <c r="D98" s="122"/>
      <c r="E98" s="122"/>
      <c r="F98" s="122"/>
      <c r="G98" s="122">
        <f t="shared" ref="G98" si="291">G51/G57</f>
        <v>0</v>
      </c>
      <c r="H98" s="122">
        <f t="shared" ref="H98:I98" si="292">H51/H57</f>
        <v>0</v>
      </c>
      <c r="I98" s="122">
        <f t="shared" si="292"/>
        <v>0</v>
      </c>
      <c r="J98" s="122">
        <f t="shared" ref="J98:S98" si="293">J51/J57</f>
        <v>0</v>
      </c>
      <c r="K98" s="122">
        <f t="shared" si="293"/>
        <v>0</v>
      </c>
      <c r="L98" s="122">
        <f t="shared" si="293"/>
        <v>0</v>
      </c>
      <c r="M98" s="122">
        <f t="shared" si="293"/>
        <v>0</v>
      </c>
      <c r="N98" s="122">
        <f t="shared" si="293"/>
        <v>0</v>
      </c>
      <c r="O98" s="122">
        <f t="shared" si="293"/>
        <v>0</v>
      </c>
      <c r="P98" s="122">
        <f t="shared" si="293"/>
        <v>0</v>
      </c>
      <c r="Q98" s="122">
        <f t="shared" si="293"/>
        <v>0</v>
      </c>
      <c r="R98" s="122">
        <f t="shared" si="293"/>
        <v>0</v>
      </c>
      <c r="S98" s="122">
        <f t="shared" si="293"/>
        <v>0</v>
      </c>
      <c r="T98" s="122" t="e">
        <f t="shared" ref="T98" si="294">T51/T57</f>
        <v>#VALUE!</v>
      </c>
      <c r="U98" s="101" t="e">
        <f t="shared" si="158"/>
        <v>#VALUE!</v>
      </c>
      <c r="V98" s="110"/>
      <c r="W98" s="122" t="e">
        <f t="shared" ref="W98:AF98" si="295">W51/W57</f>
        <v>#VALUE!</v>
      </c>
      <c r="X98" s="122" t="e">
        <f t="shared" si="295"/>
        <v>#VALUE!</v>
      </c>
      <c r="Y98" s="122" t="e">
        <f t="shared" si="295"/>
        <v>#VALUE!</v>
      </c>
      <c r="Z98" s="122" t="e">
        <f t="shared" si="295"/>
        <v>#VALUE!</v>
      </c>
      <c r="AA98" s="122" t="e">
        <f t="shared" si="295"/>
        <v>#VALUE!</v>
      </c>
      <c r="AB98" s="122" t="e">
        <f t="shared" si="295"/>
        <v>#VALUE!</v>
      </c>
      <c r="AC98" s="122" t="e">
        <f t="shared" si="295"/>
        <v>#VALUE!</v>
      </c>
      <c r="AD98" s="122" t="e">
        <f t="shared" si="295"/>
        <v>#VALUE!</v>
      </c>
      <c r="AE98" s="122" t="e">
        <f t="shared" si="295"/>
        <v>#VALUE!</v>
      </c>
      <c r="AF98" s="122" t="e">
        <f t="shared" si="295"/>
        <v>#VALUE!</v>
      </c>
      <c r="AG98" s="116" t="e">
        <f t="shared" ref="AG98:AG100" si="296">((AF98/J98)^(1/($AF$3-$K$1) ))-1</f>
        <v>#VALUE!</v>
      </c>
      <c r="AH98" s="21">
        <f t="shared" si="17"/>
        <v>0.05</v>
      </c>
      <c r="AI98" s="124" t="e">
        <f t="shared" si="190"/>
        <v>#VALUE!</v>
      </c>
    </row>
    <row r="99" spans="2:35">
      <c r="B99" s="10" t="s">
        <v>436</v>
      </c>
      <c r="C99" s="122"/>
      <c r="D99" s="122"/>
      <c r="E99" s="122"/>
      <c r="F99" s="122"/>
      <c r="G99" s="122">
        <f t="shared" ref="G99" si="297">G55/G57</f>
        <v>-0.2</v>
      </c>
      <c r="H99" s="122">
        <f t="shared" ref="H99:I99" si="298">H55/H57</f>
        <v>-0.2</v>
      </c>
      <c r="I99" s="122">
        <f t="shared" si="298"/>
        <v>2.0370370370370372</v>
      </c>
      <c r="J99" s="122">
        <f t="shared" ref="J99:S99" si="299">J55/J57</f>
        <v>3.3571428571428572</v>
      </c>
      <c r="K99" s="122">
        <f t="shared" si="299"/>
        <v>6.7340067340067344</v>
      </c>
      <c r="L99" s="122">
        <f t="shared" si="299"/>
        <v>10.239137756820478</v>
      </c>
      <c r="M99" s="122">
        <f t="shared" si="299"/>
        <v>14.075382803297996</v>
      </c>
      <c r="N99" s="122">
        <f t="shared" si="299"/>
        <v>20.95100864553314</v>
      </c>
      <c r="O99" s="122">
        <f t="shared" si="299"/>
        <v>27.684896571266648</v>
      </c>
      <c r="P99" s="122">
        <f t="shared" si="299"/>
        <v>36.252091466815394</v>
      </c>
      <c r="Q99" s="122">
        <f t="shared" si="299"/>
        <v>44.675540765391013</v>
      </c>
      <c r="R99" s="122">
        <f t="shared" si="299"/>
        <v>47.809432607134305</v>
      </c>
      <c r="S99" s="122">
        <f t="shared" si="299"/>
        <v>60.142687277051131</v>
      </c>
      <c r="T99" s="122">
        <f t="shared" ref="T99" si="300">T55/T57</f>
        <v>73.179009640666081</v>
      </c>
      <c r="U99" s="101">
        <f t="shared" si="158"/>
        <v>-2.5746399718191726</v>
      </c>
      <c r="V99" s="110"/>
      <c r="W99" s="122">
        <f t="shared" ref="W99:AF99" si="301">W55/W57</f>
        <v>18.289873809523808</v>
      </c>
      <c r="X99" s="122">
        <f t="shared" si="301"/>
        <v>20.620936157796447</v>
      </c>
      <c r="Y99" s="122">
        <f t="shared" si="301"/>
        <v>23.249094687711683</v>
      </c>
      <c r="Z99" s="122">
        <f t="shared" si="301"/>
        <v>26.212214598890615</v>
      </c>
      <c r="AA99" s="122">
        <f t="shared" si="301"/>
        <v>29.552987047768831</v>
      </c>
      <c r="AB99" s="122">
        <f t="shared" si="301"/>
        <v>33.319544220523682</v>
      </c>
      <c r="AC99" s="122">
        <f t="shared" si="301"/>
        <v>37.566152797649245</v>
      </c>
      <c r="AD99" s="122">
        <f t="shared" si="301"/>
        <v>42.353995801271203</v>
      </c>
      <c r="AE99" s="122">
        <f t="shared" si="301"/>
        <v>47.752054089668512</v>
      </c>
      <c r="AF99" s="122">
        <f t="shared" si="301"/>
        <v>53.838100199136058</v>
      </c>
      <c r="AG99" s="116">
        <f t="shared" si="296"/>
        <v>0.12822707482551787</v>
      </c>
      <c r="AH99" s="21">
        <f t="shared" si="17"/>
        <v>0.05</v>
      </c>
      <c r="AI99" s="124">
        <f t="shared" si="190"/>
        <v>332.52944240642864</v>
      </c>
    </row>
    <row r="100" spans="2:35">
      <c r="B100" s="10" t="s">
        <v>260</v>
      </c>
      <c r="C100" s="122"/>
      <c r="D100" s="122"/>
      <c r="E100" s="122"/>
      <c r="F100" s="122"/>
      <c r="G100" s="122">
        <f t="shared" ref="G100" si="302">G6/G57</f>
        <v>0.85</v>
      </c>
      <c r="H100" s="122">
        <f t="shared" ref="H100:I100" si="303">H6/H57</f>
        <v>0.85</v>
      </c>
      <c r="I100" s="122">
        <f t="shared" si="303"/>
        <v>11.222222222222221</v>
      </c>
      <c r="J100" s="122">
        <f t="shared" ref="J100:S100" si="304">J6/J57</f>
        <v>18.107142857142858</v>
      </c>
      <c r="K100" s="122">
        <f t="shared" si="304"/>
        <v>34.444444444444443</v>
      </c>
      <c r="L100" s="122">
        <f t="shared" si="304"/>
        <v>44.695183563489387</v>
      </c>
      <c r="M100" s="122">
        <f t="shared" si="304"/>
        <v>80.948174322732626</v>
      </c>
      <c r="N100" s="122">
        <f t="shared" si="304"/>
        <v>99.308357348703169</v>
      </c>
      <c r="O100" s="122">
        <f t="shared" si="304"/>
        <v>122.49929158401814</v>
      </c>
      <c r="P100" s="122">
        <f t="shared" si="304"/>
        <v>151.952035694367</v>
      </c>
      <c r="Q100" s="122">
        <f t="shared" si="304"/>
        <v>187.49306711037158</v>
      </c>
      <c r="R100" s="122">
        <f t="shared" si="304"/>
        <v>269.26023461814697</v>
      </c>
      <c r="S100" s="122">
        <f t="shared" si="304"/>
        <v>317.26516052318669</v>
      </c>
      <c r="T100" s="122">
        <f t="shared" ref="T100" si="305">T6/T57</f>
        <v>472.89658194566169</v>
      </c>
      <c r="U100" s="101">
        <f t="shared" si="158"/>
        <v>0.62622471704832927</v>
      </c>
      <c r="V100" s="110"/>
      <c r="W100" s="122">
        <f t="shared" ref="W100:AF100" si="306">W6/W57</f>
        <v>118.19261904761903</v>
      </c>
      <c r="X100" s="122">
        <f t="shared" si="306"/>
        <v>133.25638422035476</v>
      </c>
      <c r="Y100" s="122">
        <f t="shared" si="306"/>
        <v>150.24004103275291</v>
      </c>
      <c r="Z100" s="122">
        <f t="shared" si="306"/>
        <v>169.38828155653513</v>
      </c>
      <c r="AA100" s="122">
        <f t="shared" si="306"/>
        <v>190.97698410785821</v>
      </c>
      <c r="AB100" s="122">
        <f t="shared" si="306"/>
        <v>215.31718796474209</v>
      </c>
      <c r="AC100" s="122">
        <f t="shared" si="306"/>
        <v>242.75957466613082</v>
      </c>
      <c r="AD100" s="122">
        <f t="shared" si="306"/>
        <v>273.69952045691218</v>
      </c>
      <c r="AE100" s="122">
        <f t="shared" si="306"/>
        <v>308.58279267200879</v>
      </c>
      <c r="AF100" s="122">
        <f t="shared" si="306"/>
        <v>347.91197213020592</v>
      </c>
      <c r="AG100" s="116">
        <f t="shared" si="296"/>
        <v>0.13712849127720683</v>
      </c>
      <c r="AH100" s="21">
        <f t="shared" ref="AH100" si="307">$O$1</f>
        <v>0.05</v>
      </c>
      <c r="AI100" s="124">
        <f t="shared" si="190"/>
        <v>2148.8680631571547</v>
      </c>
    </row>
    <row r="101" spans="2:35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10"/>
      <c r="V101" s="110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17"/>
      <c r="AH101" s="10"/>
      <c r="AI101" s="131"/>
    </row>
    <row r="102" spans="2:35">
      <c r="B102" s="10" t="s">
        <v>410</v>
      </c>
      <c r="C102" s="109"/>
      <c r="D102" s="109"/>
      <c r="E102" s="109"/>
      <c r="F102" s="122"/>
      <c r="G102" s="122">
        <f t="shared" ref="G102" si="308">G55/$T$57</f>
        <v>-8.7642418930762495E-2</v>
      </c>
      <c r="H102" s="122">
        <f t="shared" ref="H102:I102" si="309">H55/$T$57</f>
        <v>-8.7642418930762495E-2</v>
      </c>
      <c r="I102" s="122">
        <f t="shared" si="309"/>
        <v>1.2050832602979842</v>
      </c>
      <c r="J102" s="122">
        <f t="shared" ref="J102:T102" si="310">J55/$T$57</f>
        <v>2.0595968448729183</v>
      </c>
      <c r="K102" s="122">
        <f t="shared" si="310"/>
        <v>4.3821209465381248</v>
      </c>
      <c r="L102" s="122">
        <f t="shared" si="310"/>
        <v>6.660823838737949</v>
      </c>
      <c r="M102" s="122">
        <f t="shared" si="310"/>
        <v>10.473269062226118</v>
      </c>
      <c r="N102" s="122">
        <f t="shared" si="310"/>
        <v>15.929009640666083</v>
      </c>
      <c r="O102" s="122">
        <f t="shared" si="310"/>
        <v>21.406660823838738</v>
      </c>
      <c r="P102" s="122">
        <f t="shared" si="310"/>
        <v>28.48378615249781</v>
      </c>
      <c r="Q102" s="122">
        <f t="shared" si="310"/>
        <v>35.29798422436459</v>
      </c>
      <c r="R102" s="122">
        <f t="shared" si="310"/>
        <v>43.75547765118317</v>
      </c>
      <c r="S102" s="122">
        <f t="shared" si="310"/>
        <v>55.41191936897458</v>
      </c>
      <c r="T102" s="122">
        <f t="shared" si="310"/>
        <v>73.179009640666081</v>
      </c>
      <c r="U102" s="101">
        <f t="shared" si="158"/>
        <v>-2.6778147700721693</v>
      </c>
      <c r="V102" s="110"/>
      <c r="W102" s="122">
        <f t="shared" ref="W102:AF102" si="311">W55/W57</f>
        <v>18.289873809523808</v>
      </c>
      <c r="X102" s="122">
        <f t="shared" si="311"/>
        <v>20.620936157796447</v>
      </c>
      <c r="Y102" s="122">
        <f t="shared" si="311"/>
        <v>23.249094687711683</v>
      </c>
      <c r="Z102" s="122">
        <f t="shared" si="311"/>
        <v>26.212214598890615</v>
      </c>
      <c r="AA102" s="122">
        <f t="shared" si="311"/>
        <v>29.552987047768831</v>
      </c>
      <c r="AB102" s="122">
        <f t="shared" si="311"/>
        <v>33.319544220523682</v>
      </c>
      <c r="AC102" s="122">
        <f t="shared" si="311"/>
        <v>37.566152797649245</v>
      </c>
      <c r="AD102" s="122">
        <f t="shared" si="311"/>
        <v>42.353995801271203</v>
      </c>
      <c r="AE102" s="122">
        <f t="shared" si="311"/>
        <v>47.752054089668512</v>
      </c>
      <c r="AF102" s="122">
        <f t="shared" si="311"/>
        <v>53.838100199136058</v>
      </c>
      <c r="AG102" s="117"/>
      <c r="AH102" s="10"/>
      <c r="AI102" s="131"/>
    </row>
    <row r="103" spans="2:35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10"/>
      <c r="V103" s="110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17"/>
      <c r="AH103" s="10"/>
      <c r="AI103" s="131"/>
    </row>
    <row r="104" spans="2:35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 spans="2:35">
      <c r="B105" s="10" t="s">
        <v>258</v>
      </c>
      <c r="C105" s="129"/>
      <c r="D105" s="129"/>
      <c r="E105" s="129"/>
      <c r="F105" s="129"/>
      <c r="G105" s="129">
        <f t="shared" ref="G105" si="312">G51/G25</f>
        <v>0</v>
      </c>
      <c r="H105" s="129">
        <f t="shared" ref="H105:I105" si="313">H51/H25</f>
        <v>0</v>
      </c>
      <c r="I105" s="129">
        <f t="shared" si="313"/>
        <v>0</v>
      </c>
      <c r="J105" s="129">
        <f t="shared" ref="J105:S105" si="314">J51/J25</f>
        <v>0</v>
      </c>
      <c r="K105" s="129">
        <f t="shared" si="314"/>
        <v>0</v>
      </c>
      <c r="L105" s="129">
        <f t="shared" si="314"/>
        <v>0</v>
      </c>
      <c r="M105" s="129">
        <f t="shared" si="314"/>
        <v>0</v>
      </c>
      <c r="N105" s="129">
        <f t="shared" si="314"/>
        <v>0</v>
      </c>
      <c r="O105" s="129">
        <f t="shared" si="314"/>
        <v>0</v>
      </c>
      <c r="P105" s="129">
        <f t="shared" si="314"/>
        <v>0</v>
      </c>
      <c r="Q105" s="129">
        <f t="shared" si="314"/>
        <v>0</v>
      </c>
      <c r="R105" s="129">
        <f t="shared" si="314"/>
        <v>0</v>
      </c>
      <c r="S105" s="129">
        <f t="shared" si="314"/>
        <v>0</v>
      </c>
      <c r="T105" s="129" t="e">
        <f t="shared" ref="T105" si="315">T51/T25</f>
        <v>#VALUE!</v>
      </c>
      <c r="U105" s="101" t="e">
        <f t="shared" si="158"/>
        <v>#VALUE!</v>
      </c>
      <c r="V105" s="129"/>
      <c r="W105" s="129" t="e">
        <f t="shared" ref="W105:AF105" si="316">W51/W25</f>
        <v>#VALUE!</v>
      </c>
      <c r="X105" s="129" t="e">
        <f t="shared" si="316"/>
        <v>#VALUE!</v>
      </c>
      <c r="Y105" s="129" t="e">
        <f t="shared" si="316"/>
        <v>#VALUE!</v>
      </c>
      <c r="Z105" s="129" t="e">
        <f t="shared" si="316"/>
        <v>#VALUE!</v>
      </c>
      <c r="AA105" s="129" t="e">
        <f t="shared" si="316"/>
        <v>#VALUE!</v>
      </c>
      <c r="AB105" s="129" t="e">
        <f t="shared" si="316"/>
        <v>#VALUE!</v>
      </c>
      <c r="AC105" s="129" t="e">
        <f t="shared" si="316"/>
        <v>#VALUE!</v>
      </c>
      <c r="AD105" s="129" t="e">
        <f t="shared" si="316"/>
        <v>#VALUE!</v>
      </c>
      <c r="AE105" s="129" t="e">
        <f t="shared" si="316"/>
        <v>#VALUE!</v>
      </c>
      <c r="AF105" s="129" t="e">
        <f t="shared" si="316"/>
        <v>#VALUE!</v>
      </c>
      <c r="AG105" s="116" t="e">
        <f t="shared" ref="AG105:AG154" si="317">((AF105/J105)^(1/($AF$3-$K$1) ))-1</f>
        <v>#VALUE!</v>
      </c>
      <c r="AH105" s="124"/>
      <c r="AI105" s="124"/>
    </row>
    <row r="106" spans="2:35">
      <c r="B106" s="10" t="s">
        <v>220</v>
      </c>
      <c r="C106" s="129"/>
      <c r="D106" s="129"/>
      <c r="E106" s="129"/>
      <c r="F106" s="129"/>
      <c r="G106" s="129">
        <f t="shared" ref="G106" si="318">G55/G25</f>
        <v>-8.3333333333333329E-2</v>
      </c>
      <c r="H106" s="129">
        <f t="shared" ref="H106:I106" si="319">H55/H25</f>
        <v>-8.3333333333333329E-2</v>
      </c>
      <c r="I106" s="129">
        <f t="shared" si="319"/>
        <v>0.19031141868512111</v>
      </c>
      <c r="J106" s="129">
        <f t="shared" ref="J106:S106" si="320">J55/J25</f>
        <v>0.11928934010152284</v>
      </c>
      <c r="K106" s="129">
        <f t="shared" si="320"/>
        <v>0.11968880909634949</v>
      </c>
      <c r="L106" s="129">
        <f t="shared" si="320"/>
        <v>0.12469237079573421</v>
      </c>
      <c r="M106" s="129">
        <f t="shared" si="320"/>
        <v>0.16230899830220713</v>
      </c>
      <c r="N106" s="129">
        <f t="shared" si="320"/>
        <v>0.15584137191854233</v>
      </c>
      <c r="O106" s="129">
        <f t="shared" si="320"/>
        <v>0.13637632607481853</v>
      </c>
      <c r="P106" s="129">
        <f t="shared" si="320"/>
        <v>0.13611140194744006</v>
      </c>
      <c r="Q106" s="129">
        <f t="shared" si="320"/>
        <v>0.13766877456844984</v>
      </c>
      <c r="R106" s="129">
        <f t="shared" si="320"/>
        <v>0.14663337983699243</v>
      </c>
      <c r="S106" s="129">
        <f t="shared" si="320"/>
        <v>0.15551592670028286</v>
      </c>
      <c r="T106" s="129">
        <f t="shared" ref="T106" si="321">T55/T25</f>
        <v>0.16180069760682103</v>
      </c>
      <c r="U106" s="101">
        <f t="shared" si="158"/>
        <v>-2.0523647188463334</v>
      </c>
      <c r="V106" s="129"/>
      <c r="W106" s="129">
        <f t="shared" ref="W106:AF106" si="322">W55/W25</f>
        <v>0.16180069760682103</v>
      </c>
      <c r="X106" s="129">
        <f t="shared" si="322"/>
        <v>0.16180069760682103</v>
      </c>
      <c r="Y106" s="129">
        <f t="shared" si="322"/>
        <v>0.16180069760682103</v>
      </c>
      <c r="Z106" s="129">
        <f t="shared" si="322"/>
        <v>0.16180069760682103</v>
      </c>
      <c r="AA106" s="129">
        <f t="shared" si="322"/>
        <v>0.16180069760682103</v>
      </c>
      <c r="AB106" s="129">
        <f t="shared" si="322"/>
        <v>0.161800697606821</v>
      </c>
      <c r="AC106" s="129">
        <f t="shared" si="322"/>
        <v>0.161800697606821</v>
      </c>
      <c r="AD106" s="129">
        <f t="shared" si="322"/>
        <v>0.161800697606821</v>
      </c>
      <c r="AE106" s="129">
        <f t="shared" si="322"/>
        <v>0.161800697606821</v>
      </c>
      <c r="AF106" s="129">
        <f t="shared" si="322"/>
        <v>0.16180069760682098</v>
      </c>
      <c r="AG106" s="116">
        <f t="shared" si="317"/>
        <v>1.334096109689531E-2</v>
      </c>
      <c r="AH106" s="124"/>
      <c r="AI106" s="124"/>
    </row>
    <row r="107" spans="2:35">
      <c r="B107" s="10" t="s">
        <v>304</v>
      </c>
      <c r="C107" s="129"/>
      <c r="D107" s="129"/>
      <c r="E107" s="129"/>
      <c r="F107" s="129"/>
      <c r="G107" s="129">
        <f t="shared" ref="G107" si="323">G55/G7</f>
        <v>-1.8433179723502304E-2</v>
      </c>
      <c r="H107" s="129">
        <f t="shared" ref="H107:I107" si="324">H55/H7</f>
        <v>-1.8433179723502304E-2</v>
      </c>
      <c r="I107" s="129">
        <f t="shared" si="324"/>
        <v>9.6153846153846159E-2</v>
      </c>
      <c r="J107" s="129">
        <f>J55/J7</f>
        <v>0.11944091486658195</v>
      </c>
      <c r="K107" s="129">
        <f t="shared" ref="K107:R107" si="325">K55/K7</f>
        <v>0.15163002274450341</v>
      </c>
      <c r="L107" s="129">
        <f t="shared" si="325"/>
        <v>0.18719211822660098</v>
      </c>
      <c r="M107" s="129">
        <f t="shared" si="325"/>
        <v>0.15474263515700873</v>
      </c>
      <c r="N107" s="129">
        <f t="shared" si="325"/>
        <v>0.19161834475487613</v>
      </c>
      <c r="O107" s="129">
        <f t="shared" si="325"/>
        <v>0.20893926432848589</v>
      </c>
      <c r="P107" s="129">
        <f t="shared" si="325"/>
        <v>0.22386774582400551</v>
      </c>
      <c r="Q107" s="129">
        <f t="shared" si="325"/>
        <v>0.22642304989458889</v>
      </c>
      <c r="R107" s="129">
        <f t="shared" si="325"/>
        <v>0.17119588512644662</v>
      </c>
      <c r="S107" s="129">
        <f t="shared" ref="S107:T107" si="326">S55/S7</f>
        <v>0.18376689434675192</v>
      </c>
      <c r="T107" s="129">
        <f t="shared" si="326"/>
        <v>0.15154453468850673</v>
      </c>
      <c r="U107" s="101">
        <f t="shared" si="158"/>
        <v>-2.1759260238157676</v>
      </c>
      <c r="V107" s="10"/>
      <c r="W107" s="129">
        <f t="shared" ref="W107" si="327">W55/W7</f>
        <v>0.15154453468850673</v>
      </c>
      <c r="X107" s="129">
        <f t="shared" ref="X107:AF107" si="328">X55/X7</f>
        <v>0.15154453468850673</v>
      </c>
      <c r="Y107" s="129">
        <f t="shared" si="328"/>
        <v>0.15154453468850676</v>
      </c>
      <c r="Z107" s="129">
        <f t="shared" si="328"/>
        <v>0.15154453468850676</v>
      </c>
      <c r="AA107" s="129">
        <f t="shared" si="328"/>
        <v>0.15154453468850673</v>
      </c>
      <c r="AB107" s="129">
        <f t="shared" si="328"/>
        <v>0.15154453468850673</v>
      </c>
      <c r="AC107" s="129">
        <f t="shared" si="328"/>
        <v>0.15154453468850673</v>
      </c>
      <c r="AD107" s="129">
        <f t="shared" si="328"/>
        <v>0.15154453468850676</v>
      </c>
      <c r="AE107" s="129">
        <f t="shared" si="328"/>
        <v>0.15154453468850673</v>
      </c>
      <c r="AF107" s="129">
        <f t="shared" si="328"/>
        <v>0.15154453468850673</v>
      </c>
      <c r="AG107" s="116">
        <f t="shared" si="317"/>
        <v>1.0404085978530597E-2</v>
      </c>
      <c r="AH107" s="124"/>
      <c r="AI107" s="124"/>
    </row>
    <row r="108" spans="2:35">
      <c r="B108" s="10" t="s">
        <v>305</v>
      </c>
      <c r="C108" s="129"/>
      <c r="D108" s="129"/>
      <c r="E108" s="129"/>
      <c r="F108" s="129"/>
      <c r="G108" s="129">
        <f t="shared" ref="G108" si="329">(G55)/(G7+G10)</f>
        <v>-3.2025620496397116E-3</v>
      </c>
      <c r="H108" s="129">
        <f t="shared" ref="H108:I108" si="330">(H55)/(H7+H10)</f>
        <v>-3.2025620496397116E-3</v>
      </c>
      <c r="I108" s="129">
        <f t="shared" si="330"/>
        <v>1.3934633899163922E-2</v>
      </c>
      <c r="J108" s="129">
        <f>(J55)/(J7+J10)</f>
        <v>9.5199513874822759E-3</v>
      </c>
      <c r="K108" s="129">
        <f t="shared" ref="K108:R108" si="331">(K55)/(K7+K10)</f>
        <v>1.2838618564642445E-2</v>
      </c>
      <c r="L108" s="129">
        <f t="shared" si="331"/>
        <v>1.5213692323090782E-2</v>
      </c>
      <c r="M108" s="129">
        <f t="shared" si="331"/>
        <v>1.3800669823305231E-2</v>
      </c>
      <c r="N108" s="129">
        <f t="shared" si="331"/>
        <v>1.288481647555075E-2</v>
      </c>
      <c r="O108" s="129">
        <f t="shared" si="331"/>
        <v>1.4371028477288774E-2</v>
      </c>
      <c r="P108" s="129">
        <f t="shared" si="331"/>
        <v>1.3876435677383545E-2</v>
      </c>
      <c r="Q108" s="129">
        <f t="shared" si="331"/>
        <v>1.5699612138694526E-2</v>
      </c>
      <c r="R108" s="129">
        <f t="shared" si="331"/>
        <v>1.5475341743901305E-2</v>
      </c>
      <c r="S108" s="129">
        <f t="shared" ref="S108:T108" si="332">(S55)/(S7+S10)</f>
        <v>1.609546539379475E-2</v>
      </c>
      <c r="T108" s="129">
        <f t="shared" si="332"/>
        <v>1.6411985055166972E-2</v>
      </c>
      <c r="U108" s="101">
        <f t="shared" si="158"/>
        <v>-2.1339385096472245</v>
      </c>
      <c r="V108" s="10"/>
      <c r="W108" s="129">
        <f t="shared" ref="W108:AF108" si="333">(W55)/(W7+W10)</f>
        <v>1.6411985055166972E-2</v>
      </c>
      <c r="X108" s="129">
        <f t="shared" si="333"/>
        <v>1.6411985055166972E-2</v>
      </c>
      <c r="Y108" s="129">
        <f t="shared" si="333"/>
        <v>1.6411985055166976E-2</v>
      </c>
      <c r="Z108" s="129">
        <f t="shared" si="333"/>
        <v>1.6411985055166972E-2</v>
      </c>
      <c r="AA108" s="129">
        <f t="shared" si="333"/>
        <v>1.6411985055166976E-2</v>
      </c>
      <c r="AB108" s="129">
        <f t="shared" si="333"/>
        <v>1.6411985055166976E-2</v>
      </c>
      <c r="AC108" s="129">
        <f t="shared" si="333"/>
        <v>1.6411985055166976E-2</v>
      </c>
      <c r="AD108" s="129">
        <f t="shared" si="333"/>
        <v>1.6411985055166976E-2</v>
      </c>
      <c r="AE108" s="129">
        <f t="shared" si="333"/>
        <v>1.6411985055166972E-2</v>
      </c>
      <c r="AF108" s="129">
        <f t="shared" si="333"/>
        <v>1.6411985055166972E-2</v>
      </c>
      <c r="AG108" s="116">
        <f t="shared" si="317"/>
        <v>2.3961801476315436E-2</v>
      </c>
      <c r="AH108" s="124"/>
      <c r="AI108" s="124"/>
    </row>
    <row r="109" spans="2:35">
      <c r="B109" s="10" t="s">
        <v>321</v>
      </c>
      <c r="C109" s="129"/>
      <c r="D109" s="129"/>
      <c r="E109" s="129"/>
      <c r="F109" s="129"/>
      <c r="G109" s="129">
        <f t="shared" ref="G109" si="334">G20/G25</f>
        <v>-1.1458333333333333</v>
      </c>
      <c r="H109" s="129">
        <f t="shared" ref="H109:I109" si="335">H20/H25</f>
        <v>-1.1458333333333333</v>
      </c>
      <c r="I109" s="129">
        <f t="shared" si="335"/>
        <v>-0.5743944636678201</v>
      </c>
      <c r="J109" s="129">
        <f>J20/J25</f>
        <v>2.2855329949238579</v>
      </c>
      <c r="K109" s="129">
        <f t="shared" ref="K109:S109" si="336">K20/K25</f>
        <v>-0.1172950329144225</v>
      </c>
      <c r="L109" s="129">
        <f t="shared" si="336"/>
        <v>-0.14971287940935193</v>
      </c>
      <c r="M109" s="129">
        <f t="shared" si="336"/>
        <v>0.32597623089983024</v>
      </c>
      <c r="N109" s="129">
        <f t="shared" si="336"/>
        <v>0.6538049303322615</v>
      </c>
      <c r="O109" s="129">
        <f t="shared" si="336"/>
        <v>0.50083752093802347</v>
      </c>
      <c r="P109" s="129">
        <f t="shared" si="336"/>
        <v>5.6538582347398177E-2</v>
      </c>
      <c r="Q109" s="129">
        <f t="shared" si="336"/>
        <v>0.38010596479234321</v>
      </c>
      <c r="R109" s="129">
        <f t="shared" si="336"/>
        <v>-0.10639547690726191</v>
      </c>
      <c r="S109" s="129">
        <f t="shared" si="336"/>
        <v>-2.2321977616529331E-2</v>
      </c>
      <c r="T109" s="129">
        <f t="shared" ref="T109" si="337">T20/T25</f>
        <v>0</v>
      </c>
      <c r="U109" s="101">
        <f t="shared" si="158"/>
        <v>-1</v>
      </c>
      <c r="V109" s="10"/>
      <c r="W109" s="129">
        <f t="shared" ref="W109:AF109" si="338">W20/W25</f>
        <v>0</v>
      </c>
      <c r="X109" s="129">
        <f t="shared" si="338"/>
        <v>0</v>
      </c>
      <c r="Y109" s="129">
        <f t="shared" si="338"/>
        <v>0</v>
      </c>
      <c r="Z109" s="129">
        <f t="shared" si="338"/>
        <v>0</v>
      </c>
      <c r="AA109" s="129">
        <f t="shared" si="338"/>
        <v>0</v>
      </c>
      <c r="AB109" s="129">
        <f t="shared" si="338"/>
        <v>0</v>
      </c>
      <c r="AC109" s="129">
        <f t="shared" si="338"/>
        <v>0</v>
      </c>
      <c r="AD109" s="129">
        <f t="shared" si="338"/>
        <v>0</v>
      </c>
      <c r="AE109" s="129">
        <f t="shared" si="338"/>
        <v>0</v>
      </c>
      <c r="AF109" s="129">
        <f t="shared" si="338"/>
        <v>0</v>
      </c>
      <c r="AG109" s="116">
        <f t="shared" si="317"/>
        <v>-1</v>
      </c>
      <c r="AH109" s="124"/>
      <c r="AI109" s="124"/>
    </row>
    <row r="110" spans="2:35">
      <c r="B110" s="10" t="s">
        <v>373</v>
      </c>
      <c r="C110" s="129"/>
      <c r="D110" s="129"/>
      <c r="E110" s="129"/>
      <c r="F110" s="129"/>
      <c r="G110" s="129">
        <f t="shared" ref="G110" si="339">G68/G25</f>
        <v>8.3333333333333329E-2</v>
      </c>
      <c r="H110" s="129">
        <f t="shared" ref="H110:I110" si="340">H68/H25</f>
        <v>8.3333333333333329E-2</v>
      </c>
      <c r="I110" s="129">
        <f t="shared" si="340"/>
        <v>-0.19031141868512111</v>
      </c>
      <c r="J110" s="129">
        <f>J68/J25</f>
        <v>-0.11928934010152284</v>
      </c>
      <c r="K110" s="129">
        <f t="shared" ref="K110:S110" si="341">K68/K25</f>
        <v>-0.11968880909634949</v>
      </c>
      <c r="L110" s="129">
        <f t="shared" si="341"/>
        <v>-0.12469237079573421</v>
      </c>
      <c r="M110" s="129">
        <f t="shared" si="341"/>
        <v>-0.16230899830220713</v>
      </c>
      <c r="N110" s="129">
        <f t="shared" si="341"/>
        <v>-0.15584137191854233</v>
      </c>
      <c r="O110" s="129">
        <f t="shared" si="341"/>
        <v>-0.13637632607481853</v>
      </c>
      <c r="P110" s="129">
        <f t="shared" si="341"/>
        <v>-0.13611140194744006</v>
      </c>
      <c r="Q110" s="129">
        <f t="shared" si="341"/>
        <v>-0.13766877456844984</v>
      </c>
      <c r="R110" s="129">
        <f t="shared" si="341"/>
        <v>-0.14663337983699243</v>
      </c>
      <c r="S110" s="129">
        <f t="shared" si="341"/>
        <v>-0.15551592670028286</v>
      </c>
      <c r="T110" s="129" t="e">
        <f t="shared" ref="T110" si="342">T68/T25</f>
        <v>#VALUE!</v>
      </c>
      <c r="U110" s="101" t="e">
        <f t="shared" si="158"/>
        <v>#VALUE!</v>
      </c>
      <c r="V110" s="10"/>
      <c r="W110" s="129" t="e">
        <f t="shared" ref="W110:AF110" si="343">W68/W25</f>
        <v>#VALUE!</v>
      </c>
      <c r="X110" s="129" t="e">
        <f t="shared" si="343"/>
        <v>#VALUE!</v>
      </c>
      <c r="Y110" s="129" t="e">
        <f t="shared" si="343"/>
        <v>#VALUE!</v>
      </c>
      <c r="Z110" s="129" t="e">
        <f t="shared" si="343"/>
        <v>#VALUE!</v>
      </c>
      <c r="AA110" s="129" t="e">
        <f t="shared" si="343"/>
        <v>#VALUE!</v>
      </c>
      <c r="AB110" s="129" t="e">
        <f t="shared" si="343"/>
        <v>#VALUE!</v>
      </c>
      <c r="AC110" s="129" t="e">
        <f t="shared" si="343"/>
        <v>#VALUE!</v>
      </c>
      <c r="AD110" s="129" t="e">
        <f t="shared" si="343"/>
        <v>#VALUE!</v>
      </c>
      <c r="AE110" s="129" t="e">
        <f t="shared" si="343"/>
        <v>#VALUE!</v>
      </c>
      <c r="AF110" s="129" t="e">
        <f t="shared" si="343"/>
        <v>#VALUE!</v>
      </c>
      <c r="AG110" s="116" t="e">
        <f t="shared" si="317"/>
        <v>#VALUE!</v>
      </c>
      <c r="AH110" s="124"/>
      <c r="AI110" s="124"/>
    </row>
    <row r="111" spans="2:35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10"/>
      <c r="V111" s="10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3"/>
      <c r="AH111" s="124"/>
      <c r="AI111" s="124"/>
    </row>
    <row r="112" spans="2:35">
      <c r="B112" s="10" t="s">
        <v>268</v>
      </c>
      <c r="C112" s="129"/>
      <c r="D112" s="129"/>
      <c r="E112" s="129"/>
      <c r="F112" s="129"/>
      <c r="G112" s="129">
        <f t="shared" ref="G112" si="344">G29/G25</f>
        <v>0.25</v>
      </c>
      <c r="H112" s="129">
        <f t="shared" ref="H112:I112" si="345">H29/H25</f>
        <v>0.25</v>
      </c>
      <c r="I112" s="129">
        <f t="shared" si="345"/>
        <v>0.36332179930795849</v>
      </c>
      <c r="J112" s="129">
        <f>J29/J25</f>
        <v>0.52791878172588835</v>
      </c>
      <c r="K112" s="129">
        <f t="shared" ref="K112:S112" si="346">K29/K25</f>
        <v>0.58288450029922201</v>
      </c>
      <c r="L112" s="129">
        <f t="shared" si="346"/>
        <v>0.6119770303527482</v>
      </c>
      <c r="M112" s="129">
        <f t="shared" si="346"/>
        <v>0.5368421052631579</v>
      </c>
      <c r="N112" s="129">
        <f t="shared" si="346"/>
        <v>0.5989281886387996</v>
      </c>
      <c r="O112" s="129">
        <f t="shared" si="346"/>
        <v>0.65480178671133449</v>
      </c>
      <c r="P112" s="129">
        <f t="shared" si="346"/>
        <v>0.63605905140822949</v>
      </c>
      <c r="Q112" s="129">
        <f t="shared" si="346"/>
        <v>0.62083404546231413</v>
      </c>
      <c r="R112" s="129">
        <f t="shared" si="346"/>
        <v>0.59350906821352523</v>
      </c>
      <c r="S112" s="129">
        <f t="shared" si="346"/>
        <v>0.55128520477186083</v>
      </c>
      <c r="T112" s="129">
        <f t="shared" ref="T112" si="347">T29/T25</f>
        <v>0.51480137583567487</v>
      </c>
      <c r="U112" s="101">
        <f t="shared" si="158"/>
        <v>5.7135714573716578E-2</v>
      </c>
      <c r="V112" s="10"/>
      <c r="W112" s="129">
        <f t="shared" ref="W112:AF112" si="348">W29/W25</f>
        <v>0.51480137583567487</v>
      </c>
      <c r="X112" s="129">
        <f t="shared" si="348"/>
        <v>0.51480137583567487</v>
      </c>
      <c r="Y112" s="129">
        <f t="shared" si="348"/>
        <v>0.51480137583567487</v>
      </c>
      <c r="Z112" s="129">
        <f t="shared" si="348"/>
        <v>0.51480137583567487</v>
      </c>
      <c r="AA112" s="129">
        <f t="shared" si="348"/>
        <v>0.51480137583567476</v>
      </c>
      <c r="AB112" s="129">
        <f t="shared" si="348"/>
        <v>0.51480137583567476</v>
      </c>
      <c r="AC112" s="129">
        <f t="shared" si="348"/>
        <v>0.51480137583567465</v>
      </c>
      <c r="AD112" s="129">
        <f t="shared" si="348"/>
        <v>0.51480137583567465</v>
      </c>
      <c r="AE112" s="129">
        <f t="shared" si="348"/>
        <v>0.51480137583567465</v>
      </c>
      <c r="AF112" s="129">
        <f t="shared" si="348"/>
        <v>0.51480137583567465</v>
      </c>
      <c r="AG112" s="116">
        <f t="shared" si="317"/>
        <v>-1.0933714465901634E-3</v>
      </c>
      <c r="AH112" s="124"/>
      <c r="AI112" s="124"/>
    </row>
    <row r="113" spans="1:35">
      <c r="B113" s="10" t="s">
        <v>314</v>
      </c>
      <c r="C113" s="129"/>
      <c r="D113" s="129"/>
      <c r="E113" s="129"/>
      <c r="F113" s="129"/>
      <c r="G113" s="129" t="e">
        <f t="shared" ref="G113" si="349">G29/G51</f>
        <v>#DIV/0!</v>
      </c>
      <c r="H113" s="129" t="e">
        <f t="shared" ref="H113:I113" si="350">H29/H51</f>
        <v>#DIV/0!</v>
      </c>
      <c r="I113" s="129" t="e">
        <f t="shared" si="350"/>
        <v>#DIV/0!</v>
      </c>
      <c r="J113" s="129" t="e">
        <f>J29/J51</f>
        <v>#DIV/0!</v>
      </c>
      <c r="K113" s="129" t="e">
        <f t="shared" ref="K113:S113" si="351">K29/K51</f>
        <v>#DIV/0!</v>
      </c>
      <c r="L113" s="129" t="e">
        <f t="shared" si="351"/>
        <v>#DIV/0!</v>
      </c>
      <c r="M113" s="129" t="e">
        <f t="shared" si="351"/>
        <v>#DIV/0!</v>
      </c>
      <c r="N113" s="129" t="e">
        <f t="shared" si="351"/>
        <v>#DIV/0!</v>
      </c>
      <c r="O113" s="129" t="e">
        <f t="shared" si="351"/>
        <v>#DIV/0!</v>
      </c>
      <c r="P113" s="129" t="e">
        <f t="shared" si="351"/>
        <v>#DIV/0!</v>
      </c>
      <c r="Q113" s="129" t="e">
        <f t="shared" si="351"/>
        <v>#DIV/0!</v>
      </c>
      <c r="R113" s="129" t="e">
        <f t="shared" si="351"/>
        <v>#DIV/0!</v>
      </c>
      <c r="S113" s="129" t="e">
        <f t="shared" si="351"/>
        <v>#DIV/0!</v>
      </c>
      <c r="T113" s="129" t="e">
        <f t="shared" ref="T113" si="352">T29/T51</f>
        <v>#VALUE!</v>
      </c>
      <c r="U113" s="101" t="e">
        <f t="shared" si="158"/>
        <v>#VALUE!</v>
      </c>
      <c r="V113" s="10"/>
      <c r="W113" s="129" t="e">
        <f t="shared" ref="W113:AF113" si="353">W29/W51</f>
        <v>#VALUE!</v>
      </c>
      <c r="X113" s="129" t="e">
        <f t="shared" si="353"/>
        <v>#VALUE!</v>
      </c>
      <c r="Y113" s="129" t="e">
        <f t="shared" si="353"/>
        <v>#VALUE!</v>
      </c>
      <c r="Z113" s="129" t="e">
        <f t="shared" si="353"/>
        <v>#VALUE!</v>
      </c>
      <c r="AA113" s="129" t="e">
        <f t="shared" si="353"/>
        <v>#VALUE!</v>
      </c>
      <c r="AB113" s="129" t="e">
        <f t="shared" si="353"/>
        <v>#VALUE!</v>
      </c>
      <c r="AC113" s="129" t="e">
        <f t="shared" si="353"/>
        <v>#VALUE!</v>
      </c>
      <c r="AD113" s="129" t="e">
        <f t="shared" si="353"/>
        <v>#VALUE!</v>
      </c>
      <c r="AE113" s="129" t="e">
        <f t="shared" si="353"/>
        <v>#VALUE!</v>
      </c>
      <c r="AF113" s="129" t="e">
        <f t="shared" si="353"/>
        <v>#VALUE!</v>
      </c>
      <c r="AG113" s="116" t="e">
        <f t="shared" ref="AG113" si="354">((AF113/J113)^(1/($AF$3-$K$1) ))-1</f>
        <v>#VALUE!</v>
      </c>
      <c r="AH113" s="124"/>
      <c r="AI113" s="124"/>
    </row>
    <row r="114" spans="1:35" ht="12" customHeight="1">
      <c r="B114" s="10" t="s">
        <v>313</v>
      </c>
      <c r="C114" s="129"/>
      <c r="D114" s="129"/>
      <c r="E114" s="129"/>
      <c r="F114" s="148"/>
      <c r="G114" s="148">
        <f t="shared" ref="G114" si="355">G29/G55</f>
        <v>-3</v>
      </c>
      <c r="H114" s="148">
        <f t="shared" ref="H114:I114" si="356">H29/H55</f>
        <v>-3</v>
      </c>
      <c r="I114" s="148">
        <f t="shared" si="356"/>
        <v>1.9090909090909092</v>
      </c>
      <c r="J114" s="148">
        <f t="shared" ref="J114:S114" si="357">J29/J55</f>
        <v>4.4255319148936172</v>
      </c>
      <c r="K114" s="148">
        <f t="shared" si="357"/>
        <v>4.87</v>
      </c>
      <c r="L114" s="148">
        <f t="shared" si="357"/>
        <v>4.9078947368421053</v>
      </c>
      <c r="M114" s="148">
        <f t="shared" si="357"/>
        <v>3.3075313807531379</v>
      </c>
      <c r="N114" s="148">
        <f t="shared" si="357"/>
        <v>3.8431911966987622</v>
      </c>
      <c r="O114" s="148">
        <f t="shared" si="357"/>
        <v>4.8014329580348001</v>
      </c>
      <c r="P114" s="148">
        <f t="shared" si="357"/>
        <v>4.6730769230769234</v>
      </c>
      <c r="Q114" s="148">
        <f t="shared" si="357"/>
        <v>4.5096213531967724</v>
      </c>
      <c r="R114" s="148">
        <f t="shared" si="357"/>
        <v>4.0475713570355536</v>
      </c>
      <c r="S114" s="148">
        <f t="shared" si="357"/>
        <v>3.5448793989719256</v>
      </c>
      <c r="T114" s="148">
        <f t="shared" ref="T114" si="358">T29/T55</f>
        <v>3.1817005949297736</v>
      </c>
      <c r="U114" s="101">
        <f t="shared" si="158"/>
        <v>-2.0045335952849248</v>
      </c>
      <c r="V114" s="10"/>
      <c r="W114" s="148">
        <f t="shared" ref="W114:AF114" si="359">W29/W55</f>
        <v>3.1817005949297736</v>
      </c>
      <c r="X114" s="148">
        <f t="shared" si="359"/>
        <v>3.1817005949297736</v>
      </c>
      <c r="Y114" s="148">
        <f t="shared" si="359"/>
        <v>3.1817005949297732</v>
      </c>
      <c r="Z114" s="148">
        <f t="shared" si="359"/>
        <v>3.1817005949297736</v>
      </c>
      <c r="AA114" s="148">
        <f t="shared" si="359"/>
        <v>3.1817005949297732</v>
      </c>
      <c r="AB114" s="148">
        <f t="shared" si="359"/>
        <v>3.1817005949297732</v>
      </c>
      <c r="AC114" s="148">
        <f t="shared" si="359"/>
        <v>3.1817005949297728</v>
      </c>
      <c r="AD114" s="148">
        <f t="shared" si="359"/>
        <v>3.1817005949297728</v>
      </c>
      <c r="AE114" s="148">
        <f t="shared" si="359"/>
        <v>3.1817005949297728</v>
      </c>
      <c r="AF114" s="148">
        <f t="shared" si="359"/>
        <v>3.1817005949297732</v>
      </c>
      <c r="AG114" s="116">
        <f t="shared" ref="AG114" si="360">((AF114/J114)^(1/($AF$3-$K$1) ))-1</f>
        <v>-1.4244299892763657E-2</v>
      </c>
      <c r="AH114" s="124"/>
      <c r="AI114" s="124"/>
    </row>
    <row r="115" spans="1:35" ht="12" customHeight="1">
      <c r="B115" s="10" t="s">
        <v>270</v>
      </c>
      <c r="C115" s="129"/>
      <c r="D115" s="129"/>
      <c r="E115" s="129"/>
      <c r="F115" s="148"/>
      <c r="G115" s="148" t="e">
        <f t="shared" ref="G115" si="361">G29/G12</f>
        <v>#DIV/0!</v>
      </c>
      <c r="H115" s="148" t="e">
        <f t="shared" ref="H115:I115" si="362">H29/H12</f>
        <v>#DIV/0!</v>
      </c>
      <c r="I115" s="148" t="e">
        <f t="shared" si="362"/>
        <v>#DIV/0!</v>
      </c>
      <c r="J115" s="148" t="e">
        <f t="shared" ref="J115:S115" si="363">J29/J12</f>
        <v>#DIV/0!</v>
      </c>
      <c r="K115" s="148" t="e">
        <f t="shared" si="363"/>
        <v>#DIV/0!</v>
      </c>
      <c r="L115" s="148" t="e">
        <f t="shared" si="363"/>
        <v>#DIV/0!</v>
      </c>
      <c r="M115" s="148" t="e">
        <f t="shared" si="363"/>
        <v>#DIV/0!</v>
      </c>
      <c r="N115" s="148" t="e">
        <f t="shared" si="363"/>
        <v>#DIV/0!</v>
      </c>
      <c r="O115" s="148" t="e">
        <f t="shared" si="363"/>
        <v>#DIV/0!</v>
      </c>
      <c r="P115" s="148" t="e">
        <f t="shared" si="363"/>
        <v>#DIV/0!</v>
      </c>
      <c r="Q115" s="148" t="e">
        <f t="shared" si="363"/>
        <v>#DIV/0!</v>
      </c>
      <c r="R115" s="148" t="e">
        <f t="shared" si="363"/>
        <v>#DIV/0!</v>
      </c>
      <c r="S115" s="148" t="e">
        <f t="shared" si="363"/>
        <v>#DIV/0!</v>
      </c>
      <c r="T115" s="148" t="e">
        <f t="shared" ref="T115" si="364">T29/T12</f>
        <v>#VALUE!</v>
      </c>
      <c r="U115" s="101" t="e">
        <f t="shared" si="158"/>
        <v>#VALUE!</v>
      </c>
      <c r="V115" s="10"/>
      <c r="W115" s="129" t="e">
        <f t="shared" ref="W115:AF115" si="365">W29/W12</f>
        <v>#VALUE!</v>
      </c>
      <c r="X115" s="129" t="e">
        <f t="shared" si="365"/>
        <v>#VALUE!</v>
      </c>
      <c r="Y115" s="129" t="e">
        <f t="shared" si="365"/>
        <v>#VALUE!</v>
      </c>
      <c r="Z115" s="129" t="e">
        <f t="shared" si="365"/>
        <v>#VALUE!</v>
      </c>
      <c r="AA115" s="129" t="e">
        <f t="shared" si="365"/>
        <v>#VALUE!</v>
      </c>
      <c r="AB115" s="129" t="e">
        <f t="shared" si="365"/>
        <v>#VALUE!</v>
      </c>
      <c r="AC115" s="129" t="e">
        <f t="shared" si="365"/>
        <v>#VALUE!</v>
      </c>
      <c r="AD115" s="129" t="e">
        <f t="shared" si="365"/>
        <v>#VALUE!</v>
      </c>
      <c r="AE115" s="129" t="e">
        <f t="shared" si="365"/>
        <v>#VALUE!</v>
      </c>
      <c r="AF115" s="129" t="e">
        <f t="shared" si="365"/>
        <v>#VALUE!</v>
      </c>
      <c r="AG115" s="116" t="e">
        <f t="shared" si="317"/>
        <v>#VALUE!</v>
      </c>
      <c r="AH115" s="124"/>
      <c r="AI115" s="124"/>
    </row>
    <row r="116" spans="1:35" ht="12" customHeight="1">
      <c r="B116" s="10" t="s">
        <v>315</v>
      </c>
      <c r="C116" s="129"/>
      <c r="D116" s="129"/>
      <c r="E116" s="129"/>
      <c r="F116" s="148"/>
      <c r="G116" s="148">
        <f t="shared" ref="G116" si="366">G29/G23</f>
        <v>0.22641509433962265</v>
      </c>
      <c r="H116" s="148">
        <f t="shared" ref="H116:I116" si="367">H29/H23</f>
        <v>0.22641509433962265</v>
      </c>
      <c r="I116" s="148">
        <f t="shared" si="367"/>
        <v>0.4861111111111111</v>
      </c>
      <c r="J116" s="148">
        <f>J29/J23</f>
        <v>0.32198142414860681</v>
      </c>
      <c r="K116" s="148">
        <f t="shared" ref="K116:S116" si="368">K29/K23</f>
        <v>0.59864781807006762</v>
      </c>
      <c r="L116" s="148">
        <f t="shared" si="368"/>
        <v>0.77627471383975022</v>
      </c>
      <c r="M116" s="148">
        <f t="shared" si="368"/>
        <v>0.59147025813692478</v>
      </c>
      <c r="N116" s="148">
        <f t="shared" si="368"/>
        <v>0.79942775393419174</v>
      </c>
      <c r="O116" s="148">
        <f t="shared" si="368"/>
        <v>1.308507670850767</v>
      </c>
      <c r="P116" s="148">
        <f t="shared" si="368"/>
        <v>1.4944649446494465</v>
      </c>
      <c r="Q116" s="148">
        <f t="shared" si="368"/>
        <v>1.2332371414021388</v>
      </c>
      <c r="R116" s="148">
        <f t="shared" si="368"/>
        <v>1.0696043403466984</v>
      </c>
      <c r="S116" s="148">
        <f t="shared" si="368"/>
        <v>1.0908980287174495</v>
      </c>
      <c r="T116" s="148" t="e">
        <f t="shared" ref="T116" si="369">T29/T23</f>
        <v>#DIV/0!</v>
      </c>
      <c r="U116" s="101" t="e">
        <f t="shared" si="158"/>
        <v>#DIV/0!</v>
      </c>
      <c r="V116" s="10"/>
      <c r="W116" s="148" t="e">
        <f t="shared" ref="W116:AF116" si="370">W29/W23</f>
        <v>#DIV/0!</v>
      </c>
      <c r="X116" s="148" t="e">
        <f t="shared" si="370"/>
        <v>#DIV/0!</v>
      </c>
      <c r="Y116" s="148" t="e">
        <f t="shared" si="370"/>
        <v>#DIV/0!</v>
      </c>
      <c r="Z116" s="148" t="e">
        <f t="shared" si="370"/>
        <v>#DIV/0!</v>
      </c>
      <c r="AA116" s="148" t="e">
        <f t="shared" si="370"/>
        <v>#DIV/0!</v>
      </c>
      <c r="AB116" s="148" t="e">
        <f t="shared" si="370"/>
        <v>#DIV/0!</v>
      </c>
      <c r="AC116" s="148" t="e">
        <f t="shared" si="370"/>
        <v>#DIV/0!</v>
      </c>
      <c r="AD116" s="148" t="e">
        <f t="shared" si="370"/>
        <v>#DIV/0!</v>
      </c>
      <c r="AE116" s="148" t="e">
        <f t="shared" si="370"/>
        <v>#DIV/0!</v>
      </c>
      <c r="AF116" s="148" t="e">
        <f t="shared" si="370"/>
        <v>#DIV/0!</v>
      </c>
      <c r="AG116" s="116" t="e">
        <f t="shared" ref="AG116" si="371">((AF116/J116)^(1/($AF$3-$K$1) ))-1</f>
        <v>#DIV/0!</v>
      </c>
      <c r="AH116" s="124"/>
      <c r="AI116" s="124"/>
    </row>
    <row r="117" spans="1:35" ht="12" customHeight="1">
      <c r="B117" s="10"/>
      <c r="C117" s="129"/>
      <c r="D117" s="129"/>
      <c r="E117" s="129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10"/>
      <c r="V117" s="10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4"/>
      <c r="AI117" s="124"/>
    </row>
    <row r="118" spans="1:35" ht="12" customHeight="1">
      <c r="B118" s="10" t="s">
        <v>347</v>
      </c>
      <c r="C118" s="129"/>
      <c r="D118" s="129"/>
      <c r="E118" s="129"/>
      <c r="F118" s="109"/>
      <c r="G118" s="109">
        <f t="shared" ref="G118" si="372">1/G112</f>
        <v>4</v>
      </c>
      <c r="H118" s="109">
        <f t="shared" ref="H118:I118" si="373">1/H112</f>
        <v>4</v>
      </c>
      <c r="I118" s="109">
        <f t="shared" si="373"/>
        <v>2.7523809523809524</v>
      </c>
      <c r="J118" s="109">
        <f>1/J112</f>
        <v>1.8942307692307692</v>
      </c>
      <c r="K118" s="109">
        <f t="shared" ref="K118:S118" si="374">1/K112</f>
        <v>1.715605749486653</v>
      </c>
      <c r="L118" s="109">
        <f t="shared" si="374"/>
        <v>1.634048257372654</v>
      </c>
      <c r="M118" s="109">
        <f t="shared" si="374"/>
        <v>1.8627450980392157</v>
      </c>
      <c r="N118" s="109">
        <f t="shared" si="374"/>
        <v>1.6696492483894059</v>
      </c>
      <c r="O118" s="109">
        <f t="shared" si="374"/>
        <v>1.5271797058196546</v>
      </c>
      <c r="P118" s="109">
        <f t="shared" si="374"/>
        <v>1.5721810699588479</v>
      </c>
      <c r="Q118" s="109">
        <f t="shared" si="374"/>
        <v>1.6107364074328974</v>
      </c>
      <c r="R118" s="109">
        <f t="shared" si="374"/>
        <v>1.6848942224421626</v>
      </c>
      <c r="S118" s="109">
        <f t="shared" si="374"/>
        <v>1.813943112102621</v>
      </c>
      <c r="T118" s="109">
        <f t="shared" ref="T118" si="375">1/T112</f>
        <v>1.9424967510560831</v>
      </c>
      <c r="U118" s="101">
        <f t="shared" si="158"/>
        <v>-5.4047662741917857E-2</v>
      </c>
      <c r="V118" s="10"/>
      <c r="W118" s="109">
        <f t="shared" ref="W118:AF118" si="376">1/W112</f>
        <v>1.9424967510560831</v>
      </c>
      <c r="X118" s="109">
        <f t="shared" si="376"/>
        <v>1.9424967510560831</v>
      </c>
      <c r="Y118" s="109">
        <f t="shared" si="376"/>
        <v>1.9424967510560831</v>
      </c>
      <c r="Z118" s="109">
        <f t="shared" si="376"/>
        <v>1.9424967510560831</v>
      </c>
      <c r="AA118" s="109">
        <f t="shared" si="376"/>
        <v>1.9424967510560835</v>
      </c>
      <c r="AB118" s="109">
        <f t="shared" si="376"/>
        <v>1.9424967510560835</v>
      </c>
      <c r="AC118" s="109">
        <f t="shared" si="376"/>
        <v>1.942496751056084</v>
      </c>
      <c r="AD118" s="109">
        <f t="shared" si="376"/>
        <v>1.942496751056084</v>
      </c>
      <c r="AE118" s="109">
        <f t="shared" si="376"/>
        <v>1.942496751056084</v>
      </c>
      <c r="AF118" s="109">
        <f t="shared" si="376"/>
        <v>1.942496751056084</v>
      </c>
      <c r="AG118" s="116">
        <f t="shared" si="317"/>
        <v>1.0945682162240011E-3</v>
      </c>
      <c r="AH118" s="124"/>
      <c r="AI118" s="124"/>
    </row>
    <row r="119" spans="1:35" ht="12" customHeight="1">
      <c r="B119" s="10" t="s">
        <v>348</v>
      </c>
      <c r="C119" s="129"/>
      <c r="D119" s="129"/>
      <c r="E119" s="129"/>
      <c r="F119" s="109"/>
      <c r="G119" s="109" t="e">
        <f t="shared" ref="G119" si="377">1/G113</f>
        <v>#DIV/0!</v>
      </c>
      <c r="H119" s="109" t="e">
        <f t="shared" ref="H119:I119" si="378">1/H113</f>
        <v>#DIV/0!</v>
      </c>
      <c r="I119" s="109" t="e">
        <f t="shared" si="378"/>
        <v>#DIV/0!</v>
      </c>
      <c r="J119" s="109" t="e">
        <f t="shared" ref="J119:S122" si="379">1/J113</f>
        <v>#DIV/0!</v>
      </c>
      <c r="K119" s="109" t="e">
        <f t="shared" si="379"/>
        <v>#DIV/0!</v>
      </c>
      <c r="L119" s="109" t="e">
        <f t="shared" si="379"/>
        <v>#DIV/0!</v>
      </c>
      <c r="M119" s="109" t="e">
        <f t="shared" si="379"/>
        <v>#DIV/0!</v>
      </c>
      <c r="N119" s="109" t="e">
        <f t="shared" si="379"/>
        <v>#DIV/0!</v>
      </c>
      <c r="O119" s="109" t="e">
        <f t="shared" si="379"/>
        <v>#DIV/0!</v>
      </c>
      <c r="P119" s="109" t="e">
        <f t="shared" si="379"/>
        <v>#DIV/0!</v>
      </c>
      <c r="Q119" s="109" t="e">
        <f t="shared" si="379"/>
        <v>#DIV/0!</v>
      </c>
      <c r="R119" s="109" t="e">
        <f t="shared" si="379"/>
        <v>#DIV/0!</v>
      </c>
      <c r="S119" s="109" t="e">
        <f t="shared" si="379"/>
        <v>#DIV/0!</v>
      </c>
      <c r="T119" s="109" t="e">
        <f t="shared" ref="T119" si="380">1/T113</f>
        <v>#VALUE!</v>
      </c>
      <c r="U119" s="101" t="e">
        <f t="shared" si="158"/>
        <v>#VALUE!</v>
      </c>
      <c r="V119" s="10"/>
      <c r="W119" s="109" t="e">
        <f t="shared" ref="W119:AF119" si="381">1/W113</f>
        <v>#VALUE!</v>
      </c>
      <c r="X119" s="109" t="e">
        <f t="shared" si="381"/>
        <v>#VALUE!</v>
      </c>
      <c r="Y119" s="109" t="e">
        <f t="shared" si="381"/>
        <v>#VALUE!</v>
      </c>
      <c r="Z119" s="109" t="e">
        <f t="shared" si="381"/>
        <v>#VALUE!</v>
      </c>
      <c r="AA119" s="109" t="e">
        <f t="shared" si="381"/>
        <v>#VALUE!</v>
      </c>
      <c r="AB119" s="109" t="e">
        <f t="shared" si="381"/>
        <v>#VALUE!</v>
      </c>
      <c r="AC119" s="109" t="e">
        <f t="shared" si="381"/>
        <v>#VALUE!</v>
      </c>
      <c r="AD119" s="109" t="e">
        <f t="shared" si="381"/>
        <v>#VALUE!</v>
      </c>
      <c r="AE119" s="109" t="e">
        <f t="shared" si="381"/>
        <v>#VALUE!</v>
      </c>
      <c r="AF119" s="109" t="e">
        <f t="shared" si="381"/>
        <v>#VALUE!</v>
      </c>
      <c r="AG119" s="116" t="e">
        <f t="shared" si="317"/>
        <v>#VALUE!</v>
      </c>
      <c r="AH119" s="124"/>
      <c r="AI119" s="124"/>
    </row>
    <row r="120" spans="1:35" ht="12" customHeight="1">
      <c r="B120" s="10" t="s">
        <v>349</v>
      </c>
      <c r="C120" s="129"/>
      <c r="D120" s="129"/>
      <c r="E120" s="129"/>
      <c r="F120" s="109"/>
      <c r="G120" s="109">
        <f t="shared" ref="G120" si="382">1/G114</f>
        <v>-0.33333333333333331</v>
      </c>
      <c r="H120" s="109">
        <f t="shared" ref="H120:I120" si="383">1/H114</f>
        <v>-0.33333333333333331</v>
      </c>
      <c r="I120" s="109">
        <f t="shared" si="383"/>
        <v>0.52380952380952384</v>
      </c>
      <c r="J120" s="109">
        <f t="shared" si="379"/>
        <v>0.22596153846153846</v>
      </c>
      <c r="K120" s="109">
        <f t="shared" si="379"/>
        <v>0.20533880903490759</v>
      </c>
      <c r="L120" s="109">
        <f t="shared" si="379"/>
        <v>0.20375335120643431</v>
      </c>
      <c r="M120" s="109">
        <f t="shared" si="379"/>
        <v>0.30234029095509174</v>
      </c>
      <c r="N120" s="109">
        <f t="shared" si="379"/>
        <v>0.26020042949176808</v>
      </c>
      <c r="O120" s="109">
        <f t="shared" si="379"/>
        <v>0.20827115753570669</v>
      </c>
      <c r="P120" s="109">
        <f t="shared" si="379"/>
        <v>0.2139917695473251</v>
      </c>
      <c r="Q120" s="109">
        <f t="shared" si="379"/>
        <v>0.22174810736407433</v>
      </c>
      <c r="R120" s="109">
        <f t="shared" si="379"/>
        <v>0.24706173450451563</v>
      </c>
      <c r="S120" s="109">
        <f t="shared" si="379"/>
        <v>0.28209704406023423</v>
      </c>
      <c r="T120" s="109">
        <f t="shared" ref="T120" si="384">1/T114</f>
        <v>0.31429732941985761</v>
      </c>
      <c r="U120" s="101">
        <f t="shared" si="158"/>
        <v>-1.9954868654406339</v>
      </c>
      <c r="V120" s="10"/>
      <c r="W120" s="109">
        <f t="shared" ref="W120:AF120" si="385">1/W114</f>
        <v>0.31429732941985761</v>
      </c>
      <c r="X120" s="109">
        <f t="shared" si="385"/>
        <v>0.31429732941985761</v>
      </c>
      <c r="Y120" s="109">
        <f t="shared" si="385"/>
        <v>0.31429732941985766</v>
      </c>
      <c r="Z120" s="109">
        <f t="shared" si="385"/>
        <v>0.31429732941985761</v>
      </c>
      <c r="AA120" s="109">
        <f t="shared" si="385"/>
        <v>0.31429732941985766</v>
      </c>
      <c r="AB120" s="109">
        <f t="shared" si="385"/>
        <v>0.31429732941985766</v>
      </c>
      <c r="AC120" s="109">
        <f t="shared" si="385"/>
        <v>0.31429732941985772</v>
      </c>
      <c r="AD120" s="109">
        <f t="shared" si="385"/>
        <v>0.31429732941985772</v>
      </c>
      <c r="AE120" s="109">
        <f t="shared" si="385"/>
        <v>0.31429732941985772</v>
      </c>
      <c r="AF120" s="109">
        <f t="shared" si="385"/>
        <v>0.31429732941985766</v>
      </c>
      <c r="AG120" s="116">
        <f t="shared" si="317"/>
        <v>1.445013190511002E-2</v>
      </c>
      <c r="AH120" s="124"/>
      <c r="AI120" s="124"/>
    </row>
    <row r="121" spans="1:35" ht="12" customHeight="1">
      <c r="B121" s="10" t="s">
        <v>350</v>
      </c>
      <c r="C121" s="129"/>
      <c r="D121" s="129"/>
      <c r="E121" s="129"/>
      <c r="F121" s="109"/>
      <c r="G121" s="109" t="e">
        <f t="shared" ref="G121" si="386">1/G115</f>
        <v>#DIV/0!</v>
      </c>
      <c r="H121" s="109" t="e">
        <f t="shared" ref="H121:I121" si="387">1/H115</f>
        <v>#DIV/0!</v>
      </c>
      <c r="I121" s="109" t="e">
        <f t="shared" si="387"/>
        <v>#DIV/0!</v>
      </c>
      <c r="J121" s="109" t="e">
        <f t="shared" si="379"/>
        <v>#DIV/0!</v>
      </c>
      <c r="K121" s="109" t="e">
        <f t="shared" si="379"/>
        <v>#DIV/0!</v>
      </c>
      <c r="L121" s="109" t="e">
        <f t="shared" si="379"/>
        <v>#DIV/0!</v>
      </c>
      <c r="M121" s="109" t="e">
        <f t="shared" si="379"/>
        <v>#DIV/0!</v>
      </c>
      <c r="N121" s="109" t="e">
        <f t="shared" si="379"/>
        <v>#DIV/0!</v>
      </c>
      <c r="O121" s="109" t="e">
        <f t="shared" si="379"/>
        <v>#DIV/0!</v>
      </c>
      <c r="P121" s="109" t="e">
        <f t="shared" si="379"/>
        <v>#DIV/0!</v>
      </c>
      <c r="Q121" s="109" t="e">
        <f t="shared" si="379"/>
        <v>#DIV/0!</v>
      </c>
      <c r="R121" s="109" t="e">
        <f t="shared" si="379"/>
        <v>#DIV/0!</v>
      </c>
      <c r="S121" s="109" t="e">
        <f t="shared" si="379"/>
        <v>#DIV/0!</v>
      </c>
      <c r="T121" s="109" t="e">
        <f t="shared" ref="T121" si="388">1/T115</f>
        <v>#VALUE!</v>
      </c>
      <c r="U121" s="101" t="e">
        <f t="shared" si="158"/>
        <v>#VALUE!</v>
      </c>
      <c r="V121" s="10"/>
      <c r="W121" s="109" t="e">
        <f t="shared" ref="W121:AF121" si="389">1/W115</f>
        <v>#VALUE!</v>
      </c>
      <c r="X121" s="109" t="e">
        <f t="shared" si="389"/>
        <v>#VALUE!</v>
      </c>
      <c r="Y121" s="109" t="e">
        <f t="shared" si="389"/>
        <v>#VALUE!</v>
      </c>
      <c r="Z121" s="109" t="e">
        <f t="shared" si="389"/>
        <v>#VALUE!</v>
      </c>
      <c r="AA121" s="109" t="e">
        <f t="shared" si="389"/>
        <v>#VALUE!</v>
      </c>
      <c r="AB121" s="109" t="e">
        <f t="shared" si="389"/>
        <v>#VALUE!</v>
      </c>
      <c r="AC121" s="109" t="e">
        <f t="shared" si="389"/>
        <v>#VALUE!</v>
      </c>
      <c r="AD121" s="109" t="e">
        <f t="shared" si="389"/>
        <v>#VALUE!</v>
      </c>
      <c r="AE121" s="109" t="e">
        <f t="shared" si="389"/>
        <v>#VALUE!</v>
      </c>
      <c r="AF121" s="109" t="e">
        <f t="shared" si="389"/>
        <v>#VALUE!</v>
      </c>
      <c r="AG121" s="116" t="e">
        <f t="shared" si="317"/>
        <v>#VALUE!</v>
      </c>
      <c r="AH121" s="124"/>
      <c r="AI121" s="124"/>
    </row>
    <row r="122" spans="1:35" ht="12" customHeight="1">
      <c r="B122" s="10" t="s">
        <v>351</v>
      </c>
      <c r="C122" s="129"/>
      <c r="D122" s="129"/>
      <c r="E122" s="129"/>
      <c r="F122" s="109"/>
      <c r="G122" s="109">
        <f t="shared" ref="G122" si="390">1/G116</f>
        <v>4.416666666666667</v>
      </c>
      <c r="H122" s="109">
        <f t="shared" ref="H122:I122" si="391">1/H116</f>
        <v>4.416666666666667</v>
      </c>
      <c r="I122" s="109">
        <f t="shared" si="391"/>
        <v>2.0571428571428574</v>
      </c>
      <c r="J122" s="109">
        <f t="shared" si="379"/>
        <v>3.1057692307692308</v>
      </c>
      <c r="K122" s="109">
        <f t="shared" si="379"/>
        <v>1.6704312114989732</v>
      </c>
      <c r="L122" s="109">
        <f t="shared" si="379"/>
        <v>1.2882037533512065</v>
      </c>
      <c r="M122" s="109">
        <f t="shared" si="379"/>
        <v>1.6907020872865275</v>
      </c>
      <c r="N122" s="109">
        <f t="shared" si="379"/>
        <v>1.2508947745168217</v>
      </c>
      <c r="O122" s="109">
        <f t="shared" si="379"/>
        <v>0.76422937539970159</v>
      </c>
      <c r="P122" s="109">
        <f t="shared" si="379"/>
        <v>0.66913580246913584</v>
      </c>
      <c r="Q122" s="109">
        <f t="shared" si="379"/>
        <v>0.81087405368203724</v>
      </c>
      <c r="R122" s="109">
        <f t="shared" si="379"/>
        <v>0.93492515155264133</v>
      </c>
      <c r="S122" s="109">
        <f t="shared" si="379"/>
        <v>0.91667596207473512</v>
      </c>
      <c r="T122" s="109" t="e">
        <f t="shared" ref="T122" si="392">1/T116</f>
        <v>#DIV/0!</v>
      </c>
      <c r="U122" s="101" t="e">
        <f t="shared" si="158"/>
        <v>#DIV/0!</v>
      </c>
      <c r="V122" s="10"/>
      <c r="W122" s="109" t="e">
        <f t="shared" ref="W122:AF122" si="393">1/W116</f>
        <v>#DIV/0!</v>
      </c>
      <c r="X122" s="109" t="e">
        <f t="shared" si="393"/>
        <v>#DIV/0!</v>
      </c>
      <c r="Y122" s="109" t="e">
        <f t="shared" si="393"/>
        <v>#DIV/0!</v>
      </c>
      <c r="Z122" s="109" t="e">
        <f t="shared" si="393"/>
        <v>#DIV/0!</v>
      </c>
      <c r="AA122" s="109" t="e">
        <f t="shared" si="393"/>
        <v>#DIV/0!</v>
      </c>
      <c r="AB122" s="109" t="e">
        <f t="shared" si="393"/>
        <v>#DIV/0!</v>
      </c>
      <c r="AC122" s="109" t="e">
        <f t="shared" si="393"/>
        <v>#DIV/0!</v>
      </c>
      <c r="AD122" s="109" t="e">
        <f t="shared" si="393"/>
        <v>#DIV/0!</v>
      </c>
      <c r="AE122" s="109" t="e">
        <f t="shared" si="393"/>
        <v>#DIV/0!</v>
      </c>
      <c r="AF122" s="109" t="e">
        <f t="shared" si="393"/>
        <v>#DIV/0!</v>
      </c>
      <c r="AG122" s="116" t="e">
        <f t="shared" si="317"/>
        <v>#DIV/0!</v>
      </c>
      <c r="AH122" s="124"/>
      <c r="AI122" s="124"/>
    </row>
    <row r="123" spans="1:35" ht="12" customHeight="1">
      <c r="B123" s="10"/>
      <c r="C123" s="129"/>
      <c r="D123" s="129"/>
      <c r="E123" s="129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10"/>
      <c r="V123" s="10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4"/>
      <c r="AI123" s="124"/>
    </row>
    <row r="124" spans="1:35" ht="12" customHeight="1">
      <c r="A124" s="303" t="s">
        <v>423</v>
      </c>
      <c r="B124" s="178" t="s">
        <v>430</v>
      </c>
      <c r="C124" s="129"/>
      <c r="D124" s="129"/>
      <c r="E124" s="129"/>
      <c r="F124" s="148"/>
      <c r="G124" s="148">
        <f t="shared" ref="G124" si="394">G25/(G36+G38)</f>
        <v>8.869179600886918E-3</v>
      </c>
      <c r="H124" s="148">
        <f t="shared" ref="H124:I124" si="395">H25/(H36+H38)</f>
        <v>8.869179600886918E-3</v>
      </c>
      <c r="I124" s="148">
        <f t="shared" si="395"/>
        <v>3.0104166666666668E-2</v>
      </c>
      <c r="J124" s="148">
        <f t="shared" ref="J124:T124" si="396">J25/(J36+J38)</f>
        <v>3.5216303181980692E-2</v>
      </c>
      <c r="K124" s="148">
        <f t="shared" si="396"/>
        <v>4.8866793390846618E-2</v>
      </c>
      <c r="L124" s="148">
        <f t="shared" si="396"/>
        <v>6.5042819411466529E-2</v>
      </c>
      <c r="M124" s="148">
        <f t="shared" si="396"/>
        <v>9.3352775224268547E-2</v>
      </c>
      <c r="N124" s="148">
        <f t="shared" si="396"/>
        <v>8.8641027589876117E-2</v>
      </c>
      <c r="O124" s="148">
        <f t="shared" si="396"/>
        <v>0.11316284139194718</v>
      </c>
      <c r="P124" s="148">
        <f t="shared" si="396"/>
        <v>0.10868600430146683</v>
      </c>
      <c r="Q124" s="148">
        <f t="shared" si="396"/>
        <v>0.12252633342407807</v>
      </c>
      <c r="R124" s="148">
        <f t="shared" si="396"/>
        <v>0.11602685341375726</v>
      </c>
      <c r="S124" s="148">
        <f t="shared" si="396"/>
        <v>0.11343312732802277</v>
      </c>
      <c r="T124" s="148">
        <f t="shared" si="396"/>
        <v>0.11375321690923218</v>
      </c>
      <c r="U124" s="101">
        <f t="shared" si="158"/>
        <v>0.21684970559488081</v>
      </c>
      <c r="V124" s="10"/>
      <c r="W124" s="148">
        <f t="shared" ref="W124:AF124" si="397">W25/(W36+W38)</f>
        <v>0.11375321690923219</v>
      </c>
      <c r="X124" s="148">
        <f t="shared" si="397"/>
        <v>0.11375321690923219</v>
      </c>
      <c r="Y124" s="148">
        <f t="shared" si="397"/>
        <v>0.11375321690923219</v>
      </c>
      <c r="Z124" s="148">
        <f t="shared" si="397"/>
        <v>0.11375321690923221</v>
      </c>
      <c r="AA124" s="148">
        <f t="shared" si="397"/>
        <v>0.11375321690923219</v>
      </c>
      <c r="AB124" s="148">
        <f t="shared" si="397"/>
        <v>0.11375321690923222</v>
      </c>
      <c r="AC124" s="148">
        <f t="shared" si="397"/>
        <v>0.11375321690923222</v>
      </c>
      <c r="AD124" s="148">
        <f t="shared" si="397"/>
        <v>0.11375321690923221</v>
      </c>
      <c r="AE124" s="148">
        <f t="shared" si="397"/>
        <v>0.11375321690923222</v>
      </c>
      <c r="AF124" s="148">
        <f t="shared" si="397"/>
        <v>0.11375321690923222</v>
      </c>
      <c r="AG124" s="116">
        <f t="shared" ref="AG124:AG132" si="398">((AF124/J124)^(1/($AF$3-$K$1) ))-1</f>
        <v>5.2301032828711014E-2</v>
      </c>
      <c r="AH124" s="124"/>
      <c r="AI124" s="124"/>
    </row>
    <row r="125" spans="1:35" ht="12" customHeight="1">
      <c r="A125" s="303"/>
      <c r="B125" s="178" t="s">
        <v>425</v>
      </c>
      <c r="C125" s="129"/>
      <c r="D125" s="129"/>
      <c r="E125" s="129"/>
      <c r="F125" s="148"/>
      <c r="G125" s="148">
        <f t="shared" ref="G125" si="399">G25/G43</f>
        <v>2.1628441400441583E-3</v>
      </c>
      <c r="H125" s="148">
        <f t="shared" ref="H125:I125" si="400">H25/H43</f>
        <v>2.1628441400441583E-3</v>
      </c>
      <c r="I125" s="148">
        <f t="shared" si="400"/>
        <v>8.4102086546576256E-3</v>
      </c>
      <c r="J125" s="148">
        <f t="shared" ref="J125:T125" si="401">J25/J43</f>
        <v>2.0743392650310624E-2</v>
      </c>
      <c r="K125" s="148">
        <f t="shared" si="401"/>
        <v>3.5553947956339496E-2</v>
      </c>
      <c r="L125" s="148">
        <f t="shared" si="401"/>
        <v>4.3823698590739146E-2</v>
      </c>
      <c r="M125" s="148">
        <f t="shared" si="401"/>
        <v>0.13269949984229262</v>
      </c>
      <c r="N125" s="148">
        <f t="shared" si="401"/>
        <v>0.13575648226289905</v>
      </c>
      <c r="O125" s="148">
        <f t="shared" si="401"/>
        <v>0.18858586922185955</v>
      </c>
      <c r="P125" s="148">
        <f t="shared" si="401"/>
        <v>0.2032170897253133</v>
      </c>
      <c r="Q125" s="148">
        <f t="shared" si="401"/>
        <v>0.2103465631291343</v>
      </c>
      <c r="R125" s="148">
        <f t="shared" si="401"/>
        <v>0.18026711141113713</v>
      </c>
      <c r="S125" s="148">
        <f t="shared" si="401"/>
        <v>0.1655856387907422</v>
      </c>
      <c r="T125" s="148">
        <f t="shared" si="401"/>
        <v>0.15606821213663599</v>
      </c>
      <c r="U125" s="101">
        <f t="shared" si="158"/>
        <v>0.38977765724421398</v>
      </c>
      <c r="V125" s="10"/>
      <c r="W125" s="148">
        <f t="shared" ref="W125:AF125" si="402">W25/W43</f>
        <v>0.15606821213663599</v>
      </c>
      <c r="X125" s="148">
        <f t="shared" si="402"/>
        <v>0.15606821213663599</v>
      </c>
      <c r="Y125" s="148">
        <f t="shared" si="402"/>
        <v>0.15606821213663602</v>
      </c>
      <c r="Z125" s="148">
        <f t="shared" si="402"/>
        <v>0.15606821213663602</v>
      </c>
      <c r="AA125" s="148">
        <f t="shared" si="402"/>
        <v>0.15606821213663602</v>
      </c>
      <c r="AB125" s="148">
        <f t="shared" si="402"/>
        <v>0.15606821213663602</v>
      </c>
      <c r="AC125" s="148">
        <f t="shared" si="402"/>
        <v>0.15606821213663605</v>
      </c>
      <c r="AD125" s="148">
        <f t="shared" si="402"/>
        <v>0.15606821213663605</v>
      </c>
      <c r="AE125" s="148">
        <f t="shared" si="402"/>
        <v>0.15606821213663605</v>
      </c>
      <c r="AF125" s="148">
        <f t="shared" si="402"/>
        <v>0.15606821213663602</v>
      </c>
      <c r="AG125" s="116">
        <f t="shared" si="398"/>
        <v>9.1706396929603251E-2</v>
      </c>
      <c r="AH125" s="124"/>
      <c r="AI125" s="124"/>
    </row>
    <row r="126" spans="1:35" ht="12" customHeight="1">
      <c r="A126" s="303"/>
      <c r="B126" s="178" t="s">
        <v>431</v>
      </c>
      <c r="C126" s="129"/>
      <c r="D126" s="129"/>
      <c r="E126" s="129"/>
      <c r="F126" s="148"/>
      <c r="G126" s="148">
        <f t="shared" ref="G126" si="403">G43/(G36)</f>
        <v>33.473604826546001</v>
      </c>
      <c r="H126" s="148">
        <f t="shared" ref="H126:I126" si="404">H43/(H36)</f>
        <v>33.473604826546001</v>
      </c>
      <c r="I126" s="148">
        <f t="shared" si="404"/>
        <v>11.808591065292097</v>
      </c>
      <c r="J126" s="148">
        <f t="shared" ref="J126:T126" si="405">J43/(J36)</f>
        <v>4.6214111922141123</v>
      </c>
      <c r="K126" s="148">
        <f t="shared" si="405"/>
        <v>3.540947788744067</v>
      </c>
      <c r="L126" s="148">
        <f t="shared" si="405"/>
        <v>3.4406580493537016</v>
      </c>
      <c r="M126" s="148">
        <f t="shared" si="405"/>
        <v>0.82815881782222556</v>
      </c>
      <c r="N126" s="148">
        <f t="shared" si="405"/>
        <v>0.74802995341547307</v>
      </c>
      <c r="O126" s="148">
        <f t="shared" si="405"/>
        <v>0.77288356289800819</v>
      </c>
      <c r="P126" s="148">
        <f t="shared" si="405"/>
        <v>0.70194907027107756</v>
      </c>
      <c r="Q126" s="148">
        <f t="shared" si="405"/>
        <v>0.7498382574940694</v>
      </c>
      <c r="R126" s="148">
        <f t="shared" si="405"/>
        <v>0.82876982821036005</v>
      </c>
      <c r="S126" s="148">
        <f t="shared" si="405"/>
        <v>0.87918964405929956</v>
      </c>
      <c r="T126" s="148">
        <f t="shared" si="405"/>
        <v>0.92583968583968579</v>
      </c>
      <c r="U126" s="101">
        <f t="shared" si="158"/>
        <v>-0.24117606038284578</v>
      </c>
      <c r="V126" s="10"/>
      <c r="W126" s="148">
        <f t="shared" ref="W126:AF126" si="406">W43/(W36+W38)</f>
        <v>0.72886858478036831</v>
      </c>
      <c r="X126" s="148">
        <f t="shared" si="406"/>
        <v>0.72886858478036831</v>
      </c>
      <c r="Y126" s="148">
        <f t="shared" si="406"/>
        <v>0.72886858478036831</v>
      </c>
      <c r="Z126" s="148">
        <f t="shared" si="406"/>
        <v>0.72886858478036831</v>
      </c>
      <c r="AA126" s="148">
        <f t="shared" si="406"/>
        <v>0.72886858478036831</v>
      </c>
      <c r="AB126" s="148">
        <f t="shared" si="406"/>
        <v>0.72886858478036842</v>
      </c>
      <c r="AC126" s="148">
        <f t="shared" si="406"/>
        <v>0.72886858478036842</v>
      </c>
      <c r="AD126" s="148">
        <f t="shared" si="406"/>
        <v>0.72886858478036831</v>
      </c>
      <c r="AE126" s="148">
        <f t="shared" si="406"/>
        <v>0.72886858478036842</v>
      </c>
      <c r="AF126" s="148">
        <f t="shared" si="406"/>
        <v>0.72886858478036842</v>
      </c>
      <c r="AG126" s="116">
        <f t="shared" si="398"/>
        <v>-7.716303231800048E-2</v>
      </c>
      <c r="AH126" s="124"/>
      <c r="AI126" s="124"/>
    </row>
    <row r="127" spans="1:35" ht="12" customHeight="1">
      <c r="A127" s="303"/>
      <c r="B127" s="178" t="s">
        <v>429</v>
      </c>
      <c r="C127" s="129"/>
      <c r="D127" s="129"/>
      <c r="E127" s="129"/>
      <c r="F127" s="148"/>
      <c r="G127" s="148">
        <f t="shared" ref="G127" si="407">G43/G38</f>
        <v>4.6731943567066754</v>
      </c>
      <c r="H127" s="148">
        <f t="shared" ref="H127:I127" si="408">H43/H38</f>
        <v>4.6731943567066754</v>
      </c>
      <c r="I127" s="148">
        <f t="shared" si="408"/>
        <v>5.1364723467862481</v>
      </c>
      <c r="J127" s="148">
        <f t="shared" ref="J127:T127" si="409">J43/J38</f>
        <v>2.6835264198926252</v>
      </c>
      <c r="K127" s="148">
        <f t="shared" si="409"/>
        <v>2.24639135837874</v>
      </c>
      <c r="L127" s="148">
        <f t="shared" si="409"/>
        <v>2.6101154170967438</v>
      </c>
      <c r="M127" s="148">
        <f t="shared" si="409"/>
        <v>4.6731943567066754</v>
      </c>
      <c r="N127" s="148">
        <f t="shared" si="409"/>
        <v>5.1364723467862481</v>
      </c>
      <c r="O127" s="148">
        <f t="shared" si="409"/>
        <v>2.6835264198926252</v>
      </c>
      <c r="P127" s="148">
        <f t="shared" si="409"/>
        <v>2.24639135837874</v>
      </c>
      <c r="Q127" s="148">
        <f t="shared" si="409"/>
        <v>2.6101154170967438</v>
      </c>
      <c r="R127" s="148">
        <f t="shared" si="409"/>
        <v>2.8813501144164761</v>
      </c>
      <c r="S127" s="148">
        <f t="shared" si="409"/>
        <v>3.1021858613936444</v>
      </c>
      <c r="T127" s="148">
        <f t="shared" si="409"/>
        <v>3.4259617676008909</v>
      </c>
      <c r="U127" s="101">
        <f t="shared" si="158"/>
        <v>-2.3598677194664797E-2</v>
      </c>
      <c r="V127" s="10"/>
      <c r="W127" s="148">
        <f t="shared" ref="W127:AF127" si="410">W43/W38</f>
        <v>3.4259617676008909</v>
      </c>
      <c r="X127" s="148">
        <f t="shared" si="410"/>
        <v>3.4259617676008909</v>
      </c>
      <c r="Y127" s="148">
        <f t="shared" si="410"/>
        <v>3.4259617676008904</v>
      </c>
      <c r="Z127" s="148">
        <f t="shared" si="410"/>
        <v>3.4259617676008909</v>
      </c>
      <c r="AA127" s="148">
        <f t="shared" si="410"/>
        <v>3.4259617676008918</v>
      </c>
      <c r="AB127" s="148">
        <f t="shared" si="410"/>
        <v>3.4259617676008913</v>
      </c>
      <c r="AC127" s="148">
        <f t="shared" si="410"/>
        <v>3.4259617676008913</v>
      </c>
      <c r="AD127" s="148">
        <f t="shared" si="410"/>
        <v>3.4259617676008913</v>
      </c>
      <c r="AE127" s="148">
        <f t="shared" si="410"/>
        <v>3.4259617676008918</v>
      </c>
      <c r="AF127" s="148">
        <f t="shared" si="410"/>
        <v>3.4259617676008922</v>
      </c>
      <c r="AG127" s="116">
        <f t="shared" si="398"/>
        <v>1.0676174135320515E-2</v>
      </c>
      <c r="AH127" s="124"/>
      <c r="AI127" s="124"/>
    </row>
    <row r="128" spans="1:35" ht="12" customHeight="1">
      <c r="A128" s="303"/>
      <c r="B128" s="178" t="s">
        <v>428</v>
      </c>
      <c r="C128" s="129"/>
      <c r="D128" s="129"/>
      <c r="E128" s="129"/>
      <c r="F128" s="148"/>
      <c r="G128" s="148">
        <f t="shared" ref="G128" si="411">G43/(G36+G38)</f>
        <v>4.1007021433850701</v>
      </c>
      <c r="H128" s="148">
        <f t="shared" ref="H128:I128" si="412">H43/(H36+H38)</f>
        <v>4.1007021433850701</v>
      </c>
      <c r="I128" s="148">
        <f t="shared" si="412"/>
        <v>3.5794791666666668</v>
      </c>
      <c r="J128" s="148">
        <f t="shared" ref="J128:T128" si="413">J43/(J36+J38)</f>
        <v>1.6977118341079729</v>
      </c>
      <c r="K128" s="148">
        <f t="shared" si="413"/>
        <v>1.374440707705805</v>
      </c>
      <c r="L128" s="148">
        <f t="shared" si="413"/>
        <v>1.4841928340847852</v>
      </c>
      <c r="M128" s="148">
        <f t="shared" si="413"/>
        <v>0.70349003074777317</v>
      </c>
      <c r="N128" s="148">
        <f t="shared" si="413"/>
        <v>0.65294140001520107</v>
      </c>
      <c r="O128" s="148">
        <f t="shared" si="413"/>
        <v>0.60006002495774557</v>
      </c>
      <c r="P128" s="148">
        <f t="shared" si="413"/>
        <v>0.53482708786144273</v>
      </c>
      <c r="Q128" s="148">
        <f t="shared" si="413"/>
        <v>0.58249743471614346</v>
      </c>
      <c r="R128" s="148">
        <f t="shared" si="413"/>
        <v>0.6436385012523641</v>
      </c>
      <c r="S128" s="148">
        <f t="shared" si="413"/>
        <v>0.68504206135517087</v>
      </c>
      <c r="T128" s="148">
        <f t="shared" si="413"/>
        <v>0.72886858478036842</v>
      </c>
      <c r="U128" s="101">
        <f t="shared" si="158"/>
        <v>-0.12442850174482689</v>
      </c>
      <c r="V128" s="10"/>
      <c r="W128" s="148">
        <f t="shared" ref="W128:AF128" si="414">W43/(W36+W38)</f>
        <v>0.72886858478036831</v>
      </c>
      <c r="X128" s="148">
        <f t="shared" si="414"/>
        <v>0.72886858478036831</v>
      </c>
      <c r="Y128" s="148">
        <f t="shared" si="414"/>
        <v>0.72886858478036831</v>
      </c>
      <c r="Z128" s="148">
        <f t="shared" si="414"/>
        <v>0.72886858478036831</v>
      </c>
      <c r="AA128" s="148">
        <f t="shared" si="414"/>
        <v>0.72886858478036831</v>
      </c>
      <c r="AB128" s="148">
        <f t="shared" si="414"/>
        <v>0.72886858478036842</v>
      </c>
      <c r="AC128" s="148">
        <f t="shared" si="414"/>
        <v>0.72886858478036842</v>
      </c>
      <c r="AD128" s="148">
        <f t="shared" si="414"/>
        <v>0.72886858478036831</v>
      </c>
      <c r="AE128" s="148">
        <f t="shared" si="414"/>
        <v>0.72886858478036842</v>
      </c>
      <c r="AF128" s="148">
        <f t="shared" si="414"/>
        <v>0.72886858478036842</v>
      </c>
      <c r="AG128" s="116">
        <f>((AF128/J128)^(1/($AF$3-$K$1) ))-1</f>
        <v>-3.6095203079984484E-2</v>
      </c>
      <c r="AH128" s="124"/>
      <c r="AI128" s="124"/>
    </row>
    <row r="129" spans="1:35" ht="12" customHeight="1">
      <c r="A129" s="303"/>
      <c r="B129" s="178" t="s">
        <v>434</v>
      </c>
      <c r="C129" s="129"/>
      <c r="D129" s="129"/>
      <c r="E129" s="129"/>
      <c r="F129" s="148"/>
      <c r="G129" s="148">
        <f t="shared" ref="G129" si="415">G47/G25</f>
        <v>0.375</v>
      </c>
      <c r="H129" s="148">
        <f t="shared" ref="H129:I129" si="416">H47/H25</f>
        <v>0.375</v>
      </c>
      <c r="I129" s="148">
        <f t="shared" si="416"/>
        <v>0.34602076124567471</v>
      </c>
      <c r="J129" s="148">
        <f t="shared" ref="J129:T129" si="417">J47/J25</f>
        <v>0.25380710659898476</v>
      </c>
      <c r="K129" s="148">
        <f t="shared" si="417"/>
        <v>0.21543985637342908</v>
      </c>
      <c r="L129" s="148">
        <f t="shared" si="417"/>
        <v>0.17842493847415913</v>
      </c>
      <c r="M129" s="148">
        <f t="shared" si="417"/>
        <v>0.19524617996604415</v>
      </c>
      <c r="N129" s="148">
        <f t="shared" si="417"/>
        <v>0.13354769560557342</v>
      </c>
      <c r="O129" s="148">
        <f t="shared" si="417"/>
        <v>0.11962590731434952</v>
      </c>
      <c r="P129" s="148">
        <f t="shared" si="417"/>
        <v>0.13160925557533243</v>
      </c>
      <c r="Q129" s="148">
        <f t="shared" si="417"/>
        <v>0.14706887711502306</v>
      </c>
      <c r="R129" s="148">
        <f t="shared" si="417"/>
        <v>0.15030472134517953</v>
      </c>
      <c r="S129" s="148">
        <f t="shared" si="417"/>
        <v>0.16781453695732382</v>
      </c>
      <c r="T129" s="148">
        <f t="shared" si="417"/>
        <v>0.20433097568065112</v>
      </c>
      <c r="U129" s="101">
        <f t="shared" si="158"/>
        <v>-4.5632567276647884E-2</v>
      </c>
      <c r="V129" s="10"/>
      <c r="W129" s="148">
        <f t="shared" ref="W129:AF129" si="418">W47/W25</f>
        <v>0.20433097568065112</v>
      </c>
      <c r="X129" s="148">
        <f t="shared" si="418"/>
        <v>0.20433097568065112</v>
      </c>
      <c r="Y129" s="148">
        <f t="shared" si="418"/>
        <v>0.20433097568065109</v>
      </c>
      <c r="Z129" s="148">
        <f t="shared" si="418"/>
        <v>0.20433097568065109</v>
      </c>
      <c r="AA129" s="148">
        <f t="shared" si="418"/>
        <v>0.20433097568065109</v>
      </c>
      <c r="AB129" s="148">
        <f t="shared" si="418"/>
        <v>0.20433097568065109</v>
      </c>
      <c r="AC129" s="148">
        <f t="shared" si="418"/>
        <v>0.20433097568065109</v>
      </c>
      <c r="AD129" s="148">
        <f t="shared" si="418"/>
        <v>0.20433097568065109</v>
      </c>
      <c r="AE129" s="148">
        <f t="shared" si="418"/>
        <v>0.20433097568065109</v>
      </c>
      <c r="AF129" s="148">
        <f t="shared" si="418"/>
        <v>0.20433097568065109</v>
      </c>
      <c r="AG129" s="116">
        <f>((AF129/J129)^(1/($AF$3-$K$1) ))-1</f>
        <v>-9.3832412188341596E-3</v>
      </c>
      <c r="AH129" s="124"/>
      <c r="AI129" s="124"/>
    </row>
    <row r="130" spans="1:35" ht="12" customHeight="1">
      <c r="A130" s="303"/>
      <c r="B130" s="178" t="s">
        <v>432</v>
      </c>
      <c r="C130" s="129"/>
      <c r="D130" s="129"/>
      <c r="E130" s="129"/>
      <c r="F130" s="182"/>
      <c r="G130" s="182" t="e">
        <f t="shared" ref="G130" si="419">G55/G49</f>
        <v>#DIV/0!</v>
      </c>
      <c r="H130" s="182" t="e">
        <f t="shared" ref="H130:I130" si="420">H55/H49</f>
        <v>#DIV/0!</v>
      </c>
      <c r="I130" s="182" t="e">
        <f t="shared" si="420"/>
        <v>#DIV/0!</v>
      </c>
      <c r="J130" s="182" t="e">
        <f t="shared" ref="J130:T130" si="421">J55/J49</f>
        <v>#DIV/0!</v>
      </c>
      <c r="K130" s="182" t="e">
        <f t="shared" si="421"/>
        <v>#DIV/0!</v>
      </c>
      <c r="L130" s="182" t="e">
        <f t="shared" si="421"/>
        <v>#DIV/0!</v>
      </c>
      <c r="M130" s="182" t="e">
        <f t="shared" si="421"/>
        <v>#DIV/0!</v>
      </c>
      <c r="N130" s="182" t="e">
        <f t="shared" si="421"/>
        <v>#DIV/0!</v>
      </c>
      <c r="O130" s="182" t="e">
        <f t="shared" si="421"/>
        <v>#DIV/0!</v>
      </c>
      <c r="P130" s="182" t="e">
        <f t="shared" si="421"/>
        <v>#DIV/0!</v>
      </c>
      <c r="Q130" s="182" t="e">
        <f t="shared" si="421"/>
        <v>#DIV/0!</v>
      </c>
      <c r="R130" s="182" t="e">
        <f t="shared" si="421"/>
        <v>#DIV/0!</v>
      </c>
      <c r="S130" s="182" t="e">
        <f t="shared" si="421"/>
        <v>#DIV/0!</v>
      </c>
      <c r="T130" s="182" t="e">
        <f t="shared" si="421"/>
        <v>#DIV/0!</v>
      </c>
      <c r="U130" s="101" t="e">
        <f t="shared" ref="U130:U167" si="422">((T130/G130)^(1/($K$2-$K$1) ))-1</f>
        <v>#DIV/0!</v>
      </c>
      <c r="V130" s="10"/>
      <c r="W130" s="182" t="e">
        <f t="shared" ref="W130:AF130" si="423">W55/W49</f>
        <v>#DIV/0!</v>
      </c>
      <c r="X130" s="182" t="e">
        <f t="shared" si="423"/>
        <v>#DIV/0!</v>
      </c>
      <c r="Y130" s="182" t="e">
        <f t="shared" si="423"/>
        <v>#DIV/0!</v>
      </c>
      <c r="Z130" s="182" t="e">
        <f t="shared" si="423"/>
        <v>#DIV/0!</v>
      </c>
      <c r="AA130" s="182" t="e">
        <f t="shared" si="423"/>
        <v>#DIV/0!</v>
      </c>
      <c r="AB130" s="182" t="e">
        <f t="shared" si="423"/>
        <v>#DIV/0!</v>
      </c>
      <c r="AC130" s="182" t="e">
        <f t="shared" si="423"/>
        <v>#DIV/0!</v>
      </c>
      <c r="AD130" s="182" t="e">
        <f t="shared" si="423"/>
        <v>#DIV/0!</v>
      </c>
      <c r="AE130" s="182" t="e">
        <f t="shared" si="423"/>
        <v>#DIV/0!</v>
      </c>
      <c r="AF130" s="182" t="e">
        <f t="shared" si="423"/>
        <v>#DIV/0!</v>
      </c>
      <c r="AG130" s="116" t="e">
        <f>((AF130/J130)^(1/($AF$3-$K$1) ))-1</f>
        <v>#DIV/0!</v>
      </c>
      <c r="AH130" s="124"/>
      <c r="AI130" s="124"/>
    </row>
    <row r="131" spans="1:35" ht="12" customHeight="1">
      <c r="A131" s="303"/>
      <c r="B131" s="178" t="s">
        <v>426</v>
      </c>
      <c r="C131" s="129"/>
      <c r="D131" s="129"/>
      <c r="E131" s="129"/>
      <c r="F131" s="148"/>
      <c r="G131" s="148">
        <f t="shared" ref="G131" si="424">G55/G43</f>
        <v>-1.802370116703465E-4</v>
      </c>
      <c r="H131" s="148">
        <f t="shared" ref="H131:I131" si="425">H55/H43</f>
        <v>-1.802370116703465E-4</v>
      </c>
      <c r="I131" s="148">
        <f t="shared" si="425"/>
        <v>1.6005587405057765E-3</v>
      </c>
      <c r="J131" s="148">
        <f t="shared" ref="J131:T131" si="426">J55/J43</f>
        <v>2.4744656207223333E-3</v>
      </c>
      <c r="K131" s="148">
        <f t="shared" si="426"/>
        <v>4.2554096895678628E-3</v>
      </c>
      <c r="L131" s="148">
        <f t="shared" si="426"/>
        <v>5.4644808743169399E-3</v>
      </c>
      <c r="M131" s="148">
        <f t="shared" si="426"/>
        <v>2.1538322894606408E-2</v>
      </c>
      <c r="N131" s="148">
        <f t="shared" si="426"/>
        <v>2.1156476442685448E-2</v>
      </c>
      <c r="O131" s="148">
        <f t="shared" si="426"/>
        <v>2.5718647994103401E-2</v>
      </c>
      <c r="P131" s="148">
        <f t="shared" si="426"/>
        <v>2.7660162982191112E-2</v>
      </c>
      <c r="Q131" s="148">
        <f t="shared" si="426"/>
        <v>2.8958153580672993E-2</v>
      </c>
      <c r="R131" s="148">
        <f t="shared" si="426"/>
        <v>2.6433175819666706E-2</v>
      </c>
      <c r="S131" s="148">
        <f t="shared" si="426"/>
        <v>2.5751204064800578E-2</v>
      </c>
      <c r="T131" s="148">
        <f t="shared" si="426"/>
        <v>2.5251945597957036E-2</v>
      </c>
      <c r="U131" s="101">
        <f t="shared" si="422"/>
        <v>-2.4625529735247236</v>
      </c>
      <c r="V131" s="10"/>
      <c r="W131" s="148">
        <f t="shared" ref="W131:AF131" si="427">W55/W43</f>
        <v>2.5251945597957039E-2</v>
      </c>
      <c r="X131" s="148">
        <f t="shared" si="427"/>
        <v>2.5251945597957039E-2</v>
      </c>
      <c r="Y131" s="148">
        <f t="shared" si="427"/>
        <v>2.5251945597957043E-2</v>
      </c>
      <c r="Z131" s="148">
        <f t="shared" si="427"/>
        <v>2.5251945597957039E-2</v>
      </c>
      <c r="AA131" s="148">
        <f t="shared" si="427"/>
        <v>2.5251945597957039E-2</v>
      </c>
      <c r="AB131" s="148">
        <f t="shared" si="427"/>
        <v>2.5251945597957039E-2</v>
      </c>
      <c r="AC131" s="148">
        <f t="shared" si="427"/>
        <v>2.5251945597957039E-2</v>
      </c>
      <c r="AD131" s="148">
        <f t="shared" si="427"/>
        <v>2.5251945597957039E-2</v>
      </c>
      <c r="AE131" s="148">
        <f t="shared" si="427"/>
        <v>2.5251945597957036E-2</v>
      </c>
      <c r="AF131" s="148">
        <f t="shared" si="427"/>
        <v>2.5251945597957036E-2</v>
      </c>
      <c r="AG131" s="116">
        <f t="shared" si="398"/>
        <v>0.1062708095002729</v>
      </c>
      <c r="AH131" s="124"/>
      <c r="AI131" s="124"/>
    </row>
    <row r="132" spans="1:35" ht="12" customHeight="1">
      <c r="A132" s="303"/>
      <c r="B132" s="178" t="s">
        <v>427</v>
      </c>
      <c r="C132" s="129"/>
      <c r="D132" s="129"/>
      <c r="E132" s="129"/>
      <c r="F132" s="148"/>
      <c r="G132" s="148">
        <f t="shared" ref="G132" si="428">G55/(G36+G38)</f>
        <v>-7.3909830007390983E-4</v>
      </c>
      <c r="H132" s="148">
        <f t="shared" ref="H132:I132" si="429">H55/(H36+H38)</f>
        <v>-7.3909830007390983E-4</v>
      </c>
      <c r="I132" s="148">
        <f t="shared" si="429"/>
        <v>5.7291666666666663E-3</v>
      </c>
      <c r="J132" s="148">
        <f t="shared" ref="J132:T132" si="430">J55/(J36+J38)</f>
        <v>4.2009295673936364E-3</v>
      </c>
      <c r="K132" s="148">
        <f t="shared" si="430"/>
        <v>5.8488083053077934E-3</v>
      </c>
      <c r="L132" s="148">
        <f t="shared" si="430"/>
        <v>8.1103433556545639E-3</v>
      </c>
      <c r="M132" s="148">
        <f t="shared" si="430"/>
        <v>1.5151995435382128E-2</v>
      </c>
      <c r="N132" s="148">
        <f t="shared" si="430"/>
        <v>1.3813939347875656E-2</v>
      </c>
      <c r="O132" s="148">
        <f t="shared" si="430"/>
        <v>1.5432732557221161E-2</v>
      </c>
      <c r="P132" s="148">
        <f t="shared" si="430"/>
        <v>1.4793404417538149E-2</v>
      </c>
      <c r="Q132" s="148">
        <f t="shared" si="430"/>
        <v>1.6868050174858124E-2</v>
      </c>
      <c r="R132" s="148">
        <f t="shared" si="430"/>
        <v>1.7013409667910512E-2</v>
      </c>
      <c r="S132" s="148">
        <f t="shared" si="430"/>
        <v>1.7640657914928644E-2</v>
      </c>
      <c r="T132" s="148">
        <f t="shared" si="430"/>
        <v>1.8405349850933797E-2</v>
      </c>
      <c r="U132" s="101">
        <f t="shared" si="422"/>
        <v>-2.2805696983066008</v>
      </c>
      <c r="V132" s="10"/>
      <c r="W132" s="148">
        <f t="shared" ref="W132:AF132" si="431">W55/(W36+W38)</f>
        <v>1.8405349850933801E-2</v>
      </c>
      <c r="X132" s="148">
        <f t="shared" si="431"/>
        <v>1.8405349850933797E-2</v>
      </c>
      <c r="Y132" s="148">
        <f t="shared" si="431"/>
        <v>1.8405349850933801E-2</v>
      </c>
      <c r="Z132" s="148">
        <f t="shared" si="431"/>
        <v>1.8405349850933801E-2</v>
      </c>
      <c r="AA132" s="148">
        <f t="shared" si="431"/>
        <v>1.8405349850933797E-2</v>
      </c>
      <c r="AB132" s="148">
        <f t="shared" si="431"/>
        <v>1.8405349850933801E-2</v>
      </c>
      <c r="AC132" s="148">
        <f t="shared" si="431"/>
        <v>1.8405349850933801E-2</v>
      </c>
      <c r="AD132" s="148">
        <f t="shared" si="431"/>
        <v>1.8405349850933801E-2</v>
      </c>
      <c r="AE132" s="148">
        <f t="shared" si="431"/>
        <v>1.8405349850933801E-2</v>
      </c>
      <c r="AF132" s="148">
        <f t="shared" si="431"/>
        <v>1.8405349850933797E-2</v>
      </c>
      <c r="AG132" s="116">
        <f t="shared" si="398"/>
        <v>6.6339739969901723E-2</v>
      </c>
      <c r="AH132" s="124"/>
      <c r="AI132" s="124"/>
    </row>
    <row r="133" spans="1:35" ht="12" customHeight="1">
      <c r="B133" s="10"/>
      <c r="C133" s="129"/>
      <c r="D133" s="129"/>
      <c r="E133" s="129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10"/>
      <c r="V133" s="10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80"/>
      <c r="AH133" s="124"/>
      <c r="AI133" s="124"/>
    </row>
    <row r="134" spans="1:35">
      <c r="B134" s="10" t="s">
        <v>271</v>
      </c>
      <c r="C134" s="129"/>
      <c r="D134" s="129"/>
      <c r="E134" s="129"/>
      <c r="F134" s="140"/>
      <c r="G134" s="140">
        <f t="shared" ref="G134" si="432">G10-(G12+G13)</f>
        <v>637</v>
      </c>
      <c r="H134" s="140">
        <f t="shared" ref="H134:I134" si="433">H10-(H12+H13)</f>
        <v>637</v>
      </c>
      <c r="I134" s="140">
        <f t="shared" si="433"/>
        <v>2025</v>
      </c>
      <c r="J134" s="140">
        <f t="shared" ref="J134:T134" si="434">J10-(J12+J13)</f>
        <v>6014</v>
      </c>
      <c r="K134" s="140">
        <f t="shared" si="434"/>
        <v>9166</v>
      </c>
      <c r="L134" s="140">
        <f t="shared" si="434"/>
        <v>11241</v>
      </c>
      <c r="M134" s="140">
        <f t="shared" si="434"/>
        <v>21338</v>
      </c>
      <c r="N134" s="140">
        <f t="shared" si="434"/>
        <v>33801</v>
      </c>
      <c r="O134" s="140">
        <f t="shared" si="434"/>
        <v>35551</v>
      </c>
      <c r="P134" s="140">
        <f t="shared" si="434"/>
        <v>44902</v>
      </c>
      <c r="Q134" s="140">
        <f t="shared" si="434"/>
        <v>54567</v>
      </c>
      <c r="R134" s="140">
        <f t="shared" si="434"/>
        <v>70809</v>
      </c>
      <c r="S134" s="140">
        <f t="shared" si="434"/>
        <v>94575</v>
      </c>
      <c r="T134" s="140" t="e">
        <f t="shared" si="434"/>
        <v>#VALUE!</v>
      </c>
      <c r="U134" s="101" t="e">
        <f t="shared" si="422"/>
        <v>#VALUE!</v>
      </c>
      <c r="V134" s="10"/>
      <c r="W134" s="140" t="e">
        <f t="shared" ref="W134:AF134" si="435">W10-(W12+W13)</f>
        <v>#VALUE!</v>
      </c>
      <c r="X134" s="140" t="e">
        <f t="shared" si="435"/>
        <v>#VALUE!</v>
      </c>
      <c r="Y134" s="140" t="e">
        <f t="shared" si="435"/>
        <v>#VALUE!</v>
      </c>
      <c r="Z134" s="140" t="e">
        <f t="shared" si="435"/>
        <v>#VALUE!</v>
      </c>
      <c r="AA134" s="140" t="e">
        <f t="shared" si="435"/>
        <v>#VALUE!</v>
      </c>
      <c r="AB134" s="140" t="e">
        <f t="shared" si="435"/>
        <v>#VALUE!</v>
      </c>
      <c r="AC134" s="140" t="e">
        <f t="shared" si="435"/>
        <v>#VALUE!</v>
      </c>
      <c r="AD134" s="140" t="e">
        <f t="shared" si="435"/>
        <v>#VALUE!</v>
      </c>
      <c r="AE134" s="140" t="e">
        <f t="shared" si="435"/>
        <v>#VALUE!</v>
      </c>
      <c r="AF134" s="140" t="e">
        <f t="shared" si="435"/>
        <v>#VALUE!</v>
      </c>
      <c r="AG134" s="116" t="e">
        <f t="shared" si="317"/>
        <v>#VALUE!</v>
      </c>
      <c r="AH134" s="124"/>
      <c r="AI134" s="124"/>
    </row>
    <row r="135" spans="1:35" ht="12" customHeight="1">
      <c r="B135" s="10" t="s">
        <v>266</v>
      </c>
      <c r="C135" s="10"/>
      <c r="D135" s="10"/>
      <c r="E135" s="10"/>
      <c r="F135" s="129"/>
      <c r="G135" s="129">
        <f t="shared" ref="G135" si="436">G55/G18</f>
        <v>-0.25</v>
      </c>
      <c r="H135" s="129">
        <f t="shared" ref="H135:I135" si="437">H55/H18</f>
        <v>-0.25</v>
      </c>
      <c r="I135" s="129">
        <f t="shared" si="437"/>
        <v>1.896551724137931</v>
      </c>
      <c r="J135" s="129">
        <f t="shared" ref="J135:T135" si="438">J55/J18</f>
        <v>1.3623188405797102</v>
      </c>
      <c r="K135" s="129">
        <f t="shared" si="438"/>
        <v>2.0618556701030926</v>
      </c>
      <c r="L135" s="129">
        <f t="shared" si="438"/>
        <v>2.3384615384615386</v>
      </c>
      <c r="M135" s="129">
        <f t="shared" si="438"/>
        <v>4.192982456140351</v>
      </c>
      <c r="N135" s="129">
        <f t="shared" si="438"/>
        <v>5.6356589147286824</v>
      </c>
      <c r="O135" s="129">
        <f t="shared" si="438"/>
        <v>5.7810650887573969</v>
      </c>
      <c r="P135" s="129">
        <f t="shared" si="438"/>
        <v>5.9633027522935782</v>
      </c>
      <c r="Q135" s="129">
        <f t="shared" si="438"/>
        <v>5.8158844765342961</v>
      </c>
      <c r="R135" s="129">
        <f t="shared" si="438"/>
        <v>6.7466216216216219</v>
      </c>
      <c r="S135" s="129">
        <f t="shared" si="438"/>
        <v>6.1086956521739131</v>
      </c>
      <c r="T135" s="129">
        <f t="shared" si="438"/>
        <v>0.25187707390648567</v>
      </c>
      <c r="U135" s="101">
        <f t="shared" si="422"/>
        <v>-2.0005755693208531</v>
      </c>
      <c r="V135" s="10"/>
      <c r="W135" s="129">
        <f t="shared" ref="W135:AF135" si="439">W55/W18</f>
        <v>0.25187707390648567</v>
      </c>
      <c r="X135" s="129">
        <f t="shared" si="439"/>
        <v>0.25187707390648573</v>
      </c>
      <c r="Y135" s="129">
        <f t="shared" si="439"/>
        <v>0.25187707390648573</v>
      </c>
      <c r="Z135" s="129">
        <f t="shared" si="439"/>
        <v>0.25187707390648567</v>
      </c>
      <c r="AA135" s="129">
        <f t="shared" si="439"/>
        <v>0.25187707390648573</v>
      </c>
      <c r="AB135" s="129">
        <f t="shared" si="439"/>
        <v>0.25187707390648573</v>
      </c>
      <c r="AC135" s="129">
        <f t="shared" si="439"/>
        <v>0.25187707390648573</v>
      </c>
      <c r="AD135" s="129">
        <f t="shared" si="439"/>
        <v>0.25187707390648573</v>
      </c>
      <c r="AE135" s="129">
        <f t="shared" si="439"/>
        <v>0.25187707390648573</v>
      </c>
      <c r="AF135" s="129">
        <f t="shared" si="439"/>
        <v>0.25187707390648573</v>
      </c>
      <c r="AG135" s="116">
        <f t="shared" si="317"/>
        <v>-7.0762952224741937E-2</v>
      </c>
      <c r="AH135" s="10"/>
      <c r="AI135" s="10"/>
    </row>
    <row r="136" spans="1:35">
      <c r="B136" s="10" t="s">
        <v>267</v>
      </c>
      <c r="C136" s="10"/>
      <c r="D136" s="10"/>
      <c r="E136" s="10"/>
      <c r="F136" s="129"/>
      <c r="G136" s="129">
        <f t="shared" ref="G136" si="440">G55/G25</f>
        <v>-8.3333333333333329E-2</v>
      </c>
      <c r="H136" s="129">
        <f t="shared" ref="H136:I136" si="441">H55/H25</f>
        <v>-8.3333333333333329E-2</v>
      </c>
      <c r="I136" s="129">
        <f t="shared" si="441"/>
        <v>0.19031141868512111</v>
      </c>
      <c r="J136" s="129">
        <f t="shared" ref="J136:T136" si="442">J55/J25</f>
        <v>0.11928934010152284</v>
      </c>
      <c r="K136" s="129">
        <f t="shared" si="442"/>
        <v>0.11968880909634949</v>
      </c>
      <c r="L136" s="129">
        <f t="shared" si="442"/>
        <v>0.12469237079573421</v>
      </c>
      <c r="M136" s="129">
        <f t="shared" si="442"/>
        <v>0.16230899830220713</v>
      </c>
      <c r="N136" s="129">
        <f t="shared" si="442"/>
        <v>0.15584137191854233</v>
      </c>
      <c r="O136" s="129">
        <f t="shared" si="442"/>
        <v>0.13637632607481853</v>
      </c>
      <c r="P136" s="129">
        <f t="shared" si="442"/>
        <v>0.13611140194744006</v>
      </c>
      <c r="Q136" s="129">
        <f t="shared" si="442"/>
        <v>0.13766877456844984</v>
      </c>
      <c r="R136" s="129">
        <f t="shared" si="442"/>
        <v>0.14663337983699243</v>
      </c>
      <c r="S136" s="129">
        <f t="shared" si="442"/>
        <v>0.15551592670028286</v>
      </c>
      <c r="T136" s="129">
        <f t="shared" si="442"/>
        <v>0.16180069760682103</v>
      </c>
      <c r="U136" s="101">
        <f t="shared" si="422"/>
        <v>-2.0523647188463334</v>
      </c>
      <c r="V136" s="10"/>
      <c r="W136" s="129">
        <f t="shared" ref="W136:AF136" si="443">W55/W25</f>
        <v>0.16180069760682103</v>
      </c>
      <c r="X136" s="129">
        <f t="shared" si="443"/>
        <v>0.16180069760682103</v>
      </c>
      <c r="Y136" s="129">
        <f t="shared" si="443"/>
        <v>0.16180069760682103</v>
      </c>
      <c r="Z136" s="129">
        <f t="shared" si="443"/>
        <v>0.16180069760682103</v>
      </c>
      <c r="AA136" s="129">
        <f t="shared" si="443"/>
        <v>0.16180069760682103</v>
      </c>
      <c r="AB136" s="129">
        <f t="shared" si="443"/>
        <v>0.161800697606821</v>
      </c>
      <c r="AC136" s="129">
        <f t="shared" si="443"/>
        <v>0.161800697606821</v>
      </c>
      <c r="AD136" s="129">
        <f t="shared" si="443"/>
        <v>0.161800697606821</v>
      </c>
      <c r="AE136" s="129">
        <f t="shared" si="443"/>
        <v>0.161800697606821</v>
      </c>
      <c r="AF136" s="129">
        <f t="shared" si="443"/>
        <v>0.16180069760682098</v>
      </c>
      <c r="AG136" s="116">
        <f t="shared" si="317"/>
        <v>1.334096109689531E-2</v>
      </c>
      <c r="AH136" s="10"/>
      <c r="AI136" s="10"/>
    </row>
    <row r="137" spans="1:35">
      <c r="B137" s="10" t="s">
        <v>293</v>
      </c>
      <c r="C137" s="10"/>
      <c r="D137" s="10"/>
      <c r="E137" s="129"/>
      <c r="F137" s="129"/>
      <c r="G137" s="129">
        <f t="shared" ref="G137" si="444">G25/G18</f>
        <v>3</v>
      </c>
      <c r="H137" s="129">
        <f t="shared" ref="H137:I137" si="445">H25/H18</f>
        <v>3</v>
      </c>
      <c r="I137" s="129">
        <f t="shared" si="445"/>
        <v>9.9655172413793096</v>
      </c>
      <c r="J137" s="129">
        <f t="shared" ref="J137:T137" si="446">J25/J18</f>
        <v>11.420289855072463</v>
      </c>
      <c r="K137" s="129">
        <f t="shared" si="446"/>
        <v>17.226804123711339</v>
      </c>
      <c r="L137" s="129">
        <f t="shared" si="446"/>
        <v>18.753846153846155</v>
      </c>
      <c r="M137" s="129">
        <f t="shared" si="446"/>
        <v>25.833333333333332</v>
      </c>
      <c r="N137" s="129">
        <f t="shared" si="446"/>
        <v>36.162790697674417</v>
      </c>
      <c r="O137" s="129">
        <f t="shared" si="446"/>
        <v>42.390532544378701</v>
      </c>
      <c r="P137" s="129">
        <f t="shared" si="446"/>
        <v>43.811926605504588</v>
      </c>
      <c r="Q137" s="129">
        <f t="shared" si="446"/>
        <v>42.245487364620942</v>
      </c>
      <c r="R137" s="129">
        <f t="shared" si="446"/>
        <v>46.010135135135137</v>
      </c>
      <c r="S137" s="129">
        <f t="shared" si="446"/>
        <v>39.280193236714979</v>
      </c>
      <c r="T137" s="129">
        <f t="shared" si="446"/>
        <v>1.556711915535445</v>
      </c>
      <c r="U137" s="101">
        <f t="shared" si="422"/>
        <v>-4.9212168175169602E-2</v>
      </c>
      <c r="V137" s="10"/>
      <c r="W137" s="129">
        <f t="shared" ref="W137:AF137" si="447">W25/W18</f>
        <v>1.5567119155354452</v>
      </c>
      <c r="X137" s="129">
        <f t="shared" si="447"/>
        <v>1.5567119155354452</v>
      </c>
      <c r="Y137" s="129">
        <f t="shared" si="447"/>
        <v>1.5567119155354452</v>
      </c>
      <c r="Z137" s="129">
        <f t="shared" si="447"/>
        <v>1.5567119155354454</v>
      </c>
      <c r="AA137" s="129">
        <f t="shared" si="447"/>
        <v>1.5567119155354454</v>
      </c>
      <c r="AB137" s="129">
        <f t="shared" si="447"/>
        <v>1.5567119155354456</v>
      </c>
      <c r="AC137" s="129">
        <f t="shared" si="447"/>
        <v>1.5567119155354456</v>
      </c>
      <c r="AD137" s="129">
        <f t="shared" si="447"/>
        <v>1.5567119155354456</v>
      </c>
      <c r="AE137" s="129">
        <f t="shared" si="447"/>
        <v>1.5567119155354456</v>
      </c>
      <c r="AF137" s="129">
        <f t="shared" si="447"/>
        <v>1.5567119155354456</v>
      </c>
      <c r="AG137" s="116">
        <f t="shared" si="317"/>
        <v>-8.2996658134295354E-2</v>
      </c>
      <c r="AH137" s="10"/>
      <c r="AI137" s="10"/>
    </row>
    <row r="138" spans="1:35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10"/>
      <c r="V138" s="10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10"/>
      <c r="AH138" s="10"/>
      <c r="AI138" s="10"/>
    </row>
    <row r="139" spans="1:35">
      <c r="B139" s="10" t="s">
        <v>279</v>
      </c>
      <c r="C139" s="10"/>
      <c r="D139" s="10"/>
      <c r="E139" s="142"/>
      <c r="F139" s="142"/>
      <c r="G139" s="142">
        <f t="shared" ref="G139" si="448">G88*G57</f>
        <v>2</v>
      </c>
      <c r="H139" s="142">
        <f t="shared" ref="H139:I139" si="449">H88*H57</f>
        <v>0</v>
      </c>
      <c r="I139" s="142">
        <f t="shared" si="449"/>
        <v>0</v>
      </c>
      <c r="J139" s="142">
        <f t="shared" ref="J139:T139" si="450">J88*J57</f>
        <v>0</v>
      </c>
      <c r="K139" s="142">
        <f t="shared" si="450"/>
        <v>0</v>
      </c>
      <c r="L139" s="142">
        <f t="shared" si="450"/>
        <v>0</v>
      </c>
      <c r="M139" s="142">
        <f t="shared" si="450"/>
        <v>50.94</v>
      </c>
      <c r="N139" s="142">
        <f t="shared" si="450"/>
        <v>86.75</v>
      </c>
      <c r="O139" s="142">
        <f t="shared" si="450"/>
        <v>141.16</v>
      </c>
      <c r="P139" s="142">
        <f t="shared" si="450"/>
        <v>215.16</v>
      </c>
      <c r="Q139" s="142">
        <f t="shared" si="450"/>
        <v>288.48</v>
      </c>
      <c r="R139" s="142">
        <f t="shared" si="450"/>
        <v>375.93</v>
      </c>
      <c r="S139" s="142">
        <f t="shared" si="450"/>
        <v>420.5</v>
      </c>
      <c r="T139" s="142">
        <f t="shared" si="450"/>
        <v>456.4</v>
      </c>
      <c r="U139" s="101">
        <f t="shared" si="422"/>
        <v>0.51847936791626337</v>
      </c>
      <c r="V139" s="10"/>
      <c r="W139" s="142">
        <f t="shared" ref="W139:AF139" si="451">W88*W57</f>
        <v>2142</v>
      </c>
      <c r="X139" s="142">
        <f t="shared" si="451"/>
        <v>2228.5368000000003</v>
      </c>
      <c r="Y139" s="142">
        <f t="shared" si="451"/>
        <v>2318.5696867200004</v>
      </c>
      <c r="Z139" s="142">
        <f t="shared" si="451"/>
        <v>2412.2399020634884</v>
      </c>
      <c r="AA139" s="142">
        <f t="shared" si="451"/>
        <v>2509.6943941068535</v>
      </c>
      <c r="AB139" s="142">
        <f t="shared" si="451"/>
        <v>2611.0860476287703</v>
      </c>
      <c r="AC139" s="142">
        <f t="shared" si="451"/>
        <v>2716.5739239529726</v>
      </c>
      <c r="AD139" s="142">
        <f t="shared" si="451"/>
        <v>2826.3235104806727</v>
      </c>
      <c r="AE139" s="142">
        <f t="shared" si="451"/>
        <v>2940.5069803040919</v>
      </c>
      <c r="AF139" s="142">
        <f t="shared" si="451"/>
        <v>3059.3034623083768</v>
      </c>
      <c r="AG139" s="116" t="e">
        <f t="shared" si="317"/>
        <v>#DIV/0!</v>
      </c>
      <c r="AH139" s="10"/>
      <c r="AI139" s="10"/>
    </row>
    <row r="140" spans="1:35">
      <c r="B140" s="10" t="s">
        <v>280</v>
      </c>
      <c r="C140" s="10"/>
      <c r="D140" s="10"/>
      <c r="E140" s="142"/>
      <c r="F140" s="142"/>
      <c r="G140" s="142">
        <f t="shared" ref="G140" si="452">(G139*0.17)+G139</f>
        <v>2.34</v>
      </c>
      <c r="H140" s="142">
        <f t="shared" ref="H140:I140" si="453">(H139*0.17)+H139</f>
        <v>0</v>
      </c>
      <c r="I140" s="142">
        <f t="shared" si="453"/>
        <v>0</v>
      </c>
      <c r="J140" s="142">
        <f t="shared" ref="J140:S140" si="454">(J139*0.17)+J139</f>
        <v>0</v>
      </c>
      <c r="K140" s="142">
        <f t="shared" si="454"/>
        <v>0</v>
      </c>
      <c r="L140" s="142">
        <f t="shared" si="454"/>
        <v>0</v>
      </c>
      <c r="M140" s="142">
        <f t="shared" si="454"/>
        <v>59.599800000000002</v>
      </c>
      <c r="N140" s="142">
        <f t="shared" si="454"/>
        <v>101.4975</v>
      </c>
      <c r="O140" s="142">
        <f t="shared" si="454"/>
        <v>165.15719999999999</v>
      </c>
      <c r="P140" s="142">
        <f t="shared" si="454"/>
        <v>251.7372</v>
      </c>
      <c r="Q140" s="142">
        <f t="shared" si="454"/>
        <v>337.52160000000003</v>
      </c>
      <c r="R140" s="142">
        <f t="shared" si="454"/>
        <v>439.8381</v>
      </c>
      <c r="S140" s="142">
        <f t="shared" si="454"/>
        <v>491.98500000000001</v>
      </c>
      <c r="T140" s="142">
        <f t="shared" ref="T140" si="455">(T139*0.17)+T139</f>
        <v>533.98799999999994</v>
      </c>
      <c r="U140" s="101">
        <f t="shared" si="422"/>
        <v>0.51847936791626337</v>
      </c>
      <c r="V140" s="10"/>
      <c r="W140" s="142">
        <f t="shared" ref="W140:AF140" si="456">(W139*0.17)+W139</f>
        <v>2506.14</v>
      </c>
      <c r="X140" s="142">
        <f t="shared" si="456"/>
        <v>2607.3880560000002</v>
      </c>
      <c r="Y140" s="142">
        <f t="shared" si="456"/>
        <v>2712.7265334624003</v>
      </c>
      <c r="Z140" s="142">
        <f t="shared" si="456"/>
        <v>2822.3206854142813</v>
      </c>
      <c r="AA140" s="142">
        <f t="shared" si="456"/>
        <v>2936.3424411050187</v>
      </c>
      <c r="AB140" s="142">
        <f t="shared" si="456"/>
        <v>3054.9706757256613</v>
      </c>
      <c r="AC140" s="142">
        <f t="shared" si="456"/>
        <v>3178.3914910249778</v>
      </c>
      <c r="AD140" s="142">
        <f t="shared" si="456"/>
        <v>3306.7985072623869</v>
      </c>
      <c r="AE140" s="142">
        <f t="shared" si="456"/>
        <v>3440.3931669557878</v>
      </c>
      <c r="AF140" s="142">
        <f t="shared" si="456"/>
        <v>3579.3850509008007</v>
      </c>
      <c r="AG140" s="116" t="e">
        <f t="shared" si="317"/>
        <v>#DIV/0!</v>
      </c>
      <c r="AH140" s="10"/>
      <c r="AI140" s="10"/>
    </row>
    <row r="141" spans="1:35">
      <c r="B141" s="10" t="s">
        <v>281</v>
      </c>
      <c r="C141" s="10"/>
      <c r="D141" s="10"/>
      <c r="E141" s="10"/>
      <c r="F141" s="129"/>
      <c r="G141" s="129">
        <f t="shared" ref="G141" si="457">G140/G55</f>
        <v>-0.58499999999999996</v>
      </c>
      <c r="H141" s="129">
        <f t="shared" ref="H141:I141" si="458">H140/H55</f>
        <v>0</v>
      </c>
      <c r="I141" s="129">
        <f t="shared" si="458"/>
        <v>0</v>
      </c>
      <c r="J141" s="129">
        <f t="shared" ref="J141:T141" si="459">J140/J55</f>
        <v>0</v>
      </c>
      <c r="K141" s="129">
        <f t="shared" si="459"/>
        <v>0</v>
      </c>
      <c r="L141" s="129">
        <f t="shared" si="459"/>
        <v>0</v>
      </c>
      <c r="M141" s="129">
        <f t="shared" si="459"/>
        <v>0.12468577405857741</v>
      </c>
      <c r="N141" s="129">
        <f t="shared" si="459"/>
        <v>0.13961141678129299</v>
      </c>
      <c r="O141" s="129">
        <f t="shared" si="459"/>
        <v>0.16904524053224154</v>
      </c>
      <c r="P141" s="129">
        <f t="shared" si="459"/>
        <v>0.19364400000000001</v>
      </c>
      <c r="Q141" s="129">
        <f t="shared" si="459"/>
        <v>0.20951061452513969</v>
      </c>
      <c r="R141" s="129">
        <f t="shared" si="459"/>
        <v>0.2202494241362043</v>
      </c>
      <c r="S141" s="129">
        <f t="shared" si="459"/>
        <v>0.19453736654804271</v>
      </c>
      <c r="T141" s="129">
        <f t="shared" si="459"/>
        <v>0.15988191227854809</v>
      </c>
      <c r="U141" s="101">
        <f t="shared" si="422"/>
        <v>-1.9050339733574686</v>
      </c>
      <c r="V141" s="10"/>
      <c r="W141" s="129">
        <f t="shared" ref="W141:AF141" si="460">W140/W55</f>
        <v>0.65249220001648067</v>
      </c>
      <c r="X141" s="129">
        <f t="shared" si="460"/>
        <v>0.59030685643230141</v>
      </c>
      <c r="Y141" s="129">
        <f t="shared" si="460"/>
        <v>0.53404804646275339</v>
      </c>
      <c r="Z141" s="129">
        <f t="shared" si="460"/>
        <v>0.48315094568682498</v>
      </c>
      <c r="AA141" s="129">
        <f t="shared" si="460"/>
        <v>0.43710455990658503</v>
      </c>
      <c r="AB141" s="129">
        <f t="shared" si="460"/>
        <v>0.3954465948928792</v>
      </c>
      <c r="AC141" s="129">
        <f t="shared" si="460"/>
        <v>0.35775881506656654</v>
      </c>
      <c r="AD141" s="129">
        <f t="shared" si="460"/>
        <v>0.32366284451761379</v>
      </c>
      <c r="AE141" s="129">
        <f t="shared" si="460"/>
        <v>0.29281636820532647</v>
      </c>
      <c r="AF141" s="129">
        <f t="shared" si="460"/>
        <v>0.26490969520071445</v>
      </c>
      <c r="AG141" s="116" t="e">
        <f t="shared" si="317"/>
        <v>#DIV/0!</v>
      </c>
      <c r="AH141" s="10"/>
      <c r="AI141" s="10"/>
    </row>
    <row r="142" spans="1:35">
      <c r="B142" s="10" t="s">
        <v>274</v>
      </c>
      <c r="C142" s="10"/>
      <c r="D142" s="10"/>
      <c r="E142" s="10"/>
      <c r="F142" s="129"/>
      <c r="G142" s="129">
        <f t="shared" ref="G142" si="461">1-G141</f>
        <v>1.585</v>
      </c>
      <c r="H142" s="129">
        <f t="shared" ref="H142:I142" si="462">1-H141</f>
        <v>1</v>
      </c>
      <c r="I142" s="129">
        <f t="shared" si="462"/>
        <v>1</v>
      </c>
      <c r="J142" s="129">
        <f>1-J141</f>
        <v>1</v>
      </c>
      <c r="K142" s="129">
        <f t="shared" ref="K142:S142" si="463">1-K141</f>
        <v>1</v>
      </c>
      <c r="L142" s="129">
        <f t="shared" si="463"/>
        <v>1</v>
      </c>
      <c r="M142" s="129">
        <f t="shared" si="463"/>
        <v>0.87531422594142261</v>
      </c>
      <c r="N142" s="129">
        <f t="shared" si="463"/>
        <v>0.86038858321870704</v>
      </c>
      <c r="O142" s="129">
        <f t="shared" si="463"/>
        <v>0.83095475946775843</v>
      </c>
      <c r="P142" s="129">
        <f t="shared" si="463"/>
        <v>0.80635599999999996</v>
      </c>
      <c r="Q142" s="129">
        <f t="shared" si="463"/>
        <v>0.79048938547486025</v>
      </c>
      <c r="R142" s="129">
        <f t="shared" si="463"/>
        <v>0.7797505758637957</v>
      </c>
      <c r="S142" s="129">
        <f t="shared" si="463"/>
        <v>0.80546263345195723</v>
      </c>
      <c r="T142" s="129">
        <f t="shared" ref="T142" si="464">1-T141</f>
        <v>0.84011808772145191</v>
      </c>
      <c r="U142" s="101">
        <f t="shared" si="422"/>
        <v>-4.7657514939686729E-2</v>
      </c>
      <c r="V142" s="10"/>
      <c r="W142" s="129">
        <f t="shared" ref="W142:AF142" si="465">1-W141</f>
        <v>0.34750779998351933</v>
      </c>
      <c r="X142" s="129">
        <f t="shared" si="465"/>
        <v>0.40969314356769859</v>
      </c>
      <c r="Y142" s="129">
        <f t="shared" si="465"/>
        <v>0.46595195353724661</v>
      </c>
      <c r="Z142" s="129">
        <f t="shared" si="465"/>
        <v>0.51684905431317496</v>
      </c>
      <c r="AA142" s="129">
        <f t="shared" si="465"/>
        <v>0.56289544009341497</v>
      </c>
      <c r="AB142" s="129">
        <f t="shared" si="465"/>
        <v>0.60455340510712086</v>
      </c>
      <c r="AC142" s="129">
        <f t="shared" si="465"/>
        <v>0.64224118493343352</v>
      </c>
      <c r="AD142" s="129">
        <f t="shared" si="465"/>
        <v>0.67633715548238627</v>
      </c>
      <c r="AE142" s="129">
        <f t="shared" si="465"/>
        <v>0.70718363179467358</v>
      </c>
      <c r="AF142" s="129">
        <f t="shared" si="465"/>
        <v>0.73509030479928561</v>
      </c>
      <c r="AG142" s="116">
        <f t="shared" si="317"/>
        <v>-1.3291826225135916E-2</v>
      </c>
      <c r="AH142" s="10"/>
      <c r="AI142" s="10"/>
    </row>
    <row r="143" spans="1:35">
      <c r="B143" s="10" t="s">
        <v>395</v>
      </c>
      <c r="C143" s="10"/>
      <c r="D143" s="10"/>
      <c r="E143" s="10"/>
      <c r="F143" s="129"/>
      <c r="G143" s="129">
        <f t="shared" ref="G143" si="466">G140/G20</f>
        <v>-4.2545454545454546E-2</v>
      </c>
      <c r="H143" s="129">
        <f t="shared" ref="H143:I143" si="467">H140/H20</f>
        <v>0</v>
      </c>
      <c r="I143" s="129">
        <f t="shared" si="467"/>
        <v>0</v>
      </c>
      <c r="J143" s="129">
        <f t="shared" ref="J143:T143" si="468">J140/J20</f>
        <v>0</v>
      </c>
      <c r="K143" s="129">
        <f t="shared" si="468"/>
        <v>0</v>
      </c>
      <c r="L143" s="129">
        <f t="shared" si="468"/>
        <v>0</v>
      </c>
      <c r="M143" s="129">
        <f t="shared" si="468"/>
        <v>6.2083125000000003E-2</v>
      </c>
      <c r="N143" s="129">
        <f t="shared" si="468"/>
        <v>3.3277868852459015E-2</v>
      </c>
      <c r="O143" s="129">
        <f t="shared" si="468"/>
        <v>4.6030434782608695E-2</v>
      </c>
      <c r="P143" s="129">
        <f t="shared" si="468"/>
        <v>0.46617999999999998</v>
      </c>
      <c r="Q143" s="129">
        <f t="shared" si="468"/>
        <v>7.5881654676259E-2</v>
      </c>
      <c r="R143" s="129">
        <f t="shared" si="468"/>
        <v>-0.30354596273291923</v>
      </c>
      <c r="S143" s="129">
        <f t="shared" si="468"/>
        <v>-1.3553305785123968</v>
      </c>
      <c r="T143" s="129" t="e">
        <f t="shared" si="468"/>
        <v>#DIV/0!</v>
      </c>
      <c r="U143" s="101" t="e">
        <f t="shared" si="422"/>
        <v>#DIV/0!</v>
      </c>
      <c r="V143" s="10"/>
      <c r="W143" s="129" t="e">
        <f t="shared" ref="W143:AF143" si="469">W140/W20</f>
        <v>#DIV/0!</v>
      </c>
      <c r="X143" s="129" t="e">
        <f t="shared" si="469"/>
        <v>#DIV/0!</v>
      </c>
      <c r="Y143" s="129" t="e">
        <f t="shared" si="469"/>
        <v>#DIV/0!</v>
      </c>
      <c r="Z143" s="129" t="e">
        <f t="shared" si="469"/>
        <v>#DIV/0!</v>
      </c>
      <c r="AA143" s="129" t="e">
        <f t="shared" si="469"/>
        <v>#DIV/0!</v>
      </c>
      <c r="AB143" s="129" t="e">
        <f t="shared" si="469"/>
        <v>#DIV/0!</v>
      </c>
      <c r="AC143" s="129" t="e">
        <f t="shared" si="469"/>
        <v>#DIV/0!</v>
      </c>
      <c r="AD143" s="129" t="e">
        <f t="shared" si="469"/>
        <v>#DIV/0!</v>
      </c>
      <c r="AE143" s="129" t="e">
        <f t="shared" si="469"/>
        <v>#DIV/0!</v>
      </c>
      <c r="AF143" s="129" t="e">
        <f t="shared" si="469"/>
        <v>#DIV/0!</v>
      </c>
      <c r="AG143" s="116" t="s">
        <v>396</v>
      </c>
      <c r="AH143" s="10"/>
      <c r="AI143" s="10"/>
    </row>
    <row r="144" spans="1:35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10"/>
      <c r="V144" s="10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10"/>
      <c r="AH144" s="10"/>
      <c r="AI144" s="10"/>
    </row>
    <row r="145" spans="2:35">
      <c r="B145" s="10" t="s">
        <v>278</v>
      </c>
      <c r="C145" s="129"/>
      <c r="D145" s="129"/>
      <c r="E145" s="129"/>
      <c r="F145" s="129"/>
      <c r="G145" s="129">
        <f t="shared" ref="G145" si="470">G31/G25</f>
        <v>0</v>
      </c>
      <c r="H145" s="129">
        <f t="shared" ref="H145:I145" si="471">H31/H25</f>
        <v>0</v>
      </c>
      <c r="I145" s="129">
        <f t="shared" si="471"/>
        <v>0</v>
      </c>
      <c r="J145" s="129">
        <f t="shared" ref="J145:T145" si="472">J31/J25</f>
        <v>0</v>
      </c>
      <c r="K145" s="129">
        <f t="shared" si="472"/>
        <v>0</v>
      </c>
      <c r="L145" s="129">
        <f t="shared" si="472"/>
        <v>0</v>
      </c>
      <c r="M145" s="129">
        <f t="shared" si="472"/>
        <v>0</v>
      </c>
      <c r="N145" s="129">
        <f t="shared" si="472"/>
        <v>0</v>
      </c>
      <c r="O145" s="129">
        <f t="shared" si="472"/>
        <v>0</v>
      </c>
      <c r="P145" s="129">
        <f t="shared" si="472"/>
        <v>0</v>
      </c>
      <c r="Q145" s="129">
        <f t="shared" si="472"/>
        <v>0</v>
      </c>
      <c r="R145" s="129">
        <f t="shared" si="472"/>
        <v>0</v>
      </c>
      <c r="S145" s="129">
        <f t="shared" si="472"/>
        <v>0</v>
      </c>
      <c r="T145" s="129">
        <f t="shared" si="472"/>
        <v>0</v>
      </c>
      <c r="U145" s="101" t="e">
        <f t="shared" si="422"/>
        <v>#DIV/0!</v>
      </c>
      <c r="V145" s="10"/>
      <c r="W145" s="129">
        <f t="shared" ref="W145:AF145" si="473">W31/W25</f>
        <v>0</v>
      </c>
      <c r="X145" s="129">
        <f t="shared" si="473"/>
        <v>0</v>
      </c>
      <c r="Y145" s="129">
        <f t="shared" si="473"/>
        <v>0</v>
      </c>
      <c r="Z145" s="129">
        <f t="shared" si="473"/>
        <v>0</v>
      </c>
      <c r="AA145" s="129">
        <f t="shared" si="473"/>
        <v>0</v>
      </c>
      <c r="AB145" s="129">
        <f t="shared" si="473"/>
        <v>0</v>
      </c>
      <c r="AC145" s="129">
        <f t="shared" si="473"/>
        <v>0</v>
      </c>
      <c r="AD145" s="129">
        <f t="shared" si="473"/>
        <v>0</v>
      </c>
      <c r="AE145" s="129">
        <f t="shared" si="473"/>
        <v>0</v>
      </c>
      <c r="AF145" s="129">
        <f t="shared" si="473"/>
        <v>0</v>
      </c>
      <c r="AG145" s="116" t="e">
        <f t="shared" si="317"/>
        <v>#DIV/0!</v>
      </c>
      <c r="AH145" s="10"/>
      <c r="AI145" s="10"/>
    </row>
    <row r="146" spans="2:35">
      <c r="B146" s="10" t="s">
        <v>275</v>
      </c>
      <c r="C146" s="129"/>
      <c r="D146" s="129"/>
      <c r="E146" s="129"/>
      <c r="F146" s="129"/>
      <c r="G146" s="129">
        <f t="shared" ref="G146" si="474">G32/G25</f>
        <v>0</v>
      </c>
      <c r="H146" s="129">
        <f t="shared" ref="H146:I146" si="475">H32/H25</f>
        <v>0</v>
      </c>
      <c r="I146" s="129">
        <f t="shared" si="475"/>
        <v>0</v>
      </c>
      <c r="J146" s="129">
        <f t="shared" ref="J146:T146" si="476">J32/J25</f>
        <v>0</v>
      </c>
      <c r="K146" s="129">
        <f t="shared" si="476"/>
        <v>0</v>
      </c>
      <c r="L146" s="129">
        <f t="shared" si="476"/>
        <v>0</v>
      </c>
      <c r="M146" s="129">
        <f t="shared" si="476"/>
        <v>0</v>
      </c>
      <c r="N146" s="129">
        <f t="shared" si="476"/>
        <v>0</v>
      </c>
      <c r="O146" s="129">
        <f t="shared" si="476"/>
        <v>0</v>
      </c>
      <c r="P146" s="129">
        <f t="shared" si="476"/>
        <v>0</v>
      </c>
      <c r="Q146" s="129">
        <f t="shared" si="476"/>
        <v>0</v>
      </c>
      <c r="R146" s="129">
        <f t="shared" si="476"/>
        <v>0</v>
      </c>
      <c r="S146" s="129">
        <f t="shared" si="476"/>
        <v>0</v>
      </c>
      <c r="T146" s="129">
        <f t="shared" si="476"/>
        <v>0</v>
      </c>
      <c r="U146" s="101" t="e">
        <f t="shared" si="422"/>
        <v>#DIV/0!</v>
      </c>
      <c r="V146" s="10"/>
      <c r="W146" s="129">
        <f t="shared" ref="W146:AF146" si="477">W32/W25</f>
        <v>0</v>
      </c>
      <c r="X146" s="129">
        <f t="shared" si="477"/>
        <v>0</v>
      </c>
      <c r="Y146" s="129">
        <f t="shared" si="477"/>
        <v>0</v>
      </c>
      <c r="Z146" s="129">
        <f t="shared" si="477"/>
        <v>0</v>
      </c>
      <c r="AA146" s="129">
        <f t="shared" si="477"/>
        <v>0</v>
      </c>
      <c r="AB146" s="129">
        <f t="shared" si="477"/>
        <v>0</v>
      </c>
      <c r="AC146" s="129">
        <f t="shared" si="477"/>
        <v>0</v>
      </c>
      <c r="AD146" s="129">
        <f t="shared" si="477"/>
        <v>0</v>
      </c>
      <c r="AE146" s="129">
        <f t="shared" si="477"/>
        <v>0</v>
      </c>
      <c r="AF146" s="129">
        <f t="shared" si="477"/>
        <v>0</v>
      </c>
      <c r="AG146" s="116" t="e">
        <f t="shared" si="317"/>
        <v>#DIV/0!</v>
      </c>
      <c r="AH146" s="10"/>
      <c r="AI146" s="10"/>
    </row>
    <row r="147" spans="2:35">
      <c r="B147" s="10" t="s">
        <v>403</v>
      </c>
      <c r="C147" s="129"/>
      <c r="D147" s="129"/>
      <c r="E147" s="129"/>
      <c r="F147" s="129"/>
      <c r="G147" s="129">
        <f t="shared" ref="G147" si="478">(G31+G32)/G25</f>
        <v>0</v>
      </c>
      <c r="H147" s="129">
        <f t="shared" ref="H147:I147" si="479">(H31+H32)/H25</f>
        <v>0</v>
      </c>
      <c r="I147" s="129">
        <f t="shared" si="479"/>
        <v>0</v>
      </c>
      <c r="J147" s="129">
        <f t="shared" ref="J147:T147" si="480">(J31+J32)/J25</f>
        <v>0</v>
      </c>
      <c r="K147" s="129">
        <f t="shared" si="480"/>
        <v>0</v>
      </c>
      <c r="L147" s="129">
        <f t="shared" si="480"/>
        <v>0</v>
      </c>
      <c r="M147" s="129">
        <f t="shared" si="480"/>
        <v>0</v>
      </c>
      <c r="N147" s="129">
        <f t="shared" si="480"/>
        <v>0</v>
      </c>
      <c r="O147" s="129">
        <f t="shared" si="480"/>
        <v>0</v>
      </c>
      <c r="P147" s="129">
        <f t="shared" si="480"/>
        <v>0</v>
      </c>
      <c r="Q147" s="129">
        <f t="shared" si="480"/>
        <v>0</v>
      </c>
      <c r="R147" s="129">
        <f t="shared" si="480"/>
        <v>0</v>
      </c>
      <c r="S147" s="129">
        <f t="shared" si="480"/>
        <v>0</v>
      </c>
      <c r="T147" s="129">
        <f t="shared" si="480"/>
        <v>0</v>
      </c>
      <c r="U147" s="101" t="e">
        <f t="shared" si="422"/>
        <v>#DIV/0!</v>
      </c>
      <c r="V147" s="10"/>
      <c r="W147" s="129">
        <f t="shared" ref="W147:AF147" si="481">(W31+W32)/W25</f>
        <v>0</v>
      </c>
      <c r="X147" s="129">
        <f t="shared" si="481"/>
        <v>0</v>
      </c>
      <c r="Y147" s="129">
        <f t="shared" si="481"/>
        <v>0</v>
      </c>
      <c r="Z147" s="129">
        <f t="shared" si="481"/>
        <v>0</v>
      </c>
      <c r="AA147" s="129">
        <f t="shared" si="481"/>
        <v>0</v>
      </c>
      <c r="AB147" s="129">
        <f t="shared" si="481"/>
        <v>0</v>
      </c>
      <c r="AC147" s="129">
        <f t="shared" si="481"/>
        <v>0</v>
      </c>
      <c r="AD147" s="129">
        <f t="shared" si="481"/>
        <v>0</v>
      </c>
      <c r="AE147" s="129">
        <f t="shared" si="481"/>
        <v>0</v>
      </c>
      <c r="AF147" s="129">
        <f t="shared" si="481"/>
        <v>0</v>
      </c>
      <c r="AG147" s="116" t="e">
        <f t="shared" si="317"/>
        <v>#DIV/0!</v>
      </c>
      <c r="AH147" s="10"/>
      <c r="AI147" s="10"/>
    </row>
    <row r="148" spans="2:35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10"/>
      <c r="V148" s="10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10"/>
      <c r="AH148" s="10"/>
      <c r="AI148" s="10"/>
    </row>
    <row r="149" spans="2:35">
      <c r="B149" s="10" t="s">
        <v>299</v>
      </c>
      <c r="C149" s="10"/>
      <c r="D149" s="10"/>
      <c r="E149" s="10"/>
      <c r="F149" s="129"/>
      <c r="G149" s="129">
        <f t="shared" ref="G149" si="482">G27/G25</f>
        <v>0.24687499999999998</v>
      </c>
      <c r="H149" s="129">
        <f t="shared" ref="H149:I149" si="483">H27/H25</f>
        <v>0.24687499999999998</v>
      </c>
      <c r="I149" s="129">
        <f t="shared" si="483"/>
        <v>0.36332179930795849</v>
      </c>
      <c r="J149" s="129">
        <f t="shared" ref="J149:T149" si="484">J27/J25</f>
        <v>0.52791878172588835</v>
      </c>
      <c r="K149" s="129">
        <f t="shared" si="484"/>
        <v>0.58288450029922201</v>
      </c>
      <c r="L149" s="129">
        <f t="shared" si="484"/>
        <v>0.6119770303527482</v>
      </c>
      <c r="M149" s="129">
        <f t="shared" si="484"/>
        <v>0.83769100169779287</v>
      </c>
      <c r="N149" s="129">
        <f t="shared" si="484"/>
        <v>0.84394426580921755</v>
      </c>
      <c r="O149" s="129">
        <f t="shared" si="484"/>
        <v>0.86362367392518147</v>
      </c>
      <c r="P149" s="129">
        <f t="shared" si="484"/>
        <v>0.86378389697413882</v>
      </c>
      <c r="Q149" s="129">
        <f t="shared" si="484"/>
        <v>0.86233122543155016</v>
      </c>
      <c r="R149" s="129">
        <f t="shared" si="484"/>
        <v>0.85336662016300757</v>
      </c>
      <c r="S149" s="129">
        <f t="shared" si="484"/>
        <v>0.84448407329971709</v>
      </c>
      <c r="T149" s="129">
        <f t="shared" si="484"/>
        <v>0.83819397345218483</v>
      </c>
      <c r="U149" s="101">
        <f t="shared" si="422"/>
        <v>9.8590794184507446E-2</v>
      </c>
      <c r="V149" s="10"/>
      <c r="W149" s="129">
        <f t="shared" ref="W149:AF149" si="485">W27/W25</f>
        <v>0.83819397345218483</v>
      </c>
      <c r="X149" s="129">
        <f t="shared" si="485"/>
        <v>0.83819397345218483</v>
      </c>
      <c r="Y149" s="129">
        <f t="shared" si="485"/>
        <v>0.83819397345218472</v>
      </c>
      <c r="Z149" s="129">
        <f t="shared" si="485"/>
        <v>0.83819397345218472</v>
      </c>
      <c r="AA149" s="129">
        <f t="shared" si="485"/>
        <v>0.8381939734521846</v>
      </c>
      <c r="AB149" s="129">
        <f t="shared" si="485"/>
        <v>0.83819397345218472</v>
      </c>
      <c r="AC149" s="129">
        <f t="shared" si="485"/>
        <v>0.8381939734521846</v>
      </c>
      <c r="AD149" s="129">
        <f t="shared" si="485"/>
        <v>0.8381939734521846</v>
      </c>
      <c r="AE149" s="129">
        <f t="shared" si="485"/>
        <v>0.8381939734521846</v>
      </c>
      <c r="AF149" s="129">
        <f t="shared" si="485"/>
        <v>0.8381939734521846</v>
      </c>
      <c r="AG149" s="116">
        <f t="shared" si="317"/>
        <v>2.0303680057115248E-2</v>
      </c>
      <c r="AH149" s="10"/>
      <c r="AI149" s="10"/>
    </row>
    <row r="150" spans="2:35">
      <c r="B150" s="10" t="str">
        <f>B33</f>
        <v>Top Expenses ( Raw material )</v>
      </c>
      <c r="C150" s="10"/>
      <c r="D150" s="10"/>
      <c r="E150" s="10"/>
      <c r="F150" s="129"/>
      <c r="G150" s="129">
        <f t="shared" ref="G150" si="486">G33/G25</f>
        <v>0.25</v>
      </c>
      <c r="H150" s="129">
        <f t="shared" ref="H150:I150" si="487">H33/H25</f>
        <v>0.25</v>
      </c>
      <c r="I150" s="129">
        <f t="shared" si="487"/>
        <v>0.36332179930795849</v>
      </c>
      <c r="J150" s="129">
        <f t="shared" ref="J150:T150" si="488">J33/J25</f>
        <v>0.52791878172588835</v>
      </c>
      <c r="K150" s="129">
        <f t="shared" si="488"/>
        <v>0.58288450029922201</v>
      </c>
      <c r="L150" s="129">
        <f t="shared" si="488"/>
        <v>0.6119770303527482</v>
      </c>
      <c r="M150" s="129">
        <f t="shared" si="488"/>
        <v>0.5368421052631579</v>
      </c>
      <c r="N150" s="129">
        <f t="shared" si="488"/>
        <v>0.5989281886387996</v>
      </c>
      <c r="O150" s="129">
        <f t="shared" si="488"/>
        <v>0.65480178671133449</v>
      </c>
      <c r="P150" s="129">
        <f t="shared" si="488"/>
        <v>0.63605905140822949</v>
      </c>
      <c r="Q150" s="129">
        <f t="shared" si="488"/>
        <v>0.62083404546231413</v>
      </c>
      <c r="R150" s="129">
        <f t="shared" si="488"/>
        <v>0.59350906821352523</v>
      </c>
      <c r="S150" s="129">
        <f t="shared" si="488"/>
        <v>0.55128520477186083</v>
      </c>
      <c r="T150" s="129">
        <f t="shared" si="488"/>
        <v>0.51477570002906692</v>
      </c>
      <c r="U150" s="101">
        <f t="shared" si="422"/>
        <v>5.7131658724626222E-2</v>
      </c>
      <c r="V150" s="10"/>
      <c r="W150" s="129">
        <f t="shared" ref="W150:AF150" si="489">W33/W25</f>
        <v>0.51477570002906692</v>
      </c>
      <c r="X150" s="129">
        <f t="shared" si="489"/>
        <v>0.51477570002906692</v>
      </c>
      <c r="Y150" s="129">
        <f t="shared" si="489"/>
        <v>0.51477570002906692</v>
      </c>
      <c r="Z150" s="129">
        <f t="shared" si="489"/>
        <v>0.51477570002906681</v>
      </c>
      <c r="AA150" s="129">
        <f t="shared" si="489"/>
        <v>0.51477570002906681</v>
      </c>
      <c r="AB150" s="129">
        <f t="shared" si="489"/>
        <v>0.51477570002906681</v>
      </c>
      <c r="AC150" s="129">
        <f t="shared" si="489"/>
        <v>0.5147757000290667</v>
      </c>
      <c r="AD150" s="129">
        <f t="shared" si="489"/>
        <v>0.51477570002906681</v>
      </c>
      <c r="AE150" s="129">
        <f t="shared" si="489"/>
        <v>0.5147757000290667</v>
      </c>
      <c r="AF150" s="129">
        <f t="shared" si="489"/>
        <v>0.5147757000290667</v>
      </c>
      <c r="AG150" s="116">
        <f t="shared" si="317"/>
        <v>-1.0955376129926364E-3</v>
      </c>
      <c r="AH150" s="10"/>
      <c r="AI150" s="10"/>
    </row>
    <row r="151" spans="2:35">
      <c r="B151" s="10" t="str">
        <f>B34</f>
        <v>2nd highest Expenses Comp. ( Power and Fuel )</v>
      </c>
      <c r="C151" s="10"/>
      <c r="D151" s="10"/>
      <c r="E151" s="10"/>
      <c r="F151" s="129"/>
      <c r="G151" s="129">
        <f t="shared" ref="G151" si="490">G34/G25</f>
        <v>0.4375</v>
      </c>
      <c r="H151" s="129">
        <f t="shared" ref="H151:I151" si="491">H34/H25</f>
        <v>0.4375</v>
      </c>
      <c r="I151" s="129">
        <f t="shared" si="491"/>
        <v>0.17301038062283736</v>
      </c>
      <c r="J151" s="129">
        <f t="shared" ref="J151:T151" si="492">J34/J25</f>
        <v>0.14974619289340102</v>
      </c>
      <c r="K151" s="129">
        <f t="shared" si="492"/>
        <v>0.12088569718731298</v>
      </c>
      <c r="L151" s="129">
        <f t="shared" si="492"/>
        <v>8.9417555373256769E-2</v>
      </c>
      <c r="M151" s="129">
        <f t="shared" si="492"/>
        <v>8.7266553480475378E-2</v>
      </c>
      <c r="N151" s="129">
        <f t="shared" si="492"/>
        <v>7.7599142550911035E-2</v>
      </c>
      <c r="O151" s="129">
        <f t="shared" si="492"/>
        <v>6.6303740926856508E-2</v>
      </c>
      <c r="P151" s="129">
        <f t="shared" si="492"/>
        <v>6.8579206365825568E-2</v>
      </c>
      <c r="Q151" s="129">
        <f t="shared" si="492"/>
        <v>6.7168005469150568E-2</v>
      </c>
      <c r="R151" s="129">
        <f t="shared" si="492"/>
        <v>7.2398854541449439E-2</v>
      </c>
      <c r="S151" s="129">
        <f t="shared" si="492"/>
        <v>8.1109334645185091E-2</v>
      </c>
      <c r="T151" s="129">
        <f t="shared" si="492"/>
        <v>8.9150276136033324E-2</v>
      </c>
      <c r="U151" s="101">
        <f t="shared" si="422"/>
        <v>-0.11517521417778842</v>
      </c>
      <c r="V151" s="10"/>
      <c r="W151" s="129">
        <f t="shared" ref="W151:AF151" si="493">W34/W25</f>
        <v>8.9150276136033324E-2</v>
      </c>
      <c r="X151" s="129">
        <f t="shared" si="493"/>
        <v>8.9150276136033324E-2</v>
      </c>
      <c r="Y151" s="129">
        <f t="shared" si="493"/>
        <v>8.9150276136033324E-2</v>
      </c>
      <c r="Z151" s="129">
        <f t="shared" si="493"/>
        <v>8.915027613603331E-2</v>
      </c>
      <c r="AA151" s="129">
        <f t="shared" si="493"/>
        <v>8.9150276136033296E-2</v>
      </c>
      <c r="AB151" s="129">
        <f t="shared" si="493"/>
        <v>8.9150276136033296E-2</v>
      </c>
      <c r="AC151" s="129">
        <f t="shared" si="493"/>
        <v>8.9150276136033282E-2</v>
      </c>
      <c r="AD151" s="129">
        <f t="shared" si="493"/>
        <v>8.9150276136033296E-2</v>
      </c>
      <c r="AE151" s="129">
        <f t="shared" si="493"/>
        <v>8.9150276136033296E-2</v>
      </c>
      <c r="AF151" s="129">
        <f t="shared" si="493"/>
        <v>8.9150276136033282E-2</v>
      </c>
      <c r="AG151" s="116">
        <f t="shared" si="317"/>
        <v>-2.2296304670960887E-2</v>
      </c>
      <c r="AH151" s="10"/>
      <c r="AI151" s="10"/>
    </row>
    <row r="152" spans="2:35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10"/>
      <c r="V152" s="110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17"/>
      <c r="AH152" s="10"/>
      <c r="AI152" s="10"/>
    </row>
    <row r="153" spans="2:35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01" t="e">
        <f t="shared" si="422"/>
        <v>#DIV/0!</v>
      </c>
      <c r="V153" s="110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16"/>
      <c r="AH153" s="10"/>
      <c r="AI153" s="10"/>
    </row>
    <row r="154" spans="2:35">
      <c r="B154" s="10" t="s">
        <v>310</v>
      </c>
      <c r="C154" s="10"/>
      <c r="D154" s="10"/>
      <c r="E154" s="10"/>
      <c r="F154" s="15"/>
      <c r="G154" s="15" t="e">
        <f t="shared" ref="G154" si="494">G15/G9</f>
        <v>#DIV/0!</v>
      </c>
      <c r="H154" s="15" t="e">
        <f t="shared" ref="H154:I154" si="495">H15/H9</f>
        <v>#DIV/0!</v>
      </c>
      <c r="I154" s="15" t="e">
        <f t="shared" si="495"/>
        <v>#DIV/0!</v>
      </c>
      <c r="J154" s="15" t="e">
        <f t="shared" ref="J154:T154" si="496">J15/J9</f>
        <v>#DIV/0!</v>
      </c>
      <c r="K154" s="15" t="e">
        <f t="shared" si="496"/>
        <v>#DIV/0!</v>
      </c>
      <c r="L154" s="15" t="e">
        <f t="shared" si="496"/>
        <v>#DIV/0!</v>
      </c>
      <c r="M154" s="15" t="e">
        <f t="shared" si="496"/>
        <v>#DIV/0!</v>
      </c>
      <c r="N154" s="15" t="e">
        <f t="shared" si="496"/>
        <v>#DIV/0!</v>
      </c>
      <c r="O154" s="15" t="e">
        <f t="shared" si="496"/>
        <v>#DIV/0!</v>
      </c>
      <c r="P154" s="15" t="e">
        <f t="shared" si="496"/>
        <v>#DIV/0!</v>
      </c>
      <c r="Q154" s="15" t="e">
        <f t="shared" si="496"/>
        <v>#DIV/0!</v>
      </c>
      <c r="R154" s="15" t="e">
        <f t="shared" si="496"/>
        <v>#DIV/0!</v>
      </c>
      <c r="S154" s="15" t="e">
        <f t="shared" si="496"/>
        <v>#DIV/0!</v>
      </c>
      <c r="T154" s="15" t="e">
        <f t="shared" si="496"/>
        <v>#VALUE!</v>
      </c>
      <c r="U154" s="101" t="e">
        <f t="shared" si="422"/>
        <v>#VALUE!</v>
      </c>
      <c r="V154" s="10"/>
      <c r="W154" s="10" t="e">
        <f t="shared" ref="W154:AF154" si="497">W15/W9</f>
        <v>#VALUE!</v>
      </c>
      <c r="X154" s="10" t="e">
        <f t="shared" si="497"/>
        <v>#VALUE!</v>
      </c>
      <c r="Y154" s="10" t="e">
        <f t="shared" si="497"/>
        <v>#VALUE!</v>
      </c>
      <c r="Z154" s="10" t="e">
        <f t="shared" si="497"/>
        <v>#VALUE!</v>
      </c>
      <c r="AA154" s="10" t="e">
        <f t="shared" si="497"/>
        <v>#VALUE!</v>
      </c>
      <c r="AB154" s="10" t="e">
        <f t="shared" si="497"/>
        <v>#VALUE!</v>
      </c>
      <c r="AC154" s="10" t="e">
        <f t="shared" si="497"/>
        <v>#VALUE!</v>
      </c>
      <c r="AD154" s="10" t="e">
        <f t="shared" si="497"/>
        <v>#VALUE!</v>
      </c>
      <c r="AE154" s="10" t="e">
        <f t="shared" si="497"/>
        <v>#VALUE!</v>
      </c>
      <c r="AF154" s="10" t="e">
        <f t="shared" si="497"/>
        <v>#VALUE!</v>
      </c>
      <c r="AG154" s="116" t="e">
        <f t="shared" si="317"/>
        <v>#VALUE!</v>
      </c>
      <c r="AH154" s="10"/>
      <c r="AI154" s="10"/>
    </row>
    <row r="155" spans="2:35">
      <c r="B155" s="10" t="s">
        <v>300</v>
      </c>
      <c r="C155" s="10"/>
      <c r="D155" s="10"/>
      <c r="E155" s="10"/>
      <c r="F155" s="15"/>
      <c r="G155" s="15" t="e">
        <f t="shared" ref="G155" si="498">G12/G9</f>
        <v>#DIV/0!</v>
      </c>
      <c r="H155" s="15" t="e">
        <f t="shared" ref="H155:I155" si="499">H12/H9</f>
        <v>#DIV/0!</v>
      </c>
      <c r="I155" s="15" t="e">
        <f t="shared" si="499"/>
        <v>#DIV/0!</v>
      </c>
      <c r="J155" s="15" t="e">
        <f t="shared" ref="J155:T155" si="500">J12/J9</f>
        <v>#DIV/0!</v>
      </c>
      <c r="K155" s="15" t="e">
        <f t="shared" si="500"/>
        <v>#DIV/0!</v>
      </c>
      <c r="L155" s="15" t="e">
        <f t="shared" si="500"/>
        <v>#DIV/0!</v>
      </c>
      <c r="M155" s="15" t="e">
        <f t="shared" si="500"/>
        <v>#DIV/0!</v>
      </c>
      <c r="N155" s="15" t="e">
        <f t="shared" si="500"/>
        <v>#DIV/0!</v>
      </c>
      <c r="O155" s="15" t="e">
        <f t="shared" si="500"/>
        <v>#DIV/0!</v>
      </c>
      <c r="P155" s="15" t="e">
        <f t="shared" si="500"/>
        <v>#DIV/0!</v>
      </c>
      <c r="Q155" s="15" t="e">
        <f t="shared" si="500"/>
        <v>#DIV/0!</v>
      </c>
      <c r="R155" s="15" t="e">
        <f t="shared" si="500"/>
        <v>#DIV/0!</v>
      </c>
      <c r="S155" s="15" t="e">
        <f t="shared" si="500"/>
        <v>#DIV/0!</v>
      </c>
      <c r="T155" s="15" t="e">
        <f t="shared" si="500"/>
        <v>#VALUE!</v>
      </c>
      <c r="U155" s="101" t="e">
        <f t="shared" si="422"/>
        <v>#VALUE!</v>
      </c>
      <c r="V155" s="110"/>
      <c r="W155" s="10" t="e">
        <f t="shared" ref="W155:AF155" si="501">W12/W9</f>
        <v>#VALUE!</v>
      </c>
      <c r="X155" s="10" t="e">
        <f t="shared" si="501"/>
        <v>#VALUE!</v>
      </c>
      <c r="Y155" s="10" t="e">
        <f t="shared" si="501"/>
        <v>#VALUE!</v>
      </c>
      <c r="Z155" s="10" t="e">
        <f t="shared" si="501"/>
        <v>#VALUE!</v>
      </c>
      <c r="AA155" s="10" t="e">
        <f t="shared" si="501"/>
        <v>#VALUE!</v>
      </c>
      <c r="AB155" s="10" t="e">
        <f t="shared" si="501"/>
        <v>#VALUE!</v>
      </c>
      <c r="AC155" s="10" t="e">
        <f t="shared" si="501"/>
        <v>#VALUE!</v>
      </c>
      <c r="AD155" s="10" t="e">
        <f t="shared" si="501"/>
        <v>#VALUE!</v>
      </c>
      <c r="AE155" s="10" t="e">
        <f t="shared" si="501"/>
        <v>#VALUE!</v>
      </c>
      <c r="AF155" s="10" t="e">
        <f t="shared" si="501"/>
        <v>#VALUE!</v>
      </c>
      <c r="AG155" s="101" t="e">
        <f t="shared" ref="AG155" si="502">((AF155/W155)^(1/($K$2-$K$1) ))-1</f>
        <v>#VALUE!</v>
      </c>
      <c r="AH155" s="10"/>
      <c r="AI155" s="10"/>
    </row>
    <row r="156" spans="2:35">
      <c r="B156" s="10" t="s">
        <v>302</v>
      </c>
      <c r="C156" s="10"/>
      <c r="D156" s="10"/>
      <c r="E156" s="10"/>
      <c r="F156" s="15"/>
      <c r="G156" s="15">
        <f t="shared" ref="G156" si="503">G25/360</f>
        <v>0.13333333333333333</v>
      </c>
      <c r="H156" s="15">
        <f t="shared" ref="H156:I156" si="504">H25/360</f>
        <v>0.13333333333333333</v>
      </c>
      <c r="I156" s="15">
        <f t="shared" si="504"/>
        <v>0.80277777777777781</v>
      </c>
      <c r="J156" s="15">
        <f t="shared" ref="J156:T156" si="505">J25/360</f>
        <v>2.1888888888888891</v>
      </c>
      <c r="K156" s="15">
        <f t="shared" si="505"/>
        <v>4.6416666666666666</v>
      </c>
      <c r="L156" s="15">
        <f t="shared" si="505"/>
        <v>6.7722222222222221</v>
      </c>
      <c r="M156" s="15">
        <f t="shared" si="505"/>
        <v>8.1805555555555554</v>
      </c>
      <c r="N156" s="15">
        <f t="shared" si="505"/>
        <v>12.958333333333334</v>
      </c>
      <c r="O156" s="15">
        <f t="shared" si="505"/>
        <v>19.899999999999999</v>
      </c>
      <c r="P156" s="15">
        <f t="shared" si="505"/>
        <v>26.530555555555555</v>
      </c>
      <c r="Q156" s="15">
        <f t="shared" si="505"/>
        <v>32.505555555555553</v>
      </c>
      <c r="R156" s="15">
        <f t="shared" si="505"/>
        <v>37.830555555555556</v>
      </c>
      <c r="S156" s="15">
        <f t="shared" si="505"/>
        <v>45.172222222222224</v>
      </c>
      <c r="T156" s="15">
        <f t="shared" si="505"/>
        <v>57.338888888888889</v>
      </c>
      <c r="U156" s="101">
        <f t="shared" si="422"/>
        <v>0.59432822102920024</v>
      </c>
      <c r="V156" s="110"/>
      <c r="W156" s="15">
        <f t="shared" ref="W156:AF156" si="506">W25/360</f>
        <v>65.939722222222215</v>
      </c>
      <c r="X156" s="15">
        <f t="shared" si="506"/>
        <v>75.830680555555546</v>
      </c>
      <c r="Y156" s="15">
        <f t="shared" si="506"/>
        <v>87.205282638888875</v>
      </c>
      <c r="Z156" s="15">
        <f t="shared" si="506"/>
        <v>100.2860750347222</v>
      </c>
      <c r="AA156" s="15">
        <f t="shared" si="506"/>
        <v>115.32898628993054</v>
      </c>
      <c r="AB156" s="15">
        <f t="shared" si="506"/>
        <v>132.62833423342011</v>
      </c>
      <c r="AC156" s="15">
        <f t="shared" si="506"/>
        <v>152.52258436843312</v>
      </c>
      <c r="AD156" s="15">
        <f t="shared" si="506"/>
        <v>175.40097202369807</v>
      </c>
      <c r="AE156" s="15">
        <f t="shared" si="506"/>
        <v>201.71111782725279</v>
      </c>
      <c r="AF156" s="15">
        <f t="shared" si="506"/>
        <v>231.9677855013407</v>
      </c>
      <c r="AG156" s="101">
        <f t="shared" ref="AG156:AG167" si="507">((AF156/W156)^(1/($K$2-$K$1) ))-1</f>
        <v>0.10159405067751703</v>
      </c>
      <c r="AH156" s="10"/>
      <c r="AI156" s="10"/>
    </row>
    <row r="157" spans="2:35">
      <c r="B157" s="10" t="s">
        <v>301</v>
      </c>
      <c r="C157" s="10"/>
      <c r="D157" s="10"/>
      <c r="E157" s="10"/>
      <c r="F157" s="15"/>
      <c r="G157" s="15">
        <f t="shared" ref="G157" si="508">G27/360</f>
        <v>3.2916666666666664E-2</v>
      </c>
      <c r="H157" s="15">
        <f t="shared" ref="H157:I157" si="509">H27/360</f>
        <v>3.2916666666666664E-2</v>
      </c>
      <c r="I157" s="15">
        <f t="shared" si="509"/>
        <v>0.29166666666666669</v>
      </c>
      <c r="J157" s="15">
        <f t="shared" ref="J157:T157" si="510">J27/360</f>
        <v>1.1555555555555554</v>
      </c>
      <c r="K157" s="15">
        <f t="shared" si="510"/>
        <v>2.7055555555555557</v>
      </c>
      <c r="L157" s="15">
        <f t="shared" si="510"/>
        <v>4.1444444444444448</v>
      </c>
      <c r="M157" s="15">
        <f t="shared" si="510"/>
        <v>6.8527777777777779</v>
      </c>
      <c r="N157" s="15">
        <f t="shared" si="510"/>
        <v>10.936111111111112</v>
      </c>
      <c r="O157" s="15">
        <f t="shared" si="510"/>
        <v>17.18611111111111</v>
      </c>
      <c r="P157" s="15">
        <f t="shared" si="510"/>
        <v>22.916666666666668</v>
      </c>
      <c r="Q157" s="15">
        <f t="shared" si="510"/>
        <v>28.030555555555555</v>
      </c>
      <c r="R157" s="15">
        <f t="shared" si="510"/>
        <v>32.283333333333331</v>
      </c>
      <c r="S157" s="15">
        <f t="shared" si="510"/>
        <v>38.147222222222226</v>
      </c>
      <c r="T157" s="15">
        <f t="shared" si="510"/>
        <v>48.06111111111111</v>
      </c>
      <c r="U157" s="101">
        <f t="shared" si="422"/>
        <v>0.75151430653124196</v>
      </c>
      <c r="V157" s="110"/>
      <c r="W157" s="15">
        <f t="shared" ref="W157:AF157" si="511">W27/360</f>
        <v>55.270277777777778</v>
      </c>
      <c r="X157" s="15">
        <f t="shared" si="511"/>
        <v>63.560819444444434</v>
      </c>
      <c r="Y157" s="15">
        <f t="shared" si="511"/>
        <v>73.094942361111094</v>
      </c>
      <c r="Z157" s="15">
        <f t="shared" si="511"/>
        <v>84.05918371527774</v>
      </c>
      <c r="AA157" s="15">
        <f t="shared" si="511"/>
        <v>96.668061272569403</v>
      </c>
      <c r="AB157" s="15">
        <f t="shared" si="511"/>
        <v>111.16827046345482</v>
      </c>
      <c r="AC157" s="15">
        <f t="shared" si="511"/>
        <v>127.84351103297301</v>
      </c>
      <c r="AD157" s="15">
        <f t="shared" si="511"/>
        <v>147.02003768791897</v>
      </c>
      <c r="AE157" s="15">
        <f t="shared" si="511"/>
        <v>169.0730433411068</v>
      </c>
      <c r="AF157" s="15">
        <f t="shared" si="511"/>
        <v>194.43399984227281</v>
      </c>
      <c r="AG157" s="101">
        <f t="shared" si="507"/>
        <v>0.10159405067751703</v>
      </c>
      <c r="AH157" s="10"/>
      <c r="AI157" s="10"/>
    </row>
    <row r="158" spans="2:35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10"/>
      <c r="V158" s="110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10"/>
      <c r="AH158" s="10"/>
      <c r="AI158" s="10"/>
    </row>
    <row r="159" spans="2:35">
      <c r="B159" s="10" t="s">
        <v>311</v>
      </c>
      <c r="C159" s="10"/>
      <c r="D159" s="10"/>
      <c r="E159" s="10"/>
      <c r="F159" s="15"/>
      <c r="G159" s="15">
        <f t="shared" ref="G159" si="512">G10/G7</f>
        <v>4.7557603686635943</v>
      </c>
      <c r="H159" s="15">
        <f t="shared" ref="H159:I159" si="513">H10/H7</f>
        <v>4.7557603686635943</v>
      </c>
      <c r="I159" s="15">
        <f t="shared" si="513"/>
        <v>5.90034965034965</v>
      </c>
      <c r="J159" s="15">
        <f t="shared" ref="J159:T159" si="514">J10/J7</f>
        <v>11.546378653113088</v>
      </c>
      <c r="K159" s="15">
        <f t="shared" si="514"/>
        <v>10.810462471569371</v>
      </c>
      <c r="L159" s="15">
        <f t="shared" si="514"/>
        <v>11.304187192118226</v>
      </c>
      <c r="M159" s="15">
        <f t="shared" si="514"/>
        <v>10.212690191000323</v>
      </c>
      <c r="N159" s="15">
        <f t="shared" si="514"/>
        <v>13.871639430680021</v>
      </c>
      <c r="O159" s="15">
        <f t="shared" si="514"/>
        <v>13.538922155688622</v>
      </c>
      <c r="P159" s="15">
        <f t="shared" si="514"/>
        <v>15.132942999827794</v>
      </c>
      <c r="Q159" s="15">
        <f t="shared" si="514"/>
        <v>13.422206605762474</v>
      </c>
      <c r="R159" s="15">
        <f t="shared" si="514"/>
        <v>10.062494642091727</v>
      </c>
      <c r="S159" s="15">
        <f t="shared" si="514"/>
        <v>10.417308530736811</v>
      </c>
      <c r="T159" s="15">
        <f t="shared" si="514"/>
        <v>8.2337724034665811</v>
      </c>
      <c r="U159" s="101">
        <f t="shared" si="422"/>
        <v>4.3126162584131933E-2</v>
      </c>
      <c r="V159" s="110"/>
      <c r="W159" s="15">
        <f t="shared" ref="W159:AF159" si="515">W10/W7</f>
        <v>8.2337724034665811</v>
      </c>
      <c r="X159" s="15">
        <f t="shared" si="515"/>
        <v>8.2337724034665811</v>
      </c>
      <c r="Y159" s="15">
        <f t="shared" si="515"/>
        <v>8.2337724034665811</v>
      </c>
      <c r="Z159" s="15">
        <f t="shared" si="515"/>
        <v>8.2337724034665793</v>
      </c>
      <c r="AA159" s="15">
        <f t="shared" si="515"/>
        <v>8.2337724034665793</v>
      </c>
      <c r="AB159" s="15">
        <f t="shared" si="515"/>
        <v>8.2337724034665793</v>
      </c>
      <c r="AC159" s="15">
        <f t="shared" si="515"/>
        <v>8.2337724034665793</v>
      </c>
      <c r="AD159" s="15">
        <f t="shared" si="515"/>
        <v>8.2337724034665811</v>
      </c>
      <c r="AE159" s="15">
        <f t="shared" si="515"/>
        <v>8.2337724034665793</v>
      </c>
      <c r="AF159" s="15">
        <f t="shared" si="515"/>
        <v>8.2337724034665811</v>
      </c>
      <c r="AG159" s="101">
        <f t="shared" si="507"/>
        <v>0</v>
      </c>
      <c r="AH159" s="10"/>
      <c r="AI159" s="10"/>
    </row>
    <row r="160" spans="2:35">
      <c r="B160" s="10" t="s">
        <v>303</v>
      </c>
      <c r="C160" s="10"/>
      <c r="D160" s="10"/>
      <c r="E160" s="10"/>
      <c r="F160" s="15"/>
      <c r="G160" s="15">
        <f t="shared" ref="G160" si="516">G10/(G10+G7)</f>
        <v>0.82626100880704567</v>
      </c>
      <c r="H160" s="15">
        <f t="shared" ref="H160:I160" si="517">H10/(H10+H7)</f>
        <v>0.82626100880704567</v>
      </c>
      <c r="I160" s="15">
        <f t="shared" si="517"/>
        <v>0.85507980744869516</v>
      </c>
      <c r="J160" s="15">
        <f t="shared" ref="J160:T160" si="518">J10/(J10+J7)</f>
        <v>0.92029572614948352</v>
      </c>
      <c r="K160" s="15">
        <f t="shared" si="518"/>
        <v>0.91532931056618305</v>
      </c>
      <c r="L160" s="15">
        <f t="shared" si="518"/>
        <v>0.91872685416875188</v>
      </c>
      <c r="M160" s="15">
        <f t="shared" si="518"/>
        <v>0.91081533664395431</v>
      </c>
      <c r="N160" s="15">
        <f t="shared" si="518"/>
        <v>0.93275791787037199</v>
      </c>
      <c r="O160" s="15">
        <f t="shared" si="518"/>
        <v>0.9312191103789127</v>
      </c>
      <c r="P160" s="15">
        <f t="shared" si="518"/>
        <v>0.93801502924725677</v>
      </c>
      <c r="Q160" s="15">
        <f t="shared" si="518"/>
        <v>0.93066248270216545</v>
      </c>
      <c r="R160" s="15">
        <f t="shared" si="518"/>
        <v>0.90960447599268468</v>
      </c>
      <c r="S160" s="15">
        <f t="shared" si="518"/>
        <v>0.91241368337311057</v>
      </c>
      <c r="T160" s="15">
        <f t="shared" si="518"/>
        <v>0.89170190077193412</v>
      </c>
      <c r="U160" s="101">
        <f t="shared" si="422"/>
        <v>5.8803889180654156E-3</v>
      </c>
      <c r="V160" s="110"/>
      <c r="W160" s="15">
        <f t="shared" ref="W160:AF160" si="519">W10/(W10+W7)</f>
        <v>0.89170190077193412</v>
      </c>
      <c r="X160" s="15">
        <f t="shared" si="519"/>
        <v>0.89170190077193412</v>
      </c>
      <c r="Y160" s="15">
        <f t="shared" si="519"/>
        <v>0.89170190077193423</v>
      </c>
      <c r="Z160" s="15">
        <f t="shared" si="519"/>
        <v>0.89170190077193401</v>
      </c>
      <c r="AA160" s="15">
        <f t="shared" si="519"/>
        <v>0.89170190077193412</v>
      </c>
      <c r="AB160" s="15">
        <f t="shared" si="519"/>
        <v>0.89170190077193412</v>
      </c>
      <c r="AC160" s="15">
        <f t="shared" si="519"/>
        <v>0.89170190077193412</v>
      </c>
      <c r="AD160" s="15">
        <f t="shared" si="519"/>
        <v>0.89170190077193412</v>
      </c>
      <c r="AE160" s="15">
        <f t="shared" si="519"/>
        <v>0.89170190077193412</v>
      </c>
      <c r="AF160" s="15">
        <f t="shared" si="519"/>
        <v>0.89170190077193412</v>
      </c>
      <c r="AG160" s="101">
        <f t="shared" si="507"/>
        <v>0</v>
      </c>
      <c r="AH160" s="10"/>
      <c r="AI160" s="10"/>
    </row>
    <row r="161" spans="2:35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10"/>
      <c r="V161" s="110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15"/>
      <c r="AH161" s="10"/>
      <c r="AI161" s="10"/>
    </row>
    <row r="162" spans="2:35">
      <c r="B162" s="10" t="s">
        <v>308</v>
      </c>
      <c r="C162" s="10"/>
      <c r="D162" s="10"/>
      <c r="E162" s="10"/>
      <c r="F162" s="15"/>
      <c r="G162" s="15">
        <f t="shared" ref="G162" si="520">G16</f>
        <v>0</v>
      </c>
      <c r="H162" s="15">
        <f t="shared" ref="H162:I162" si="521">H16</f>
        <v>0</v>
      </c>
      <c r="I162" s="15">
        <f t="shared" si="521"/>
        <v>0</v>
      </c>
      <c r="J162" s="15">
        <f t="shared" ref="J162:T162" si="522">J16</f>
        <v>0</v>
      </c>
      <c r="K162" s="15">
        <f t="shared" si="522"/>
        <v>0</v>
      </c>
      <c r="L162" s="15">
        <f t="shared" si="522"/>
        <v>0</v>
      </c>
      <c r="M162" s="15">
        <f t="shared" si="522"/>
        <v>0</v>
      </c>
      <c r="N162" s="15">
        <f t="shared" si="522"/>
        <v>0</v>
      </c>
      <c r="O162" s="15">
        <f t="shared" si="522"/>
        <v>0</v>
      </c>
      <c r="P162" s="15">
        <f t="shared" si="522"/>
        <v>0</v>
      </c>
      <c r="Q162" s="15">
        <f t="shared" si="522"/>
        <v>0</v>
      </c>
      <c r="R162" s="15">
        <f t="shared" si="522"/>
        <v>0</v>
      </c>
      <c r="S162" s="15">
        <f t="shared" si="522"/>
        <v>0</v>
      </c>
      <c r="T162" s="15" t="str">
        <f t="shared" si="522"/>
        <v>-</v>
      </c>
      <c r="U162" s="101" t="e">
        <f t="shared" si="422"/>
        <v>#VALUE!</v>
      </c>
      <c r="V162" s="110"/>
      <c r="W162" s="15" t="e">
        <f t="shared" ref="W162:AF162" si="523">W16</f>
        <v>#VALUE!</v>
      </c>
      <c r="X162" s="15" t="e">
        <f t="shared" si="523"/>
        <v>#VALUE!</v>
      </c>
      <c r="Y162" s="15" t="e">
        <f t="shared" si="523"/>
        <v>#VALUE!</v>
      </c>
      <c r="Z162" s="15" t="e">
        <f t="shared" si="523"/>
        <v>#VALUE!</v>
      </c>
      <c r="AA162" s="15" t="e">
        <f t="shared" si="523"/>
        <v>#VALUE!</v>
      </c>
      <c r="AB162" s="15" t="e">
        <f t="shared" si="523"/>
        <v>#VALUE!</v>
      </c>
      <c r="AC162" s="15" t="e">
        <f t="shared" si="523"/>
        <v>#VALUE!</v>
      </c>
      <c r="AD162" s="15" t="e">
        <f t="shared" si="523"/>
        <v>#VALUE!</v>
      </c>
      <c r="AE162" s="15" t="e">
        <f t="shared" si="523"/>
        <v>#VALUE!</v>
      </c>
      <c r="AF162" s="15" t="e">
        <f t="shared" si="523"/>
        <v>#VALUE!</v>
      </c>
      <c r="AG162" s="101" t="e">
        <f t="shared" si="507"/>
        <v>#VALUE!</v>
      </c>
      <c r="AH162" s="10"/>
      <c r="AI162" s="10"/>
    </row>
    <row r="163" spans="2:35">
      <c r="B163" s="10" t="s">
        <v>309</v>
      </c>
      <c r="C163" s="10"/>
      <c r="D163" s="10"/>
      <c r="E163" s="10"/>
      <c r="F163" s="102"/>
      <c r="G163" s="102">
        <f t="shared" ref="G163" si="524">G162*365/G25</f>
        <v>0</v>
      </c>
      <c r="H163" s="102">
        <f t="shared" ref="H163:I163" si="525">H162*365/H25</f>
        <v>0</v>
      </c>
      <c r="I163" s="102">
        <f t="shared" si="525"/>
        <v>0</v>
      </c>
      <c r="J163" s="102">
        <f t="shared" ref="J163:T163" si="526">J162*365/J25</f>
        <v>0</v>
      </c>
      <c r="K163" s="102">
        <f t="shared" si="526"/>
        <v>0</v>
      </c>
      <c r="L163" s="102">
        <f t="shared" si="526"/>
        <v>0</v>
      </c>
      <c r="M163" s="102">
        <f t="shared" si="526"/>
        <v>0</v>
      </c>
      <c r="N163" s="102">
        <f t="shared" si="526"/>
        <v>0</v>
      </c>
      <c r="O163" s="102">
        <f t="shared" si="526"/>
        <v>0</v>
      </c>
      <c r="P163" s="102">
        <f t="shared" si="526"/>
        <v>0</v>
      </c>
      <c r="Q163" s="102">
        <f t="shared" si="526"/>
        <v>0</v>
      </c>
      <c r="R163" s="102">
        <f t="shared" si="526"/>
        <v>0</v>
      </c>
      <c r="S163" s="102">
        <f t="shared" si="526"/>
        <v>0</v>
      </c>
      <c r="T163" s="102" t="e">
        <f t="shared" si="526"/>
        <v>#VALUE!</v>
      </c>
      <c r="U163" s="101" t="e">
        <f t="shared" si="422"/>
        <v>#VALUE!</v>
      </c>
      <c r="V163" s="110"/>
      <c r="W163" s="102" t="e">
        <f t="shared" ref="W163:AF163" si="527">W162*365/W25</f>
        <v>#VALUE!</v>
      </c>
      <c r="X163" s="102" t="e">
        <f t="shared" si="527"/>
        <v>#VALUE!</v>
      </c>
      <c r="Y163" s="102" t="e">
        <f t="shared" si="527"/>
        <v>#VALUE!</v>
      </c>
      <c r="Z163" s="102" t="e">
        <f t="shared" si="527"/>
        <v>#VALUE!</v>
      </c>
      <c r="AA163" s="102" t="e">
        <f t="shared" si="527"/>
        <v>#VALUE!</v>
      </c>
      <c r="AB163" s="102" t="e">
        <f t="shared" si="527"/>
        <v>#VALUE!</v>
      </c>
      <c r="AC163" s="102" t="e">
        <f t="shared" si="527"/>
        <v>#VALUE!</v>
      </c>
      <c r="AD163" s="102" t="e">
        <f t="shared" si="527"/>
        <v>#VALUE!</v>
      </c>
      <c r="AE163" s="102" t="e">
        <f t="shared" si="527"/>
        <v>#VALUE!</v>
      </c>
      <c r="AF163" s="102" t="e">
        <f t="shared" si="527"/>
        <v>#VALUE!</v>
      </c>
      <c r="AG163" s="101" t="e">
        <f t="shared" si="507"/>
        <v>#VALUE!</v>
      </c>
      <c r="AH163" s="10"/>
      <c r="AI163" s="10"/>
    </row>
    <row r="164" spans="2:35">
      <c r="B164" s="10" t="s">
        <v>312</v>
      </c>
      <c r="C164" s="10"/>
      <c r="D164" s="10"/>
      <c r="E164" s="10"/>
      <c r="F164" s="112"/>
      <c r="G164" s="112">
        <f t="shared" ref="G164" si="528">G98/G29</f>
        <v>0</v>
      </c>
      <c r="H164" s="112">
        <f t="shared" ref="H164:I164" si="529">H98/H29</f>
        <v>0</v>
      </c>
      <c r="I164" s="112">
        <f t="shared" si="529"/>
        <v>0</v>
      </c>
      <c r="J164" s="112">
        <f t="shared" ref="J164:T164" si="530">J98/J29</f>
        <v>0</v>
      </c>
      <c r="K164" s="112">
        <f t="shared" si="530"/>
        <v>0</v>
      </c>
      <c r="L164" s="112">
        <f t="shared" si="530"/>
        <v>0</v>
      </c>
      <c r="M164" s="112">
        <f t="shared" si="530"/>
        <v>0</v>
      </c>
      <c r="N164" s="112">
        <f t="shared" si="530"/>
        <v>0</v>
      </c>
      <c r="O164" s="112">
        <f t="shared" si="530"/>
        <v>0</v>
      </c>
      <c r="P164" s="112">
        <f t="shared" si="530"/>
        <v>0</v>
      </c>
      <c r="Q164" s="112">
        <f t="shared" si="530"/>
        <v>0</v>
      </c>
      <c r="R164" s="112">
        <f t="shared" si="530"/>
        <v>0</v>
      </c>
      <c r="S164" s="112">
        <f t="shared" si="530"/>
        <v>0</v>
      </c>
      <c r="T164" s="112" t="e">
        <f t="shared" si="530"/>
        <v>#VALUE!</v>
      </c>
      <c r="U164" s="101" t="e">
        <f t="shared" si="422"/>
        <v>#VALUE!</v>
      </c>
      <c r="V164" s="110"/>
      <c r="W164" s="112" t="e">
        <f t="shared" ref="W164:AF164" si="531">W98/W29</f>
        <v>#VALUE!</v>
      </c>
      <c r="X164" s="112" t="e">
        <f t="shared" si="531"/>
        <v>#VALUE!</v>
      </c>
      <c r="Y164" s="112" t="e">
        <f t="shared" si="531"/>
        <v>#VALUE!</v>
      </c>
      <c r="Z164" s="112" t="e">
        <f t="shared" si="531"/>
        <v>#VALUE!</v>
      </c>
      <c r="AA164" s="112" t="e">
        <f t="shared" si="531"/>
        <v>#VALUE!</v>
      </c>
      <c r="AB164" s="112" t="e">
        <f t="shared" si="531"/>
        <v>#VALUE!</v>
      </c>
      <c r="AC164" s="112" t="e">
        <f t="shared" si="531"/>
        <v>#VALUE!</v>
      </c>
      <c r="AD164" s="112" t="e">
        <f t="shared" si="531"/>
        <v>#VALUE!</v>
      </c>
      <c r="AE164" s="112" t="e">
        <f t="shared" si="531"/>
        <v>#VALUE!</v>
      </c>
      <c r="AF164" s="112" t="e">
        <f t="shared" si="531"/>
        <v>#VALUE!</v>
      </c>
      <c r="AG164" s="101" t="e">
        <f t="shared" si="507"/>
        <v>#VALUE!</v>
      </c>
      <c r="AH164" s="10"/>
      <c r="AI164" s="10"/>
    </row>
    <row r="165" spans="2:35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10"/>
      <c r="V165" s="1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15"/>
      <c r="AH165" s="10"/>
      <c r="AI165" s="10"/>
    </row>
    <row r="166" spans="2:35">
      <c r="B166" s="10" t="s">
        <v>319</v>
      </c>
      <c r="C166" s="10"/>
      <c r="D166" s="10"/>
      <c r="E166" s="10"/>
      <c r="F166" s="157"/>
      <c r="G166" s="157" t="e">
        <f t="shared" ref="G166" si="532">G25/G14</f>
        <v>#DIV/0!</v>
      </c>
      <c r="H166" s="157" t="e">
        <f t="shared" ref="H166:I166" si="533">H25/H14</f>
        <v>#DIV/0!</v>
      </c>
      <c r="I166" s="157" t="e">
        <f t="shared" si="533"/>
        <v>#DIV/0!</v>
      </c>
      <c r="J166" s="157" t="e">
        <f t="shared" ref="J166:T166" si="534">J25/J14</f>
        <v>#DIV/0!</v>
      </c>
      <c r="K166" s="157" t="e">
        <f t="shared" si="534"/>
        <v>#DIV/0!</v>
      </c>
      <c r="L166" s="157" t="e">
        <f t="shared" si="534"/>
        <v>#DIV/0!</v>
      </c>
      <c r="M166" s="157" t="e">
        <f t="shared" si="534"/>
        <v>#DIV/0!</v>
      </c>
      <c r="N166" s="157" t="e">
        <f t="shared" si="534"/>
        <v>#DIV/0!</v>
      </c>
      <c r="O166" s="157" t="e">
        <f t="shared" si="534"/>
        <v>#DIV/0!</v>
      </c>
      <c r="P166" s="157" t="e">
        <f t="shared" si="534"/>
        <v>#DIV/0!</v>
      </c>
      <c r="Q166" s="157" t="e">
        <f t="shared" si="534"/>
        <v>#DIV/0!</v>
      </c>
      <c r="R166" s="157" t="e">
        <f t="shared" si="534"/>
        <v>#DIV/0!</v>
      </c>
      <c r="S166" s="157" t="e">
        <f t="shared" si="534"/>
        <v>#DIV/0!</v>
      </c>
      <c r="T166" s="157" t="e">
        <f t="shared" si="534"/>
        <v>#VALUE!</v>
      </c>
      <c r="U166" s="101" t="e">
        <f t="shared" si="422"/>
        <v>#VALUE!</v>
      </c>
      <c r="V166" s="110"/>
      <c r="W166" s="10" t="e">
        <f t="shared" ref="W166:AF166" si="535">W25/W14</f>
        <v>#VALUE!</v>
      </c>
      <c r="X166" s="10" t="e">
        <f t="shared" si="535"/>
        <v>#VALUE!</v>
      </c>
      <c r="Y166" s="10" t="e">
        <f t="shared" si="535"/>
        <v>#VALUE!</v>
      </c>
      <c r="Z166" s="10" t="e">
        <f t="shared" si="535"/>
        <v>#VALUE!</v>
      </c>
      <c r="AA166" s="10" t="e">
        <f t="shared" si="535"/>
        <v>#VALUE!</v>
      </c>
      <c r="AB166" s="10" t="e">
        <f t="shared" si="535"/>
        <v>#VALUE!</v>
      </c>
      <c r="AC166" s="10" t="e">
        <f t="shared" si="535"/>
        <v>#VALUE!</v>
      </c>
      <c r="AD166" s="10" t="e">
        <f t="shared" si="535"/>
        <v>#VALUE!</v>
      </c>
      <c r="AE166" s="10" t="e">
        <f t="shared" si="535"/>
        <v>#VALUE!</v>
      </c>
      <c r="AF166" s="10" t="e">
        <f t="shared" si="535"/>
        <v>#VALUE!</v>
      </c>
      <c r="AG166" s="101" t="e">
        <f t="shared" si="507"/>
        <v>#VALUE!</v>
      </c>
      <c r="AH166" s="10"/>
      <c r="AI166" s="10"/>
    </row>
    <row r="167" spans="2:35">
      <c r="B167" s="10" t="s">
        <v>320</v>
      </c>
      <c r="C167" s="10"/>
      <c r="D167" s="10"/>
      <c r="E167" s="10"/>
      <c r="F167" s="157"/>
      <c r="G167" s="157" t="e">
        <f t="shared" ref="G167" si="536">G27/G14</f>
        <v>#DIV/0!</v>
      </c>
      <c r="H167" s="157" t="e">
        <f t="shared" ref="H167:I167" si="537">H27/H14</f>
        <v>#DIV/0!</v>
      </c>
      <c r="I167" s="157" t="e">
        <f t="shared" si="537"/>
        <v>#DIV/0!</v>
      </c>
      <c r="J167" s="157" t="e">
        <f t="shared" ref="J167:T167" si="538">J27/J14</f>
        <v>#DIV/0!</v>
      </c>
      <c r="K167" s="157" t="e">
        <f t="shared" si="538"/>
        <v>#DIV/0!</v>
      </c>
      <c r="L167" s="157" t="e">
        <f t="shared" si="538"/>
        <v>#DIV/0!</v>
      </c>
      <c r="M167" s="157" t="e">
        <f t="shared" si="538"/>
        <v>#DIV/0!</v>
      </c>
      <c r="N167" s="157" t="e">
        <f t="shared" si="538"/>
        <v>#DIV/0!</v>
      </c>
      <c r="O167" s="157" t="e">
        <f t="shared" si="538"/>
        <v>#DIV/0!</v>
      </c>
      <c r="P167" s="157" t="e">
        <f t="shared" si="538"/>
        <v>#DIV/0!</v>
      </c>
      <c r="Q167" s="157" t="e">
        <f t="shared" si="538"/>
        <v>#DIV/0!</v>
      </c>
      <c r="R167" s="157" t="e">
        <f t="shared" si="538"/>
        <v>#DIV/0!</v>
      </c>
      <c r="S167" s="157" t="e">
        <f t="shared" si="538"/>
        <v>#DIV/0!</v>
      </c>
      <c r="T167" s="157" t="e">
        <f t="shared" si="538"/>
        <v>#VALUE!</v>
      </c>
      <c r="U167" s="101" t="e">
        <f t="shared" si="422"/>
        <v>#VALUE!</v>
      </c>
      <c r="V167" s="110"/>
      <c r="W167" s="10" t="e">
        <f t="shared" ref="W167:AF167" si="539">W27/W14</f>
        <v>#VALUE!</v>
      </c>
      <c r="X167" s="10" t="e">
        <f t="shared" si="539"/>
        <v>#VALUE!</v>
      </c>
      <c r="Y167" s="10" t="e">
        <f t="shared" si="539"/>
        <v>#VALUE!</v>
      </c>
      <c r="Z167" s="10" t="e">
        <f t="shared" si="539"/>
        <v>#VALUE!</v>
      </c>
      <c r="AA167" s="10" t="e">
        <f t="shared" si="539"/>
        <v>#VALUE!</v>
      </c>
      <c r="AB167" s="10" t="e">
        <f t="shared" si="539"/>
        <v>#VALUE!</v>
      </c>
      <c r="AC167" s="10" t="e">
        <f t="shared" si="539"/>
        <v>#VALUE!</v>
      </c>
      <c r="AD167" s="10" t="e">
        <f t="shared" si="539"/>
        <v>#VALUE!</v>
      </c>
      <c r="AE167" s="10" t="e">
        <f t="shared" si="539"/>
        <v>#VALUE!</v>
      </c>
      <c r="AF167" s="10" t="e">
        <f t="shared" si="539"/>
        <v>#VALUE!</v>
      </c>
      <c r="AG167" s="101" t="e">
        <f t="shared" si="507"/>
        <v>#VALUE!</v>
      </c>
      <c r="AH167" s="10"/>
      <c r="AI167" s="10"/>
    </row>
    <row r="168" spans="2:35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10"/>
      <c r="V168" s="110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15"/>
      <c r="AH168" s="10"/>
      <c r="AI168" s="10"/>
    </row>
    <row r="169" spans="2:35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 t="s">
        <v>413</v>
      </c>
      <c r="U169" s="13"/>
      <c r="V169" s="13" t="s">
        <v>512</v>
      </c>
      <c r="W169" s="105" t="s">
        <v>54</v>
      </c>
      <c r="X169" s="10"/>
      <c r="Y169" s="10"/>
      <c r="Z169" s="10"/>
      <c r="AA169" s="10"/>
      <c r="AB169" s="10"/>
      <c r="AC169" s="10"/>
      <c r="AD169" s="10"/>
      <c r="AE169" s="10"/>
      <c r="AF169" s="10"/>
      <c r="AG169" s="115"/>
      <c r="AH169" s="10"/>
      <c r="AI169" s="10"/>
    </row>
    <row r="170" spans="2:35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5"/>
      <c r="T170" s="112">
        <f>AVERAGE(P102:T102)</f>
        <v>47.22563540753724</v>
      </c>
      <c r="U170" s="137">
        <f>AVERAGE(G72:T72)</f>
        <v>24.766955297297347</v>
      </c>
      <c r="V170" s="137">
        <f>AVERAGE(G102:T102)</f>
        <v>21.290675472643045</v>
      </c>
      <c r="W170" s="170" t="s">
        <v>374</v>
      </c>
      <c r="X170" s="171" t="s">
        <v>375</v>
      </c>
      <c r="Y170" s="10"/>
      <c r="Z170" s="10"/>
      <c r="AA170" s="10"/>
      <c r="AB170" s="10"/>
      <c r="AC170" s="10"/>
      <c r="AD170" s="10"/>
      <c r="AE170" s="10"/>
      <c r="AF170" s="10"/>
      <c r="AG170" s="115"/>
      <c r="AH170" s="10"/>
      <c r="AI170" s="10"/>
    </row>
    <row r="171" spans="2:35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8">
        <f>W171+X171</f>
        <v>64.530073479576856</v>
      </c>
      <c r="W171" s="112">
        <f>PV($C$1, ($AF$3-$W$3), 0, -AF72)</f>
        <v>8.9918954848590698</v>
      </c>
      <c r="X171" s="112">
        <f>PV($C$1, ($AF$3-$W$3), 0, -AI72)</f>
        <v>55.538177994717792</v>
      </c>
      <c r="Y171" s="10"/>
      <c r="Z171" s="10"/>
      <c r="AA171" s="10"/>
      <c r="AB171" s="10"/>
      <c r="AC171" s="10"/>
      <c r="AD171" s="10"/>
      <c r="AE171" s="10"/>
      <c r="AF171" s="10"/>
      <c r="AG171" s="115"/>
      <c r="AH171" s="10"/>
      <c r="AI171" s="10"/>
    </row>
    <row r="172" spans="2:35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8">
        <f t="shared" ref="V172:V190" si="540">W172+X172</f>
        <v>425.81590693597525</v>
      </c>
      <c r="W172" s="112">
        <f>PV($C$1, ($AF$3-$W$3), 0, -AF74)</f>
        <v>59.335003425504745</v>
      </c>
      <c r="X172" s="112">
        <f>PV($C$1, ($AF$3-$W$3), 0, -AI74)</f>
        <v>366.48090351047051</v>
      </c>
      <c r="Y172" s="10"/>
      <c r="Z172" s="10"/>
      <c r="AA172" s="10"/>
      <c r="AB172" s="10"/>
      <c r="AC172" s="10"/>
      <c r="AD172" s="10"/>
      <c r="AE172" s="10"/>
      <c r="AF172" s="10"/>
      <c r="AG172" s="115"/>
      <c r="AH172" s="10"/>
      <c r="AI172" s="10"/>
    </row>
    <row r="173" spans="2:35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8">
        <f t="shared" si="540"/>
        <v>417.00552290934951</v>
      </c>
      <c r="W173" s="112">
        <f>PV($C$1, ($AF$3-$W$3), 0, -AF75)</f>
        <v>58.107326962778203</v>
      </c>
      <c r="X173" s="112">
        <f>PV($C$1, ($AF$3-$W$3), 0, -AI75)</f>
        <v>358.89819594657132</v>
      </c>
      <c r="Y173" s="10"/>
      <c r="Z173" s="10"/>
      <c r="AA173" s="10"/>
      <c r="AB173" s="10"/>
      <c r="AC173" s="10"/>
      <c r="AD173" s="10"/>
      <c r="AE173" s="10"/>
      <c r="AF173" s="10"/>
      <c r="AG173" s="115"/>
      <c r="AH173" s="10"/>
      <c r="AI173" s="10"/>
    </row>
    <row r="174" spans="2:35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8">
        <f t="shared" si="540"/>
        <v>3506.0712634865267</v>
      </c>
      <c r="W174" s="112">
        <f>PV($C$1, ($AF$3-$W$3), 0, -AF76)</f>
        <v>488.550913764516</v>
      </c>
      <c r="X174" s="112">
        <f>PV($C$1, ($AF$3-$W$3), 0, -AI76)</f>
        <v>3017.5203497220109</v>
      </c>
      <c r="Y174" s="10"/>
      <c r="Z174" s="10"/>
      <c r="AA174" s="10"/>
      <c r="AB174" s="10"/>
      <c r="AC174" s="10"/>
      <c r="AD174" s="10"/>
      <c r="AE174" s="10"/>
      <c r="AF174" s="10"/>
      <c r="AG174" s="115"/>
      <c r="AH174" s="10"/>
      <c r="AI174" s="10"/>
    </row>
    <row r="175" spans="2:35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8" t="e">
        <f t="shared" si="540"/>
        <v>#VALUE!</v>
      </c>
      <c r="W175" s="112" t="e">
        <f>PV($C$1, ($AF$3-$W$3), 0, -AF82)</f>
        <v>#VALUE!</v>
      </c>
      <c r="X175" s="112" t="e">
        <f>PV($C$1, ($AF$3-$W$3), 0, -AI82)</f>
        <v>#VALUE!</v>
      </c>
      <c r="Y175" s="10"/>
      <c r="Z175" s="10"/>
      <c r="AA175" s="10"/>
      <c r="AB175" s="10"/>
      <c r="AC175" s="10"/>
      <c r="AD175" s="10"/>
      <c r="AE175" s="10"/>
      <c r="AF175" s="10"/>
      <c r="AG175" s="115"/>
      <c r="AH175" s="10"/>
      <c r="AI175" s="10"/>
    </row>
    <row r="176" spans="2:35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8"/>
      <c r="W176" s="112"/>
      <c r="X176" s="10"/>
      <c r="Y176" s="10"/>
      <c r="Z176" s="10"/>
      <c r="AA176" s="10"/>
      <c r="AB176" s="10"/>
      <c r="AC176" s="10"/>
      <c r="AD176" s="10"/>
      <c r="AE176" s="10"/>
      <c r="AF176" s="10"/>
      <c r="AG176" s="115"/>
      <c r="AH176" s="10"/>
      <c r="AI176" s="10"/>
    </row>
    <row r="177" spans="2:35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8">
        <f t="shared" si="540"/>
        <v>-3080.2553565505518</v>
      </c>
      <c r="W177" s="112">
        <f>PV($C$1, ($AF$3-$W$3), 0, -AF78)</f>
        <v>-429.2159103390112</v>
      </c>
      <c r="X177" s="112">
        <f>PV($C$1, ($AF$3-$W$3), 0, -$AI$78)</f>
        <v>-2651.0394462115405</v>
      </c>
      <c r="Y177" s="10"/>
      <c r="Z177" s="10"/>
      <c r="AA177" s="10"/>
      <c r="AB177" s="10"/>
      <c r="AC177" s="10"/>
      <c r="AD177" s="10"/>
      <c r="AE177" s="10"/>
      <c r="AF177" s="10"/>
      <c r="AG177" s="115"/>
      <c r="AH177" s="10"/>
      <c r="AI177" s="10"/>
    </row>
    <row r="178" spans="2:35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8">
        <f t="shared" si="540"/>
        <v>-3080.2553565505518</v>
      </c>
      <c r="W178" s="112">
        <f>PV($C$1, ($AF$3-$W$3), 0, -AF79)</f>
        <v>-429.2159103390112</v>
      </c>
      <c r="X178" s="112">
        <f>PV($C$1, ($AF$3-$W$3), 0, -$AI$79)</f>
        <v>-2651.0394462115405</v>
      </c>
      <c r="Y178" s="10"/>
      <c r="Z178" s="10"/>
      <c r="AA178" s="10"/>
      <c r="AB178" s="10"/>
      <c r="AC178" s="10"/>
      <c r="AD178" s="10"/>
      <c r="AE178" s="10"/>
      <c r="AF178" s="10"/>
      <c r="AG178" s="115"/>
      <c r="AH178" s="10"/>
      <c r="AI178" s="10"/>
    </row>
    <row r="179" spans="2:35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8" t="e">
        <f t="shared" si="540"/>
        <v>#VALUE!</v>
      </c>
      <c r="W179" s="112" t="e">
        <f>PV($C$1, ($AF$3-$W$3), 0, -AF80)</f>
        <v>#VALUE!</v>
      </c>
      <c r="X179" s="112" t="e">
        <f>PV($C$1, ($AF$3-$W$3), 0, -$AI$80)</f>
        <v>#VALUE!</v>
      </c>
      <c r="Y179" s="10"/>
      <c r="Z179" s="10"/>
      <c r="AA179" s="10"/>
      <c r="AB179" s="10"/>
      <c r="AC179" s="10"/>
      <c r="AD179" s="10"/>
      <c r="AE179" s="10"/>
      <c r="AF179" s="10"/>
      <c r="AG179" s="115"/>
      <c r="AH179" s="10"/>
      <c r="AI179" s="10"/>
    </row>
    <row r="180" spans="2:3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8"/>
      <c r="W180" s="112"/>
      <c r="X180" s="10"/>
      <c r="Y180" s="10"/>
      <c r="Z180" s="10"/>
      <c r="AA180" s="10"/>
      <c r="AB180" s="10"/>
      <c r="AC180" s="10"/>
      <c r="AD180" s="10"/>
      <c r="AE180" s="10"/>
      <c r="AF180" s="10"/>
      <c r="AG180" s="115"/>
      <c r="AH180" s="10"/>
      <c r="AI180" s="10"/>
    </row>
    <row r="181" spans="2:35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8" t="e">
        <f t="shared" si="540"/>
        <v>#VALUE!</v>
      </c>
      <c r="W181" s="112" t="e">
        <f>PV($C$1, ($AF$3-$W$3), 0, -AF85)</f>
        <v>#VALUE!</v>
      </c>
      <c r="X181" s="112" t="e">
        <f>PV($C$1, ($AF$3-$W$3), 0, -AI85)</f>
        <v>#VALUE!</v>
      </c>
      <c r="Y181" s="10"/>
      <c r="Z181" s="10"/>
      <c r="AA181" s="10"/>
      <c r="AB181" s="10"/>
      <c r="AC181" s="10"/>
      <c r="AD181" s="10"/>
      <c r="AE181" s="10"/>
      <c r="AF181" s="10"/>
      <c r="AG181" s="115"/>
      <c r="AH181" s="10"/>
      <c r="AI181" s="10"/>
    </row>
    <row r="182" spans="2:35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8" t="e">
        <f t="shared" si="540"/>
        <v>#VALUE!</v>
      </c>
      <c r="W182" s="112" t="e">
        <f>PV($C$1, ($AF$3-$W$3), 0, -AF86)</f>
        <v>#VALUE!</v>
      </c>
      <c r="X182" s="112" t="e">
        <f>PV($C$1, ($AF$3-$W$3), 0, -AI86)</f>
        <v>#VALUE!</v>
      </c>
      <c r="Y182" s="10"/>
      <c r="Z182" s="10"/>
      <c r="AA182" s="10"/>
      <c r="AB182" s="10"/>
      <c r="AC182" s="10"/>
      <c r="AD182" s="10"/>
      <c r="AE182" s="10"/>
      <c r="AF182" s="10"/>
      <c r="AG182" s="115"/>
      <c r="AH182" s="10"/>
      <c r="AI182" s="10"/>
    </row>
    <row r="183" spans="2:35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8"/>
      <c r="W183" s="112"/>
      <c r="X183" s="112"/>
      <c r="Y183" s="10"/>
      <c r="Z183" s="10"/>
      <c r="AA183" s="10"/>
      <c r="AB183" s="10"/>
      <c r="AC183" s="10"/>
      <c r="AD183" s="10"/>
      <c r="AE183" s="10"/>
      <c r="AF183" s="10"/>
      <c r="AG183" s="115"/>
      <c r="AH183" s="10"/>
      <c r="AI183" s="10"/>
    </row>
    <row r="184" spans="2:35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8" t="e">
        <f t="shared" ref="V184" si="541">W184+X184</f>
        <v>#VALUE!</v>
      </c>
      <c r="W184" s="112" t="e">
        <f>PV($C$1, ($AF$3-$W$3), 0, -AF12)</f>
        <v>#VALUE!</v>
      </c>
      <c r="X184" s="112" t="e">
        <f>PV($C$1, ($AF$3-$W$3), 0, -AI12)</f>
        <v>#VALUE!</v>
      </c>
      <c r="Y184" s="10"/>
      <c r="Z184" s="10"/>
      <c r="AA184" s="10"/>
      <c r="AB184" s="10"/>
      <c r="AC184" s="10"/>
      <c r="AD184" s="10"/>
      <c r="AE184" s="10"/>
      <c r="AF184" s="10"/>
      <c r="AG184" s="115"/>
      <c r="AH184" s="10"/>
      <c r="AI184" s="10"/>
    </row>
    <row r="185" spans="2:35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8" t="e">
        <f>W185+X185</f>
        <v>#VALUE!</v>
      </c>
      <c r="W185" s="118" t="e">
        <f>W184/S57</f>
        <v>#VALUE!</v>
      </c>
      <c r="X185" s="118" t="e">
        <f>X184/S57</f>
        <v>#VALUE!</v>
      </c>
      <c r="Y185" s="10"/>
      <c r="Z185" s="10"/>
      <c r="AA185" s="10"/>
      <c r="AB185" s="10"/>
      <c r="AC185" s="10"/>
      <c r="AD185" s="10"/>
      <c r="AE185" s="10"/>
      <c r="AF185" s="10"/>
      <c r="AG185" s="115"/>
      <c r="AH185" s="10"/>
      <c r="AI185" s="10"/>
    </row>
    <row r="186" spans="2:35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8"/>
      <c r="W186" s="118"/>
      <c r="X186" s="118"/>
      <c r="Y186" s="10"/>
      <c r="Z186" s="10"/>
      <c r="AA186" s="10"/>
      <c r="AB186" s="10"/>
      <c r="AC186" s="10"/>
      <c r="AD186" s="10"/>
      <c r="AE186" s="10"/>
      <c r="AF186" s="10"/>
      <c r="AG186" s="115"/>
      <c r="AH186" s="10"/>
      <c r="AI186" s="10"/>
    </row>
    <row r="187" spans="2:35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8"/>
      <c r="W187" s="112"/>
      <c r="X187" s="112"/>
      <c r="Y187" s="10"/>
      <c r="Z187" s="10"/>
      <c r="AA187" s="10"/>
      <c r="AB187" s="10"/>
      <c r="AC187" s="10"/>
      <c r="AD187" s="10"/>
      <c r="AE187" s="10"/>
      <c r="AF187" s="10"/>
      <c r="AG187" s="115"/>
      <c r="AH187" s="10"/>
      <c r="AI187" s="10"/>
    </row>
    <row r="188" spans="2:35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8">
        <f t="shared" ref="V188" si="542">W188+X188</f>
        <v>70.91941902036865</v>
      </c>
      <c r="W188" s="112">
        <f>PV($C$1, ($AF$3-$W$3), 0, -AF88)+PV($C$1, ($AE$3-$W$3), 0, -AF88)+PV($C$1, ($AD$3-$W$3), 0, -AF88)+PV($C$1, ($AC$3-$W$3), 0, -AF88)+PV($C$1, ($AB$3-$W$3), 0, -AF88)+PV($C$1, ($AA$3-$W$3), 0, -AF88)+PV($C$1, ($Z$3-$W$3), 0, -AF88)+PV($C$1, ($Y$3-$W$3), 0, -AF88)+PV($C$1, ($X$3-$W$3), 0, -AF88)+PV($C$1, ($W$3-$W$3), 0, -AF88)</f>
        <v>58.344545683117602</v>
      </c>
      <c r="X188" s="112">
        <f>PV($C$1, ($AF$3-$W$3), 0, -AI88)</f>
        <v>12.574873337251042</v>
      </c>
      <c r="Y188" s="10"/>
      <c r="Z188" s="10"/>
      <c r="AA188" s="10"/>
      <c r="AB188" s="10"/>
      <c r="AC188" s="10"/>
      <c r="AD188" s="10"/>
      <c r="AE188" s="10"/>
      <c r="AF188" s="10"/>
      <c r="AG188" s="115"/>
      <c r="AH188" s="10"/>
      <c r="AI188" s="10"/>
    </row>
    <row r="189" spans="2:35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8"/>
      <c r="W189" s="112"/>
      <c r="X189" s="112"/>
      <c r="Y189" s="10"/>
      <c r="Z189" s="10"/>
      <c r="AA189" s="10"/>
      <c r="AB189" s="10"/>
      <c r="AC189" s="10"/>
      <c r="AD189" s="10"/>
      <c r="AE189" s="10"/>
      <c r="AF189" s="10"/>
      <c r="AG189" s="115"/>
      <c r="AH189" s="10"/>
      <c r="AI189" s="10"/>
    </row>
    <row r="190" spans="2:35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8">
        <f t="shared" si="540"/>
        <v>0</v>
      </c>
      <c r="W190" s="112">
        <f>PV($C$1, ($AF$3-$W$3), 0, -AF90)+PV($C$1, ($AE$3-$W$3), 0, -AF90)+PV($C$1, ($AD$3-$W$3), 0, -AF90)+PV($C$1, ($AC$3-$W$3), 0, -AF90)+PV($C$1, ($AB$3-$W$3), 0, -AF90)+PV($C$1, ($AA$3-$W$3), 0, -AF90)+PV($C$1, ($Z$3-$W$3), 0, -AF90)+PV($C$1, ($Y$3-$W$3), 0, -AF90)+PV($C$1, ($X$3-$W$3), 0, -AF90)+PV($C$1, ($W$3-$W$3), 0, -AF90)</f>
        <v>0</v>
      </c>
      <c r="X190" s="112">
        <f>PV($C$1, ($AF$3-$W$3), 0, -AI90)</f>
        <v>0</v>
      </c>
      <c r="Y190" s="10"/>
      <c r="Z190" s="10"/>
      <c r="AA190" s="10"/>
      <c r="AB190" s="10"/>
      <c r="AC190" s="10"/>
      <c r="AD190" s="10"/>
      <c r="AE190" s="10"/>
      <c r="AF190" s="10"/>
      <c r="AG190" s="115"/>
      <c r="AH190" s="10"/>
      <c r="AI190" s="10"/>
    </row>
    <row r="191" spans="2:35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8"/>
      <c r="W191" s="112"/>
      <c r="X191" s="112"/>
      <c r="Y191" s="10"/>
      <c r="Z191" s="10"/>
      <c r="AA191" s="10"/>
      <c r="AB191" s="10"/>
      <c r="AC191" s="10"/>
      <c r="AD191" s="10"/>
      <c r="AE191" s="10"/>
      <c r="AF191" s="10"/>
      <c r="AG191" s="115"/>
      <c r="AH191" s="10"/>
      <c r="AI191" s="10"/>
    </row>
    <row r="192" spans="2:35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>
        <f>377.2*5</f>
        <v>1886</v>
      </c>
      <c r="N192" s="10"/>
      <c r="O192" s="10"/>
      <c r="P192" s="10"/>
      <c r="Q192" s="10"/>
      <c r="R192" s="10"/>
      <c r="S192" s="10"/>
      <c r="T192" s="10"/>
      <c r="U192" s="10"/>
      <c r="V192" s="118">
        <f t="shared" ref="V192:V195" si="543">W192+X192</f>
        <v>0</v>
      </c>
      <c r="W192" s="112">
        <f>PV($C$1, ($AF$3-$W$3), 0, -AF92)+PV($C$1, ($AE$3-$W$3), 0, -AF92)+PV($C$1, ($AD$3-$W$3), 0, -AF92)+PV($C$1, ($AC$3-$W$3), 0, -AF92)+PV($C$1, ($AB$3-$W$3), 0, -AF92)+PV($C$1, ($AA$3-$W$3), 0, -AF92)+PV($C$1, ($Z$3-$W$3), 0, -AF92)+PV($C$1, ($Y$3-$W$3), 0, -AF92)+PV($C$1, ($X$3-$W$3), 0, -AF92)+PV($C$1, ($W$3-$W$3), 0, -AF92)</f>
        <v>0</v>
      </c>
      <c r="X192" s="112">
        <f>PV($C$1, ($AF$3-$W$3), 0, -AI92)</f>
        <v>0</v>
      </c>
      <c r="Y192" s="10"/>
      <c r="Z192" s="10"/>
      <c r="AA192" s="10"/>
      <c r="AB192" s="10"/>
      <c r="AC192" s="10"/>
      <c r="AD192" s="10"/>
      <c r="AE192" s="10"/>
      <c r="AF192" s="10"/>
      <c r="AG192" s="115"/>
      <c r="AH192" s="10"/>
      <c r="AI192" s="10"/>
    </row>
    <row r="193" spans="2:35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8">
        <f t="shared" si="543"/>
        <v>0</v>
      </c>
      <c r="W193" s="112">
        <f>PV($C$1, ($AF$3-$W$3), 0, -AF93)+PV($C$1, ($AE$3-$W$3), 0, -AF93)+PV($C$1, ($AD$3-$W$3), 0, -AF93)+PV($C$1, ($AC$3-$W$3), 0, -AF93)+PV($C$1, ($AB$3-$W$3), 0, -AF93)+PV($C$1, ($AA$3-$W$3), 0, -AF93)+PV($C$1, ($Z$3-$W$3), 0, -AF93)+PV($C$1, ($Y$3-$W$3), 0, -AF93)+PV($C$1, ($X$3-$W$3), 0, -AF93)+PV($C$1, ($W$3-$W$3), 0, -AF93)</f>
        <v>0</v>
      </c>
      <c r="X193" s="112">
        <f>PV($C$1, ($AF$3-$W$3), 0, -AI93)</f>
        <v>0</v>
      </c>
      <c r="Y193" s="10"/>
      <c r="Z193" s="10"/>
      <c r="AA193" s="10"/>
      <c r="AB193" s="10"/>
      <c r="AC193" s="10"/>
      <c r="AD193" s="10"/>
      <c r="AE193" s="10"/>
      <c r="AF193" s="10"/>
      <c r="AG193" s="115"/>
      <c r="AH193" s="10"/>
      <c r="AI193" s="10"/>
    </row>
    <row r="194" spans="2:35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8">
        <f t="shared" si="543"/>
        <v>0</v>
      </c>
      <c r="W194" s="112">
        <f>PV($C$1, ($AF$3-$W$3), 0, -AF94)+PV($C$1, ($AE$3-$W$3), 0, -AF94)+PV($C$1, ($AD$3-$W$3), 0, -AF94)+PV($C$1, ($AC$3-$W$3), 0, -AF94)+PV($C$1, ($AB$3-$W$3), 0, -AF94)+PV($C$1, ($AA$3-$W$3), 0, -AF94)+PV($C$1, ($Z$3-$W$3), 0, -AF94)+PV($C$1, ($Y$3-$W$3), 0, -AF94)+PV($C$1, ($X$3-$W$3), 0, -AF94)+PV($C$1, ($W$3-$W$3), 0, -AF94)</f>
        <v>0</v>
      </c>
      <c r="X194" s="112">
        <f>PV($C$1, ($AF$3-$W$3), 0, -AI94)</f>
        <v>0</v>
      </c>
      <c r="Y194" s="10"/>
      <c r="Z194" s="10"/>
      <c r="AA194" s="10"/>
      <c r="AB194" s="10"/>
      <c r="AC194" s="10"/>
      <c r="AD194" s="10"/>
      <c r="AE194" s="10"/>
      <c r="AF194" s="10"/>
      <c r="AG194" s="115"/>
      <c r="AH194" s="10"/>
      <c r="AI194" s="10"/>
    </row>
    <row r="195" spans="2:35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8">
        <f t="shared" si="543"/>
        <v>0</v>
      </c>
      <c r="W195" s="112">
        <f>PV($C$1, ($AF$3-$W$3), 0, -AF95)+PV($C$1, ($AE$3-$W$3), 0, -AF95)+PV($C$1, ($AD$3-$W$3), 0, -AF95)+PV($C$1, ($AC$3-$W$3), 0, -AF95)+PV($C$1, ($AB$3-$W$3), 0, -AF95)+PV($C$1, ($AA$3-$W$3), 0, -AF95)+PV($C$1, ($Z$3-$W$3), 0, -AF95)+PV($C$1, ($Y$3-$W$3), 0, -AF95)+PV($C$1, ($X$3-$W$3), 0, -AF95)+PV($C$1, ($W$3-$W$3), 0, -AF95)</f>
        <v>0</v>
      </c>
      <c r="X195" s="112">
        <f>PV($C$1, ($AF$3-$W$3), 0, -AI95)</f>
        <v>0</v>
      </c>
      <c r="Y195" s="10"/>
      <c r="Z195" s="10"/>
      <c r="AA195" s="10"/>
      <c r="AB195" s="10"/>
      <c r="AC195" s="10"/>
      <c r="AD195" s="10"/>
      <c r="AE195" s="10"/>
      <c r="AF195" s="10"/>
      <c r="AG195" s="115"/>
      <c r="AH195" s="10"/>
      <c r="AI195" s="10"/>
    </row>
    <row r="196" spans="2:35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95">
        <f>V193+V194+V195</f>
        <v>0</v>
      </c>
      <c r="W196" s="95">
        <f t="shared" ref="W196:X196" si="544">W193+W194+W195</f>
        <v>0</v>
      </c>
      <c r="X196" s="95">
        <f t="shared" si="544"/>
        <v>0</v>
      </c>
      <c r="Y196" s="10"/>
      <c r="Z196" s="10"/>
      <c r="AA196" s="10"/>
      <c r="AB196" s="10"/>
      <c r="AC196" s="10"/>
      <c r="AD196" s="10"/>
      <c r="AE196" s="10"/>
      <c r="AF196" s="10"/>
      <c r="AG196" s="115"/>
      <c r="AH196" s="10"/>
      <c r="AI196" s="10"/>
    </row>
    <row r="197" spans="2:35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8"/>
      <c r="W197" s="112"/>
      <c r="X197" s="112"/>
      <c r="Y197" s="10"/>
      <c r="Z197" s="10"/>
      <c r="AA197" s="10"/>
      <c r="AB197" s="10"/>
      <c r="AC197" s="10"/>
      <c r="AD197" s="10"/>
      <c r="AE197" s="10"/>
      <c r="AF197" s="10"/>
      <c r="AG197" s="115"/>
      <c r="AH197" s="10"/>
      <c r="AI197" s="10"/>
    </row>
    <row r="198" spans="2:35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8">
        <f>W198+X198</f>
        <v>0</v>
      </c>
      <c r="W198" s="112">
        <f>PV($C$1, ($AF$3-$W$3), 0, -AF96)+PV($C$1, ($AE$3-$W$3), 0, -AF96)+PV($C$1, ($AD$3-$W$3), 0, -AF96)+PV($C$1, ($AC$3-$W$3), 0, -AF96)+PV($C$1, ($AB$3-$W$3), 0, -AF96)+PV($C$1, ($AA$3-$W$3), 0, -AF96)+PV($C$1, ($Z$3-$W$3), 0, -AF96)+PV($C$1, ($Y$3-$W$3), 0, -AF96)+PV($C$1, ($X$3-$W$3), 0, -AF96)+PV($C$1, ($W$3-$W$3), 0, -AF96)</f>
        <v>0</v>
      </c>
      <c r="X198" s="112">
        <f>PV($C$1, ($AF$3-$W$3), 0, -AI96)</f>
        <v>0</v>
      </c>
      <c r="Y198" s="10"/>
      <c r="Z198" s="10"/>
      <c r="AA198" s="10"/>
      <c r="AB198" s="10"/>
      <c r="AC198" s="10"/>
      <c r="AD198" s="10"/>
      <c r="AE198" s="10"/>
      <c r="AF198" s="10"/>
      <c r="AG198" s="115"/>
      <c r="AH198" s="10"/>
      <c r="AI198" s="10"/>
    </row>
    <row r="199" spans="2:35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60">
        <v>41729</v>
      </c>
      <c r="S199" s="10">
        <v>1546</v>
      </c>
      <c r="T199" s="10"/>
      <c r="U199" s="10"/>
      <c r="V199" s="10"/>
      <c r="W199" s="104"/>
      <c r="X199" s="10"/>
      <c r="Y199" s="10"/>
      <c r="Z199" s="10"/>
      <c r="AA199" s="10"/>
      <c r="AB199" s="10"/>
      <c r="AC199" s="10"/>
      <c r="AD199" s="10"/>
      <c r="AE199" s="10"/>
      <c r="AF199" s="10"/>
      <c r="AG199" s="115"/>
      <c r="AH199" s="10"/>
      <c r="AI199" s="10"/>
    </row>
    <row r="200" spans="2:35">
      <c r="B200" s="93" t="s">
        <v>209</v>
      </c>
      <c r="C200" s="10"/>
      <c r="D200" s="10"/>
      <c r="E200" s="10"/>
      <c r="F200" s="177"/>
      <c r="G200" s="177"/>
      <c r="H200" s="172">
        <v>0</v>
      </c>
      <c r="I200" s="172">
        <v>0</v>
      </c>
      <c r="J200" s="172">
        <v>0</v>
      </c>
      <c r="K200" s="172">
        <v>0</v>
      </c>
      <c r="L200" s="172">
        <v>0</v>
      </c>
      <c r="M200" s="172">
        <v>0</v>
      </c>
      <c r="N200" s="172">
        <v>0</v>
      </c>
      <c r="O200" s="172">
        <v>0</v>
      </c>
      <c r="P200" s="172">
        <v>0</v>
      </c>
      <c r="Q200" s="172">
        <v>0</v>
      </c>
      <c r="R200" s="13" t="s">
        <v>335</v>
      </c>
      <c r="S200" s="10">
        <v>1546</v>
      </c>
      <c r="T200" s="10"/>
      <c r="U200" s="10">
        <v>150</v>
      </c>
      <c r="V200" s="13" t="s">
        <v>336</v>
      </c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15"/>
      <c r="AH200" s="10"/>
      <c r="AI200" s="10"/>
    </row>
    <row r="201" spans="2:35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70</v>
      </c>
      <c r="H201" s="12">
        <v>70</v>
      </c>
      <c r="I201" s="12">
        <v>90</v>
      </c>
      <c r="J201" s="12">
        <v>125</v>
      </c>
      <c r="K201" s="12">
        <v>130</v>
      </c>
      <c r="L201" s="12">
        <v>45</v>
      </c>
      <c r="M201" s="12">
        <v>230</v>
      </c>
      <c r="N201" s="12">
        <v>270</v>
      </c>
      <c r="O201" s="12">
        <v>335</v>
      </c>
      <c r="P201" s="12">
        <v>420</v>
      </c>
      <c r="Q201" s="12">
        <v>350</v>
      </c>
      <c r="R201" s="12">
        <v>815</v>
      </c>
      <c r="S201" s="12">
        <v>870</v>
      </c>
      <c r="T201" s="12">
        <v>1900</v>
      </c>
      <c r="U201" s="101">
        <f t="shared" ref="U201:U227" si="545">((T201/H201)^(1/($K$2-$K$1) ))-1</f>
        <v>0.28908393762007512</v>
      </c>
      <c r="V201" s="21">
        <v>0</v>
      </c>
      <c r="W201" s="173">
        <v>150</v>
      </c>
      <c r="X201" s="102">
        <f t="shared" ref="X201:AF201" si="546">W201*(1+$V201)</f>
        <v>150</v>
      </c>
      <c r="Y201" s="102">
        <f t="shared" si="546"/>
        <v>150</v>
      </c>
      <c r="Z201" s="102">
        <f t="shared" si="546"/>
        <v>150</v>
      </c>
      <c r="AA201" s="102">
        <f t="shared" si="546"/>
        <v>150</v>
      </c>
      <c r="AB201" s="102">
        <f t="shared" si="546"/>
        <v>150</v>
      </c>
      <c r="AC201" s="102">
        <f t="shared" si="546"/>
        <v>150</v>
      </c>
      <c r="AD201" s="102">
        <f t="shared" si="546"/>
        <v>150</v>
      </c>
      <c r="AE201" s="102">
        <f t="shared" si="546"/>
        <v>150</v>
      </c>
      <c r="AF201" s="102">
        <f t="shared" si="546"/>
        <v>150</v>
      </c>
      <c r="AG201" s="116">
        <f t="shared" ref="AG201:AG208" si="547">((AF201/J201)^(1/($AF$3-$K$1) ))-1</f>
        <v>7.9585262489636488E-3</v>
      </c>
      <c r="AH201" s="21">
        <f t="shared" ref="AH201:AH208" si="548">$O$1</f>
        <v>0.05</v>
      </c>
      <c r="AI201" s="109">
        <f t="shared" ref="AI201:AI212" si="549">(AF201*(1+AG201))/($C$1-AH201)</f>
        <v>889.37517021967392</v>
      </c>
    </row>
    <row r="202" spans="2:35">
      <c r="B202" s="10" t="s">
        <v>306</v>
      </c>
      <c r="C202" s="15"/>
      <c r="D202" s="15"/>
      <c r="E202" s="15"/>
      <c r="F202" s="15"/>
      <c r="G202" s="15">
        <f t="shared" ref="G202" si="550">G201/G66</f>
        <v>29.166666666666668</v>
      </c>
      <c r="H202" s="15">
        <f t="shared" ref="H202:I202" si="551">H201/H66</f>
        <v>29.166666666666668</v>
      </c>
      <c r="I202" s="15">
        <f t="shared" si="551"/>
        <v>8.4083044982698958</v>
      </c>
      <c r="J202" s="15">
        <f t="shared" ref="J202:T202" si="552">J201/J66</f>
        <v>4.4416243654822338</v>
      </c>
      <c r="K202" s="15">
        <f t="shared" si="552"/>
        <v>2.3105924596050271</v>
      </c>
      <c r="L202" s="15">
        <f t="shared" si="552"/>
        <v>0.54801066447908131</v>
      </c>
      <c r="M202" s="15">
        <f t="shared" si="552"/>
        <v>2.6522241086587437</v>
      </c>
      <c r="N202" s="15">
        <f t="shared" si="552"/>
        <v>2.0083601286173636</v>
      </c>
      <c r="O202" s="15">
        <f t="shared" si="552"/>
        <v>1.650216359575656</v>
      </c>
      <c r="P202" s="15">
        <f t="shared" si="552"/>
        <v>1.5769238823159879</v>
      </c>
      <c r="Q202" s="15">
        <f t="shared" si="552"/>
        <v>1.0785335840027346</v>
      </c>
      <c r="R202" s="15">
        <f t="shared" si="552"/>
        <v>2.4996365371906895</v>
      </c>
      <c r="S202" s="15">
        <f t="shared" si="552"/>
        <v>2.2496310416922887</v>
      </c>
      <c r="T202" s="15">
        <f t="shared" si="552"/>
        <v>4.2009495203953104</v>
      </c>
      <c r="U202" s="101">
        <f t="shared" si="545"/>
        <v>-0.13847833164325263</v>
      </c>
      <c r="V202" s="110"/>
      <c r="W202" s="15">
        <f t="shared" ref="W202:AF202" si="553">W201/W66</f>
        <v>1.3269694965519858</v>
      </c>
      <c r="X202" s="15">
        <f t="shared" si="553"/>
        <v>1.1769642491156744</v>
      </c>
      <c r="Y202" s="15">
        <f t="shared" si="553"/>
        <v>1.0439161166069459</v>
      </c>
      <c r="Z202" s="15">
        <f t="shared" si="553"/>
        <v>0.92590820777311744</v>
      </c>
      <c r="AA202" s="15">
        <f t="shared" si="553"/>
        <v>0.82124032341615627</v>
      </c>
      <c r="AB202" s="15">
        <f t="shared" si="553"/>
        <v>0.72840446076911258</v>
      </c>
      <c r="AC202" s="15">
        <f t="shared" si="553"/>
        <v>0.64606308694303904</v>
      </c>
      <c r="AD202" s="15">
        <f t="shared" si="553"/>
        <v>0.57302986841904324</v>
      </c>
      <c r="AE202" s="15">
        <f t="shared" si="553"/>
        <v>0.50825257894558629</v>
      </c>
      <c r="AF202" s="15">
        <f t="shared" si="553"/>
        <v>0.45079793958652004</v>
      </c>
      <c r="AG202" s="116">
        <f t="shared" ref="AG202" si="554">((AF202/J202)^(1/($AF$3-$K$1) ))-1</f>
        <v>-9.4680774353073205E-2</v>
      </c>
      <c r="AH202" s="21">
        <f t="shared" si="548"/>
        <v>0.05</v>
      </c>
      <c r="AI202" s="109">
        <f t="shared" ref="AI202" si="555">(AF202*(1+AG202))/($C$1-AH202)</f>
        <v>2.4006825975864614</v>
      </c>
    </row>
    <row r="203" spans="2:35">
      <c r="B203" s="10" t="s">
        <v>334</v>
      </c>
      <c r="C203" s="15"/>
      <c r="D203" s="15"/>
      <c r="E203" s="15"/>
      <c r="F203" s="15"/>
      <c r="G203" s="15">
        <f t="shared" ref="G203" si="556">G201/G72</f>
        <v>-350</v>
      </c>
      <c r="H203" s="15">
        <f t="shared" ref="H203:I203" si="557">H201/H72</f>
        <v>-350</v>
      </c>
      <c r="I203" s="15">
        <f t="shared" si="557"/>
        <v>44.18181818181818</v>
      </c>
      <c r="J203" s="15">
        <f t="shared" ref="J203:T203" si="558">J201/J72</f>
        <v>37.234042553191486</v>
      </c>
      <c r="K203" s="15">
        <f t="shared" si="558"/>
        <v>19.305</v>
      </c>
      <c r="L203" s="15">
        <f t="shared" si="558"/>
        <v>4.3949013157894736</v>
      </c>
      <c r="M203" s="15">
        <f t="shared" si="558"/>
        <v>16.340585774058578</v>
      </c>
      <c r="N203" s="15">
        <f t="shared" si="558"/>
        <v>12.887207702888585</v>
      </c>
      <c r="O203" s="15">
        <f t="shared" si="558"/>
        <v>12.100460593654043</v>
      </c>
      <c r="P203" s="15">
        <f t="shared" si="558"/>
        <v>11.585538461538462</v>
      </c>
      <c r="Q203" s="15">
        <f t="shared" si="558"/>
        <v>7.8342644320297952</v>
      </c>
      <c r="R203" s="15">
        <f t="shared" si="558"/>
        <v>17.046845267901855</v>
      </c>
      <c r="S203" s="15">
        <f t="shared" si="558"/>
        <v>14.465599051008303</v>
      </c>
      <c r="T203" s="15">
        <f t="shared" si="558"/>
        <v>25.963729344379605</v>
      </c>
      <c r="U203" s="101">
        <f t="shared" si="545"/>
        <v>-1.8186531275024118</v>
      </c>
      <c r="V203" s="110"/>
      <c r="W203" s="102">
        <f t="shared" ref="W203:AF203" si="559">W201/W72</f>
        <v>8.2012594270548096</v>
      </c>
      <c r="X203" s="102">
        <f t="shared" si="559"/>
        <v>7.2741605353007897</v>
      </c>
      <c r="Y203" s="102">
        <f t="shared" si="559"/>
        <v>6.4518641269624384</v>
      </c>
      <c r="Z203" s="102">
        <f t="shared" si="559"/>
        <v>5.7225229647840772</v>
      </c>
      <c r="AA203" s="102">
        <f t="shared" si="559"/>
        <v>5.075629064417182</v>
      </c>
      <c r="AB203" s="102">
        <f t="shared" si="559"/>
        <v>4.5018623006135003</v>
      </c>
      <c r="AC203" s="102">
        <f t="shared" si="559"/>
        <v>3.9929561275006704</v>
      </c>
      <c r="AD203" s="102">
        <f t="shared" si="559"/>
        <v>3.5415784783049427</v>
      </c>
      <c r="AE203" s="102">
        <f t="shared" si="559"/>
        <v>3.1412261285835146</v>
      </c>
      <c r="AF203" s="102">
        <f t="shared" si="559"/>
        <v>2.7861310010045091</v>
      </c>
      <c r="AG203" s="116">
        <f t="shared" si="547"/>
        <v>-0.10659959440802635</v>
      </c>
      <c r="AH203" s="21">
        <f t="shared" si="548"/>
        <v>0.05</v>
      </c>
      <c r="AI203" s="109">
        <f t="shared" si="549"/>
        <v>14.641944507822354</v>
      </c>
    </row>
    <row r="204" spans="2:35">
      <c r="B204" s="10" t="s">
        <v>407</v>
      </c>
      <c r="C204" s="15"/>
      <c r="D204" s="15"/>
      <c r="E204" s="15"/>
      <c r="F204" s="15"/>
      <c r="G204" s="15" t="e">
        <f t="shared" ref="G204" si="560">G201/G70</f>
        <v>#DIV/0!</v>
      </c>
      <c r="H204" s="15" t="e">
        <f t="shared" ref="H204:I204" si="561">H201/H70</f>
        <v>#DIV/0!</v>
      </c>
      <c r="I204" s="15" t="e">
        <f t="shared" si="561"/>
        <v>#DIV/0!</v>
      </c>
      <c r="J204" s="15" t="e">
        <f t="shared" ref="J204:T204" si="562">J201/J70</f>
        <v>#DIV/0!</v>
      </c>
      <c r="K204" s="15" t="e">
        <f t="shared" si="562"/>
        <v>#DIV/0!</v>
      </c>
      <c r="L204" s="15" t="e">
        <f t="shared" si="562"/>
        <v>#DIV/0!</v>
      </c>
      <c r="M204" s="15" t="e">
        <f t="shared" si="562"/>
        <v>#DIV/0!</v>
      </c>
      <c r="N204" s="15" t="e">
        <f t="shared" si="562"/>
        <v>#DIV/0!</v>
      </c>
      <c r="O204" s="15" t="e">
        <f t="shared" si="562"/>
        <v>#DIV/0!</v>
      </c>
      <c r="P204" s="15" t="e">
        <f t="shared" si="562"/>
        <v>#DIV/0!</v>
      </c>
      <c r="Q204" s="15" t="e">
        <f t="shared" si="562"/>
        <v>#DIV/0!</v>
      </c>
      <c r="R204" s="15" t="e">
        <f t="shared" si="562"/>
        <v>#DIV/0!</v>
      </c>
      <c r="S204" s="15" t="e">
        <f t="shared" si="562"/>
        <v>#DIV/0!</v>
      </c>
      <c r="T204" s="15" t="e">
        <f t="shared" si="562"/>
        <v>#VALUE!</v>
      </c>
      <c r="U204" s="101" t="e">
        <f t="shared" si="545"/>
        <v>#VALUE!</v>
      </c>
      <c r="V204" s="110"/>
      <c r="W204" s="15" t="e">
        <f t="shared" ref="W204:AF204" si="563">W201/W70</f>
        <v>#VALUE!</v>
      </c>
      <c r="X204" s="15" t="e">
        <f t="shared" si="563"/>
        <v>#VALUE!</v>
      </c>
      <c r="Y204" s="15" t="e">
        <f t="shared" si="563"/>
        <v>#VALUE!</v>
      </c>
      <c r="Z204" s="15" t="e">
        <f t="shared" si="563"/>
        <v>#VALUE!</v>
      </c>
      <c r="AA204" s="15" t="e">
        <f t="shared" si="563"/>
        <v>#VALUE!</v>
      </c>
      <c r="AB204" s="15" t="e">
        <f t="shared" si="563"/>
        <v>#VALUE!</v>
      </c>
      <c r="AC204" s="15" t="e">
        <f t="shared" si="563"/>
        <v>#VALUE!</v>
      </c>
      <c r="AD204" s="15" t="e">
        <f t="shared" si="563"/>
        <v>#VALUE!</v>
      </c>
      <c r="AE204" s="15" t="e">
        <f t="shared" si="563"/>
        <v>#VALUE!</v>
      </c>
      <c r="AF204" s="15" t="e">
        <f t="shared" si="563"/>
        <v>#VALUE!</v>
      </c>
      <c r="AG204" s="116" t="e">
        <f t="shared" ref="AG204:AG205" si="564">((AF204/J204)^(1/($AF$3-$K$1) ))-1</f>
        <v>#VALUE!</v>
      </c>
      <c r="AH204" s="21">
        <f t="shared" si="548"/>
        <v>0.05</v>
      </c>
      <c r="AI204" s="109" t="e">
        <f t="shared" ref="AI204:AI205" si="565">(AF204*(1+AG204))/($C$1-AH204)</f>
        <v>#VALUE!</v>
      </c>
    </row>
    <row r="205" spans="2:35">
      <c r="B205" s="10" t="s">
        <v>408</v>
      </c>
      <c r="C205" s="15"/>
      <c r="D205" s="15"/>
      <c r="E205" s="15"/>
      <c r="F205" s="15"/>
      <c r="G205" s="15" t="e">
        <f t="shared" ref="G205" si="566">G201/G71</f>
        <v>#DIV/0!</v>
      </c>
      <c r="H205" s="15" t="e">
        <f t="shared" ref="H205:I205" si="567">H201/H71</f>
        <v>#DIV/0!</v>
      </c>
      <c r="I205" s="15" t="e">
        <f t="shared" si="567"/>
        <v>#DIV/0!</v>
      </c>
      <c r="J205" s="15" t="e">
        <f t="shared" ref="J205:T205" si="568">J201/J71</f>
        <v>#DIV/0!</v>
      </c>
      <c r="K205" s="15" t="e">
        <f t="shared" si="568"/>
        <v>#DIV/0!</v>
      </c>
      <c r="L205" s="15" t="e">
        <f t="shared" si="568"/>
        <v>#DIV/0!</v>
      </c>
      <c r="M205" s="15" t="e">
        <f t="shared" si="568"/>
        <v>#DIV/0!</v>
      </c>
      <c r="N205" s="15" t="e">
        <f t="shared" si="568"/>
        <v>#DIV/0!</v>
      </c>
      <c r="O205" s="15" t="e">
        <f t="shared" si="568"/>
        <v>#DIV/0!</v>
      </c>
      <c r="P205" s="15" t="e">
        <f t="shared" si="568"/>
        <v>#DIV/0!</v>
      </c>
      <c r="Q205" s="15" t="e">
        <f t="shared" si="568"/>
        <v>#DIV/0!</v>
      </c>
      <c r="R205" s="15" t="e">
        <f t="shared" si="568"/>
        <v>#DIV/0!</v>
      </c>
      <c r="S205" s="15" t="e">
        <f t="shared" si="568"/>
        <v>#DIV/0!</v>
      </c>
      <c r="T205" s="15" t="e">
        <f t="shared" si="568"/>
        <v>#VALUE!</v>
      </c>
      <c r="U205" s="101" t="e">
        <f t="shared" si="545"/>
        <v>#VALUE!</v>
      </c>
      <c r="V205" s="110"/>
      <c r="W205" s="15" t="e">
        <f t="shared" ref="W205:AF205" si="569">W201/W71</f>
        <v>#VALUE!</v>
      </c>
      <c r="X205" s="15" t="e">
        <f t="shared" si="569"/>
        <v>#VALUE!</v>
      </c>
      <c r="Y205" s="15" t="e">
        <f t="shared" si="569"/>
        <v>#VALUE!</v>
      </c>
      <c r="Z205" s="15" t="e">
        <f t="shared" si="569"/>
        <v>#VALUE!</v>
      </c>
      <c r="AA205" s="15" t="e">
        <f t="shared" si="569"/>
        <v>#VALUE!</v>
      </c>
      <c r="AB205" s="15" t="e">
        <f t="shared" si="569"/>
        <v>#VALUE!</v>
      </c>
      <c r="AC205" s="15" t="e">
        <f t="shared" si="569"/>
        <v>#VALUE!</v>
      </c>
      <c r="AD205" s="15" t="e">
        <f t="shared" si="569"/>
        <v>#VALUE!</v>
      </c>
      <c r="AE205" s="15" t="e">
        <f t="shared" si="569"/>
        <v>#VALUE!</v>
      </c>
      <c r="AF205" s="15" t="e">
        <f t="shared" si="569"/>
        <v>#VALUE!</v>
      </c>
      <c r="AG205" s="116" t="e">
        <f t="shared" si="564"/>
        <v>#VALUE!</v>
      </c>
      <c r="AH205" s="21">
        <f t="shared" si="548"/>
        <v>0.05</v>
      </c>
      <c r="AI205" s="109" t="e">
        <f t="shared" si="565"/>
        <v>#VALUE!</v>
      </c>
    </row>
    <row r="206" spans="2:35">
      <c r="B206" s="10" t="s">
        <v>216</v>
      </c>
      <c r="C206" s="15"/>
      <c r="D206" s="15"/>
      <c r="E206" s="15"/>
      <c r="F206" s="15"/>
      <c r="G206" s="15">
        <f t="shared" ref="G206" si="570">G201/G75</f>
        <v>82.352941176470594</v>
      </c>
      <c r="H206" s="15">
        <f t="shared" ref="H206:I206" si="571">H201/H75</f>
        <v>82.352941176470594</v>
      </c>
      <c r="I206" s="15">
        <f t="shared" si="571"/>
        <v>8.0198019801980198</v>
      </c>
      <c r="J206" s="15">
        <f t="shared" ref="J206:T206" si="572">J201/J75</f>
        <v>6.9033530571992108</v>
      </c>
      <c r="K206" s="15">
        <f t="shared" si="572"/>
        <v>3.774193548387097</v>
      </c>
      <c r="L206" s="15">
        <f t="shared" si="572"/>
        <v>1.0068198944988698</v>
      </c>
      <c r="M206" s="15">
        <f t="shared" si="572"/>
        <v>2.8413241178610402</v>
      </c>
      <c r="N206" s="15">
        <f t="shared" si="572"/>
        <v>2.7188044109112015</v>
      </c>
      <c r="O206" s="15">
        <f t="shared" si="572"/>
        <v>2.7347096923432801</v>
      </c>
      <c r="P206" s="15">
        <f t="shared" si="572"/>
        <v>2.7640300972655529</v>
      </c>
      <c r="Q206" s="15">
        <f t="shared" si="572"/>
        <v>1.8667356899866885</v>
      </c>
      <c r="R206" s="15">
        <f t="shared" si="572"/>
        <v>3.0268115942028988</v>
      </c>
      <c r="S206" s="15">
        <f t="shared" si="572"/>
        <v>2.7421857431976613</v>
      </c>
      <c r="T206" s="15">
        <f t="shared" si="572"/>
        <v>4.0177917805680394</v>
      </c>
      <c r="U206" s="101">
        <f t="shared" si="545"/>
        <v>-0.20731500136105407</v>
      </c>
      <c r="V206" s="110"/>
      <c r="W206" s="102">
        <f t="shared" ref="W206:AF206" si="573">W201/W75</f>
        <v>1.2691147823669597</v>
      </c>
      <c r="X206" s="102">
        <f t="shared" si="573"/>
        <v>1.1256496330559123</v>
      </c>
      <c r="Y206" s="102">
        <f t="shared" si="573"/>
        <v>0.99840228323220048</v>
      </c>
      <c r="Z206" s="102">
        <f t="shared" si="573"/>
        <v>0.88553941643203882</v>
      </c>
      <c r="AA206" s="102">
        <f t="shared" si="573"/>
        <v>0.78543496066146057</v>
      </c>
      <c r="AB206" s="102">
        <f t="shared" si="573"/>
        <v>0.69664666076059989</v>
      </c>
      <c r="AC206" s="102">
        <f t="shared" si="573"/>
        <v>0.61789529910940155</v>
      </c>
      <c r="AD206" s="102">
        <f t="shared" si="573"/>
        <v>0.54804626529703449</v>
      </c>
      <c r="AE206" s="102">
        <f t="shared" si="573"/>
        <v>0.48609320921997845</v>
      </c>
      <c r="AF206" s="102">
        <f t="shared" si="573"/>
        <v>0.43114354209076355</v>
      </c>
      <c r="AG206" s="116">
        <f t="shared" si="547"/>
        <v>-0.11359311284440787</v>
      </c>
      <c r="AH206" s="21">
        <f t="shared" si="548"/>
        <v>0.05</v>
      </c>
      <c r="AI206" s="109">
        <f t="shared" si="549"/>
        <v>2.2480506180112338</v>
      </c>
    </row>
    <row r="207" spans="2:35">
      <c r="B207" s="10" t="s">
        <v>217</v>
      </c>
      <c r="C207" s="15"/>
      <c r="D207" s="15"/>
      <c r="E207" s="15"/>
      <c r="F207" s="15"/>
      <c r="G207" s="15">
        <f t="shared" ref="G207" si="574">G201/G84</f>
        <v>3.5443037974683542</v>
      </c>
      <c r="H207" s="15">
        <f t="shared" ref="H207:I207" si="575">H201/H84</f>
        <v>3.5443037974683542</v>
      </c>
      <c r="I207" s="15">
        <f t="shared" si="575"/>
        <v>1.8</v>
      </c>
      <c r="J207" s="15">
        <f t="shared" ref="J207:T207" si="576">J201/J84</f>
        <v>1.1389521640091116</v>
      </c>
      <c r="K207" s="15">
        <f t="shared" si="576"/>
        <v>0.75809935205183576</v>
      </c>
      <c r="L207" s="15">
        <f t="shared" si="576"/>
        <v>0.18772657018406633</v>
      </c>
      <c r="M207" s="15">
        <f t="shared" si="576"/>
        <v>0.76508962679988257</v>
      </c>
      <c r="N207" s="15">
        <f t="shared" si="576"/>
        <v>0.4976099426386234</v>
      </c>
      <c r="O207" s="15">
        <f t="shared" si="576"/>
        <v>0.42591598515689738</v>
      </c>
      <c r="P207" s="15">
        <f t="shared" si="576"/>
        <v>0.35046422338568939</v>
      </c>
      <c r="Q207" s="15">
        <f t="shared" si="576"/>
        <v>0.30834066256229842</v>
      </c>
      <c r="R207" s="15">
        <f t="shared" si="576"/>
        <v>0.73099742323384165</v>
      </c>
      <c r="S207" s="15">
        <f t="shared" si="576"/>
        <v>0.74984627367385415</v>
      </c>
      <c r="T207" s="15" t="e">
        <f t="shared" si="576"/>
        <v>#VALUE!</v>
      </c>
      <c r="U207" s="101" t="e">
        <f t="shared" si="545"/>
        <v>#VALUE!</v>
      </c>
      <c r="V207" s="110"/>
      <c r="W207" s="102" t="e">
        <f t="shared" ref="W207:AF207" si="577">W201/W84</f>
        <v>#VALUE!</v>
      </c>
      <c r="X207" s="102" t="e">
        <f t="shared" si="577"/>
        <v>#VALUE!</v>
      </c>
      <c r="Y207" s="102" t="e">
        <f t="shared" si="577"/>
        <v>#VALUE!</v>
      </c>
      <c r="Z207" s="102" t="e">
        <f t="shared" si="577"/>
        <v>#VALUE!</v>
      </c>
      <c r="AA207" s="102" t="e">
        <f t="shared" si="577"/>
        <v>#VALUE!</v>
      </c>
      <c r="AB207" s="102" t="e">
        <f t="shared" si="577"/>
        <v>#VALUE!</v>
      </c>
      <c r="AC207" s="102" t="e">
        <f t="shared" si="577"/>
        <v>#VALUE!</v>
      </c>
      <c r="AD207" s="102" t="e">
        <f t="shared" si="577"/>
        <v>#VALUE!</v>
      </c>
      <c r="AE207" s="102" t="e">
        <f t="shared" si="577"/>
        <v>#VALUE!</v>
      </c>
      <c r="AF207" s="102" t="e">
        <f t="shared" si="577"/>
        <v>#VALUE!</v>
      </c>
      <c r="AG207" s="116" t="e">
        <f t="shared" si="547"/>
        <v>#VALUE!</v>
      </c>
      <c r="AH207" s="21">
        <f t="shared" si="548"/>
        <v>0.05</v>
      </c>
      <c r="AI207" s="109" t="e">
        <f t="shared" si="549"/>
        <v>#VALUE!</v>
      </c>
    </row>
    <row r="208" spans="2:35">
      <c r="B208" s="10" t="s">
        <v>218</v>
      </c>
      <c r="C208" s="15"/>
      <c r="D208" s="15"/>
      <c r="E208" s="15"/>
      <c r="F208" s="15"/>
      <c r="G208" s="15" t="e">
        <f t="shared" ref="G208" si="578">G201/G86</f>
        <v>#DIV/0!</v>
      </c>
      <c r="H208" s="15" t="e">
        <f t="shared" ref="H208:I208" si="579">H201/H86</f>
        <v>#DIV/0!</v>
      </c>
      <c r="I208" s="15" t="e">
        <f t="shared" si="579"/>
        <v>#DIV/0!</v>
      </c>
      <c r="J208" s="15" t="e">
        <f t="shared" ref="J208:T208" si="580">J201/J86</f>
        <v>#DIV/0!</v>
      </c>
      <c r="K208" s="15" t="e">
        <f t="shared" si="580"/>
        <v>#DIV/0!</v>
      </c>
      <c r="L208" s="15" t="e">
        <f t="shared" si="580"/>
        <v>#DIV/0!</v>
      </c>
      <c r="M208" s="15" t="e">
        <f t="shared" si="580"/>
        <v>#DIV/0!</v>
      </c>
      <c r="N208" s="15" t="e">
        <f t="shared" si="580"/>
        <v>#DIV/0!</v>
      </c>
      <c r="O208" s="15" t="e">
        <f t="shared" si="580"/>
        <v>#DIV/0!</v>
      </c>
      <c r="P208" s="15" t="e">
        <f t="shared" si="580"/>
        <v>#DIV/0!</v>
      </c>
      <c r="Q208" s="15" t="e">
        <f t="shared" si="580"/>
        <v>#DIV/0!</v>
      </c>
      <c r="R208" s="15" t="e">
        <f t="shared" si="580"/>
        <v>#DIV/0!</v>
      </c>
      <c r="S208" s="15" t="e">
        <f t="shared" si="580"/>
        <v>#DIV/0!</v>
      </c>
      <c r="T208" s="15" t="e">
        <f t="shared" si="580"/>
        <v>#VALUE!</v>
      </c>
      <c r="U208" s="101" t="e">
        <f t="shared" si="545"/>
        <v>#VALUE!</v>
      </c>
      <c r="V208" s="110"/>
      <c r="W208" s="102" t="e">
        <f t="shared" ref="W208:AF208" si="581">W201/W86</f>
        <v>#VALUE!</v>
      </c>
      <c r="X208" s="102" t="e">
        <f t="shared" si="581"/>
        <v>#VALUE!</v>
      </c>
      <c r="Y208" s="102" t="e">
        <f t="shared" si="581"/>
        <v>#VALUE!</v>
      </c>
      <c r="Z208" s="102" t="e">
        <f t="shared" si="581"/>
        <v>#VALUE!</v>
      </c>
      <c r="AA208" s="102" t="e">
        <f t="shared" si="581"/>
        <v>#VALUE!</v>
      </c>
      <c r="AB208" s="102" t="e">
        <f t="shared" si="581"/>
        <v>#VALUE!</v>
      </c>
      <c r="AC208" s="102" t="e">
        <f t="shared" si="581"/>
        <v>#VALUE!</v>
      </c>
      <c r="AD208" s="102" t="e">
        <f t="shared" si="581"/>
        <v>#VALUE!</v>
      </c>
      <c r="AE208" s="102" t="e">
        <f t="shared" si="581"/>
        <v>#VALUE!</v>
      </c>
      <c r="AF208" s="102" t="e">
        <f t="shared" si="581"/>
        <v>#VALUE!</v>
      </c>
      <c r="AG208" s="116" t="e">
        <f t="shared" si="547"/>
        <v>#VALUE!</v>
      </c>
      <c r="AH208" s="21">
        <f t="shared" si="548"/>
        <v>0.05</v>
      </c>
      <c r="AI208" s="109" t="e">
        <f t="shared" si="549"/>
        <v>#VALUE!</v>
      </c>
    </row>
    <row r="209" spans="2:35">
      <c r="B209" s="10" t="s">
        <v>232</v>
      </c>
      <c r="C209" s="15"/>
      <c r="D209" s="15"/>
      <c r="E209" s="15"/>
      <c r="F209" s="15"/>
      <c r="G209" s="159">
        <f t="shared" ref="G209" si="582">G201/G80</f>
        <v>-1.7177914110429449</v>
      </c>
      <c r="H209" s="159">
        <f t="shared" ref="H209:I209" si="583">H201/H80</f>
        <v>-1.7177914110429449</v>
      </c>
      <c r="I209" s="159">
        <f t="shared" si="583"/>
        <v>-0.86692829111666081</v>
      </c>
      <c r="J209" s="159">
        <f t="shared" ref="J209:T209" si="584">J201/J80</f>
        <v>-0.42168674698795178</v>
      </c>
      <c r="K209" s="159">
        <f t="shared" si="584"/>
        <v>-0.29837712519319937</v>
      </c>
      <c r="L209" s="159">
        <f t="shared" si="584"/>
        <v>-7.9840444603800645E-2</v>
      </c>
      <c r="M209" s="159">
        <f t="shared" si="584"/>
        <v>-0.27446763651697237</v>
      </c>
      <c r="N209" s="159">
        <f t="shared" si="584"/>
        <v>-0.19185010750486331</v>
      </c>
      <c r="O209" s="159">
        <f t="shared" si="584"/>
        <v>-0.20163306726702143</v>
      </c>
      <c r="P209" s="159">
        <f t="shared" si="584"/>
        <v>-0.1835165102960887</v>
      </c>
      <c r="Q209" s="159">
        <f t="shared" si="584"/>
        <v>-0.14279733888486604</v>
      </c>
      <c r="R209" s="159">
        <f t="shared" si="584"/>
        <v>-0.32202499195943773</v>
      </c>
      <c r="S209" s="159">
        <f t="shared" si="584"/>
        <v>-0.28227791452226447</v>
      </c>
      <c r="T209" s="159" t="e">
        <f t="shared" si="584"/>
        <v>#VALUE!</v>
      </c>
      <c r="U209" s="101" t="e">
        <f t="shared" si="545"/>
        <v>#VALUE!</v>
      </c>
      <c r="V209" s="110"/>
      <c r="W209" s="113" t="e">
        <f t="shared" ref="W209:AF209" si="585">W201/W80</f>
        <v>#VALUE!</v>
      </c>
      <c r="X209" s="113" t="e">
        <f t="shared" si="585"/>
        <v>#VALUE!</v>
      </c>
      <c r="Y209" s="113" t="e">
        <f t="shared" si="585"/>
        <v>#VALUE!</v>
      </c>
      <c r="Z209" s="113" t="e">
        <f t="shared" si="585"/>
        <v>#VALUE!</v>
      </c>
      <c r="AA209" s="113" t="e">
        <f t="shared" si="585"/>
        <v>#VALUE!</v>
      </c>
      <c r="AB209" s="113" t="e">
        <f t="shared" si="585"/>
        <v>#VALUE!</v>
      </c>
      <c r="AC209" s="113" t="e">
        <f t="shared" si="585"/>
        <v>#VALUE!</v>
      </c>
      <c r="AD209" s="113" t="e">
        <f t="shared" si="585"/>
        <v>#VALUE!</v>
      </c>
      <c r="AE209" s="113" t="e">
        <f t="shared" si="585"/>
        <v>#VALUE!</v>
      </c>
      <c r="AF209" s="113" t="e">
        <f t="shared" si="585"/>
        <v>#VALUE!</v>
      </c>
      <c r="AG209" s="116" t="e">
        <f t="shared" ref="AG209" si="586">((AF209/J209)^(1/($AF$3-$K$1) ))-1</f>
        <v>#VALUE!</v>
      </c>
      <c r="AH209" s="21">
        <f t="shared" ref="AH209:AH212" si="587">$O$1</f>
        <v>0.05</v>
      </c>
      <c r="AI209" s="109" t="e">
        <f t="shared" si="549"/>
        <v>#VALUE!</v>
      </c>
    </row>
    <row r="210" spans="2:35">
      <c r="B210" s="10"/>
      <c r="C210" s="15"/>
      <c r="D210" s="15"/>
      <c r="E210" s="15"/>
      <c r="F210" s="15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10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6"/>
      <c r="AH210" s="21">
        <f t="shared" si="587"/>
        <v>0.05</v>
      </c>
      <c r="AI210" s="109"/>
    </row>
    <row r="211" spans="2:35">
      <c r="B211" s="10" t="s">
        <v>265</v>
      </c>
      <c r="C211" s="129"/>
      <c r="D211" s="129"/>
      <c r="E211" s="129"/>
      <c r="F211" s="129"/>
      <c r="G211" s="129">
        <f t="shared" ref="G211" si="588">G59/G201</f>
        <v>1.4285714285714286E-3</v>
      </c>
      <c r="H211" s="129">
        <f t="shared" ref="H211:I211" si="589">H59/H201</f>
        <v>0</v>
      </c>
      <c r="I211" s="129">
        <f t="shared" si="589"/>
        <v>0</v>
      </c>
      <c r="J211" s="129">
        <f t="shared" ref="J211:T211" si="590">J59/J201</f>
        <v>0</v>
      </c>
      <c r="K211" s="129">
        <f t="shared" si="590"/>
        <v>0</v>
      </c>
      <c r="L211" s="129">
        <f t="shared" si="590"/>
        <v>0</v>
      </c>
      <c r="M211" s="129">
        <f t="shared" si="590"/>
        <v>6.5217391304347823E-3</v>
      </c>
      <c r="N211" s="129">
        <f t="shared" si="590"/>
        <v>9.2592592592592587E-3</v>
      </c>
      <c r="O211" s="129">
        <f t="shared" si="590"/>
        <v>1.1940298507462687E-2</v>
      </c>
      <c r="P211" s="129">
        <f t="shared" si="590"/>
        <v>1.4285714285714285E-2</v>
      </c>
      <c r="Q211" s="129">
        <f t="shared" si="590"/>
        <v>2.2857142857142857E-2</v>
      </c>
      <c r="R211" s="129">
        <f t="shared" si="590"/>
        <v>1.1042944785276074E-2</v>
      </c>
      <c r="S211" s="129">
        <f t="shared" si="590"/>
        <v>1.1494252873563218E-2</v>
      </c>
      <c r="T211" s="129">
        <f t="shared" si="590"/>
        <v>5.263157894736842E-3</v>
      </c>
      <c r="U211" s="101" t="e">
        <f t="shared" si="545"/>
        <v>#DIV/0!</v>
      </c>
      <c r="V211" s="110"/>
      <c r="W211" s="129">
        <f t="shared" ref="W211:AF211" si="591">W59/W201</f>
        <v>6.7999999999999991E-2</v>
      </c>
      <c r="X211" s="129">
        <f t="shared" si="591"/>
        <v>6.9360000000000005E-2</v>
      </c>
      <c r="Y211" s="129">
        <f t="shared" si="591"/>
        <v>7.074720000000001E-2</v>
      </c>
      <c r="Z211" s="129">
        <f t="shared" si="591"/>
        <v>7.2162144000000011E-2</v>
      </c>
      <c r="AA211" s="129">
        <f t="shared" si="591"/>
        <v>7.3605386880000012E-2</v>
      </c>
      <c r="AB211" s="129">
        <f t="shared" si="591"/>
        <v>7.5077494617600007E-2</v>
      </c>
      <c r="AC211" s="129">
        <f t="shared" si="591"/>
        <v>7.657904450995201E-2</v>
      </c>
      <c r="AD211" s="129">
        <f t="shared" si="591"/>
        <v>7.811062540015104E-2</v>
      </c>
      <c r="AE211" s="129">
        <f t="shared" si="591"/>
        <v>7.9672837908154062E-2</v>
      </c>
      <c r="AF211" s="129">
        <f t="shared" si="591"/>
        <v>8.1266294666317143E-2</v>
      </c>
      <c r="AG211" s="116" t="e">
        <f t="shared" ref="AG211:AG216" si="592">((AF211/J211)^(1/($AF$3-$K$1) ))-1</f>
        <v>#DIV/0!</v>
      </c>
      <c r="AH211" s="21">
        <f t="shared" si="587"/>
        <v>0.05</v>
      </c>
      <c r="AI211" s="109" t="e">
        <f t="shared" si="549"/>
        <v>#DIV/0!</v>
      </c>
    </row>
    <row r="212" spans="2:35">
      <c r="B212" s="10" t="s">
        <v>132</v>
      </c>
      <c r="C212" s="129"/>
      <c r="D212" s="129"/>
      <c r="E212" s="129"/>
      <c r="F212" s="129"/>
      <c r="G212" s="142">
        <f t="shared" ref="G212" si="593">G201*G57</f>
        <v>1400</v>
      </c>
      <c r="H212" s="142">
        <f t="shared" ref="H212:I212" si="594">H201*H57</f>
        <v>1400</v>
      </c>
      <c r="I212" s="142">
        <f t="shared" si="594"/>
        <v>2430</v>
      </c>
      <c r="J212" s="142">
        <f t="shared" ref="J212:T212" si="595">J201*J57</f>
        <v>3500</v>
      </c>
      <c r="K212" s="142">
        <f t="shared" si="595"/>
        <v>3861</v>
      </c>
      <c r="L212" s="142">
        <f t="shared" si="595"/>
        <v>1336.05</v>
      </c>
      <c r="M212" s="142">
        <f t="shared" si="595"/>
        <v>7810.8</v>
      </c>
      <c r="N212" s="142">
        <f t="shared" si="595"/>
        <v>9369</v>
      </c>
      <c r="O212" s="142">
        <f t="shared" si="595"/>
        <v>11822.15</v>
      </c>
      <c r="P212" s="142">
        <f t="shared" si="595"/>
        <v>15061.199999999999</v>
      </c>
      <c r="Q212" s="142">
        <f t="shared" si="595"/>
        <v>12621</v>
      </c>
      <c r="R212" s="142">
        <f t="shared" si="595"/>
        <v>34042.550000000003</v>
      </c>
      <c r="S212" s="142">
        <f t="shared" si="595"/>
        <v>36583.5</v>
      </c>
      <c r="T212" s="142">
        <f t="shared" si="595"/>
        <v>86716</v>
      </c>
      <c r="U212" s="101">
        <f t="shared" si="545"/>
        <v>0.37354830888932167</v>
      </c>
      <c r="V212" s="110"/>
      <c r="W212" s="142">
        <f t="shared" ref="W212:AF212" si="596">W201*W57</f>
        <v>31500</v>
      </c>
      <c r="X212" s="142">
        <f t="shared" si="596"/>
        <v>32130.000000000004</v>
      </c>
      <c r="Y212" s="142">
        <f t="shared" si="596"/>
        <v>32772.6</v>
      </c>
      <c r="Z212" s="142">
        <f t="shared" si="596"/>
        <v>33428.052000000003</v>
      </c>
      <c r="AA212" s="142">
        <f t="shared" si="596"/>
        <v>34096.613040000004</v>
      </c>
      <c r="AB212" s="142">
        <f t="shared" si="596"/>
        <v>34778.545300800004</v>
      </c>
      <c r="AC212" s="142">
        <f t="shared" si="596"/>
        <v>35474.116206816005</v>
      </c>
      <c r="AD212" s="142">
        <f t="shared" si="596"/>
        <v>36183.598530952324</v>
      </c>
      <c r="AE212" s="142">
        <f t="shared" si="596"/>
        <v>36907.270501571373</v>
      </c>
      <c r="AF212" s="142">
        <f t="shared" si="596"/>
        <v>37645.415911602795</v>
      </c>
      <c r="AG212" s="116">
        <f t="shared" si="592"/>
        <v>0.10880222654838567</v>
      </c>
      <c r="AH212" s="21">
        <f t="shared" si="587"/>
        <v>0.05</v>
      </c>
      <c r="AI212" s="109">
        <f t="shared" si="549"/>
        <v>245537.18224779534</v>
      </c>
    </row>
    <row r="213" spans="2:35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10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</row>
    <row r="214" spans="2:35">
      <c r="B214" s="10" t="s">
        <v>316</v>
      </c>
      <c r="C214" s="138"/>
      <c r="D214" s="138"/>
      <c r="E214" s="138"/>
      <c r="F214" s="138"/>
      <c r="G214" s="138">
        <f t="shared" ref="G214" si="597">G72/G201</f>
        <v>-2.8571428571428571E-3</v>
      </c>
      <c r="H214" s="138">
        <f t="shared" ref="H214:I214" si="598">H72/H201</f>
        <v>-2.8571428571428571E-3</v>
      </c>
      <c r="I214" s="138">
        <f t="shared" si="598"/>
        <v>2.2633744855967079E-2</v>
      </c>
      <c r="J214" s="138">
        <f t="shared" ref="J214:T214" si="599">J72/J201</f>
        <v>2.6857142857142857E-2</v>
      </c>
      <c r="K214" s="138">
        <f t="shared" si="599"/>
        <v>5.1800051800051802E-2</v>
      </c>
      <c r="L214" s="138">
        <f t="shared" si="599"/>
        <v>0.2275363945960106</v>
      </c>
      <c r="M214" s="138">
        <f t="shared" si="599"/>
        <v>6.1197316536078246E-2</v>
      </c>
      <c r="N214" s="138">
        <f t="shared" si="599"/>
        <v>7.7596328316789406E-2</v>
      </c>
      <c r="O214" s="138">
        <f t="shared" si="599"/>
        <v>8.2641482302288502E-2</v>
      </c>
      <c r="P214" s="138">
        <f t="shared" si="599"/>
        <v>8.6314503492417607E-2</v>
      </c>
      <c r="Q214" s="138">
        <f t="shared" si="599"/>
        <v>0.12764440218683146</v>
      </c>
      <c r="R214" s="138">
        <f t="shared" si="599"/>
        <v>5.8661880499551296E-2</v>
      </c>
      <c r="S214" s="138">
        <f t="shared" si="599"/>
        <v>6.9129525605805903E-2</v>
      </c>
      <c r="T214" s="138">
        <f t="shared" si="599"/>
        <v>3.8515268231929516E-2</v>
      </c>
      <c r="U214" s="101">
        <f t="shared" si="545"/>
        <v>-2.2215185728916111</v>
      </c>
      <c r="V214" s="110"/>
      <c r="W214" s="138">
        <f t="shared" ref="W214:AF214" si="600">W72/W201</f>
        <v>0.12193249206349205</v>
      </c>
      <c r="X214" s="138">
        <f t="shared" si="600"/>
        <v>0.13747290771864298</v>
      </c>
      <c r="Y214" s="138">
        <f t="shared" si="600"/>
        <v>0.15499396458474454</v>
      </c>
      <c r="Z214" s="138">
        <f t="shared" si="600"/>
        <v>0.17474809732593743</v>
      </c>
      <c r="AA214" s="138">
        <f t="shared" si="600"/>
        <v>0.19701991365179219</v>
      </c>
      <c r="AB214" s="138">
        <f t="shared" si="600"/>
        <v>0.22213029480349122</v>
      </c>
      <c r="AC214" s="138">
        <f t="shared" si="600"/>
        <v>0.25044101865099494</v>
      </c>
      <c r="AD214" s="138">
        <f t="shared" si="600"/>
        <v>0.28235997200847468</v>
      </c>
      <c r="AE214" s="138">
        <f t="shared" si="600"/>
        <v>0.31834702726445674</v>
      </c>
      <c r="AF214" s="138">
        <f t="shared" si="600"/>
        <v>0.35892066799424038</v>
      </c>
      <c r="AG214" s="116">
        <f t="shared" ref="AG214" si="601">((AF214/J214)^(1/($AF$3-$K$1) ))-1</f>
        <v>0.11931894561587164</v>
      </c>
      <c r="AH214" s="21">
        <f t="shared" ref="AH214" si="602">$O$1</f>
        <v>0.05</v>
      </c>
      <c r="AI214" s="109">
        <f t="shared" ref="AI214" si="603">(AF214*(1+AG214))/($C$1-AH214)</f>
        <v>2.3632159038768088</v>
      </c>
    </row>
    <row r="215" spans="2:35">
      <c r="B215" s="10" t="str">
        <f>B203</f>
        <v>P/E (how many years it will take to recover invested amount)</v>
      </c>
      <c r="C215" s="129"/>
      <c r="D215" s="129"/>
      <c r="E215" s="129"/>
      <c r="F215" s="129"/>
      <c r="G215" s="158">
        <f t="shared" ref="G215" si="604">G203</f>
        <v>-350</v>
      </c>
      <c r="H215" s="158">
        <f t="shared" ref="H215:I215" si="605">H203</f>
        <v>-350</v>
      </c>
      <c r="I215" s="158">
        <f t="shared" si="605"/>
        <v>44.18181818181818</v>
      </c>
      <c r="J215" s="158">
        <f t="shared" ref="J215:T215" si="606">J203</f>
        <v>37.234042553191486</v>
      </c>
      <c r="K215" s="158">
        <f t="shared" si="606"/>
        <v>19.305</v>
      </c>
      <c r="L215" s="158">
        <f t="shared" si="606"/>
        <v>4.3949013157894736</v>
      </c>
      <c r="M215" s="158">
        <f t="shared" si="606"/>
        <v>16.340585774058578</v>
      </c>
      <c r="N215" s="158">
        <f t="shared" si="606"/>
        <v>12.887207702888585</v>
      </c>
      <c r="O215" s="158">
        <f t="shared" si="606"/>
        <v>12.100460593654043</v>
      </c>
      <c r="P215" s="158">
        <f t="shared" si="606"/>
        <v>11.585538461538462</v>
      </c>
      <c r="Q215" s="158">
        <f t="shared" si="606"/>
        <v>7.8342644320297952</v>
      </c>
      <c r="R215" s="158">
        <f t="shared" si="606"/>
        <v>17.046845267901855</v>
      </c>
      <c r="S215" s="158">
        <f t="shared" si="606"/>
        <v>14.465599051008303</v>
      </c>
      <c r="T215" s="158">
        <f t="shared" si="606"/>
        <v>25.963729344379605</v>
      </c>
      <c r="U215" s="101">
        <f t="shared" si="545"/>
        <v>-1.8186531275024118</v>
      </c>
      <c r="V215" s="110"/>
      <c r="W215" s="129">
        <f t="shared" ref="W215:AF215" si="607">W203</f>
        <v>8.2012594270548096</v>
      </c>
      <c r="X215" s="129">
        <f t="shared" si="607"/>
        <v>7.2741605353007897</v>
      </c>
      <c r="Y215" s="129">
        <f t="shared" si="607"/>
        <v>6.4518641269624384</v>
      </c>
      <c r="Z215" s="129">
        <f t="shared" si="607"/>
        <v>5.7225229647840772</v>
      </c>
      <c r="AA215" s="129">
        <f t="shared" si="607"/>
        <v>5.075629064417182</v>
      </c>
      <c r="AB215" s="129">
        <f t="shared" si="607"/>
        <v>4.5018623006135003</v>
      </c>
      <c r="AC215" s="129">
        <f t="shared" si="607"/>
        <v>3.9929561275006704</v>
      </c>
      <c r="AD215" s="129">
        <f t="shared" si="607"/>
        <v>3.5415784783049427</v>
      </c>
      <c r="AE215" s="129">
        <f t="shared" si="607"/>
        <v>3.1412261285835146</v>
      </c>
      <c r="AF215" s="129">
        <f t="shared" si="607"/>
        <v>2.7861310010045091</v>
      </c>
      <c r="AG215" s="116">
        <f t="shared" ref="AG215" si="608">((AF215/J215)^(1/($AF$3-$K$1) ))-1</f>
        <v>-0.10659959440802635</v>
      </c>
      <c r="AH215" s="21">
        <f t="shared" ref="AH215:AH217" si="609">$O$1</f>
        <v>0.05</v>
      </c>
      <c r="AI215" s="158">
        <f>(AI202)/($O$2*100)</f>
        <v>0.1600455065057641</v>
      </c>
    </row>
    <row r="216" spans="2:35">
      <c r="B216" s="10" t="s">
        <v>437</v>
      </c>
      <c r="C216" s="158"/>
      <c r="D216" s="158"/>
      <c r="E216" s="158"/>
      <c r="F216" s="158"/>
      <c r="G216" s="158">
        <f t="shared" ref="G216" si="610">(G203)/($O$2*100)</f>
        <v>-23.333333333333332</v>
      </c>
      <c r="H216" s="158">
        <f t="shared" ref="H216:I216" si="611">(H203)/($O$2*100)</f>
        <v>-23.333333333333332</v>
      </c>
      <c r="I216" s="158">
        <f t="shared" si="611"/>
        <v>2.9454545454545453</v>
      </c>
      <c r="J216" s="158">
        <f t="shared" ref="J216:T216" si="612">(J203)/($O$2*100)</f>
        <v>2.4822695035460991</v>
      </c>
      <c r="K216" s="158">
        <f t="shared" si="612"/>
        <v>1.2869999999999999</v>
      </c>
      <c r="L216" s="158">
        <f t="shared" si="612"/>
        <v>0.2929934210526316</v>
      </c>
      <c r="M216" s="158">
        <f t="shared" si="612"/>
        <v>1.0893723849372385</v>
      </c>
      <c r="N216" s="158">
        <f t="shared" si="612"/>
        <v>0.8591471801925723</v>
      </c>
      <c r="O216" s="158">
        <f t="shared" si="612"/>
        <v>0.80669737291026955</v>
      </c>
      <c r="P216" s="158">
        <f t="shared" si="612"/>
        <v>0.77236923076923081</v>
      </c>
      <c r="Q216" s="158">
        <f t="shared" si="612"/>
        <v>0.52228429546865296</v>
      </c>
      <c r="R216" s="158">
        <f t="shared" si="612"/>
        <v>1.1364563511934569</v>
      </c>
      <c r="S216" s="158">
        <f t="shared" si="612"/>
        <v>0.96437327006722018</v>
      </c>
      <c r="T216" s="158">
        <f t="shared" si="612"/>
        <v>1.7309152896253071</v>
      </c>
      <c r="U216" s="101">
        <f t="shared" si="545"/>
        <v>-1.8186531275024118</v>
      </c>
      <c r="V216" s="110"/>
      <c r="W216" s="158">
        <f t="shared" ref="W216:AF216" si="613">(W203)/($O$2*100)</f>
        <v>0.54675062847032063</v>
      </c>
      <c r="X216" s="158">
        <f t="shared" si="613"/>
        <v>0.48494403568671929</v>
      </c>
      <c r="Y216" s="158">
        <f t="shared" si="613"/>
        <v>0.43012427513082924</v>
      </c>
      <c r="Z216" s="158">
        <f t="shared" si="613"/>
        <v>0.38150153098560513</v>
      </c>
      <c r="AA216" s="158">
        <f t="shared" si="613"/>
        <v>0.33837527096114545</v>
      </c>
      <c r="AB216" s="158">
        <f t="shared" si="613"/>
        <v>0.30012415337423337</v>
      </c>
      <c r="AC216" s="158">
        <f t="shared" si="613"/>
        <v>0.26619707516671137</v>
      </c>
      <c r="AD216" s="158">
        <f t="shared" si="613"/>
        <v>0.23610523188699617</v>
      </c>
      <c r="AE216" s="158">
        <f t="shared" si="613"/>
        <v>0.20941507523890096</v>
      </c>
      <c r="AF216" s="158">
        <f t="shared" si="613"/>
        <v>0.18574206673363394</v>
      </c>
      <c r="AG216" s="116">
        <f t="shared" si="592"/>
        <v>-0.10659959440802635</v>
      </c>
      <c r="AH216" s="21">
        <f t="shared" si="609"/>
        <v>0.05</v>
      </c>
      <c r="AI216" s="158">
        <f>(AI203)/($O$2*100)</f>
        <v>0.97612963385482354</v>
      </c>
    </row>
    <row r="217" spans="2:35">
      <c r="B217" s="10" t="s">
        <v>438</v>
      </c>
      <c r="C217" s="129"/>
      <c r="D217" s="129"/>
      <c r="E217" s="129"/>
      <c r="F217" s="129"/>
      <c r="G217" s="129">
        <f t="shared" ref="G217" si="614">G216-1</f>
        <v>-24.333333333333332</v>
      </c>
      <c r="H217" s="129">
        <f t="shared" ref="H217:I217" si="615">H216-1</f>
        <v>-24.333333333333332</v>
      </c>
      <c r="I217" s="129">
        <f t="shared" si="615"/>
        <v>1.9454545454545453</v>
      </c>
      <c r="J217" s="129">
        <f t="shared" ref="J217:S217" si="616">J216-1</f>
        <v>1.4822695035460991</v>
      </c>
      <c r="K217" s="129">
        <f t="shared" si="616"/>
        <v>0.28699999999999992</v>
      </c>
      <c r="L217" s="129">
        <f t="shared" si="616"/>
        <v>-0.7070065789473684</v>
      </c>
      <c r="M217" s="129">
        <f t="shared" si="616"/>
        <v>8.9372384937238536E-2</v>
      </c>
      <c r="N217" s="129">
        <f t="shared" si="616"/>
        <v>-0.1408528198074277</v>
      </c>
      <c r="O217" s="129">
        <f t="shared" si="616"/>
        <v>-0.19330262708973045</v>
      </c>
      <c r="P217" s="129">
        <f t="shared" si="616"/>
        <v>-0.22763076923076919</v>
      </c>
      <c r="Q217" s="129">
        <f t="shared" si="616"/>
        <v>-0.47771570453134704</v>
      </c>
      <c r="R217" s="129">
        <f t="shared" si="616"/>
        <v>0.13645635119345689</v>
      </c>
      <c r="S217" s="129">
        <f t="shared" si="616"/>
        <v>-3.5626729932779821E-2</v>
      </c>
      <c r="T217" s="129">
        <f>T216-1</f>
        <v>0.73091528962530705</v>
      </c>
      <c r="U217" s="101">
        <f t="shared" si="545"/>
        <v>-1.7636552497159168</v>
      </c>
      <c r="V217" s="110"/>
      <c r="W217" s="129">
        <f t="shared" ref="W217:AF217" si="617">W216-1</f>
        <v>-0.45324937152967937</v>
      </c>
      <c r="X217" s="129">
        <f t="shared" si="617"/>
        <v>-0.51505596431328071</v>
      </c>
      <c r="Y217" s="129">
        <f t="shared" si="617"/>
        <v>-0.56987572486917082</v>
      </c>
      <c r="Z217" s="129">
        <f t="shared" si="617"/>
        <v>-0.61849846901439487</v>
      </c>
      <c r="AA217" s="129">
        <f t="shared" si="617"/>
        <v>-0.66162472903885461</v>
      </c>
      <c r="AB217" s="129">
        <f t="shared" si="617"/>
        <v>-0.69987584662576663</v>
      </c>
      <c r="AC217" s="129">
        <f t="shared" si="617"/>
        <v>-0.73380292483328868</v>
      </c>
      <c r="AD217" s="129">
        <f t="shared" si="617"/>
        <v>-0.76389476811300383</v>
      </c>
      <c r="AE217" s="129">
        <f t="shared" si="617"/>
        <v>-0.79058492476109898</v>
      </c>
      <c r="AF217" s="129">
        <f t="shared" si="617"/>
        <v>-0.81425793326636609</v>
      </c>
      <c r="AG217" s="116">
        <f t="shared" ref="AG217" si="618">((AF217/J217)^(1/($AF$3-$K$1) ))-1</f>
        <v>-1.9742905061808906</v>
      </c>
      <c r="AH217" s="21">
        <f t="shared" si="609"/>
        <v>0.05</v>
      </c>
      <c r="AI217" s="158" t="e">
        <f>(AI204)/($O$2*100)</f>
        <v>#VALUE!</v>
      </c>
    </row>
    <row r="218" spans="2:35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10"/>
      <c r="V218" s="110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13"/>
      <c r="AG218" s="115"/>
      <c r="AH218" s="10"/>
      <c r="AI218" s="109"/>
    </row>
    <row r="219" spans="2:35">
      <c r="B219" s="10" t="s">
        <v>414</v>
      </c>
      <c r="C219" s="129"/>
      <c r="D219" s="129"/>
      <c r="E219" s="129"/>
      <c r="F219" s="129"/>
      <c r="G219" s="129">
        <f t="shared" ref="G219:S219" si="619">1/G220</f>
        <v>0.30415250675204347</v>
      </c>
      <c r="H219" s="129">
        <f t="shared" si="619"/>
        <v>0.30415250675204347</v>
      </c>
      <c r="I219" s="129">
        <f t="shared" si="619"/>
        <v>0.23656306080714495</v>
      </c>
      <c r="J219" s="129">
        <f t="shared" si="619"/>
        <v>0.17032540378114436</v>
      </c>
      <c r="K219" s="129">
        <f t="shared" si="619"/>
        <v>0.16377442671263881</v>
      </c>
      <c r="L219" s="129">
        <f t="shared" si="619"/>
        <v>0.47312612161428991</v>
      </c>
      <c r="M219" s="129">
        <f t="shared" si="619"/>
        <v>9.2568154228882801E-2</v>
      </c>
      <c r="N219" s="129">
        <f t="shared" si="619"/>
        <v>7.8854353602381647E-2</v>
      </c>
      <c r="O219" s="129">
        <f t="shared" si="619"/>
        <v>6.3554255142218047E-2</v>
      </c>
      <c r="P219" s="129">
        <f t="shared" si="619"/>
        <v>5.0692084458673917E-2</v>
      </c>
      <c r="Q219" s="129">
        <f t="shared" si="619"/>
        <v>6.0830501350408697E-2</v>
      </c>
      <c r="R219" s="129">
        <f t="shared" si="619"/>
        <v>2.6123528187292081E-2</v>
      </c>
      <c r="S219" s="129">
        <f t="shared" si="619"/>
        <v>2.4472040773152928E-2</v>
      </c>
      <c r="T219" s="129">
        <f>1/T220</f>
        <v>1.120561866981213E-2</v>
      </c>
      <c r="U219" s="101">
        <f t="shared" si="545"/>
        <v>-0.22425532518370062</v>
      </c>
      <c r="V219" s="110"/>
      <c r="W219" s="129">
        <f t="shared" ref="W219:AF219" si="620">1/W220</f>
        <v>0.14193783648428696</v>
      </c>
      <c r="X219" s="129">
        <f t="shared" si="620"/>
        <v>0.14193783648428696</v>
      </c>
      <c r="Y219" s="129">
        <f t="shared" si="620"/>
        <v>0.14193783648428696</v>
      </c>
      <c r="Z219" s="129">
        <f t="shared" si="620"/>
        <v>0.14193783648428696</v>
      </c>
      <c r="AA219" s="129">
        <f t="shared" si="620"/>
        <v>0.14193783648428696</v>
      </c>
      <c r="AB219" s="129">
        <f t="shared" si="620"/>
        <v>0.14193783648428696</v>
      </c>
      <c r="AC219" s="129">
        <f t="shared" si="620"/>
        <v>0.14193783648428696</v>
      </c>
      <c r="AD219" s="129">
        <f t="shared" si="620"/>
        <v>0.14193783648428696</v>
      </c>
      <c r="AE219" s="129">
        <f t="shared" si="620"/>
        <v>0.14193783648428696</v>
      </c>
      <c r="AF219" s="129">
        <f t="shared" si="620"/>
        <v>0.14193783648428696</v>
      </c>
      <c r="AG219" s="116">
        <f t="shared" ref="AG219" si="621">((AF219/J219)^(1/($AF$3-$K$1) ))-1</f>
        <v>-7.8956882071137269E-3</v>
      </c>
      <c r="AH219" s="21">
        <f t="shared" ref="AH219:AH222" si="622">$O$1</f>
        <v>0.05</v>
      </c>
      <c r="AI219" s="158">
        <f>(AI206)/($O$2*100)</f>
        <v>0.14987004120074893</v>
      </c>
    </row>
    <row r="220" spans="2:35">
      <c r="B220" s="10" t="s">
        <v>415</v>
      </c>
      <c r="C220" s="111"/>
      <c r="D220" s="111"/>
      <c r="E220" s="111"/>
      <c r="F220" s="111"/>
      <c r="G220" s="113">
        <f t="shared" ref="G220" si="623">G201/$V$170</f>
        <v>3.2878242914342883</v>
      </c>
      <c r="H220" s="113">
        <f t="shared" ref="H220:I220" si="624">H201/$V$170</f>
        <v>3.2878242914342883</v>
      </c>
      <c r="I220" s="113">
        <f t="shared" si="624"/>
        <v>4.2272026604155135</v>
      </c>
      <c r="J220" s="113">
        <f t="shared" ref="J220:T220" si="625">J201/$V$170</f>
        <v>5.8711148061326579</v>
      </c>
      <c r="K220" s="113">
        <f t="shared" si="625"/>
        <v>6.1059593983779639</v>
      </c>
      <c r="L220" s="113">
        <f t="shared" si="625"/>
        <v>2.1136013302077568</v>
      </c>
      <c r="M220" s="113">
        <f t="shared" si="625"/>
        <v>10.80285124328409</v>
      </c>
      <c r="N220" s="113">
        <f t="shared" si="625"/>
        <v>12.68160798124654</v>
      </c>
      <c r="O220" s="113">
        <f t="shared" si="625"/>
        <v>15.734587680435522</v>
      </c>
      <c r="P220" s="113">
        <f t="shared" si="625"/>
        <v>19.726945748605729</v>
      </c>
      <c r="Q220" s="113">
        <f t="shared" si="625"/>
        <v>16.439121457171442</v>
      </c>
      <c r="R220" s="113">
        <f t="shared" si="625"/>
        <v>38.279668535984925</v>
      </c>
      <c r="S220" s="113">
        <f t="shared" si="625"/>
        <v>40.862959050683294</v>
      </c>
      <c r="T220" s="113">
        <f t="shared" si="625"/>
        <v>89.240945053216393</v>
      </c>
      <c r="U220" s="101">
        <f t="shared" si="545"/>
        <v>0.28908393762007512</v>
      </c>
      <c r="V220" s="110"/>
      <c r="W220" s="113">
        <f t="shared" ref="W220:AF220" si="626">W201/$V$170</f>
        <v>7.0453377673591895</v>
      </c>
      <c r="X220" s="113">
        <f t="shared" si="626"/>
        <v>7.0453377673591895</v>
      </c>
      <c r="Y220" s="113">
        <f t="shared" si="626"/>
        <v>7.0453377673591895</v>
      </c>
      <c r="Z220" s="113">
        <f t="shared" si="626"/>
        <v>7.0453377673591895</v>
      </c>
      <c r="AA220" s="113">
        <f t="shared" si="626"/>
        <v>7.0453377673591895</v>
      </c>
      <c r="AB220" s="113">
        <f t="shared" si="626"/>
        <v>7.0453377673591895</v>
      </c>
      <c r="AC220" s="113">
        <f t="shared" si="626"/>
        <v>7.0453377673591895</v>
      </c>
      <c r="AD220" s="113">
        <f t="shared" si="626"/>
        <v>7.0453377673591895</v>
      </c>
      <c r="AE220" s="113">
        <f t="shared" si="626"/>
        <v>7.0453377673591895</v>
      </c>
      <c r="AF220" s="113">
        <f t="shared" si="626"/>
        <v>7.0453377673591895</v>
      </c>
      <c r="AG220" s="116">
        <f t="shared" ref="AG220:AG222" si="627">((AF220/J220)^(1/($AF$3-$K$1) ))-1</f>
        <v>7.9585262489636488E-3</v>
      </c>
      <c r="AH220" s="21">
        <f t="shared" si="622"/>
        <v>0.05</v>
      </c>
      <c r="AI220" s="158">
        <f>(AI206)/($O$2*100)</f>
        <v>0.14987004120074893</v>
      </c>
    </row>
    <row r="221" spans="2:35">
      <c r="B221" s="10" t="s">
        <v>437</v>
      </c>
      <c r="C221" s="111"/>
      <c r="D221" s="111"/>
      <c r="E221" s="111"/>
      <c r="F221" s="111"/>
      <c r="G221" s="158">
        <f t="shared" ref="G221" si="628">(G220)/($O$2*100)</f>
        <v>0.21918828609561922</v>
      </c>
      <c r="H221" s="158">
        <f t="shared" ref="H221:I221" si="629">(H220)/($O$2*100)</f>
        <v>0.21918828609561922</v>
      </c>
      <c r="I221" s="158">
        <f t="shared" si="629"/>
        <v>0.28181351069436755</v>
      </c>
      <c r="J221" s="158">
        <f t="shared" ref="J221:T221" si="630">(J220)/($O$2*100)</f>
        <v>0.39140765374217718</v>
      </c>
      <c r="K221" s="158">
        <f t="shared" si="630"/>
        <v>0.40706395989186428</v>
      </c>
      <c r="L221" s="158">
        <f t="shared" si="630"/>
        <v>0.14090675534718378</v>
      </c>
      <c r="M221" s="158">
        <f t="shared" si="630"/>
        <v>0.72019008288560604</v>
      </c>
      <c r="N221" s="158">
        <f t="shared" si="630"/>
        <v>0.84544053208310266</v>
      </c>
      <c r="O221" s="158">
        <f t="shared" si="630"/>
        <v>1.0489725120290347</v>
      </c>
      <c r="P221" s="158">
        <f t="shared" si="630"/>
        <v>1.3151297165737152</v>
      </c>
      <c r="Q221" s="158">
        <f t="shared" si="630"/>
        <v>1.0959414304780961</v>
      </c>
      <c r="R221" s="158">
        <f t="shared" si="630"/>
        <v>2.551977902398995</v>
      </c>
      <c r="S221" s="158">
        <f t="shared" si="630"/>
        <v>2.7241972700455528</v>
      </c>
      <c r="T221" s="158">
        <f t="shared" si="630"/>
        <v>5.9493963368810929</v>
      </c>
      <c r="U221" s="101">
        <f t="shared" si="545"/>
        <v>0.28908393762007512</v>
      </c>
      <c r="V221" s="110"/>
      <c r="W221" s="158">
        <f t="shared" ref="W221:AF221" si="631">(W220)/($O$2*100)</f>
        <v>0.46968918449061264</v>
      </c>
      <c r="X221" s="158">
        <f t="shared" si="631"/>
        <v>0.46968918449061264</v>
      </c>
      <c r="Y221" s="158">
        <f t="shared" si="631"/>
        <v>0.46968918449061264</v>
      </c>
      <c r="Z221" s="158">
        <f t="shared" si="631"/>
        <v>0.46968918449061264</v>
      </c>
      <c r="AA221" s="158">
        <f t="shared" si="631"/>
        <v>0.46968918449061264</v>
      </c>
      <c r="AB221" s="158">
        <f t="shared" si="631"/>
        <v>0.46968918449061264</v>
      </c>
      <c r="AC221" s="158">
        <f t="shared" si="631"/>
        <v>0.46968918449061264</v>
      </c>
      <c r="AD221" s="158">
        <f t="shared" si="631"/>
        <v>0.46968918449061264</v>
      </c>
      <c r="AE221" s="158">
        <f t="shared" si="631"/>
        <v>0.46968918449061264</v>
      </c>
      <c r="AF221" s="158">
        <f t="shared" si="631"/>
        <v>0.46968918449061264</v>
      </c>
      <c r="AG221" s="116">
        <f t="shared" si="627"/>
        <v>7.9585262489636488E-3</v>
      </c>
      <c r="AH221" s="21">
        <f t="shared" si="622"/>
        <v>0.05</v>
      </c>
      <c r="AI221" s="158" t="e">
        <f>(AI207)/($O$2*100)</f>
        <v>#VALUE!</v>
      </c>
    </row>
    <row r="222" spans="2:35">
      <c r="B222" s="10" t="s">
        <v>439</v>
      </c>
      <c r="C222" s="111"/>
      <c r="D222" s="111"/>
      <c r="E222" s="111"/>
      <c r="F222" s="111"/>
      <c r="G222" s="129">
        <f t="shared" ref="G222" si="632">G221-1</f>
        <v>-0.78081171390438076</v>
      </c>
      <c r="H222" s="129">
        <f t="shared" ref="H222:I222" si="633">H221-1</f>
        <v>-0.78081171390438076</v>
      </c>
      <c r="I222" s="129">
        <f t="shared" si="633"/>
        <v>-0.71818648930563245</v>
      </c>
      <c r="J222" s="129">
        <f t="shared" ref="J222:T222" si="634">J221-1</f>
        <v>-0.60859234625782288</v>
      </c>
      <c r="K222" s="129">
        <f t="shared" si="634"/>
        <v>-0.59293604010813572</v>
      </c>
      <c r="L222" s="129">
        <f t="shared" si="634"/>
        <v>-0.85909324465281622</v>
      </c>
      <c r="M222" s="129">
        <f t="shared" si="634"/>
        <v>-0.27980991711439396</v>
      </c>
      <c r="N222" s="129">
        <f t="shared" si="634"/>
        <v>-0.15455946791689734</v>
      </c>
      <c r="O222" s="129">
        <f t="shared" si="634"/>
        <v>4.8972512029034743E-2</v>
      </c>
      <c r="P222" s="129">
        <f t="shared" si="634"/>
        <v>0.31512971657371525</v>
      </c>
      <c r="Q222" s="129">
        <f t="shared" si="634"/>
        <v>9.5941430478096112E-2</v>
      </c>
      <c r="R222" s="129">
        <f t="shared" si="634"/>
        <v>1.551977902398995</v>
      </c>
      <c r="S222" s="129">
        <f t="shared" si="634"/>
        <v>1.7241972700455528</v>
      </c>
      <c r="T222" s="129">
        <f t="shared" si="634"/>
        <v>4.9493963368810929</v>
      </c>
      <c r="U222" s="101">
        <f t="shared" si="545"/>
        <v>-2.1526375468482244</v>
      </c>
      <c r="V222" s="110"/>
      <c r="W222" s="129">
        <f t="shared" ref="W222:AF222" si="635">W221-1</f>
        <v>-0.53031081550938741</v>
      </c>
      <c r="X222" s="129">
        <f t="shared" si="635"/>
        <v>-0.53031081550938741</v>
      </c>
      <c r="Y222" s="129">
        <f t="shared" si="635"/>
        <v>-0.53031081550938741</v>
      </c>
      <c r="Z222" s="129">
        <f t="shared" si="635"/>
        <v>-0.53031081550938741</v>
      </c>
      <c r="AA222" s="129">
        <f t="shared" si="635"/>
        <v>-0.53031081550938741</v>
      </c>
      <c r="AB222" s="129">
        <f t="shared" si="635"/>
        <v>-0.53031081550938741</v>
      </c>
      <c r="AC222" s="129">
        <f t="shared" si="635"/>
        <v>-0.53031081550938741</v>
      </c>
      <c r="AD222" s="129">
        <f t="shared" si="635"/>
        <v>-0.53031081550938741</v>
      </c>
      <c r="AE222" s="129">
        <f t="shared" si="635"/>
        <v>-0.53031081550938741</v>
      </c>
      <c r="AF222" s="129">
        <f t="shared" si="635"/>
        <v>-0.53031081550938741</v>
      </c>
      <c r="AG222" s="116">
        <f t="shared" si="627"/>
        <v>-5.9684386549878621E-3</v>
      </c>
      <c r="AH222" s="21">
        <f t="shared" si="622"/>
        <v>0.05</v>
      </c>
      <c r="AI222" s="158" t="e">
        <f>(AI208)/($O$2*100)</f>
        <v>#VALUE!</v>
      </c>
    </row>
    <row r="223" spans="2:35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5"/>
      <c r="O223" s="176"/>
      <c r="P223" s="113"/>
      <c r="Q223" s="113"/>
      <c r="R223" s="113"/>
      <c r="S223" s="113"/>
      <c r="T223" s="113"/>
      <c r="U223" s="110"/>
      <c r="V223" s="110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5"/>
      <c r="AH223" s="10"/>
      <c r="AI223" s="10"/>
    </row>
    <row r="224" spans="2:35">
      <c r="B224" s="10" t="s">
        <v>414</v>
      </c>
      <c r="C224" s="111"/>
      <c r="D224" s="111"/>
      <c r="E224" s="111"/>
      <c r="F224" s="111"/>
      <c r="G224" s="129">
        <f t="shared" ref="G224:T224" si="636">1/G225</f>
        <v>0.67465193439338922</v>
      </c>
      <c r="H224" s="129">
        <f t="shared" si="636"/>
        <v>0.67465193439338922</v>
      </c>
      <c r="I224" s="129">
        <f t="shared" si="636"/>
        <v>0.52472928230596927</v>
      </c>
      <c r="J224" s="129">
        <f t="shared" si="636"/>
        <v>0.37780508326029794</v>
      </c>
      <c r="K224" s="129">
        <f t="shared" si="636"/>
        <v>0.36327411851951724</v>
      </c>
      <c r="L224" s="129">
        <f t="shared" si="636"/>
        <v>1.0494585646119385</v>
      </c>
      <c r="M224" s="129">
        <f t="shared" si="636"/>
        <v>0.205328849597988</v>
      </c>
      <c r="N224" s="129">
        <f t="shared" si="636"/>
        <v>0.17490976076865644</v>
      </c>
      <c r="O224" s="129">
        <f t="shared" si="636"/>
        <v>0.14097204599264848</v>
      </c>
      <c r="P224" s="129">
        <f t="shared" si="636"/>
        <v>0.11244198906556487</v>
      </c>
      <c r="Q224" s="129">
        <f t="shared" si="636"/>
        <v>0.13493038687867781</v>
      </c>
      <c r="R224" s="129">
        <f t="shared" si="636"/>
        <v>5.7945564917223615E-2</v>
      </c>
      <c r="S224" s="129">
        <f t="shared" si="636"/>
        <v>5.4282339548893381E-2</v>
      </c>
      <c r="T224" s="129">
        <f t="shared" si="636"/>
        <v>2.4855597582914338E-2</v>
      </c>
      <c r="U224" s="101">
        <f t="shared" si="545"/>
        <v>-0.22425532518370062</v>
      </c>
      <c r="V224" s="110"/>
      <c r="W224" s="129">
        <f t="shared" ref="W224:AF224" si="637">1/W225</f>
        <v>0.31483756938358159</v>
      </c>
      <c r="X224" s="129">
        <f t="shared" si="637"/>
        <v>0.31483756938358159</v>
      </c>
      <c r="Y224" s="129">
        <f t="shared" si="637"/>
        <v>0.31483756938358159</v>
      </c>
      <c r="Z224" s="129">
        <f t="shared" si="637"/>
        <v>0.31483756938358159</v>
      </c>
      <c r="AA224" s="129">
        <f t="shared" si="637"/>
        <v>0.31483756938358159</v>
      </c>
      <c r="AB224" s="129">
        <f t="shared" si="637"/>
        <v>0.31483756938358159</v>
      </c>
      <c r="AC224" s="129">
        <f t="shared" si="637"/>
        <v>0.31483756938358159</v>
      </c>
      <c r="AD224" s="129">
        <f t="shared" si="637"/>
        <v>0.31483756938358159</v>
      </c>
      <c r="AE224" s="129">
        <f t="shared" si="637"/>
        <v>0.31483756938358159</v>
      </c>
      <c r="AF224" s="129">
        <f t="shared" si="637"/>
        <v>0.31483756938358159</v>
      </c>
      <c r="AG224" s="116">
        <f t="shared" ref="AG224" si="638">((AF224/J224)^(1/($AF$3-$K$1) ))-1</f>
        <v>-7.8956882071137269E-3</v>
      </c>
      <c r="AH224" s="21">
        <f t="shared" ref="AH224" si="639">$O$1</f>
        <v>0.05</v>
      </c>
      <c r="AI224" s="158">
        <f>(AI210)/($O$2*100)</f>
        <v>0</v>
      </c>
    </row>
    <row r="225" spans="2:35">
      <c r="B225" s="10" t="s">
        <v>416</v>
      </c>
      <c r="C225" s="111"/>
      <c r="D225" s="111"/>
      <c r="E225" s="111"/>
      <c r="F225" s="111"/>
      <c r="G225" s="113">
        <f t="shared" ref="G225" si="640">G201/$T$170</f>
        <v>1.4822458056081116</v>
      </c>
      <c r="H225" s="113">
        <f t="shared" ref="H225:I225" si="641">H201/$T$170</f>
        <v>1.4822458056081116</v>
      </c>
      <c r="I225" s="113">
        <f t="shared" si="641"/>
        <v>1.9057446072104294</v>
      </c>
      <c r="J225" s="113">
        <f t="shared" ref="J225:S225" si="642">J201/$T$170</f>
        <v>2.6468675100144852</v>
      </c>
      <c r="K225" s="113">
        <f t="shared" si="642"/>
        <v>2.7527422104150645</v>
      </c>
      <c r="L225" s="113">
        <f t="shared" si="642"/>
        <v>0.95287230360521469</v>
      </c>
      <c r="M225" s="113">
        <f t="shared" si="642"/>
        <v>4.870236218426653</v>
      </c>
      <c r="N225" s="113">
        <f t="shared" si="642"/>
        <v>5.7172338216312877</v>
      </c>
      <c r="O225" s="113">
        <f t="shared" si="642"/>
        <v>7.0936049268388199</v>
      </c>
      <c r="P225" s="113">
        <f t="shared" si="642"/>
        <v>8.8934748336486695</v>
      </c>
      <c r="Q225" s="113">
        <f t="shared" si="642"/>
        <v>7.4112290280405588</v>
      </c>
      <c r="R225" s="113">
        <f t="shared" si="642"/>
        <v>17.257576165294441</v>
      </c>
      <c r="S225" s="113">
        <f t="shared" si="642"/>
        <v>18.422197869700817</v>
      </c>
      <c r="T225" s="113">
        <f>T201/$T$170</f>
        <v>40.232386152220172</v>
      </c>
      <c r="U225" s="101">
        <f t="shared" si="545"/>
        <v>0.28908393762007512</v>
      </c>
      <c r="V225" s="110"/>
      <c r="W225" s="113">
        <f t="shared" ref="W225:AF225" si="643">W201/$T$170</f>
        <v>3.1762410120173823</v>
      </c>
      <c r="X225" s="113">
        <f t="shared" si="643"/>
        <v>3.1762410120173823</v>
      </c>
      <c r="Y225" s="113">
        <f t="shared" si="643"/>
        <v>3.1762410120173823</v>
      </c>
      <c r="Z225" s="113">
        <f t="shared" si="643"/>
        <v>3.1762410120173823</v>
      </c>
      <c r="AA225" s="113">
        <f t="shared" si="643"/>
        <v>3.1762410120173823</v>
      </c>
      <c r="AB225" s="113">
        <f t="shared" si="643"/>
        <v>3.1762410120173823</v>
      </c>
      <c r="AC225" s="113">
        <f t="shared" si="643"/>
        <v>3.1762410120173823</v>
      </c>
      <c r="AD225" s="113">
        <f t="shared" si="643"/>
        <v>3.1762410120173823</v>
      </c>
      <c r="AE225" s="113">
        <f t="shared" si="643"/>
        <v>3.1762410120173823</v>
      </c>
      <c r="AF225" s="113">
        <f t="shared" si="643"/>
        <v>3.1762410120173823</v>
      </c>
      <c r="AG225" s="116">
        <f t="shared" ref="AG225:AG227" si="644">((AF225/J225)^(1/($AF$3-$K$1) ))-1</f>
        <v>7.9585262489636488E-3</v>
      </c>
      <c r="AH225" s="21">
        <f t="shared" ref="AH225:AH227" si="645">$O$1</f>
        <v>0.05</v>
      </c>
      <c r="AI225" s="158">
        <f>(AI210)/($O$2*100)</f>
        <v>0</v>
      </c>
    </row>
    <row r="226" spans="2:35">
      <c r="B226" s="10" t="s">
        <v>437</v>
      </c>
      <c r="C226" s="111"/>
      <c r="D226" s="111"/>
      <c r="E226" s="111"/>
      <c r="F226" s="111"/>
      <c r="G226" s="158">
        <f t="shared" ref="G226" si="646">(G225)/($O$2*100)</f>
        <v>9.8816387040540771E-2</v>
      </c>
      <c r="H226" s="158">
        <f t="shared" ref="H226:I226" si="647">(H225)/($O$2*100)</f>
        <v>9.8816387040540771E-2</v>
      </c>
      <c r="I226" s="158">
        <f t="shared" si="647"/>
        <v>0.12704964048069528</v>
      </c>
      <c r="J226" s="158">
        <f t="shared" ref="J226:T226" si="648">(J225)/($O$2*100)</f>
        <v>0.17645783400096568</v>
      </c>
      <c r="K226" s="158">
        <f t="shared" si="648"/>
        <v>0.1835161473610043</v>
      </c>
      <c r="L226" s="158">
        <f t="shared" si="648"/>
        <v>6.352482024034764E-2</v>
      </c>
      <c r="M226" s="158">
        <f t="shared" si="648"/>
        <v>0.32468241456177688</v>
      </c>
      <c r="N226" s="158">
        <f t="shared" si="648"/>
        <v>0.38114892144208584</v>
      </c>
      <c r="O226" s="158">
        <f t="shared" si="648"/>
        <v>0.47290699512258799</v>
      </c>
      <c r="P226" s="158">
        <f t="shared" si="648"/>
        <v>0.59289832224324468</v>
      </c>
      <c r="Q226" s="158">
        <f t="shared" si="648"/>
        <v>0.49408193520270394</v>
      </c>
      <c r="R226" s="158">
        <f t="shared" si="648"/>
        <v>1.1505050776862962</v>
      </c>
      <c r="S226" s="158">
        <f t="shared" si="648"/>
        <v>1.2281465246467211</v>
      </c>
      <c r="T226" s="158">
        <f t="shared" si="648"/>
        <v>2.6821590768146781</v>
      </c>
      <c r="U226" s="101">
        <f t="shared" si="545"/>
        <v>0.28908393762007512</v>
      </c>
      <c r="V226" s="110"/>
      <c r="W226" s="158">
        <f t="shared" ref="W226:AF226" si="649">(W225)/($O$2*100)</f>
        <v>0.21174940080115881</v>
      </c>
      <c r="X226" s="158">
        <f t="shared" si="649"/>
        <v>0.21174940080115881</v>
      </c>
      <c r="Y226" s="158">
        <f t="shared" si="649"/>
        <v>0.21174940080115881</v>
      </c>
      <c r="Z226" s="158">
        <f t="shared" si="649"/>
        <v>0.21174940080115881</v>
      </c>
      <c r="AA226" s="158">
        <f t="shared" si="649"/>
        <v>0.21174940080115881</v>
      </c>
      <c r="AB226" s="158">
        <f t="shared" si="649"/>
        <v>0.21174940080115881</v>
      </c>
      <c r="AC226" s="158">
        <f t="shared" si="649"/>
        <v>0.21174940080115881</v>
      </c>
      <c r="AD226" s="158">
        <f t="shared" si="649"/>
        <v>0.21174940080115881</v>
      </c>
      <c r="AE226" s="158">
        <f t="shared" si="649"/>
        <v>0.21174940080115881</v>
      </c>
      <c r="AF226" s="158">
        <f t="shared" si="649"/>
        <v>0.21174940080115881</v>
      </c>
      <c r="AG226" s="116">
        <f t="shared" si="644"/>
        <v>7.9585262489636488E-3</v>
      </c>
      <c r="AH226" s="21">
        <f t="shared" si="645"/>
        <v>0.05</v>
      </c>
      <c r="AI226" s="158" t="e">
        <f>(#REF!)/($O$2*100)</f>
        <v>#REF!</v>
      </c>
    </row>
    <row r="227" spans="2:35">
      <c r="B227" s="10" t="s">
        <v>439</v>
      </c>
      <c r="C227" s="111"/>
      <c r="D227" s="111"/>
      <c r="E227" s="111"/>
      <c r="F227" s="111"/>
      <c r="G227" s="129">
        <f t="shared" ref="G227" si="650">G226-1</f>
        <v>-0.90118361295945926</v>
      </c>
      <c r="H227" s="129">
        <f t="shared" ref="H227:I227" si="651">H226-1</f>
        <v>-0.90118361295945926</v>
      </c>
      <c r="I227" s="129">
        <f t="shared" si="651"/>
        <v>-0.87295035951930466</v>
      </c>
      <c r="J227" s="129">
        <f t="shared" ref="J227:T227" si="652">J226-1</f>
        <v>-0.82354216599903429</v>
      </c>
      <c r="K227" s="129">
        <f t="shared" si="652"/>
        <v>-0.8164838526389957</v>
      </c>
      <c r="L227" s="129">
        <f t="shared" si="652"/>
        <v>-0.93647517975965233</v>
      </c>
      <c r="M227" s="129">
        <f t="shared" si="652"/>
        <v>-0.67531758543822318</v>
      </c>
      <c r="N227" s="129">
        <f t="shared" si="652"/>
        <v>-0.61885107855791421</v>
      </c>
      <c r="O227" s="129">
        <f t="shared" si="652"/>
        <v>-0.52709300487741206</v>
      </c>
      <c r="P227" s="129">
        <f t="shared" si="652"/>
        <v>-0.40710167775675532</v>
      </c>
      <c r="Q227" s="129">
        <f t="shared" si="652"/>
        <v>-0.50591806479729606</v>
      </c>
      <c r="R227" s="129">
        <f t="shared" si="652"/>
        <v>0.15050507768629617</v>
      </c>
      <c r="S227" s="129">
        <f t="shared" si="652"/>
        <v>0.22814652464672114</v>
      </c>
      <c r="T227" s="129">
        <f t="shared" si="652"/>
        <v>1.6821590768146781</v>
      </c>
      <c r="U227" s="101">
        <f t="shared" si="545"/>
        <v>-2.049180694098478</v>
      </c>
      <c r="V227" s="110"/>
      <c r="W227" s="129">
        <f t="shared" ref="W227:AF227" si="653">W226-1</f>
        <v>-0.78825059919884122</v>
      </c>
      <c r="X227" s="129">
        <f t="shared" si="653"/>
        <v>-0.78825059919884122</v>
      </c>
      <c r="Y227" s="129">
        <f t="shared" si="653"/>
        <v>-0.78825059919884122</v>
      </c>
      <c r="Z227" s="129">
        <f t="shared" si="653"/>
        <v>-0.78825059919884122</v>
      </c>
      <c r="AA227" s="129">
        <f t="shared" si="653"/>
        <v>-0.78825059919884122</v>
      </c>
      <c r="AB227" s="129">
        <f t="shared" si="653"/>
        <v>-0.78825059919884122</v>
      </c>
      <c r="AC227" s="129">
        <f t="shared" si="653"/>
        <v>-0.78825059919884122</v>
      </c>
      <c r="AD227" s="129">
        <f t="shared" si="653"/>
        <v>-0.78825059919884122</v>
      </c>
      <c r="AE227" s="129">
        <f t="shared" si="653"/>
        <v>-0.78825059919884122</v>
      </c>
      <c r="AF227" s="129">
        <f t="shared" si="653"/>
        <v>-0.78825059919884122</v>
      </c>
      <c r="AG227" s="116">
        <f t="shared" si="644"/>
        <v>-1.9024789933727027E-3</v>
      </c>
      <c r="AH227" s="21">
        <f t="shared" si="645"/>
        <v>0.05</v>
      </c>
      <c r="AI227" s="158" t="e">
        <f>(AI211)/($O$2*100)</f>
        <v>#DIV/0!</v>
      </c>
    </row>
    <row r="228" spans="2:35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5"/>
      <c r="O228" s="176"/>
      <c r="P228" s="113"/>
      <c r="Q228" s="113"/>
      <c r="R228" s="113"/>
      <c r="S228" s="113"/>
      <c r="T228" s="113"/>
      <c r="U228" s="110"/>
      <c r="V228" s="110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5"/>
      <c r="AH228" s="10"/>
      <c r="AI228" s="10"/>
    </row>
    <row r="229" spans="2:35">
      <c r="B229" s="10" t="s">
        <v>414</v>
      </c>
      <c r="C229" s="111"/>
      <c r="D229" s="111"/>
      <c r="E229" s="111"/>
      <c r="F229" s="111"/>
      <c r="G229" s="129">
        <f t="shared" ref="G229:S229" si="654">1/G230</f>
        <v>0.128455649783701</v>
      </c>
      <c r="H229" s="129">
        <f t="shared" si="654"/>
        <v>0.128455649783701</v>
      </c>
      <c r="I229" s="129">
        <f t="shared" si="654"/>
        <v>9.9909949831767444E-2</v>
      </c>
      <c r="J229" s="129">
        <f t="shared" si="654"/>
        <v>7.1935163878872554E-2</v>
      </c>
      <c r="K229" s="129">
        <f t="shared" si="654"/>
        <v>6.916842680660823E-2</v>
      </c>
      <c r="L229" s="129">
        <f t="shared" si="654"/>
        <v>0.19981989966353489</v>
      </c>
      <c r="M229" s="129">
        <f t="shared" si="654"/>
        <v>3.9095197760256828E-2</v>
      </c>
      <c r="N229" s="129">
        <f t="shared" si="654"/>
        <v>3.3303316610589148E-2</v>
      </c>
      <c r="O229" s="129">
        <f t="shared" si="654"/>
        <v>2.6841479059280804E-2</v>
      </c>
      <c r="P229" s="129">
        <f t="shared" si="654"/>
        <v>2.1409274963950165E-2</v>
      </c>
      <c r="Q229" s="129">
        <f t="shared" si="654"/>
        <v>2.5691129956740201E-2</v>
      </c>
      <c r="R229" s="129">
        <f t="shared" si="654"/>
        <v>1.1033000594919105E-2</v>
      </c>
      <c r="S229" s="129">
        <f t="shared" si="654"/>
        <v>1.0335512051562148E-2</v>
      </c>
      <c r="T229" s="129">
        <f>1/T230</f>
        <v>4.7325765709784577E-3</v>
      </c>
      <c r="U229" s="101">
        <f t="shared" ref="U229:U232" si="655">((T229/H229)^(1/($K$2-$K$1) ))-1</f>
        <v>-0.22425532518370062</v>
      </c>
      <c r="V229" s="110"/>
      <c r="W229" s="129">
        <f t="shared" ref="W229:AF229" si="656">1/W230</f>
        <v>37.211476900031982</v>
      </c>
      <c r="X229" s="129">
        <f t="shared" si="656"/>
        <v>41.954116112781151</v>
      </c>
      <c r="Y229" s="129">
        <f t="shared" si="656"/>
        <v>47.301209342841489</v>
      </c>
      <c r="Z229" s="129">
        <f t="shared" si="656"/>
        <v>53.329794847321281</v>
      </c>
      <c r="AA229" s="129">
        <f t="shared" si="656"/>
        <v>60.126729484724976</v>
      </c>
      <c r="AB229" s="129">
        <f t="shared" si="656"/>
        <v>67.789940105327176</v>
      </c>
      <c r="AC229" s="129">
        <f t="shared" si="656"/>
        <v>76.429834432476724</v>
      </c>
      <c r="AD229" s="129">
        <f t="shared" si="656"/>
        <v>86.170891762106095</v>
      </c>
      <c r="AE229" s="129">
        <f t="shared" si="656"/>
        <v>97.153456398452946</v>
      </c>
      <c r="AF229" s="129">
        <f t="shared" si="656"/>
        <v>109.53575966492241</v>
      </c>
      <c r="AG229" s="116">
        <f t="shared" ref="AG229:AG232" si="657">((AF229/J229)^(1/($AF$3-$K$1) ))-1</f>
        <v>0.37522751076730509</v>
      </c>
      <c r="AH229" s="21">
        <f t="shared" ref="AH229:AH232" si="658">$O$1</f>
        <v>0.05</v>
      </c>
      <c r="AI229" s="158">
        <f>(AI215)/($O$2*100)</f>
        <v>1.0669700433717606E-2</v>
      </c>
    </row>
    <row r="230" spans="2:35">
      <c r="B230" s="10" t="s">
        <v>511</v>
      </c>
      <c r="C230" s="111"/>
      <c r="D230" s="111"/>
      <c r="E230" s="111"/>
      <c r="F230" s="111"/>
      <c r="G230" s="113">
        <f t="shared" ref="G230" si="659">G201/$W$171</f>
        <v>7.7847879924615375</v>
      </c>
      <c r="H230" s="113">
        <f t="shared" ref="H230:S230" si="660">H201/$W$171</f>
        <v>7.7847879924615375</v>
      </c>
      <c r="I230" s="113">
        <f t="shared" si="660"/>
        <v>10.009013133164833</v>
      </c>
      <c r="J230" s="113">
        <f t="shared" si="660"/>
        <v>13.901407129395603</v>
      </c>
      <c r="K230" s="113">
        <f t="shared" si="660"/>
        <v>14.457463414571427</v>
      </c>
      <c r="L230" s="113">
        <f t="shared" si="660"/>
        <v>5.0045065665824167</v>
      </c>
      <c r="M230" s="113">
        <f t="shared" si="660"/>
        <v>25.578589118087908</v>
      </c>
      <c r="N230" s="113">
        <f t="shared" si="660"/>
        <v>30.027039399494502</v>
      </c>
      <c r="O230" s="113">
        <f t="shared" si="660"/>
        <v>37.255771106780216</v>
      </c>
      <c r="P230" s="113">
        <f t="shared" si="660"/>
        <v>46.708727954769223</v>
      </c>
      <c r="Q230" s="113">
        <f t="shared" si="660"/>
        <v>38.923939962307685</v>
      </c>
      <c r="R230" s="113">
        <f t="shared" si="660"/>
        <v>90.637174483659322</v>
      </c>
      <c r="S230" s="113">
        <f t="shared" si="660"/>
        <v>96.753793620593399</v>
      </c>
      <c r="T230" s="113">
        <f>T201/$W$171</f>
        <v>211.30138836681317</v>
      </c>
      <c r="U230" s="101">
        <f t="shared" si="655"/>
        <v>0.28908393762007512</v>
      </c>
      <c r="V230" s="110"/>
      <c r="W230" s="113">
        <f t="shared" ref="W230:AF230" si="661">W206/$T$170</f>
        <v>2.6873429471409679E-2</v>
      </c>
      <c r="X230" s="113">
        <f t="shared" si="661"/>
        <v>2.3835563531163371E-2</v>
      </c>
      <c r="Y230" s="113">
        <f t="shared" si="661"/>
        <v>2.1141108523292731E-2</v>
      </c>
      <c r="Z230" s="113">
        <f t="shared" si="661"/>
        <v>1.8751244081529207E-2</v>
      </c>
      <c r="AA230" s="113">
        <f t="shared" si="661"/>
        <v>1.6631538228834602E-2</v>
      </c>
      <c r="AB230" s="113">
        <f t="shared" si="661"/>
        <v>1.4751451298618518E-2</v>
      </c>
      <c r="AC230" s="113">
        <f t="shared" si="661"/>
        <v>1.3083895934426857E-2</v>
      </c>
      <c r="AD230" s="113">
        <f t="shared" si="661"/>
        <v>1.1604846828795997E-2</v>
      </c>
      <c r="AE230" s="113">
        <f t="shared" si="661"/>
        <v>1.0292994578584276E-2</v>
      </c>
      <c r="AF230" s="113">
        <f t="shared" si="661"/>
        <v>9.1294386697008383E-3</v>
      </c>
      <c r="AG230" s="116">
        <f t="shared" si="657"/>
        <v>-0.27284758909305684</v>
      </c>
      <c r="AH230" s="21">
        <f t="shared" si="658"/>
        <v>0.05</v>
      </c>
      <c r="AI230" s="158">
        <f>(AI215)/($O$2*100)</f>
        <v>1.0669700433717606E-2</v>
      </c>
    </row>
    <row r="231" spans="2:35">
      <c r="B231" s="10" t="s">
        <v>437</v>
      </c>
      <c r="C231" s="111"/>
      <c r="D231" s="111"/>
      <c r="E231" s="111"/>
      <c r="F231" s="111"/>
      <c r="G231" s="158">
        <f t="shared" ref="G231" si="662">(G230)/($O$2*100)</f>
        <v>0.51898586616410247</v>
      </c>
      <c r="H231" s="158">
        <f t="shared" ref="H231:T231" si="663">(H230)/($O$2*100)</f>
        <v>0.51898586616410247</v>
      </c>
      <c r="I231" s="158">
        <f t="shared" si="663"/>
        <v>0.66726754221098894</v>
      </c>
      <c r="J231" s="158">
        <f t="shared" si="663"/>
        <v>0.92676047529304018</v>
      </c>
      <c r="K231" s="158">
        <f t="shared" si="663"/>
        <v>0.96383089430476176</v>
      </c>
      <c r="L231" s="158">
        <f t="shared" si="663"/>
        <v>0.33363377110549447</v>
      </c>
      <c r="M231" s="158">
        <f t="shared" si="663"/>
        <v>1.705239274539194</v>
      </c>
      <c r="N231" s="158">
        <f t="shared" si="663"/>
        <v>2.0018026266329669</v>
      </c>
      <c r="O231" s="158">
        <f t="shared" si="663"/>
        <v>2.4837180737853477</v>
      </c>
      <c r="P231" s="158">
        <f t="shared" si="663"/>
        <v>3.1139151969846148</v>
      </c>
      <c r="Q231" s="158">
        <f t="shared" si="663"/>
        <v>2.5949293308205124</v>
      </c>
      <c r="R231" s="158">
        <f t="shared" si="663"/>
        <v>6.0424782989106216</v>
      </c>
      <c r="S231" s="158">
        <f t="shared" si="663"/>
        <v>6.4502529080395599</v>
      </c>
      <c r="T231" s="158">
        <f t="shared" si="663"/>
        <v>14.086759224454211</v>
      </c>
      <c r="U231" s="101">
        <f t="shared" si="655"/>
        <v>0.28908393762007512</v>
      </c>
      <c r="V231" s="110"/>
      <c r="W231" s="158">
        <f t="shared" ref="W231:AF231" si="664">(W230)/($O$2*100)</f>
        <v>1.7915619647606454E-3</v>
      </c>
      <c r="X231" s="158">
        <f t="shared" si="664"/>
        <v>1.5890375687442246E-3</v>
      </c>
      <c r="Y231" s="158">
        <f t="shared" si="664"/>
        <v>1.409407234886182E-3</v>
      </c>
      <c r="Z231" s="158">
        <f t="shared" si="664"/>
        <v>1.2500829387686139E-3</v>
      </c>
      <c r="AA231" s="158">
        <f t="shared" si="664"/>
        <v>1.10876921525564E-3</v>
      </c>
      <c r="AB231" s="158">
        <f t="shared" si="664"/>
        <v>9.8343008657456781E-4</v>
      </c>
      <c r="AC231" s="158">
        <f t="shared" si="664"/>
        <v>8.7225972896179046E-4</v>
      </c>
      <c r="AD231" s="158">
        <f t="shared" si="664"/>
        <v>7.7365645525306653E-4</v>
      </c>
      <c r="AE231" s="158">
        <f t="shared" si="664"/>
        <v>6.8619963857228508E-4</v>
      </c>
      <c r="AF231" s="158">
        <f t="shared" si="664"/>
        <v>6.0862924464672255E-4</v>
      </c>
      <c r="AG231" s="116">
        <f t="shared" si="657"/>
        <v>-0.27284758909305684</v>
      </c>
      <c r="AH231" s="21">
        <f t="shared" si="658"/>
        <v>0.05</v>
      </c>
      <c r="AI231" s="158" t="e">
        <f>(#REF!)/($O$2*100)</f>
        <v>#REF!</v>
      </c>
    </row>
    <row r="232" spans="2:35">
      <c r="B232" s="10" t="s">
        <v>439</v>
      </c>
      <c r="C232" s="111"/>
      <c r="D232" s="111"/>
      <c r="E232" s="111"/>
      <c r="F232" s="111"/>
      <c r="G232" s="129">
        <f t="shared" ref="G232" si="665">G231-1</f>
        <v>-0.48101413383589753</v>
      </c>
      <c r="H232" s="129">
        <f t="shared" ref="H232:T232" si="666">H231-1</f>
        <v>-0.48101413383589753</v>
      </c>
      <c r="I232" s="129">
        <f t="shared" si="666"/>
        <v>-0.33273245778901106</v>
      </c>
      <c r="J232" s="129">
        <f t="shared" si="666"/>
        <v>-7.3239524706959824E-2</v>
      </c>
      <c r="K232" s="129">
        <f t="shared" si="666"/>
        <v>-3.6169105695238235E-2</v>
      </c>
      <c r="L232" s="129">
        <f t="shared" si="666"/>
        <v>-0.66636622889450559</v>
      </c>
      <c r="M232" s="129">
        <f t="shared" si="666"/>
        <v>0.70523927453919399</v>
      </c>
      <c r="N232" s="129">
        <f t="shared" si="666"/>
        <v>1.0018026266329669</v>
      </c>
      <c r="O232" s="129">
        <f t="shared" si="666"/>
        <v>1.4837180737853477</v>
      </c>
      <c r="P232" s="129">
        <f t="shared" si="666"/>
        <v>2.1139151969846148</v>
      </c>
      <c r="Q232" s="129">
        <f t="shared" si="666"/>
        <v>1.5949293308205124</v>
      </c>
      <c r="R232" s="129">
        <f t="shared" si="666"/>
        <v>5.0424782989106216</v>
      </c>
      <c r="S232" s="129">
        <f t="shared" si="666"/>
        <v>5.4502529080395599</v>
      </c>
      <c r="T232" s="129">
        <f t="shared" si="666"/>
        <v>13.086759224454211</v>
      </c>
      <c r="U232" s="101">
        <f t="shared" si="655"/>
        <v>-2.2893165564258489</v>
      </c>
      <c r="V232" s="110"/>
      <c r="W232" s="129">
        <f t="shared" ref="W232:AF232" si="667">W231-1</f>
        <v>-0.9982084380352394</v>
      </c>
      <c r="X232" s="129">
        <f t="shared" si="667"/>
        <v>-0.99841096243125582</v>
      </c>
      <c r="Y232" s="129">
        <f t="shared" si="667"/>
        <v>-0.99859059276511386</v>
      </c>
      <c r="Z232" s="129">
        <f t="shared" si="667"/>
        <v>-0.9987499170612314</v>
      </c>
      <c r="AA232" s="129">
        <f t="shared" si="667"/>
        <v>-0.9988912307847444</v>
      </c>
      <c r="AB232" s="129">
        <f t="shared" si="667"/>
        <v>-0.99901656991342547</v>
      </c>
      <c r="AC232" s="129">
        <f t="shared" si="667"/>
        <v>-0.99912774027103823</v>
      </c>
      <c r="AD232" s="129">
        <f t="shared" si="667"/>
        <v>-0.99922634354474693</v>
      </c>
      <c r="AE232" s="129">
        <f t="shared" si="667"/>
        <v>-0.9993138003614277</v>
      </c>
      <c r="AF232" s="129">
        <f t="shared" si="667"/>
        <v>-0.99939137075535323</v>
      </c>
      <c r="AG232" s="116">
        <f t="shared" si="657"/>
        <v>0.12033368660218779</v>
      </c>
      <c r="AH232" s="21">
        <f t="shared" si="658"/>
        <v>0.05</v>
      </c>
      <c r="AI232" s="158">
        <f>(AI216)/($O$2*100)</f>
        <v>6.5075308923654901E-2</v>
      </c>
    </row>
    <row r="233" spans="2:35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5"/>
      <c r="O233" s="176"/>
      <c r="P233" s="113"/>
      <c r="Q233" s="113"/>
      <c r="R233" s="113"/>
      <c r="S233" s="113"/>
      <c r="T233" s="113"/>
      <c r="U233" s="110"/>
      <c r="V233" s="110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5"/>
      <c r="AH233" s="10"/>
      <c r="AI233" s="10"/>
    </row>
    <row r="234" spans="2:35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5"/>
      <c r="O234" s="176"/>
      <c r="P234" s="113"/>
      <c r="Q234" s="113"/>
      <c r="R234" s="113"/>
      <c r="S234" s="113"/>
      <c r="T234" s="113"/>
      <c r="U234" s="110"/>
      <c r="V234" s="110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5"/>
      <c r="AH234" s="10"/>
      <c r="AI234" s="10"/>
    </row>
    <row r="235" spans="2:35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5"/>
      <c r="O235" s="176"/>
      <c r="P235" s="113"/>
      <c r="Q235" s="113"/>
      <c r="R235" s="113"/>
      <c r="S235" s="113"/>
      <c r="T235" s="113"/>
      <c r="U235" s="110"/>
      <c r="V235" s="110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5"/>
      <c r="AH235" s="10"/>
      <c r="AI235" s="10"/>
    </row>
    <row r="236" spans="2:35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4" t="s">
        <v>296</v>
      </c>
      <c r="O236" s="315"/>
      <c r="P236" s="10"/>
      <c r="Q236" s="10"/>
      <c r="R236" s="10"/>
      <c r="S236" s="93" t="s">
        <v>375</v>
      </c>
      <c r="T236" s="93" t="s">
        <v>374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15"/>
      <c r="AH236" s="10"/>
      <c r="AI236" s="10"/>
    </row>
    <row r="237" spans="2:35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>
        <f>(T201-V188)/T201</f>
        <v>0.96267398998927967</v>
      </c>
      <c r="T237" s="110">
        <f>(T201-W188)/T201</f>
        <v>0.9692923443773066</v>
      </c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15"/>
      <c r="AH237" s="10"/>
      <c r="AI237" s="10"/>
    </row>
    <row r="238" spans="2:35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9">
        <f>$O$237</f>
        <v>1</v>
      </c>
      <c r="O238" s="10"/>
      <c r="P238" s="110" t="e">
        <f>(S201-(N238*V179))/S201</f>
        <v>#VALUE!</v>
      </c>
      <c r="Q238" s="10"/>
      <c r="R238" s="10"/>
      <c r="S238" s="110" t="e">
        <f>(T201-V179)/T201</f>
        <v>#VALUE!</v>
      </c>
      <c r="T238" s="110" t="e">
        <f>(T201-W179)/T201</f>
        <v>#VALUE!</v>
      </c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15"/>
      <c r="AH238" s="10"/>
      <c r="AI238" s="10"/>
    </row>
    <row r="239" spans="2:35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9">
        <f>$O$237</f>
        <v>1</v>
      </c>
      <c r="O239" s="10"/>
      <c r="P239" s="110">
        <f>(S201-(N239*V172))/S201</f>
        <v>0.51055642880922381</v>
      </c>
      <c r="Q239" s="10"/>
      <c r="R239" s="10"/>
      <c r="S239" s="110">
        <f>(T201-V172)/T201</f>
        <v>0.77588636477053929</v>
      </c>
      <c r="T239" s="110">
        <f>(T201-W172)/T201</f>
        <v>0.96877105082868176</v>
      </c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15"/>
      <c r="AH239" s="10"/>
      <c r="AI239" s="10"/>
    </row>
    <row r="240" spans="2:35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9">
        <f>$O$237</f>
        <v>1</v>
      </c>
      <c r="O240" s="10"/>
      <c r="P240" s="110" t="e">
        <f>(S201-(N240*V185))/S201</f>
        <v>#VALUE!</v>
      </c>
      <c r="Q240" s="10"/>
      <c r="R240" s="10"/>
      <c r="S240" s="110" t="e">
        <f>(T201-V185)/T201</f>
        <v>#VALUE!</v>
      </c>
      <c r="T240" s="110" t="e">
        <f>(T201-W185)/T201</f>
        <v>#VALUE!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15"/>
      <c r="AH240" s="10"/>
      <c r="AI240" s="10"/>
    </row>
    <row r="241" spans="2:49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9">
        <f>$O$237</f>
        <v>1</v>
      </c>
      <c r="O241" s="10"/>
      <c r="P241" s="110">
        <f>(S201-(N241*V198))/S201</f>
        <v>1</v>
      </c>
      <c r="Q241" s="10"/>
      <c r="R241" s="10"/>
      <c r="S241" s="110">
        <f>(T201-V198)/T201</f>
        <v>1</v>
      </c>
      <c r="T241" s="110">
        <f>(T201-W198)/T201</f>
        <v>1</v>
      </c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15"/>
      <c r="AH241" s="10"/>
      <c r="AI241" s="10"/>
    </row>
    <row r="242" spans="2:49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T201/V171</f>
        <v>29.443636083900191</v>
      </c>
      <c r="T242" s="15">
        <f>T201/W171</f>
        <v>211.30138836681317</v>
      </c>
      <c r="U242" s="10"/>
      <c r="V242" s="10"/>
      <c r="W242" s="98" t="s">
        <v>5</v>
      </c>
      <c r="X242" s="98" t="s">
        <v>6</v>
      </c>
      <c r="Y242" s="98" t="s">
        <v>7</v>
      </c>
      <c r="Z242" s="98" t="s">
        <v>8</v>
      </c>
      <c r="AA242" s="98" t="s">
        <v>9</v>
      </c>
      <c r="AB242" s="98" t="s">
        <v>192</v>
      </c>
      <c r="AC242" s="98" t="s">
        <v>193</v>
      </c>
      <c r="AD242" s="98" t="s">
        <v>194</v>
      </c>
      <c r="AE242" s="98" t="s">
        <v>195</v>
      </c>
      <c r="AF242" s="98" t="s">
        <v>196</v>
      </c>
      <c r="AG242" s="98" t="s">
        <v>352</v>
      </c>
      <c r="AH242" s="98" t="s">
        <v>353</v>
      </c>
      <c r="AI242" s="98" t="s">
        <v>354</v>
      </c>
      <c r="AJ242" s="98" t="s">
        <v>355</v>
      </c>
      <c r="AK242" s="98" t="s">
        <v>356</v>
      </c>
      <c r="AL242" s="98" t="s">
        <v>357</v>
      </c>
      <c r="AM242" s="98" t="s">
        <v>358</v>
      </c>
      <c r="AN242" s="98" t="s">
        <v>359</v>
      </c>
      <c r="AO242" s="98" t="s">
        <v>360</v>
      </c>
      <c r="AP242" s="98" t="s">
        <v>361</v>
      </c>
      <c r="AQ242" s="98" t="s">
        <v>362</v>
      </c>
      <c r="AR242" s="98" t="s">
        <v>363</v>
      </c>
      <c r="AS242" s="98" t="s">
        <v>364</v>
      </c>
      <c r="AT242" s="98" t="s">
        <v>365</v>
      </c>
      <c r="AU242" s="98" t="s">
        <v>366</v>
      </c>
      <c r="AV242" s="98" t="s">
        <v>367</v>
      </c>
      <c r="AW242" s="98" t="s">
        <v>368</v>
      </c>
    </row>
    <row r="243" spans="2:49">
      <c r="B243" s="10" t="s">
        <v>316</v>
      </c>
      <c r="C243" s="10"/>
      <c r="D243" s="10"/>
      <c r="E243" s="10"/>
      <c r="F243" s="10"/>
      <c r="G243" s="10"/>
      <c r="H243" s="10"/>
      <c r="I243" s="10"/>
      <c r="J243" s="166" t="s">
        <v>391</v>
      </c>
      <c r="K243" s="167"/>
      <c r="L243" s="166" t="s">
        <v>392</v>
      </c>
      <c r="M243" s="167"/>
      <c r="N243" s="10"/>
      <c r="O243" s="166" t="s">
        <v>393</v>
      </c>
      <c r="P243" s="167"/>
      <c r="Q243" s="166" t="s">
        <v>394</v>
      </c>
      <c r="R243" s="167"/>
      <c r="S243" s="129">
        <f>1/S242</f>
        <v>3.3963196568198351E-2</v>
      </c>
      <c r="T243" s="129">
        <f>1/T242</f>
        <v>4.7325765709784577E-3</v>
      </c>
      <c r="U243" s="10"/>
      <c r="V243" s="10"/>
      <c r="W243" s="111">
        <f>T201-W244</f>
        <v>1870.2796536432431</v>
      </c>
      <c r="X243" s="162">
        <f>W243-X244</f>
        <v>1834.615238015135</v>
      </c>
      <c r="Y243" s="162">
        <f t="shared" ref="Y243:AA243" si="668">X243-Y244</f>
        <v>1791.8179392614052</v>
      </c>
      <c r="Z243" s="162">
        <f t="shared" si="668"/>
        <v>1740.4611807569295</v>
      </c>
      <c r="AA243" s="162">
        <f t="shared" si="668"/>
        <v>1678.8330705515586</v>
      </c>
      <c r="AB243" s="162">
        <f>AA243-AB244</f>
        <v>1604.8793383051136</v>
      </c>
      <c r="AC243" s="162">
        <f t="shared" ref="AC243:AF243" si="669">AB243-AC244</f>
        <v>1516.1348596093794</v>
      </c>
      <c r="AD243" s="162">
        <f t="shared" si="669"/>
        <v>1409.6414851744985</v>
      </c>
      <c r="AE243" s="162">
        <f t="shared" si="669"/>
        <v>1281.8494358526414</v>
      </c>
      <c r="AF243" s="162">
        <f t="shared" si="669"/>
        <v>1128.4989766664128</v>
      </c>
      <c r="AG243" s="162">
        <f t="shared" ref="AG243" si="670">AF243-AG244</f>
        <v>944.47842564293853</v>
      </c>
      <c r="AH243" s="162">
        <f t="shared" ref="AH243" si="671">AG243-AH244</f>
        <v>723.65376441476951</v>
      </c>
      <c r="AI243" s="162">
        <f t="shared" ref="AI243" si="672">AH243-AI244</f>
        <v>458.66417094096664</v>
      </c>
      <c r="AJ243" s="162">
        <f t="shared" ref="AJ243" si="673">AI243-AJ244</f>
        <v>140.67665877240319</v>
      </c>
      <c r="AK243" s="162">
        <f t="shared" ref="AK243" si="674">AJ243-AK244</f>
        <v>-240.90835582987296</v>
      </c>
      <c r="AL243" s="162">
        <f t="shared" ref="AL243" si="675">AK243-AL244</f>
        <v>-698.8103733526043</v>
      </c>
      <c r="AM243" s="162">
        <f t="shared" ref="AM243" si="676">AL243-AM244</f>
        <v>-1248.2927943798818</v>
      </c>
      <c r="AN243" s="162">
        <f t="shared" ref="AN243" si="677">AM243-AN244</f>
        <v>-1907.6716996126149</v>
      </c>
      <c r="AO243" s="162">
        <f t="shared" ref="AO243" si="678">AN243-AO244</f>
        <v>-2698.9263858918948</v>
      </c>
      <c r="AP243" s="162">
        <f t="shared" ref="AP243" si="679">AO243-AP244</f>
        <v>-3648.4320094270306</v>
      </c>
      <c r="AQ243" s="162">
        <f t="shared" ref="AQ243" si="680">AP243-AQ244</f>
        <v>-4787.838757669193</v>
      </c>
      <c r="AR243" s="162">
        <f t="shared" ref="AR243" si="681">AQ243-AR244</f>
        <v>-6155.1268555597881</v>
      </c>
      <c r="AS243" s="162">
        <f t="shared" ref="AS243" si="682">AR243-AS244</f>
        <v>-7795.8725730285023</v>
      </c>
      <c r="AT243" s="162">
        <f t="shared" ref="AT243" si="683">AS243-AT244</f>
        <v>-9764.767433990959</v>
      </c>
      <c r="AU243" s="162">
        <f t="shared" ref="AU243" si="684">AT243-AU244</f>
        <v>-12127.441267145907</v>
      </c>
      <c r="AV243" s="162">
        <f t="shared" ref="AV243" si="685">AU243-AV244</f>
        <v>-14962.649866931844</v>
      </c>
      <c r="AW243" s="162">
        <f t="shared" ref="AW243" si="686">AV243-AW244</f>
        <v>-18364.900186674968</v>
      </c>
    </row>
    <row r="244" spans="2:49">
      <c r="B244" s="10" t="s">
        <v>341</v>
      </c>
      <c r="C244" s="10"/>
      <c r="D244" s="10"/>
      <c r="E244" s="10"/>
      <c r="F244" s="10"/>
      <c r="G244" s="10"/>
      <c r="H244" s="10"/>
      <c r="I244" s="10"/>
      <c r="J244" s="168">
        <v>0</v>
      </c>
      <c r="K244" s="167"/>
      <c r="L244" s="168">
        <v>0.05</v>
      </c>
      <c r="M244" s="167"/>
      <c r="N244" s="161">
        <v>0.2</v>
      </c>
      <c r="O244" s="168">
        <v>0.12</v>
      </c>
      <c r="P244" s="167"/>
      <c r="Q244" s="168">
        <v>0.2</v>
      </c>
      <c r="R244" s="174" t="s">
        <v>231</v>
      </c>
      <c r="S244" s="158">
        <f>T201/V170</f>
        <v>89.240945053216393</v>
      </c>
      <c r="T244" s="158" t="s">
        <v>412</v>
      </c>
      <c r="U244" s="10"/>
      <c r="V244" s="10"/>
      <c r="W244" s="163">
        <f>U170*(1+$N$244)</f>
        <v>29.720346356756814</v>
      </c>
      <c r="X244" s="163">
        <f>W244*(1+$N$244)</f>
        <v>35.664415628108173</v>
      </c>
      <c r="Y244" s="163">
        <f t="shared" ref="Y244:AF244" si="687">X244*(1+$N$244)</f>
        <v>42.797298753729805</v>
      </c>
      <c r="Z244" s="163">
        <f t="shared" si="687"/>
        <v>51.356758504475764</v>
      </c>
      <c r="AA244" s="163">
        <f t="shared" si="687"/>
        <v>61.628110205370916</v>
      </c>
      <c r="AB244" s="163">
        <f t="shared" si="687"/>
        <v>73.953732246445099</v>
      </c>
      <c r="AC244" s="163">
        <f t="shared" si="687"/>
        <v>88.744478695734117</v>
      </c>
      <c r="AD244" s="163">
        <f t="shared" si="687"/>
        <v>106.49337443488093</v>
      </c>
      <c r="AE244" s="163">
        <f t="shared" si="687"/>
        <v>127.79204932185712</v>
      </c>
      <c r="AF244" s="163">
        <f t="shared" si="687"/>
        <v>153.35045918622853</v>
      </c>
      <c r="AG244" s="163">
        <f t="shared" ref="AG244" si="688">AF244*(1+$N$244)</f>
        <v>184.02055102347424</v>
      </c>
      <c r="AH244" s="163">
        <f t="shared" ref="AH244" si="689">AG244*(1+$N$244)</f>
        <v>220.82466122816908</v>
      </c>
      <c r="AI244" s="163">
        <f t="shared" ref="AI244" si="690">AH244*(1+$N$244)</f>
        <v>264.98959347380287</v>
      </c>
      <c r="AJ244" s="163">
        <f t="shared" ref="AJ244" si="691">AI244*(1+$N$244)</f>
        <v>317.98751216856346</v>
      </c>
      <c r="AK244" s="163">
        <f t="shared" ref="AK244" si="692">AJ244*(1+$N$244)</f>
        <v>381.58501460227615</v>
      </c>
      <c r="AL244" s="163">
        <f t="shared" ref="AL244" si="693">AK244*(1+$N$244)</f>
        <v>457.90201752273134</v>
      </c>
      <c r="AM244" s="163">
        <f t="shared" ref="AM244" si="694">AL244*(1+$N$244)</f>
        <v>549.48242102727761</v>
      </c>
      <c r="AN244" s="163">
        <f t="shared" ref="AN244" si="695">AM244*(1+$N$244)</f>
        <v>659.37890523273313</v>
      </c>
      <c r="AO244" s="163">
        <f t="shared" ref="AO244" si="696">AN244*(1+$N$244)</f>
        <v>791.25468627927978</v>
      </c>
      <c r="AP244" s="163">
        <f t="shared" ref="AP244" si="697">AO244*(1+$N$244)</f>
        <v>949.50562353513567</v>
      </c>
      <c r="AQ244" s="163">
        <f t="shared" ref="AQ244" si="698">AP244*(1+$N$244)</f>
        <v>1139.4067482421628</v>
      </c>
      <c r="AR244" s="163">
        <f t="shared" ref="AR244" si="699">AQ244*(1+$N$244)</f>
        <v>1367.2880978905953</v>
      </c>
      <c r="AS244" s="163">
        <f t="shared" ref="AS244" si="700">AR244*(1+$N$244)</f>
        <v>1640.7457174687142</v>
      </c>
      <c r="AT244" s="163">
        <f t="shared" ref="AT244" si="701">AS244*(1+$N$244)</f>
        <v>1968.894860962457</v>
      </c>
      <c r="AU244" s="163">
        <f t="shared" ref="AU244" si="702">AT244*(1+$N$244)</f>
        <v>2362.6738331549482</v>
      </c>
      <c r="AV244" s="163">
        <f t="shared" ref="AV244" si="703">AU244*(1+$N$244)</f>
        <v>2835.2085997859376</v>
      </c>
      <c r="AW244" s="163">
        <f t="shared" ref="AW244" si="704">AV244*(1+$N$244)</f>
        <v>3402.2503197431251</v>
      </c>
    </row>
    <row r="245" spans="2:49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>
        <v>12</v>
      </c>
      <c r="J245" s="168">
        <v>0</v>
      </c>
      <c r="K245" s="12">
        <v>9</v>
      </c>
      <c r="L245" s="168">
        <v>0.05</v>
      </c>
      <c r="M245" s="167"/>
      <c r="N245" s="161">
        <v>0.2</v>
      </c>
      <c r="O245" s="168">
        <v>0.12</v>
      </c>
      <c r="P245" s="167"/>
      <c r="Q245" s="168">
        <v>0.2</v>
      </c>
      <c r="R245" s="174" t="s">
        <v>411</v>
      </c>
      <c r="S245" s="158">
        <f>T201/T72</f>
        <v>25.963729344379605</v>
      </c>
      <c r="T245" s="158" t="s">
        <v>412</v>
      </c>
      <c r="U245" s="10"/>
      <c r="V245" s="10"/>
      <c r="W245" s="163">
        <f>T72*(1+$N$245)</f>
        <v>87.8148115687993</v>
      </c>
      <c r="X245" s="163">
        <f>W245*(1+$N$245)</f>
        <v>105.37777388255915</v>
      </c>
      <c r="Y245" s="163">
        <f t="shared" ref="Y245:AF245" si="705">X245*(1+$N$245)</f>
        <v>126.45332865907098</v>
      </c>
      <c r="Z245" s="163">
        <f t="shared" si="705"/>
        <v>151.74399439088518</v>
      </c>
      <c r="AA245" s="163">
        <f t="shared" si="705"/>
        <v>182.09279326906221</v>
      </c>
      <c r="AB245" s="163">
        <f t="shared" si="705"/>
        <v>218.51135192287464</v>
      </c>
      <c r="AC245" s="163">
        <f t="shared" si="705"/>
        <v>262.21362230744955</v>
      </c>
      <c r="AD245" s="163">
        <f t="shared" si="705"/>
        <v>314.65634676893944</v>
      </c>
      <c r="AE245" s="163">
        <f t="shared" si="705"/>
        <v>377.5876161227273</v>
      </c>
      <c r="AF245" s="163">
        <f t="shared" si="705"/>
        <v>453.10513934727277</v>
      </c>
      <c r="AG245" s="163">
        <f t="shared" ref="AG245" si="706">AF245*(1+$N$245)</f>
        <v>543.72616721672728</v>
      </c>
      <c r="AH245" s="163">
        <f t="shared" ref="AH245" si="707">AG245*(1+$N$245)</f>
        <v>652.47140066007273</v>
      </c>
      <c r="AI245" s="163">
        <f t="shared" ref="AI245" si="708">AH245*(1+$N$245)</f>
        <v>782.96568079208726</v>
      </c>
      <c r="AJ245" s="163">
        <f t="shared" ref="AJ245" si="709">AI245*(1+$N$245)</f>
        <v>939.55881695050471</v>
      </c>
      <c r="AK245" s="163">
        <f t="shared" ref="AK245" si="710">AJ245*(1+$N$245)</f>
        <v>1127.4705803406057</v>
      </c>
      <c r="AL245" s="163">
        <f t="shared" ref="AL245" si="711">AK245*(1+$N$245)</f>
        <v>1352.9646964087267</v>
      </c>
      <c r="AM245" s="163">
        <f t="shared" ref="AM245" si="712">AL245*(1+$N$245)</f>
        <v>1623.5576356904719</v>
      </c>
      <c r="AN245" s="163">
        <f t="shared" ref="AN245" si="713">AM245*(1+$N$245)</f>
        <v>1948.2691628285661</v>
      </c>
      <c r="AO245" s="163">
        <f t="shared" ref="AO245" si="714">AN245*(1+$N$245)</f>
        <v>2337.922995394279</v>
      </c>
      <c r="AP245" s="163">
        <f t="shared" ref="AP245" si="715">AO245*(1+$N$245)</f>
        <v>2805.5075944731348</v>
      </c>
      <c r="AQ245" s="163">
        <f t="shared" ref="AQ245" si="716">AP245*(1+$N$245)</f>
        <v>3366.6091133677614</v>
      </c>
      <c r="AR245" s="163">
        <f t="shared" ref="AR245" si="717">AQ245*(1+$N$245)</f>
        <v>4039.9309360413135</v>
      </c>
      <c r="AS245" s="163">
        <f t="shared" ref="AS245" si="718">AR245*(1+$N$245)</f>
        <v>4847.9171232495764</v>
      </c>
      <c r="AT245" s="163">
        <f t="shared" ref="AT245" si="719">AS245*(1+$N$245)</f>
        <v>5817.5005478994917</v>
      </c>
      <c r="AU245" s="163">
        <f t="shared" ref="AU245" si="720">AT245*(1+$N$245)</f>
        <v>6981.0006574793897</v>
      </c>
      <c r="AV245" s="163">
        <f t="shared" ref="AV245" si="721">AU245*(1+$N$245)</f>
        <v>8377.2007889752676</v>
      </c>
      <c r="AW245" s="163">
        <f t="shared" ref="AW245" si="722">AV245*(1+$N$245)</f>
        <v>10052.640946770322</v>
      </c>
    </row>
    <row r="246" spans="2:49">
      <c r="B246" s="10"/>
      <c r="C246" s="10"/>
      <c r="D246" s="10"/>
      <c r="E246" s="13" t="s">
        <v>397</v>
      </c>
      <c r="F246" s="13"/>
      <c r="G246" s="13"/>
      <c r="H246" s="13"/>
      <c r="I246" s="12">
        <v>20</v>
      </c>
      <c r="J246" s="168">
        <v>0</v>
      </c>
      <c r="K246" s="12">
        <v>14</v>
      </c>
      <c r="L246" s="168">
        <v>0.05</v>
      </c>
      <c r="M246" s="167"/>
      <c r="N246" s="167"/>
      <c r="O246" s="168">
        <v>0.12</v>
      </c>
      <c r="P246" s="167"/>
      <c r="Q246" s="168">
        <v>0.2</v>
      </c>
      <c r="R246" s="10"/>
      <c r="S246" s="10"/>
      <c r="T246" s="10"/>
      <c r="U246" s="10"/>
      <c r="V246" s="10"/>
      <c r="W246" s="111">
        <f>T201-W245</f>
        <v>1812.1851884312007</v>
      </c>
      <c r="X246" s="162">
        <f>W246-X245</f>
        <v>1706.8074145486416</v>
      </c>
      <c r="Y246" s="162">
        <f t="shared" ref="Y246:AD246" si="723">X246-Y245</f>
        <v>1580.3540858895706</v>
      </c>
      <c r="Z246" s="162">
        <f t="shared" si="723"/>
        <v>1428.6100914986855</v>
      </c>
      <c r="AA246" s="162">
        <f t="shared" si="723"/>
        <v>1246.5172982296233</v>
      </c>
      <c r="AB246" s="162">
        <f t="shared" si="723"/>
        <v>1028.0059463067487</v>
      </c>
      <c r="AC246" s="162">
        <f t="shared" si="723"/>
        <v>765.79232399929913</v>
      </c>
      <c r="AD246" s="162">
        <f t="shared" si="723"/>
        <v>451.13597723035969</v>
      </c>
      <c r="AE246" s="162">
        <f>AD246-AE245</f>
        <v>73.548361107632388</v>
      </c>
      <c r="AF246" s="162">
        <f t="shared" ref="AF246" si="724">AE246-AF245</f>
        <v>-379.55677823964038</v>
      </c>
      <c r="AG246" s="162">
        <f t="shared" ref="AG246" si="725">AF246-AG245</f>
        <v>-923.28294545636766</v>
      </c>
      <c r="AH246" s="162">
        <f t="shared" ref="AH246" si="726">AG246-AH245</f>
        <v>-1575.7543461164405</v>
      </c>
      <c r="AI246" s="162">
        <f t="shared" ref="AI246" si="727">AH246-AI245</f>
        <v>-2358.7200269085279</v>
      </c>
      <c r="AJ246" s="162">
        <f t="shared" ref="AJ246" si="728">AI246-AJ245</f>
        <v>-3298.2788438590323</v>
      </c>
      <c r="AK246" s="162">
        <f t="shared" ref="AK246" si="729">AJ246-AK245</f>
        <v>-4425.7494241996383</v>
      </c>
      <c r="AL246" s="162">
        <f t="shared" ref="AL246" si="730">AK246-AL245</f>
        <v>-5778.7141206083652</v>
      </c>
      <c r="AM246" s="162">
        <f t="shared" ref="AM246" si="731">AL246-AM245</f>
        <v>-7402.2717562988373</v>
      </c>
      <c r="AN246" s="162">
        <f t="shared" ref="AN246" si="732">AM246-AN245</f>
        <v>-9350.540919127403</v>
      </c>
      <c r="AO246" s="162">
        <f t="shared" ref="AO246" si="733">AN246-AO245</f>
        <v>-11688.463914521682</v>
      </c>
      <c r="AP246" s="162">
        <f t="shared" ref="AP246" si="734">AO246-AP245</f>
        <v>-14493.971508994817</v>
      </c>
      <c r="AQ246" s="162">
        <f t="shared" ref="AQ246" si="735">AP246-AQ245</f>
        <v>-17860.580622362577</v>
      </c>
      <c r="AR246" s="162">
        <f t="shared" ref="AR246" si="736">AQ246-AR245</f>
        <v>-21900.51155840389</v>
      </c>
      <c r="AS246" s="162">
        <f t="shared" ref="AS246" si="737">AR246-AS245</f>
        <v>-26748.428681653466</v>
      </c>
      <c r="AT246" s="162">
        <f t="shared" ref="AT246" si="738">AS246-AT245</f>
        <v>-32565.929229552959</v>
      </c>
      <c r="AU246" s="162">
        <f t="shared" ref="AU246" si="739">AT246-AU245</f>
        <v>-39546.929887032347</v>
      </c>
      <c r="AV246" s="162">
        <f t="shared" ref="AV246" si="740">AU246-AV245</f>
        <v>-47924.130676007611</v>
      </c>
      <c r="AW246" s="162">
        <f t="shared" ref="AW246" si="741">AV246-AW245</f>
        <v>-57976.771622777931</v>
      </c>
    </row>
    <row r="247" spans="2:49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 spans="2:49">
      <c r="B248" s="10" t="s">
        <v>255</v>
      </c>
      <c r="C248" s="15"/>
      <c r="D248" s="15"/>
      <c r="E248" s="15"/>
      <c r="F248" s="15"/>
      <c r="G248" s="15"/>
      <c r="H248" s="15">
        <f t="shared" ref="H248:I248" si="742">H10/H7</f>
        <v>4.7557603686635943</v>
      </c>
      <c r="I248" s="15">
        <f t="shared" si="742"/>
        <v>5.90034965034965</v>
      </c>
      <c r="J248" s="15">
        <f t="shared" ref="J248:T248" si="743">J10/J7</f>
        <v>11.546378653113088</v>
      </c>
      <c r="K248" s="15">
        <f t="shared" si="743"/>
        <v>10.810462471569371</v>
      </c>
      <c r="L248" s="15">
        <f t="shared" si="743"/>
        <v>11.304187192118226</v>
      </c>
      <c r="M248" s="15">
        <f t="shared" si="743"/>
        <v>10.212690191000323</v>
      </c>
      <c r="N248" s="15">
        <f t="shared" si="743"/>
        <v>13.871639430680021</v>
      </c>
      <c r="O248" s="15">
        <f t="shared" si="743"/>
        <v>13.538922155688622</v>
      </c>
      <c r="P248" s="15">
        <f t="shared" si="743"/>
        <v>15.132942999827794</v>
      </c>
      <c r="Q248" s="15">
        <f t="shared" si="743"/>
        <v>13.422206605762474</v>
      </c>
      <c r="R248" s="15">
        <f t="shared" si="743"/>
        <v>10.062494642091727</v>
      </c>
      <c r="S248" s="15">
        <f t="shared" si="743"/>
        <v>10.417308530736811</v>
      </c>
      <c r="T248" s="15">
        <f t="shared" si="743"/>
        <v>8.2337724034665811</v>
      </c>
      <c r="U248" s="101">
        <f t="shared" ref="U248:U250" si="744">((S248/J248)^(1/($K$2-$K$1) ))-1</f>
        <v>-7.8843805957490298E-3</v>
      </c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 spans="2:49">
      <c r="B249" s="10" t="s">
        <v>256</v>
      </c>
      <c r="C249" s="96"/>
      <c r="D249" s="96"/>
      <c r="E249" s="96"/>
      <c r="F249" s="96"/>
      <c r="G249" s="96"/>
      <c r="H249" s="96" t="e">
        <f t="shared" ref="H249:I249" si="745">H10/H12</f>
        <v>#DIV/0!</v>
      </c>
      <c r="I249" s="96" t="e">
        <f t="shared" si="745"/>
        <v>#DIV/0!</v>
      </c>
      <c r="J249" s="96" t="e">
        <f t="shared" ref="J249:T249" si="746">J10/J12</f>
        <v>#DIV/0!</v>
      </c>
      <c r="K249" s="96" t="e">
        <f t="shared" si="746"/>
        <v>#DIV/0!</v>
      </c>
      <c r="L249" s="96" t="e">
        <f t="shared" si="746"/>
        <v>#DIV/0!</v>
      </c>
      <c r="M249" s="96" t="e">
        <f t="shared" si="746"/>
        <v>#DIV/0!</v>
      </c>
      <c r="N249" s="96" t="e">
        <f t="shared" si="746"/>
        <v>#DIV/0!</v>
      </c>
      <c r="O249" s="96" t="e">
        <f t="shared" si="746"/>
        <v>#DIV/0!</v>
      </c>
      <c r="P249" s="96" t="e">
        <f t="shared" si="746"/>
        <v>#DIV/0!</v>
      </c>
      <c r="Q249" s="96" t="e">
        <f t="shared" si="746"/>
        <v>#DIV/0!</v>
      </c>
      <c r="R249" s="96" t="e">
        <f t="shared" si="746"/>
        <v>#DIV/0!</v>
      </c>
      <c r="S249" s="96" t="e">
        <f t="shared" si="746"/>
        <v>#DIV/0!</v>
      </c>
      <c r="T249" s="96" t="e">
        <f t="shared" si="746"/>
        <v>#VALUE!</v>
      </c>
      <c r="U249" s="101" t="e">
        <f t="shared" si="744"/>
        <v>#DIV/0!</v>
      </c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 spans="2:49">
      <c r="B250" s="10" t="s">
        <v>257</v>
      </c>
      <c r="C250" s="15"/>
      <c r="D250" s="15"/>
      <c r="E250" s="15"/>
      <c r="F250" s="15"/>
      <c r="G250" s="15"/>
      <c r="H250" s="15">
        <f t="shared" ref="H250:I250" si="747">H10/(H12+H13)</f>
        <v>2.6126582278481014</v>
      </c>
      <c r="I250" s="15">
        <f t="shared" si="747"/>
        <v>2.5</v>
      </c>
      <c r="J250" s="15">
        <f t="shared" ref="J250:T250" si="748">J10/(J12+J13)</f>
        <v>2.9570452326716565</v>
      </c>
      <c r="K250" s="15">
        <f t="shared" si="748"/>
        <v>2.7997251129000591</v>
      </c>
      <c r="L250" s="15">
        <f t="shared" si="748"/>
        <v>2.5794576366446536</v>
      </c>
      <c r="M250" s="15">
        <f t="shared" si="748"/>
        <v>3.0901165638162404</v>
      </c>
      <c r="N250" s="15">
        <f t="shared" si="748"/>
        <v>2.7952517527087317</v>
      </c>
      <c r="O250" s="15">
        <f t="shared" si="748"/>
        <v>2.2807940339373851</v>
      </c>
      <c r="P250" s="15">
        <f t="shared" si="748"/>
        <v>2.0448400232693427</v>
      </c>
      <c r="Q250" s="15">
        <f t="shared" si="748"/>
        <v>2.3331134564643801</v>
      </c>
      <c r="R250" s="15">
        <f t="shared" si="748"/>
        <v>2.5204852909598454</v>
      </c>
      <c r="S250" s="15">
        <f t="shared" si="748"/>
        <v>2.9384889726982046</v>
      </c>
      <c r="T250" s="15" t="e">
        <f t="shared" si="748"/>
        <v>#VALUE!</v>
      </c>
      <c r="U250" s="101">
        <f t="shared" si="744"/>
        <v>-4.8411686981686408E-4</v>
      </c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 spans="2:49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 spans="2:49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 spans="2:49">
      <c r="B253" s="10"/>
      <c r="C253" s="151" t="s">
        <v>322</v>
      </c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0"/>
      <c r="O253" s="311" t="s">
        <v>282</v>
      </c>
      <c r="P253" s="312"/>
      <c r="Q253" s="313"/>
      <c r="R253" s="13" t="s">
        <v>285</v>
      </c>
      <c r="S253" s="10"/>
      <c r="T253" s="115"/>
      <c r="U253" s="311" t="s">
        <v>283</v>
      </c>
      <c r="V253" s="312"/>
      <c r="W253" s="313"/>
      <c r="X253" s="13" t="s">
        <v>285</v>
      </c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 spans="2:49">
      <c r="B254" s="10"/>
      <c r="C254" s="143" t="s">
        <v>284</v>
      </c>
      <c r="D254" s="143" t="s">
        <v>0</v>
      </c>
      <c r="E254" s="143" t="s">
        <v>323</v>
      </c>
      <c r="F254" s="143"/>
      <c r="G254" s="143" t="s">
        <v>324</v>
      </c>
      <c r="H254" s="143" t="s">
        <v>325</v>
      </c>
      <c r="I254" s="143" t="s">
        <v>326</v>
      </c>
      <c r="J254" s="143" t="s">
        <v>327</v>
      </c>
      <c r="K254" s="143" t="s">
        <v>328</v>
      </c>
      <c r="L254" s="10"/>
      <c r="M254" s="143" t="s">
        <v>284</v>
      </c>
      <c r="N254" s="143"/>
      <c r="O254" s="143" t="s">
        <v>0</v>
      </c>
      <c r="P254" s="143" t="s">
        <v>317</v>
      </c>
      <c r="Q254" s="10"/>
      <c r="R254" s="10"/>
      <c r="S254" s="143" t="s">
        <v>284</v>
      </c>
      <c r="T254" s="143"/>
      <c r="U254" s="143" t="s">
        <v>0</v>
      </c>
      <c r="V254" s="143" t="s">
        <v>317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2:49">
      <c r="B255" s="10"/>
      <c r="C255" s="144" t="s">
        <v>286</v>
      </c>
      <c r="D255" s="11">
        <v>70</v>
      </c>
      <c r="E255" s="153" t="s">
        <v>329</v>
      </c>
      <c r="F255" s="153"/>
      <c r="G255" s="12">
        <v>1</v>
      </c>
      <c r="H255" s="12">
        <v>1</v>
      </c>
      <c r="I255" s="144">
        <f>G255/H255</f>
        <v>1</v>
      </c>
      <c r="J255" s="144">
        <f>I255*D256</f>
        <v>1</v>
      </c>
      <c r="K255" s="154">
        <f>J255+D256</f>
        <v>2</v>
      </c>
      <c r="L255" s="10"/>
      <c r="M255" s="144" t="s">
        <v>286</v>
      </c>
      <c r="N255" s="144"/>
      <c r="O255" s="11">
        <v>63</v>
      </c>
      <c r="P255" s="150">
        <f>O255</f>
        <v>63</v>
      </c>
      <c r="Q255" s="10"/>
      <c r="R255" s="10"/>
      <c r="S255" s="144" t="s">
        <v>286</v>
      </c>
      <c r="T255" s="144"/>
      <c r="U255" s="11">
        <v>1</v>
      </c>
      <c r="V255" s="150">
        <f>U255</f>
        <v>1</v>
      </c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2:49">
      <c r="B256" s="10"/>
      <c r="C256" s="144" t="s">
        <v>287</v>
      </c>
      <c r="D256" s="11">
        <v>1</v>
      </c>
      <c r="E256" s="153" t="s">
        <v>330</v>
      </c>
      <c r="F256" s="153"/>
      <c r="G256" s="12">
        <v>0</v>
      </c>
      <c r="H256" s="12">
        <v>1</v>
      </c>
      <c r="I256" s="144">
        <f>G256/H256</f>
        <v>0</v>
      </c>
      <c r="J256" s="144">
        <f>I256*K255</f>
        <v>0</v>
      </c>
      <c r="K256" s="144">
        <f>J256+K255</f>
        <v>2</v>
      </c>
      <c r="L256" s="10"/>
      <c r="M256" s="144" t="s">
        <v>287</v>
      </c>
      <c r="N256" s="144"/>
      <c r="O256" s="11">
        <v>1</v>
      </c>
      <c r="P256" s="150">
        <f>O256</f>
        <v>1</v>
      </c>
      <c r="Q256" s="10"/>
      <c r="R256" s="10"/>
      <c r="S256" s="144" t="s">
        <v>287</v>
      </c>
      <c r="T256" s="144"/>
      <c r="U256" s="11">
        <v>1</v>
      </c>
      <c r="V256" s="150">
        <f>U256</f>
        <v>1</v>
      </c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2:33">
      <c r="B257" s="10"/>
      <c r="C257" s="144" t="s">
        <v>289</v>
      </c>
      <c r="D257" s="145">
        <f>D255*D256</f>
        <v>70</v>
      </c>
      <c r="E257" s="153" t="s">
        <v>342</v>
      </c>
      <c r="F257" s="153"/>
      <c r="G257" s="12">
        <v>0</v>
      </c>
      <c r="H257" s="12">
        <v>1</v>
      </c>
      <c r="I257" s="144">
        <f>G257/H257</f>
        <v>0</v>
      </c>
      <c r="J257" s="144">
        <f>I257*K256</f>
        <v>0</v>
      </c>
      <c r="K257" s="144">
        <f>J257+K256</f>
        <v>2</v>
      </c>
      <c r="L257" s="10"/>
      <c r="M257" s="144" t="s">
        <v>288</v>
      </c>
      <c r="N257" s="144"/>
      <c r="O257" s="145">
        <f>O255*O256</f>
        <v>63</v>
      </c>
      <c r="P257" s="150">
        <f>O257</f>
        <v>63</v>
      </c>
      <c r="Q257" s="10"/>
      <c r="R257" s="10"/>
      <c r="S257" s="144" t="s">
        <v>289</v>
      </c>
      <c r="T257" s="144"/>
      <c r="U257" s="145">
        <f>U255*U256</f>
        <v>1</v>
      </c>
      <c r="V257" s="150">
        <f>U257</f>
        <v>1</v>
      </c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2:33">
      <c r="B258" s="10"/>
      <c r="C258" s="144"/>
      <c r="D258" s="145"/>
      <c r="E258" s="153" t="s">
        <v>398</v>
      </c>
      <c r="F258" s="153"/>
      <c r="G258" s="12">
        <v>0</v>
      </c>
      <c r="H258" s="12">
        <v>1</v>
      </c>
      <c r="I258" s="144">
        <f t="shared" ref="I258:I261" si="749">G258/H258</f>
        <v>0</v>
      </c>
      <c r="J258" s="144">
        <f t="shared" ref="J258:J260" si="750">I258*K257</f>
        <v>0</v>
      </c>
      <c r="K258" s="144">
        <f t="shared" ref="K258:K260" si="751">J258+K257</f>
        <v>2</v>
      </c>
      <c r="L258" s="10"/>
      <c r="M258" s="144" t="s">
        <v>290</v>
      </c>
      <c r="N258" s="144"/>
      <c r="O258" s="11">
        <v>1250</v>
      </c>
      <c r="P258" s="11">
        <v>1800</v>
      </c>
      <c r="Q258" s="10"/>
      <c r="R258" s="10"/>
      <c r="S258" s="144" t="s">
        <v>290</v>
      </c>
      <c r="T258" s="144"/>
      <c r="U258" s="11">
        <v>1</v>
      </c>
      <c r="V258" s="11">
        <v>1</v>
      </c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2:33">
      <c r="B259" s="10"/>
      <c r="C259" s="144"/>
      <c r="D259" s="145"/>
      <c r="E259" s="153" t="s">
        <v>399</v>
      </c>
      <c r="F259" s="153"/>
      <c r="G259" s="12">
        <v>0</v>
      </c>
      <c r="H259" s="12">
        <v>1</v>
      </c>
      <c r="I259" s="144">
        <f t="shared" si="749"/>
        <v>0</v>
      </c>
      <c r="J259" s="144">
        <f t="shared" si="750"/>
        <v>0</v>
      </c>
      <c r="K259" s="144">
        <f t="shared" si="751"/>
        <v>2</v>
      </c>
      <c r="L259" s="10"/>
      <c r="M259" s="144" t="s">
        <v>291</v>
      </c>
      <c r="N259" s="144"/>
      <c r="O259" s="145">
        <f>O258*O256</f>
        <v>1250</v>
      </c>
      <c r="P259" s="145">
        <f>P258*P256</f>
        <v>1800</v>
      </c>
      <c r="Q259" s="10"/>
      <c r="R259" s="10"/>
      <c r="S259" s="144" t="s">
        <v>287</v>
      </c>
      <c r="T259" s="144"/>
      <c r="U259" s="11">
        <v>1</v>
      </c>
      <c r="V259" s="109">
        <f>U259</f>
        <v>1</v>
      </c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2:33">
      <c r="B260" s="10"/>
      <c r="C260" s="144"/>
      <c r="D260" s="145"/>
      <c r="E260" s="153" t="s">
        <v>400</v>
      </c>
      <c r="F260" s="153"/>
      <c r="G260" s="12">
        <v>0</v>
      </c>
      <c r="H260" s="12">
        <v>1</v>
      </c>
      <c r="I260" s="144">
        <f t="shared" si="749"/>
        <v>0</v>
      </c>
      <c r="J260" s="144">
        <f t="shared" si="750"/>
        <v>0</v>
      </c>
      <c r="K260" s="144">
        <f t="shared" si="751"/>
        <v>2</v>
      </c>
      <c r="L260" s="10"/>
      <c r="M260" s="144"/>
      <c r="N260" s="144"/>
      <c r="O260" s="145"/>
      <c r="P260" s="145"/>
      <c r="Q260" s="10"/>
      <c r="R260" s="10"/>
      <c r="S260" s="144" t="s">
        <v>289</v>
      </c>
      <c r="T260" s="144"/>
      <c r="U260" s="145">
        <f>U259*U258</f>
        <v>1</v>
      </c>
      <c r="V260" s="145">
        <f>V259*V258</f>
        <v>1</v>
      </c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2:33">
      <c r="B261" s="10"/>
      <c r="C261" s="144"/>
      <c r="D261" s="145"/>
      <c r="E261" s="153" t="s">
        <v>331</v>
      </c>
      <c r="F261" s="153"/>
      <c r="G261" s="12">
        <v>10</v>
      </c>
      <c r="H261" s="12">
        <v>2</v>
      </c>
      <c r="I261" s="144">
        <f t="shared" si="749"/>
        <v>5</v>
      </c>
      <c r="J261" s="144">
        <f>I261*K260</f>
        <v>10</v>
      </c>
      <c r="K261" s="144">
        <f>J261</f>
        <v>10</v>
      </c>
      <c r="L261" s="10"/>
      <c r="M261" s="144"/>
      <c r="N261" s="144"/>
      <c r="O261" s="145"/>
      <c r="P261" s="145"/>
      <c r="Q261" s="10"/>
      <c r="R261" s="10"/>
      <c r="S261" s="144"/>
      <c r="T261" s="144"/>
      <c r="U261" s="145"/>
      <c r="V261" s="145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2:33">
      <c r="B262" s="10"/>
      <c r="C262" s="144"/>
      <c r="D262" s="145"/>
      <c r="E262" s="153" t="s">
        <v>401</v>
      </c>
      <c r="F262" s="153"/>
      <c r="G262" s="12">
        <v>0</v>
      </c>
      <c r="H262" s="12">
        <v>1</v>
      </c>
      <c r="I262" s="144">
        <f>G262/H262</f>
        <v>0</v>
      </c>
      <c r="J262" s="144">
        <f>I262*K261</f>
        <v>0</v>
      </c>
      <c r="K262" s="144">
        <f>J262</f>
        <v>0</v>
      </c>
      <c r="L262" s="10"/>
      <c r="M262" s="146" t="s">
        <v>292</v>
      </c>
      <c r="N262" s="146"/>
      <c r="O262" s="147">
        <f>O259/O257</f>
        <v>19.841269841269842</v>
      </c>
      <c r="P262" s="147">
        <f>P259/P257</f>
        <v>28.571428571428573</v>
      </c>
      <c r="Q262" s="10"/>
      <c r="R262" s="10"/>
      <c r="S262" s="146" t="s">
        <v>292</v>
      </c>
      <c r="T262" s="146"/>
      <c r="U262" s="147">
        <f>U260/U257</f>
        <v>1</v>
      </c>
      <c r="V262" s="147">
        <f>V260/V257</f>
        <v>1</v>
      </c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2:33">
      <c r="B263" s="10"/>
      <c r="C263" s="144" t="s">
        <v>290</v>
      </c>
      <c r="D263" s="11">
        <v>1800</v>
      </c>
      <c r="E263" s="153"/>
      <c r="F263" s="153"/>
      <c r="G263" s="144"/>
      <c r="H263" s="144"/>
      <c r="I263" s="146" t="s">
        <v>332</v>
      </c>
      <c r="J263" s="144"/>
      <c r="K263" s="144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2:33">
      <c r="B264" s="10"/>
      <c r="C264" s="144" t="s">
        <v>287</v>
      </c>
      <c r="D264" s="11">
        <v>1</v>
      </c>
      <c r="E264" s="153" t="s">
        <v>331</v>
      </c>
      <c r="F264" s="153"/>
      <c r="G264" s="12">
        <v>10</v>
      </c>
      <c r="H264" s="12">
        <v>2</v>
      </c>
      <c r="I264" s="144">
        <f>G264/H264</f>
        <v>5</v>
      </c>
      <c r="J264" s="154">
        <f>I264*D256</f>
        <v>5</v>
      </c>
      <c r="K264" s="154">
        <f>J264</f>
        <v>5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2:33">
      <c r="B265" s="10"/>
      <c r="C265" s="144" t="s">
        <v>289</v>
      </c>
      <c r="D265" s="145">
        <f>D264*D263</f>
        <v>1800</v>
      </c>
      <c r="E265" s="144"/>
      <c r="F265" s="144"/>
      <c r="G265" s="144"/>
      <c r="H265" s="144"/>
      <c r="I265" s="146" t="s">
        <v>332</v>
      </c>
      <c r="J265" s="144"/>
      <c r="K265" s="144">
        <f>K264</f>
        <v>5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2:33">
      <c r="B266" s="10"/>
      <c r="C266" s="144"/>
      <c r="D266" s="145"/>
      <c r="E266" s="153" t="s">
        <v>331</v>
      </c>
      <c r="F266" s="153"/>
      <c r="G266" s="12">
        <v>10</v>
      </c>
      <c r="H266" s="12">
        <v>2</v>
      </c>
      <c r="I266" s="144">
        <f>G266/H266</f>
        <v>5</v>
      </c>
      <c r="J266" s="144">
        <f>I266*K265</f>
        <v>25</v>
      </c>
      <c r="K266" s="144">
        <f>J266</f>
        <v>25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2:33">
      <c r="B267" s="10"/>
      <c r="C267" s="146" t="s">
        <v>292</v>
      </c>
      <c r="D267" s="147">
        <f>D265/D257</f>
        <v>25.714285714285715</v>
      </c>
      <c r="E267" s="153"/>
      <c r="F267" s="153"/>
      <c r="G267" s="144"/>
      <c r="H267" s="144"/>
      <c r="I267" s="146" t="s">
        <v>332</v>
      </c>
      <c r="J267" s="144"/>
      <c r="K267" s="144">
        <f>K266</f>
        <v>25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2:33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2:33">
      <c r="B269" s="10"/>
      <c r="C269" s="10"/>
      <c r="D269" s="115"/>
      <c r="E269" s="155"/>
      <c r="F269" s="155"/>
      <c r="G269" s="155"/>
      <c r="H269" s="155"/>
      <c r="I269" s="155"/>
      <c r="J269" s="156"/>
      <c r="K269" s="10"/>
      <c r="L269" s="115"/>
      <c r="M269" s="155"/>
      <c r="N269" s="15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2:33" ht="14.25">
      <c r="B270" s="10"/>
      <c r="C270" s="10"/>
      <c r="D270" s="304" t="s">
        <v>15</v>
      </c>
      <c r="E270" s="305"/>
      <c r="F270" s="305"/>
      <c r="G270" s="305"/>
      <c r="H270" s="305"/>
      <c r="I270" s="305"/>
      <c r="J270" s="306"/>
      <c r="K270" s="10"/>
      <c r="L270" s="304" t="s">
        <v>337</v>
      </c>
      <c r="M270" s="305"/>
      <c r="N270" s="306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2:33">
      <c r="B271" s="10"/>
      <c r="C271" s="10"/>
      <c r="D271" s="10" t="s">
        <v>16</v>
      </c>
      <c r="E271" s="109"/>
      <c r="F271" s="109"/>
      <c r="G271" s="109">
        <f>D257</f>
        <v>70</v>
      </c>
      <c r="H271" s="11">
        <f>D257</f>
        <v>70</v>
      </c>
      <c r="I271" s="10"/>
      <c r="J271" s="10"/>
      <c r="K271" s="10"/>
      <c r="L271" s="10" t="s">
        <v>16</v>
      </c>
      <c r="M271" s="109"/>
      <c r="N271" s="11">
        <f>H271</f>
        <v>70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2:33">
      <c r="B272" s="10"/>
      <c r="C272" s="10"/>
      <c r="D272" s="10" t="s">
        <v>17</v>
      </c>
      <c r="E272" s="109"/>
      <c r="F272" s="109"/>
      <c r="G272" s="109">
        <f>D265</f>
        <v>1800</v>
      </c>
      <c r="H272" s="11">
        <f>D265</f>
        <v>1800</v>
      </c>
      <c r="I272" s="10"/>
      <c r="J272" s="10"/>
      <c r="K272" s="10"/>
      <c r="L272" s="10" t="s">
        <v>17</v>
      </c>
      <c r="M272" s="10"/>
      <c r="N272" s="11">
        <f>H272</f>
        <v>1800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2:33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2:33">
      <c r="B274" s="10"/>
      <c r="C274" s="10"/>
      <c r="D274" s="13" t="s">
        <v>19</v>
      </c>
      <c r="E274" s="3"/>
      <c r="F274" s="3"/>
      <c r="G274" s="3">
        <f>((G272/G271)^(1/G273))-1</f>
        <v>0.38362196081545719</v>
      </c>
      <c r="H274" s="3">
        <f>((H272/H271)^(1/H273))-1</f>
        <v>0.38362196081545719</v>
      </c>
      <c r="I274" s="10"/>
      <c r="J274" s="10"/>
      <c r="K274" s="10"/>
      <c r="L274" s="13" t="s">
        <v>338</v>
      </c>
      <c r="M274" s="13"/>
      <c r="N274" s="169">
        <f>(N272-N271)/N271</f>
        <v>24.714285714285715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2:33">
      <c r="B275" s="10"/>
      <c r="C275" s="10"/>
      <c r="D275" s="13" t="s">
        <v>20</v>
      </c>
      <c r="E275" s="142"/>
      <c r="F275" s="142"/>
      <c r="G275" s="142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2">
        <f>N272/N271</f>
        <v>25.714285714285715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2:33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2:33">
      <c r="B277" s="10"/>
      <c r="C277" s="10"/>
      <c r="D277" s="13" t="s">
        <v>21</v>
      </c>
      <c r="E277" s="3"/>
      <c r="F277" s="3"/>
      <c r="G277" s="3">
        <f>((G272/G271)^(1/G276))-1</f>
        <v>0.38362196081545719</v>
      </c>
      <c r="H277" s="3">
        <f>((H272/H271)^(1/H276))-1</f>
        <v>0.38362196081545719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2:33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2:33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</sheetData>
  <mergeCells count="9">
    <mergeCell ref="A36:A45"/>
    <mergeCell ref="A124:A132"/>
    <mergeCell ref="D270:J270"/>
    <mergeCell ref="L270:N270"/>
    <mergeCell ref="AH2:AI2"/>
    <mergeCell ref="AH3:AI3"/>
    <mergeCell ref="O253:Q253"/>
    <mergeCell ref="U253:W253"/>
    <mergeCell ref="N236:O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7" t="s">
        <v>15</v>
      </c>
      <c r="K5" s="277"/>
      <c r="M5" s="277" t="s">
        <v>53</v>
      </c>
      <c r="N5" s="277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7" t="s">
        <v>24</v>
      </c>
      <c r="K14" s="277"/>
      <c r="L14" s="277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7" t="s">
        <v>15</v>
      </c>
      <c r="S5" s="277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7" t="s">
        <v>24</v>
      </c>
      <c r="S14" s="277"/>
      <c r="T14" s="277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7" t="s">
        <v>15</v>
      </c>
      <c r="C2" s="277"/>
      <c r="E2" s="277" t="s">
        <v>53</v>
      </c>
      <c r="F2" s="277"/>
      <c r="H2" s="319" t="s">
        <v>24</v>
      </c>
      <c r="I2" s="320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6" t="s">
        <v>56</v>
      </c>
      <c r="E10" s="317"/>
      <c r="F10" s="317"/>
      <c r="G10" s="317"/>
      <c r="H10" s="318"/>
      <c r="I10" s="316" t="s">
        <v>60</v>
      </c>
      <c r="J10" s="317"/>
      <c r="K10" s="317"/>
      <c r="L10" s="318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4"/>
    <col min="2" max="2" width="16.5703125" style="164" customWidth="1"/>
    <col min="3" max="3" width="39.7109375" style="164" customWidth="1"/>
    <col min="4" max="5" width="9.140625" style="164"/>
    <col min="6" max="6" width="19" style="164" bestFit="1" customWidth="1"/>
    <col min="7" max="7" width="49" style="164" customWidth="1"/>
    <col min="8" max="16384" width="9.140625" style="164"/>
  </cols>
  <sheetData>
    <row r="3" spans="2:7">
      <c r="B3" s="321" t="s">
        <v>376</v>
      </c>
      <c r="C3" s="322"/>
      <c r="F3" s="321" t="s">
        <v>377</v>
      </c>
      <c r="G3" s="322"/>
    </row>
    <row r="4" spans="2:7">
      <c r="B4" s="165" t="s">
        <v>378</v>
      </c>
      <c r="C4" s="165"/>
      <c r="F4" s="165" t="s">
        <v>379</v>
      </c>
      <c r="G4" s="165"/>
    </row>
    <row r="5" spans="2:7">
      <c r="B5" s="165" t="s">
        <v>380</v>
      </c>
      <c r="C5" s="165"/>
      <c r="F5" s="165" t="s">
        <v>242</v>
      </c>
      <c r="G5" s="165"/>
    </row>
    <row r="6" spans="2:7">
      <c r="B6" s="165" t="s">
        <v>381</v>
      </c>
      <c r="C6" s="165"/>
      <c r="F6" s="165" t="s">
        <v>382</v>
      </c>
      <c r="G6" s="165"/>
    </row>
    <row r="7" spans="2:7">
      <c r="B7" s="165" t="s">
        <v>383</v>
      </c>
      <c r="C7" s="165"/>
      <c r="F7" s="165" t="s">
        <v>384</v>
      </c>
      <c r="G7" s="165"/>
    </row>
    <row r="8" spans="2:7">
      <c r="B8" s="165" t="s">
        <v>385</v>
      </c>
      <c r="C8" s="165"/>
      <c r="F8" s="165" t="s">
        <v>386</v>
      </c>
      <c r="G8" s="165"/>
    </row>
    <row r="9" spans="2:7">
      <c r="B9" s="165" t="s">
        <v>387</v>
      </c>
      <c r="C9" s="165"/>
      <c r="F9" s="165" t="s">
        <v>388</v>
      </c>
      <c r="G9" s="165"/>
    </row>
    <row r="10" spans="2:7">
      <c r="B10" s="165" t="s">
        <v>386</v>
      </c>
      <c r="C10" s="165"/>
      <c r="F10" s="165"/>
      <c r="G10" s="165"/>
    </row>
    <row r="11" spans="2:7">
      <c r="B11" s="165" t="s">
        <v>389</v>
      </c>
      <c r="C11" s="165"/>
      <c r="F11" s="165"/>
      <c r="G11" s="165"/>
    </row>
    <row r="12" spans="2:7">
      <c r="B12" s="165" t="s">
        <v>390</v>
      </c>
      <c r="C12" s="165"/>
      <c r="F12" s="165"/>
      <c r="G12" s="165"/>
    </row>
    <row r="13" spans="2:7">
      <c r="B13" s="165"/>
      <c r="C13" s="165"/>
      <c r="F13" s="165"/>
      <c r="G13" s="165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2018-01-20T14:22:27Z</dcterms:modified>
</cp:coreProperties>
</file>
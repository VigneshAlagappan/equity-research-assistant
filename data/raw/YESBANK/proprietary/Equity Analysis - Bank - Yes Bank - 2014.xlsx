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U71" i="18" l="1"/>
  <c r="V71" i="18"/>
  <c r="W71" i="18"/>
  <c r="X71" i="18"/>
  <c r="Y71" i="18"/>
  <c r="Z71" i="18"/>
  <c r="AA71" i="18"/>
  <c r="AB71" i="18"/>
  <c r="AC71" i="18"/>
  <c r="T71" i="18"/>
  <c r="G10" i="18"/>
  <c r="G9" i="18"/>
  <c r="R9" i="18" s="1"/>
  <c r="G7" i="18"/>
  <c r="G6" i="18"/>
  <c r="G38" i="18"/>
  <c r="G36" i="18"/>
  <c r="G33" i="18"/>
  <c r="G31" i="18"/>
  <c r="G29" i="18"/>
  <c r="S9" i="18"/>
  <c r="T9" i="18"/>
  <c r="U9" i="18" s="1"/>
  <c r="V9" i="18" s="1"/>
  <c r="W9" i="18" s="1"/>
  <c r="X9" i="18" s="1"/>
  <c r="Y9" i="18" s="1"/>
  <c r="Z9" i="18" s="1"/>
  <c r="AA9" i="18" s="1"/>
  <c r="AB9" i="18" s="1"/>
  <c r="AC9" i="18" s="1"/>
  <c r="AE9" i="18"/>
  <c r="T188" i="18"/>
  <c r="U187" i="18"/>
  <c r="U186" i="18"/>
  <c r="U191" i="18"/>
  <c r="T191" i="18"/>
  <c r="S55" i="18"/>
  <c r="S53" i="18"/>
  <c r="H193" i="18"/>
  <c r="H192" i="18"/>
  <c r="H191" i="18"/>
  <c r="H190" i="18"/>
  <c r="H189" i="18"/>
  <c r="H188" i="18"/>
  <c r="H187" i="18"/>
  <c r="H186" i="18"/>
  <c r="I186" i="18" s="1"/>
  <c r="J186" i="18" s="1"/>
  <c r="AF9" i="18" l="1"/>
  <c r="AD9" i="18"/>
  <c r="U188" i="18"/>
  <c r="U193" i="18" s="1"/>
  <c r="T193" i="18"/>
  <c r="I187" i="18"/>
  <c r="J187" i="18" s="1"/>
  <c r="I188" i="18" s="1"/>
  <c r="J188" i="18" s="1"/>
  <c r="I189" i="18" s="1"/>
  <c r="J189" i="18" s="1"/>
  <c r="I190" i="18" s="1"/>
  <c r="J190" i="18" s="1"/>
  <c r="I191" i="18" s="1"/>
  <c r="J191" i="18" s="1"/>
  <c r="I192" i="18" s="1"/>
  <c r="J192" i="18" s="1"/>
  <c r="I193" i="18" s="1"/>
  <c r="J193" i="18" s="1"/>
  <c r="H105" i="18" l="1"/>
  <c r="I105" i="18"/>
  <c r="J105" i="18"/>
  <c r="K105" i="18"/>
  <c r="L105" i="18"/>
  <c r="M105" i="18"/>
  <c r="N105" i="18"/>
  <c r="O105" i="18"/>
  <c r="P105" i="18"/>
  <c r="Q105" i="18"/>
  <c r="S18" i="18"/>
  <c r="S17" i="18"/>
  <c r="S14" i="18"/>
  <c r="S13" i="18"/>
  <c r="S40" i="18"/>
  <c r="S33" i="18"/>
  <c r="S31" i="18"/>
  <c r="S29" i="18"/>
  <c r="S27" i="18"/>
  <c r="D196" i="18"/>
  <c r="G203" i="18" s="1"/>
  <c r="D188" i="18"/>
  <c r="G202" i="18" s="1"/>
  <c r="K202" i="18" s="1"/>
  <c r="P187" i="18"/>
  <c r="P190" i="18" s="1"/>
  <c r="P186" i="18"/>
  <c r="O190" i="18"/>
  <c r="O188" i="18"/>
  <c r="P188" i="18" s="1"/>
  <c r="AE165" i="18"/>
  <c r="AE166" i="18"/>
  <c r="AE167" i="18"/>
  <c r="AE168" i="18"/>
  <c r="AE169" i="18"/>
  <c r="AE170" i="18"/>
  <c r="AE171" i="18"/>
  <c r="AE172" i="18"/>
  <c r="AE164" i="18"/>
  <c r="K203" i="18" l="1"/>
  <c r="G205" i="18"/>
  <c r="D198" i="18"/>
  <c r="P193" i="18"/>
  <c r="O193" i="18"/>
  <c r="K206" i="18" l="1"/>
  <c r="K205" i="18"/>
  <c r="M170" i="18"/>
  <c r="H138" i="18"/>
  <c r="I138" i="18"/>
  <c r="J138" i="18"/>
  <c r="K138" i="18"/>
  <c r="L138" i="18"/>
  <c r="M138" i="18"/>
  <c r="N138" i="18"/>
  <c r="O138" i="18"/>
  <c r="P138" i="18"/>
  <c r="Q138" i="18"/>
  <c r="H137" i="18"/>
  <c r="I137" i="18"/>
  <c r="J137" i="18"/>
  <c r="K137" i="18"/>
  <c r="L137" i="18"/>
  <c r="M137" i="18"/>
  <c r="N137" i="18"/>
  <c r="O137" i="18"/>
  <c r="P137" i="18"/>
  <c r="Q137" i="18"/>
  <c r="H132" i="18"/>
  <c r="I132" i="18"/>
  <c r="J132" i="18"/>
  <c r="K132" i="18"/>
  <c r="L132" i="18"/>
  <c r="M132" i="18"/>
  <c r="N132" i="18"/>
  <c r="O132" i="18"/>
  <c r="P132" i="18"/>
  <c r="Q132" i="18"/>
  <c r="H134" i="18"/>
  <c r="I134" i="18"/>
  <c r="J134" i="18"/>
  <c r="K134" i="18"/>
  <c r="L134" i="18"/>
  <c r="M134" i="18"/>
  <c r="N134" i="18"/>
  <c r="O134" i="18"/>
  <c r="P134" i="18"/>
  <c r="Q134" i="18"/>
  <c r="H135" i="18"/>
  <c r="I135" i="18"/>
  <c r="J135" i="18"/>
  <c r="K135" i="18"/>
  <c r="L135" i="18"/>
  <c r="M135" i="18"/>
  <c r="N135" i="18"/>
  <c r="O135" i="18"/>
  <c r="P135" i="18"/>
  <c r="Q135" i="18"/>
  <c r="H114" i="18"/>
  <c r="I114" i="18"/>
  <c r="J114" i="18"/>
  <c r="K114" i="18"/>
  <c r="L114" i="18"/>
  <c r="M114" i="18"/>
  <c r="N114" i="18"/>
  <c r="O114" i="18"/>
  <c r="P114" i="18"/>
  <c r="Q114" i="18"/>
  <c r="H115" i="18"/>
  <c r="I115" i="18"/>
  <c r="J115" i="18"/>
  <c r="K115" i="18"/>
  <c r="L115" i="18"/>
  <c r="M115" i="18"/>
  <c r="N115" i="18"/>
  <c r="O115" i="18"/>
  <c r="P115" i="18"/>
  <c r="Q115" i="18"/>
  <c r="H113" i="18"/>
  <c r="I113" i="18"/>
  <c r="J113" i="18"/>
  <c r="K113" i="18"/>
  <c r="L113" i="18"/>
  <c r="M113" i="18"/>
  <c r="N113" i="18"/>
  <c r="O113" i="18"/>
  <c r="P113" i="18"/>
  <c r="Q113" i="18"/>
  <c r="H112" i="18"/>
  <c r="I112" i="18"/>
  <c r="J112" i="18"/>
  <c r="K112" i="18"/>
  <c r="L112" i="18"/>
  <c r="M112" i="18"/>
  <c r="N112" i="18"/>
  <c r="O112" i="18"/>
  <c r="P112" i="18"/>
  <c r="Q112" i="18"/>
  <c r="H71" i="18"/>
  <c r="I71" i="18"/>
  <c r="J71" i="18"/>
  <c r="K71" i="18"/>
  <c r="L71" i="18"/>
  <c r="M71" i="18"/>
  <c r="N71" i="18"/>
  <c r="O71" i="18"/>
  <c r="P71" i="18"/>
  <c r="Q71" i="18"/>
  <c r="G25" i="18"/>
  <c r="G24" i="18"/>
  <c r="G23" i="18"/>
  <c r="G22" i="18"/>
  <c r="G20" i="18"/>
  <c r="G18" i="18"/>
  <c r="G17" i="18"/>
  <c r="G15" i="18"/>
  <c r="G14" i="18"/>
  <c r="G13" i="18"/>
  <c r="G12" i="18"/>
  <c r="G27" i="18"/>
  <c r="G51" i="18"/>
  <c r="G44" i="18"/>
  <c r="G42" i="18"/>
  <c r="G132" i="18"/>
  <c r="G114" i="18" l="1"/>
  <c r="G105" i="18"/>
  <c r="R105" i="18" s="1"/>
  <c r="G115" i="18"/>
  <c r="R115" i="18" s="1"/>
  <c r="G137" i="18"/>
  <c r="R137" i="18" s="1"/>
  <c r="R132" i="18"/>
  <c r="G138" i="18"/>
  <c r="R138" i="18" s="1"/>
  <c r="G135" i="18"/>
  <c r="R135" i="18" s="1"/>
  <c r="G113" i="18"/>
  <c r="R114" i="18"/>
  <c r="G134" i="18"/>
  <c r="R113" i="18"/>
  <c r="G71" i="18"/>
  <c r="G112" i="18"/>
  <c r="R112" i="18" s="1"/>
  <c r="Q54" i="18"/>
  <c r="P54" i="18"/>
  <c r="O54" i="18"/>
  <c r="N54" i="18"/>
  <c r="M54" i="18"/>
  <c r="L54" i="18"/>
  <c r="K54" i="18"/>
  <c r="J54" i="18"/>
  <c r="I54" i="18"/>
  <c r="H54" i="18"/>
  <c r="G54" i="18"/>
  <c r="M61" i="18"/>
  <c r="M165" i="18" s="1"/>
  <c r="M62" i="18"/>
  <c r="M64" i="18"/>
  <c r="M65" i="18"/>
  <c r="M66" i="18"/>
  <c r="M167" i="18" s="1"/>
  <c r="M67" i="18"/>
  <c r="M69" i="18"/>
  <c r="M70" i="18"/>
  <c r="M73" i="18"/>
  <c r="M74" i="18"/>
  <c r="M77" i="18"/>
  <c r="M107" i="18" s="1"/>
  <c r="M108" i="18" s="1"/>
  <c r="M109" i="18" s="1"/>
  <c r="M110" i="18" s="1"/>
  <c r="M79" i="18"/>
  <c r="M81" i="18" s="1"/>
  <c r="M82" i="18"/>
  <c r="M83" i="18"/>
  <c r="M84" i="18"/>
  <c r="M85" i="18"/>
  <c r="M87" i="18"/>
  <c r="M88" i="18"/>
  <c r="M89" i="18"/>
  <c r="M92" i="18"/>
  <c r="M93" i="18"/>
  <c r="M94" i="18"/>
  <c r="M95" i="18"/>
  <c r="M96" i="18"/>
  <c r="M98" i="18"/>
  <c r="M100" i="18"/>
  <c r="M101" i="18"/>
  <c r="M102" i="18"/>
  <c r="M103" i="18"/>
  <c r="M117" i="18"/>
  <c r="M118" i="18"/>
  <c r="M120" i="18"/>
  <c r="M121" i="18"/>
  <c r="M122" i="18"/>
  <c r="M125" i="18"/>
  <c r="M126" i="18"/>
  <c r="M127" i="18"/>
  <c r="M129" i="18"/>
  <c r="M130" i="18"/>
  <c r="M133" i="18"/>
  <c r="M52" i="18"/>
  <c r="M50" i="18"/>
  <c r="M48" i="18"/>
  <c r="M43" i="18"/>
  <c r="M41" i="18"/>
  <c r="M39" i="18"/>
  <c r="M37" i="18"/>
  <c r="M34" i="18"/>
  <c r="M32" i="18"/>
  <c r="M30" i="18"/>
  <c r="M28" i="18"/>
  <c r="M11" i="18"/>
  <c r="N11" i="18"/>
  <c r="M8" i="18"/>
  <c r="M166" i="18" l="1"/>
  <c r="M171" i="18" s="1"/>
  <c r="M172" i="18" s="1"/>
  <c r="M169" i="18"/>
  <c r="M75" i="18"/>
  <c r="M168" i="18" s="1"/>
  <c r="G206" i="18"/>
  <c r="H197" i="18"/>
  <c r="H195" i="18"/>
  <c r="I195" i="18" s="1"/>
  <c r="J195" i="18" s="1"/>
  <c r="J196" i="18" s="1"/>
  <c r="AE49" i="18"/>
  <c r="S49" i="18"/>
  <c r="T49" i="18" s="1"/>
  <c r="U49" i="18" s="1"/>
  <c r="V49" i="18" s="1"/>
  <c r="W49" i="18" s="1"/>
  <c r="X49" i="18" s="1"/>
  <c r="Y49" i="18" s="1"/>
  <c r="Z49" i="18" s="1"/>
  <c r="AA49" i="18" s="1"/>
  <c r="AB49" i="18" s="1"/>
  <c r="AC49" i="18" s="1"/>
  <c r="AD49" i="18" s="1"/>
  <c r="R49" i="18"/>
  <c r="Q50" i="18"/>
  <c r="P50" i="18"/>
  <c r="O50" i="18"/>
  <c r="N50" i="18"/>
  <c r="L50" i="18"/>
  <c r="K50" i="18"/>
  <c r="J50" i="18"/>
  <c r="I50" i="18"/>
  <c r="H50" i="18"/>
  <c r="G50" i="18"/>
  <c r="G207" i="18" l="1"/>
  <c r="G208" i="18"/>
  <c r="I197" i="18"/>
  <c r="J197" i="18" s="1"/>
  <c r="J198" i="18" s="1"/>
  <c r="J194" i="18"/>
  <c r="AF49" i="18"/>
  <c r="H133" i="18"/>
  <c r="I133" i="18"/>
  <c r="J133" i="18"/>
  <c r="K133" i="18"/>
  <c r="L133" i="18"/>
  <c r="N133" i="18"/>
  <c r="O133" i="18"/>
  <c r="P133" i="18"/>
  <c r="Q133" i="18"/>
  <c r="G133" i="18"/>
  <c r="R134" i="18"/>
  <c r="H96" i="18"/>
  <c r="I96" i="18"/>
  <c r="J96" i="18"/>
  <c r="K96" i="18"/>
  <c r="L96" i="18"/>
  <c r="N96" i="18"/>
  <c r="O96" i="18"/>
  <c r="P96" i="18"/>
  <c r="Q96" i="18"/>
  <c r="G96" i="18"/>
  <c r="T17" i="18"/>
  <c r="U17" i="18" s="1"/>
  <c r="V17" i="18" s="1"/>
  <c r="W17" i="18" s="1"/>
  <c r="X17" i="18" s="1"/>
  <c r="Y17" i="18" s="1"/>
  <c r="Z17" i="18" s="1"/>
  <c r="AA17" i="18" s="1"/>
  <c r="AB17" i="18" s="1"/>
  <c r="AC17" i="18" s="1"/>
  <c r="AF17" i="18" s="1"/>
  <c r="R17" i="18"/>
  <c r="Q41" i="18"/>
  <c r="P41" i="18"/>
  <c r="O41" i="18"/>
  <c r="N41" i="18"/>
  <c r="L41" i="18"/>
  <c r="K41" i="18"/>
  <c r="J41" i="18"/>
  <c r="I41" i="18"/>
  <c r="H41" i="18"/>
  <c r="G41" i="18"/>
  <c r="T40" i="18"/>
  <c r="R40" i="18"/>
  <c r="Q34" i="18"/>
  <c r="P34" i="18"/>
  <c r="O34" i="18"/>
  <c r="N34" i="18"/>
  <c r="L34" i="18"/>
  <c r="K34" i="18"/>
  <c r="J34" i="18"/>
  <c r="I34" i="18"/>
  <c r="H34" i="18"/>
  <c r="G34" i="18"/>
  <c r="T33" i="18"/>
  <c r="R33" i="18"/>
  <c r="Q32" i="18"/>
  <c r="P32" i="18"/>
  <c r="O32" i="18"/>
  <c r="N32" i="18"/>
  <c r="L32" i="18"/>
  <c r="K32" i="18"/>
  <c r="J32" i="18"/>
  <c r="I32" i="18"/>
  <c r="H32" i="18"/>
  <c r="G32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F31" i="18" s="1"/>
  <c r="R31" i="18"/>
  <c r="Q30" i="18"/>
  <c r="P30" i="18"/>
  <c r="O30" i="18"/>
  <c r="N30" i="18"/>
  <c r="L30" i="18"/>
  <c r="K30" i="18"/>
  <c r="J30" i="18"/>
  <c r="I30" i="18"/>
  <c r="H30" i="18"/>
  <c r="G30" i="18"/>
  <c r="T29" i="18"/>
  <c r="U29" i="18" s="1"/>
  <c r="V29" i="18" s="1"/>
  <c r="W29" i="18" s="1"/>
  <c r="X29" i="18" s="1"/>
  <c r="Y29" i="18" s="1"/>
  <c r="Z29" i="18" s="1"/>
  <c r="AA29" i="18" s="1"/>
  <c r="AB29" i="18" s="1"/>
  <c r="AC29" i="18" s="1"/>
  <c r="AF29" i="18" s="1"/>
  <c r="R29" i="18"/>
  <c r="Q28" i="18"/>
  <c r="P28" i="18"/>
  <c r="O28" i="18"/>
  <c r="N28" i="18"/>
  <c r="L28" i="18"/>
  <c r="K28" i="18"/>
  <c r="J28" i="18"/>
  <c r="I28" i="18"/>
  <c r="H28" i="18"/>
  <c r="G28" i="18"/>
  <c r="T27" i="18"/>
  <c r="U27" i="18" s="1"/>
  <c r="V27" i="18" s="1"/>
  <c r="W27" i="18" s="1"/>
  <c r="X27" i="18" s="1"/>
  <c r="Y27" i="18" s="1"/>
  <c r="Z27" i="18" s="1"/>
  <c r="AA27" i="18" s="1"/>
  <c r="AB27" i="18" s="1"/>
  <c r="AC27" i="18" s="1"/>
  <c r="AF27" i="18" s="1"/>
  <c r="R27" i="18"/>
  <c r="T18" i="18"/>
  <c r="U18" i="18" s="1"/>
  <c r="V18" i="18" s="1"/>
  <c r="W18" i="18" s="1"/>
  <c r="X18" i="18" s="1"/>
  <c r="Y18" i="18" s="1"/>
  <c r="Z18" i="18" s="1"/>
  <c r="AA18" i="18" s="1"/>
  <c r="AB18" i="18" s="1"/>
  <c r="AC18" i="18" s="1"/>
  <c r="AF18" i="18" s="1"/>
  <c r="R18" i="18"/>
  <c r="T14" i="18"/>
  <c r="R14" i="18"/>
  <c r="T13" i="18"/>
  <c r="R13" i="18"/>
  <c r="U13" i="18" l="1"/>
  <c r="T137" i="18"/>
  <c r="U33" i="18"/>
  <c r="T112" i="18"/>
  <c r="U40" i="18"/>
  <c r="U14" i="18"/>
  <c r="T138" i="18"/>
  <c r="R96" i="18"/>
  <c r="R133" i="18"/>
  <c r="AD17" i="18"/>
  <c r="AD27" i="18"/>
  <c r="AD29" i="18"/>
  <c r="AD31" i="18"/>
  <c r="AD18" i="18"/>
  <c r="V40" i="18" l="1"/>
  <c r="V14" i="18"/>
  <c r="U138" i="18"/>
  <c r="V13" i="18"/>
  <c r="U137" i="18"/>
  <c r="V33" i="18"/>
  <c r="U112" i="18"/>
  <c r="Q95" i="18"/>
  <c r="Q94" i="18"/>
  <c r="H95" i="18"/>
  <c r="I95" i="18"/>
  <c r="J95" i="18"/>
  <c r="K95" i="18"/>
  <c r="L95" i="18"/>
  <c r="N95" i="18"/>
  <c r="O95" i="18"/>
  <c r="P95" i="18"/>
  <c r="G95" i="18"/>
  <c r="G94" i="18"/>
  <c r="H130" i="18"/>
  <c r="I130" i="18"/>
  <c r="J130" i="18"/>
  <c r="K130" i="18"/>
  <c r="L130" i="18"/>
  <c r="N130" i="18"/>
  <c r="O130" i="18"/>
  <c r="P130" i="18"/>
  <c r="Q130" i="18"/>
  <c r="G130" i="18"/>
  <c r="H129" i="18"/>
  <c r="I129" i="18"/>
  <c r="J129" i="18"/>
  <c r="K129" i="18"/>
  <c r="L129" i="18"/>
  <c r="N129" i="18"/>
  <c r="O129" i="18"/>
  <c r="P129" i="18"/>
  <c r="Q129" i="18"/>
  <c r="G129" i="18"/>
  <c r="H126" i="18"/>
  <c r="I126" i="18"/>
  <c r="J126" i="18"/>
  <c r="K126" i="18"/>
  <c r="L126" i="18"/>
  <c r="N126" i="18"/>
  <c r="O126" i="18"/>
  <c r="P126" i="18"/>
  <c r="Q126" i="18"/>
  <c r="G126" i="18"/>
  <c r="H127" i="18"/>
  <c r="I127" i="18"/>
  <c r="J127" i="18"/>
  <c r="K127" i="18"/>
  <c r="L127" i="18"/>
  <c r="N127" i="18"/>
  <c r="O127" i="18"/>
  <c r="P127" i="18"/>
  <c r="Q127" i="18"/>
  <c r="G127" i="18"/>
  <c r="H125" i="18"/>
  <c r="I125" i="18"/>
  <c r="J125" i="18"/>
  <c r="K125" i="18"/>
  <c r="L125" i="18"/>
  <c r="N125" i="18"/>
  <c r="O125" i="18"/>
  <c r="P125" i="18"/>
  <c r="Q125" i="18"/>
  <c r="G125" i="18"/>
  <c r="T164" i="18"/>
  <c r="H122" i="18"/>
  <c r="I122" i="18"/>
  <c r="J122" i="18"/>
  <c r="K122" i="18"/>
  <c r="L122" i="18"/>
  <c r="N122" i="18"/>
  <c r="O122" i="18"/>
  <c r="P122" i="18"/>
  <c r="Q122" i="18"/>
  <c r="G122" i="18"/>
  <c r="H121" i="18"/>
  <c r="I121" i="18"/>
  <c r="J121" i="18"/>
  <c r="K121" i="18"/>
  <c r="L121" i="18"/>
  <c r="N121" i="18"/>
  <c r="O121" i="18"/>
  <c r="P121" i="18"/>
  <c r="Q121" i="18"/>
  <c r="G121" i="18"/>
  <c r="H120" i="18"/>
  <c r="I120" i="18"/>
  <c r="J120" i="18"/>
  <c r="K120" i="18"/>
  <c r="L120" i="18"/>
  <c r="N120" i="18"/>
  <c r="O120" i="18"/>
  <c r="P120" i="18"/>
  <c r="Q120" i="18"/>
  <c r="G120" i="18"/>
  <c r="B122" i="18"/>
  <c r="B121" i="18"/>
  <c r="T53" i="18"/>
  <c r="G103" i="18"/>
  <c r="H103" i="18"/>
  <c r="I103" i="18"/>
  <c r="J103" i="18"/>
  <c r="K103" i="18"/>
  <c r="L103" i="18"/>
  <c r="N103" i="18"/>
  <c r="O103" i="18"/>
  <c r="P103" i="18"/>
  <c r="Q103" i="18"/>
  <c r="H118" i="18"/>
  <c r="I118" i="18"/>
  <c r="J118" i="18"/>
  <c r="K118" i="18"/>
  <c r="L118" i="18"/>
  <c r="N118" i="18"/>
  <c r="O118" i="18"/>
  <c r="P118" i="18"/>
  <c r="Q118" i="18"/>
  <c r="G118" i="18"/>
  <c r="H117" i="18"/>
  <c r="I117" i="18"/>
  <c r="J117" i="18"/>
  <c r="K117" i="18"/>
  <c r="L117" i="18"/>
  <c r="N117" i="18"/>
  <c r="O117" i="18"/>
  <c r="P117" i="18"/>
  <c r="Q117" i="18"/>
  <c r="G117" i="18"/>
  <c r="W40" i="18" l="1"/>
  <c r="W13" i="18"/>
  <c r="V137" i="18"/>
  <c r="W33" i="18"/>
  <c r="V112" i="18"/>
  <c r="W14" i="18"/>
  <c r="V138" i="18"/>
  <c r="R95" i="18"/>
  <c r="R129" i="18"/>
  <c r="R125" i="18"/>
  <c r="R126" i="18"/>
  <c r="R130" i="18"/>
  <c r="R127" i="18"/>
  <c r="R120" i="18"/>
  <c r="R121" i="18"/>
  <c r="R122" i="18"/>
  <c r="R103" i="18"/>
  <c r="R118" i="18"/>
  <c r="R117" i="18"/>
  <c r="S10" i="18"/>
  <c r="S12" i="18"/>
  <c r="S15" i="18"/>
  <c r="S20" i="18"/>
  <c r="S22" i="18"/>
  <c r="S23" i="18"/>
  <c r="S24" i="18"/>
  <c r="S25" i="18"/>
  <c r="S36" i="18"/>
  <c r="S38" i="18"/>
  <c r="S42" i="18"/>
  <c r="S44" i="18"/>
  <c r="S45" i="18"/>
  <c r="S47" i="18"/>
  <c r="S51" i="18"/>
  <c r="S7" i="18"/>
  <c r="S6" i="18"/>
  <c r="AE10" i="18"/>
  <c r="AE11" i="18"/>
  <c r="AE12" i="18"/>
  <c r="AE15" i="18"/>
  <c r="AE20" i="18"/>
  <c r="AE22" i="18"/>
  <c r="AE23" i="18"/>
  <c r="AE24" i="18"/>
  <c r="AE25" i="18"/>
  <c r="AE36" i="18"/>
  <c r="AE38" i="18"/>
  <c r="AE42" i="18"/>
  <c r="AE44" i="18"/>
  <c r="AE45" i="18"/>
  <c r="AE47" i="18"/>
  <c r="AE51" i="18"/>
  <c r="AE53" i="18"/>
  <c r="AE55" i="18"/>
  <c r="AE61" i="18"/>
  <c r="AE62" i="18"/>
  <c r="AE64" i="18"/>
  <c r="AE65" i="18"/>
  <c r="AE66" i="18"/>
  <c r="AE67" i="18"/>
  <c r="AE69" i="18"/>
  <c r="AE70" i="18"/>
  <c r="AE71" i="18"/>
  <c r="AE73" i="18"/>
  <c r="AE74" i="18"/>
  <c r="AE75" i="18"/>
  <c r="AE77" i="18"/>
  <c r="AE79" i="18"/>
  <c r="AE81" i="18"/>
  <c r="AE82" i="18"/>
  <c r="AE83" i="18"/>
  <c r="AE84" i="18"/>
  <c r="AE85" i="18"/>
  <c r="AE87" i="18"/>
  <c r="AE88" i="18"/>
  <c r="AE89" i="18"/>
  <c r="AE7" i="18"/>
  <c r="AE6" i="18"/>
  <c r="X33" i="18" l="1"/>
  <c r="W112" i="18"/>
  <c r="X40" i="18"/>
  <c r="X14" i="18"/>
  <c r="W138" i="18"/>
  <c r="X13" i="18"/>
  <c r="W137" i="18"/>
  <c r="G100" i="18"/>
  <c r="H100" i="18"/>
  <c r="I100" i="18"/>
  <c r="J100" i="18"/>
  <c r="K100" i="18"/>
  <c r="L100" i="18"/>
  <c r="N100" i="18"/>
  <c r="O100" i="18"/>
  <c r="P100" i="18"/>
  <c r="Q100" i="18"/>
  <c r="Y33" i="18" l="1"/>
  <c r="X112" i="18"/>
  <c r="Y13" i="18"/>
  <c r="X137" i="18"/>
  <c r="Y40" i="18"/>
  <c r="Y14" i="18"/>
  <c r="X138" i="18"/>
  <c r="R100" i="18"/>
  <c r="H98" i="18"/>
  <c r="I98" i="18"/>
  <c r="J98" i="18"/>
  <c r="K98" i="18"/>
  <c r="L98" i="18"/>
  <c r="N98" i="18"/>
  <c r="O98" i="18"/>
  <c r="P98" i="18"/>
  <c r="Q98" i="18"/>
  <c r="G98" i="18"/>
  <c r="T42" i="18"/>
  <c r="R42" i="18"/>
  <c r="Q43" i="18"/>
  <c r="P43" i="18"/>
  <c r="O43" i="18"/>
  <c r="N43" i="18"/>
  <c r="L43" i="18"/>
  <c r="K43" i="18"/>
  <c r="J43" i="18"/>
  <c r="I43" i="18"/>
  <c r="H43" i="18"/>
  <c r="G43" i="18"/>
  <c r="U42" i="18" l="1"/>
  <c r="Z33" i="18"/>
  <c r="Y112" i="18"/>
  <c r="Z14" i="18"/>
  <c r="Y138" i="18"/>
  <c r="Z13" i="18"/>
  <c r="Y137" i="18"/>
  <c r="Z40" i="18"/>
  <c r="R98" i="18"/>
  <c r="H102" i="18"/>
  <c r="I102" i="18"/>
  <c r="J102" i="18"/>
  <c r="K102" i="18"/>
  <c r="L102" i="18"/>
  <c r="N102" i="18"/>
  <c r="O102" i="18"/>
  <c r="P102" i="18"/>
  <c r="Q102" i="18"/>
  <c r="G102" i="18"/>
  <c r="H101" i="18"/>
  <c r="I101" i="18"/>
  <c r="J101" i="18"/>
  <c r="K101" i="18"/>
  <c r="L101" i="18"/>
  <c r="N101" i="18"/>
  <c r="O101" i="18"/>
  <c r="P101" i="18"/>
  <c r="Q101" i="18"/>
  <c r="G101" i="18"/>
  <c r="AA13" i="18" l="1"/>
  <c r="Z137" i="18"/>
  <c r="V42" i="18"/>
  <c r="AA33" i="18"/>
  <c r="Z112" i="18"/>
  <c r="AA40" i="18"/>
  <c r="AA14" i="18"/>
  <c r="Z138" i="18"/>
  <c r="R101" i="18"/>
  <c r="R102" i="18"/>
  <c r="AF76" i="18"/>
  <c r="AB14" i="18" l="1"/>
  <c r="AA138" i="18"/>
  <c r="AB33" i="18"/>
  <c r="AA112" i="18"/>
  <c r="AB40" i="18"/>
  <c r="AB13" i="18"/>
  <c r="AA137" i="18"/>
  <c r="W42" i="18"/>
  <c r="G170" i="18"/>
  <c r="H170" i="18"/>
  <c r="I170" i="18"/>
  <c r="J170" i="18"/>
  <c r="K170" i="18"/>
  <c r="L170" i="18"/>
  <c r="N170" i="18"/>
  <c r="O170" i="18"/>
  <c r="P170" i="18"/>
  <c r="Q170" i="18"/>
  <c r="C9" i="15"/>
  <c r="G77" i="18"/>
  <c r="G107" i="18" s="1"/>
  <c r="G108" i="18" s="1"/>
  <c r="H77" i="18"/>
  <c r="H107" i="18" s="1"/>
  <c r="H108" i="18" s="1"/>
  <c r="I77" i="18"/>
  <c r="I107" i="18" s="1"/>
  <c r="I108" i="18" s="1"/>
  <c r="J77" i="18"/>
  <c r="J107" i="18" s="1"/>
  <c r="J108" i="18" s="1"/>
  <c r="K77" i="18"/>
  <c r="K107" i="18" s="1"/>
  <c r="K108" i="18" s="1"/>
  <c r="L77" i="18"/>
  <c r="L107" i="18" s="1"/>
  <c r="L108" i="18" s="1"/>
  <c r="N77" i="18"/>
  <c r="N107" i="18" s="1"/>
  <c r="N108" i="18" s="1"/>
  <c r="O77" i="18"/>
  <c r="O107" i="18" s="1"/>
  <c r="O108" i="18" s="1"/>
  <c r="P77" i="18"/>
  <c r="P107" i="18" s="1"/>
  <c r="P108" i="18" s="1"/>
  <c r="Q77" i="18"/>
  <c r="Q107" i="18" s="1"/>
  <c r="T55" i="18"/>
  <c r="T77" i="18" s="1"/>
  <c r="T107" i="18" s="1"/>
  <c r="T108" i="18" s="1"/>
  <c r="R55" i="18"/>
  <c r="R170" i="18" l="1"/>
  <c r="AC40" i="18"/>
  <c r="AC14" i="18"/>
  <c r="AB138" i="18"/>
  <c r="AC13" i="18"/>
  <c r="AB137" i="18"/>
  <c r="X42" i="18"/>
  <c r="AC33" i="18"/>
  <c r="AB112" i="18"/>
  <c r="O109" i="18"/>
  <c r="O110" i="18" s="1"/>
  <c r="J109" i="18"/>
  <c r="J110" i="18" s="1"/>
  <c r="L109" i="18"/>
  <c r="L110" i="18" s="1"/>
  <c r="H109" i="18"/>
  <c r="H110" i="18" s="1"/>
  <c r="N109" i="18"/>
  <c r="N110" i="18" s="1"/>
  <c r="I109" i="18"/>
  <c r="I110" i="18" s="1"/>
  <c r="P109" i="18"/>
  <c r="P110" i="18" s="1"/>
  <c r="K109" i="18"/>
  <c r="K110" i="18" s="1"/>
  <c r="G109" i="18"/>
  <c r="G110" i="18" s="1"/>
  <c r="Q108" i="18"/>
  <c r="R107" i="18"/>
  <c r="U55" i="18"/>
  <c r="V55" i="18" s="1"/>
  <c r="W55" i="18" s="1"/>
  <c r="X55" i="18" s="1"/>
  <c r="AF40" i="18" l="1"/>
  <c r="AD40" i="18"/>
  <c r="AF33" i="18"/>
  <c r="AC112" i="18"/>
  <c r="AD112" i="18" s="1"/>
  <c r="AD33" i="18"/>
  <c r="AF13" i="18"/>
  <c r="AC137" i="18"/>
  <c r="AD137" i="18" s="1"/>
  <c r="AD13" i="18"/>
  <c r="Y42" i="18"/>
  <c r="AF14" i="18"/>
  <c r="AC138" i="18"/>
  <c r="AD138" i="18" s="1"/>
  <c r="AD14" i="18"/>
  <c r="Q109" i="18"/>
  <c r="R108" i="18"/>
  <c r="V77" i="18"/>
  <c r="Y55" i="18"/>
  <c r="X77" i="18"/>
  <c r="W77" i="18"/>
  <c r="U77" i="18"/>
  <c r="G87" i="18"/>
  <c r="H87" i="18"/>
  <c r="I87" i="18"/>
  <c r="J87" i="18"/>
  <c r="K87" i="18"/>
  <c r="L87" i="18"/>
  <c r="N87" i="18"/>
  <c r="O87" i="18"/>
  <c r="P87" i="18"/>
  <c r="G88" i="18"/>
  <c r="H88" i="18"/>
  <c r="I88" i="18"/>
  <c r="J88" i="18"/>
  <c r="K88" i="18"/>
  <c r="L88" i="18"/>
  <c r="N88" i="18"/>
  <c r="O88" i="18"/>
  <c r="P88" i="18"/>
  <c r="G89" i="18"/>
  <c r="H89" i="18"/>
  <c r="I89" i="18"/>
  <c r="J89" i="18"/>
  <c r="K89" i="18"/>
  <c r="L89" i="18"/>
  <c r="N89" i="18"/>
  <c r="O89" i="18"/>
  <c r="P89" i="18"/>
  <c r="Q89" i="18"/>
  <c r="Q88" i="18"/>
  <c r="Q87" i="18"/>
  <c r="H94" i="18"/>
  <c r="I94" i="18"/>
  <c r="J94" i="18"/>
  <c r="K94" i="18"/>
  <c r="L94" i="18"/>
  <c r="N94" i="18"/>
  <c r="O94" i="18"/>
  <c r="P94" i="18"/>
  <c r="G93" i="18"/>
  <c r="H93" i="18"/>
  <c r="I93" i="18"/>
  <c r="J93" i="18"/>
  <c r="K93" i="18"/>
  <c r="L93" i="18"/>
  <c r="N93" i="18"/>
  <c r="O93" i="18"/>
  <c r="P93" i="18"/>
  <c r="G92" i="18"/>
  <c r="H92" i="18"/>
  <c r="I92" i="18"/>
  <c r="J92" i="18"/>
  <c r="K92" i="18"/>
  <c r="L92" i="18"/>
  <c r="N92" i="18"/>
  <c r="O92" i="18"/>
  <c r="P92" i="18"/>
  <c r="Q93" i="18"/>
  <c r="G52" i="18"/>
  <c r="G48" i="18"/>
  <c r="G39" i="18"/>
  <c r="G11" i="18"/>
  <c r="G8" i="18"/>
  <c r="G37" i="18"/>
  <c r="Z42" i="18" l="1"/>
  <c r="R89" i="18"/>
  <c r="Z55" i="18"/>
  <c r="Y77" i="18"/>
  <c r="R87" i="18"/>
  <c r="R88" i="18"/>
  <c r="R93" i="18"/>
  <c r="R94" i="18"/>
  <c r="Q92" i="18"/>
  <c r="R92" i="18" s="1"/>
  <c r="H62" i="18"/>
  <c r="I62" i="18"/>
  <c r="J62" i="18"/>
  <c r="K62" i="18"/>
  <c r="L62" i="18"/>
  <c r="N62" i="18"/>
  <c r="O62" i="18"/>
  <c r="P62" i="18"/>
  <c r="Q62" i="18"/>
  <c r="G62" i="18"/>
  <c r="G64" i="18"/>
  <c r="G169" i="18" s="1"/>
  <c r="H61" i="18"/>
  <c r="H165" i="18" s="1"/>
  <c r="I61" i="18"/>
  <c r="I165" i="18" s="1"/>
  <c r="J61" i="18"/>
  <c r="J165" i="18" s="1"/>
  <c r="K61" i="18"/>
  <c r="K165" i="18" s="1"/>
  <c r="L61" i="18"/>
  <c r="L165" i="18" s="1"/>
  <c r="N61" i="18"/>
  <c r="N165" i="18" s="1"/>
  <c r="O61" i="18"/>
  <c r="O165" i="18" s="1"/>
  <c r="P61" i="18"/>
  <c r="P165" i="18" s="1"/>
  <c r="Q61" i="18"/>
  <c r="Q165" i="18" s="1"/>
  <c r="G61" i="18"/>
  <c r="G165" i="18" s="1"/>
  <c r="Q52" i="18"/>
  <c r="P52" i="18"/>
  <c r="O52" i="18"/>
  <c r="N52" i="18"/>
  <c r="L52" i="18"/>
  <c r="K52" i="18"/>
  <c r="J52" i="18"/>
  <c r="I52" i="18"/>
  <c r="H52" i="18"/>
  <c r="Q48" i="18"/>
  <c r="P48" i="18"/>
  <c r="O48" i="18"/>
  <c r="N48" i="18"/>
  <c r="L48" i="18"/>
  <c r="K48" i="18"/>
  <c r="J48" i="18"/>
  <c r="I48" i="18"/>
  <c r="H48" i="18"/>
  <c r="Q39" i="18"/>
  <c r="P39" i="18"/>
  <c r="O39" i="18"/>
  <c r="N39" i="18"/>
  <c r="L39" i="18"/>
  <c r="K39" i="18"/>
  <c r="J39" i="18"/>
  <c r="I39" i="18"/>
  <c r="H39" i="18"/>
  <c r="Q37" i="18"/>
  <c r="P37" i="18"/>
  <c r="O37" i="18"/>
  <c r="N37" i="18"/>
  <c r="L37" i="18"/>
  <c r="K37" i="18"/>
  <c r="J37" i="18"/>
  <c r="I37" i="18"/>
  <c r="H37" i="18"/>
  <c r="Q11" i="18"/>
  <c r="P11" i="18"/>
  <c r="O11" i="18"/>
  <c r="L11" i="18"/>
  <c r="K11" i="18"/>
  <c r="J11" i="18"/>
  <c r="I11" i="18"/>
  <c r="H11" i="18"/>
  <c r="I8" i="18"/>
  <c r="J8" i="18"/>
  <c r="K8" i="18"/>
  <c r="L8" i="18"/>
  <c r="N8" i="18"/>
  <c r="O8" i="18"/>
  <c r="P8" i="18"/>
  <c r="Q8" i="18"/>
  <c r="H8" i="18"/>
  <c r="R53" i="18"/>
  <c r="T47" i="18"/>
  <c r="R47" i="18"/>
  <c r="AA42" i="18" l="1"/>
  <c r="R165" i="18"/>
  <c r="AA55" i="18"/>
  <c r="Z77" i="18"/>
  <c r="U47" i="18"/>
  <c r="R62" i="18"/>
  <c r="R61" i="18"/>
  <c r="R45" i="18"/>
  <c r="AB42" i="18" l="1"/>
  <c r="AB55" i="18"/>
  <c r="AA77" i="18"/>
  <c r="V47" i="18"/>
  <c r="I84" i="18"/>
  <c r="J84" i="18"/>
  <c r="K84" i="18"/>
  <c r="L84" i="18"/>
  <c r="N84" i="18"/>
  <c r="O84" i="18"/>
  <c r="P84" i="18"/>
  <c r="Q84" i="18"/>
  <c r="I85" i="18"/>
  <c r="J85" i="18"/>
  <c r="K85" i="18"/>
  <c r="L85" i="18"/>
  <c r="N85" i="18"/>
  <c r="O85" i="18"/>
  <c r="P85" i="18"/>
  <c r="Q85" i="18"/>
  <c r="I79" i="18"/>
  <c r="I81" i="18" s="1"/>
  <c r="J79" i="18"/>
  <c r="J81" i="18" s="1"/>
  <c r="K79" i="18"/>
  <c r="K81" i="18" s="1"/>
  <c r="L79" i="18"/>
  <c r="L81" i="18" s="1"/>
  <c r="N79" i="18"/>
  <c r="N81" i="18" s="1"/>
  <c r="O79" i="18"/>
  <c r="O81" i="18" s="1"/>
  <c r="P79" i="18"/>
  <c r="P81" i="18" s="1"/>
  <c r="Q79" i="18"/>
  <c r="Q81" i="18" s="1"/>
  <c r="I82" i="18"/>
  <c r="J82" i="18"/>
  <c r="K82" i="18"/>
  <c r="L82" i="18"/>
  <c r="N82" i="18"/>
  <c r="O82" i="18"/>
  <c r="P82" i="18"/>
  <c r="Q82" i="18"/>
  <c r="I83" i="18"/>
  <c r="J83" i="18"/>
  <c r="K83" i="18"/>
  <c r="L83" i="18"/>
  <c r="N83" i="18"/>
  <c r="O83" i="18"/>
  <c r="P83" i="18"/>
  <c r="Q83" i="18"/>
  <c r="G82" i="18"/>
  <c r="G83" i="18"/>
  <c r="G84" i="18"/>
  <c r="G85" i="18"/>
  <c r="H85" i="18"/>
  <c r="H84" i="18"/>
  <c r="T25" i="18"/>
  <c r="U25" i="18" s="1"/>
  <c r="V25" i="18" s="1"/>
  <c r="W25" i="18" s="1"/>
  <c r="X25" i="18" s="1"/>
  <c r="Y25" i="18" s="1"/>
  <c r="Z25" i="18" s="1"/>
  <c r="AA25" i="18" s="1"/>
  <c r="AB25" i="18" s="1"/>
  <c r="AC25" i="18" s="1"/>
  <c r="AF25" i="18" s="1"/>
  <c r="R25" i="18"/>
  <c r="T24" i="18"/>
  <c r="U24" i="18" s="1"/>
  <c r="V24" i="18" s="1"/>
  <c r="W24" i="18" s="1"/>
  <c r="X24" i="18" s="1"/>
  <c r="Y24" i="18" s="1"/>
  <c r="Z24" i="18" s="1"/>
  <c r="AA24" i="18" s="1"/>
  <c r="AB24" i="18" s="1"/>
  <c r="AC24" i="18" s="1"/>
  <c r="T23" i="18"/>
  <c r="R22" i="18"/>
  <c r="G79" i="18"/>
  <c r="G81" i="18" s="1"/>
  <c r="H79" i="18"/>
  <c r="H81" i="18" s="1"/>
  <c r="H83" i="18"/>
  <c r="H82" i="18"/>
  <c r="AC42" i="18" l="1"/>
  <c r="AD24" i="18"/>
  <c r="AF24" i="18"/>
  <c r="AC55" i="18"/>
  <c r="AF55" i="18" s="1"/>
  <c r="AB77" i="18"/>
  <c r="W47" i="18"/>
  <c r="R84" i="18"/>
  <c r="R85" i="18"/>
  <c r="R83" i="18"/>
  <c r="R81" i="18"/>
  <c r="R82" i="18"/>
  <c r="AD25" i="18"/>
  <c r="R24" i="18"/>
  <c r="R23" i="18"/>
  <c r="R79" i="18"/>
  <c r="T22" i="18"/>
  <c r="U23" i="18"/>
  <c r="R77" i="18"/>
  <c r="R164" i="18"/>
  <c r="AF42" i="18" l="1"/>
  <c r="AD42" i="18"/>
  <c r="U22" i="18"/>
  <c r="T79" i="18"/>
  <c r="AC77" i="18"/>
  <c r="AD55" i="18"/>
  <c r="V23" i="18"/>
  <c r="C19" i="15"/>
  <c r="R51" i="18"/>
  <c r="R44" i="18"/>
  <c r="R38" i="18"/>
  <c r="R36" i="18"/>
  <c r="R20" i="18"/>
  <c r="R15" i="18"/>
  <c r="R12" i="18"/>
  <c r="R10" i="18"/>
  <c r="R7" i="18"/>
  <c r="R6" i="18"/>
  <c r="T20" i="18"/>
  <c r="T36" i="18"/>
  <c r="T38" i="18"/>
  <c r="T127" i="18" s="1"/>
  <c r="T44" i="18"/>
  <c r="U44" i="18" s="1"/>
  <c r="V44" i="18" s="1"/>
  <c r="W44" i="18" s="1"/>
  <c r="X44" i="18" s="1"/>
  <c r="Y44" i="18" s="1"/>
  <c r="Z44" i="18" s="1"/>
  <c r="AA44" i="18" s="1"/>
  <c r="AB44" i="18" s="1"/>
  <c r="AC44" i="18" s="1"/>
  <c r="AF44" i="18" s="1"/>
  <c r="T45" i="18"/>
  <c r="U45" i="18" s="1"/>
  <c r="V45" i="18" s="1"/>
  <c r="W45" i="18" s="1"/>
  <c r="X45" i="18" s="1"/>
  <c r="Y45" i="18" s="1"/>
  <c r="Z45" i="18" s="1"/>
  <c r="AA45" i="18" s="1"/>
  <c r="AB45" i="18" s="1"/>
  <c r="AC45" i="18" s="1"/>
  <c r="AF45" i="18" s="1"/>
  <c r="X47" i="18"/>
  <c r="P74" i="18"/>
  <c r="P73" i="18"/>
  <c r="P70" i="18"/>
  <c r="P69" i="18"/>
  <c r="P67" i="18"/>
  <c r="P66" i="18"/>
  <c r="P167" i="18" s="1"/>
  <c r="P65" i="18"/>
  <c r="P64" i="18"/>
  <c r="T132" i="18" l="1"/>
  <c r="T133" i="18"/>
  <c r="T134" i="18"/>
  <c r="T135" i="18"/>
  <c r="T126" i="18"/>
  <c r="T96" i="18"/>
  <c r="U79" i="18"/>
  <c r="T121" i="18"/>
  <c r="T122" i="18"/>
  <c r="T120" i="18"/>
  <c r="T103" i="18"/>
  <c r="Q110" i="18"/>
  <c r="R110" i="18" s="1"/>
  <c r="R109" i="18"/>
  <c r="T98" i="18"/>
  <c r="T118" i="18"/>
  <c r="T117" i="18"/>
  <c r="U20" i="18"/>
  <c r="T152" i="18"/>
  <c r="R175" i="18" s="1"/>
  <c r="AF77" i="18"/>
  <c r="P166" i="18"/>
  <c r="P171" i="18" s="1"/>
  <c r="P172" i="18" s="1"/>
  <c r="P169" i="18"/>
  <c r="V22" i="18"/>
  <c r="AD77" i="18"/>
  <c r="U152" i="18" s="1"/>
  <c r="U38" i="18"/>
  <c r="U127" i="18" s="1"/>
  <c r="Y47" i="18"/>
  <c r="U36" i="18"/>
  <c r="T92" i="18"/>
  <c r="W23" i="18"/>
  <c r="AD44" i="18"/>
  <c r="AD45" i="18"/>
  <c r="P75" i="18"/>
  <c r="P168" i="18" s="1"/>
  <c r="U132" i="18" l="1"/>
  <c r="U133" i="18"/>
  <c r="U134" i="18"/>
  <c r="U135" i="18"/>
  <c r="U126" i="18"/>
  <c r="U96" i="18"/>
  <c r="U120" i="18"/>
  <c r="U122" i="18"/>
  <c r="U121" i="18"/>
  <c r="U103" i="18"/>
  <c r="U98" i="18"/>
  <c r="U118" i="18"/>
  <c r="U117" i="18"/>
  <c r="V20" i="18"/>
  <c r="S152" i="18"/>
  <c r="Q175" i="18" s="1"/>
  <c r="W22" i="18"/>
  <c r="V79" i="18"/>
  <c r="V38" i="18"/>
  <c r="V127" i="18" s="1"/>
  <c r="V36" i="18"/>
  <c r="U92" i="18"/>
  <c r="Z47" i="18"/>
  <c r="X23" i="18"/>
  <c r="R71" i="18"/>
  <c r="G70" i="18"/>
  <c r="H70" i="18"/>
  <c r="I70" i="18"/>
  <c r="J70" i="18"/>
  <c r="K70" i="18"/>
  <c r="L70" i="18"/>
  <c r="N70" i="18"/>
  <c r="O70" i="18"/>
  <c r="Q70" i="18"/>
  <c r="G69" i="18"/>
  <c r="H69" i="18"/>
  <c r="I69" i="18"/>
  <c r="J69" i="18"/>
  <c r="K69" i="18"/>
  <c r="L69" i="18"/>
  <c r="N69" i="18"/>
  <c r="O69" i="18"/>
  <c r="Q69" i="18"/>
  <c r="V96" i="18" l="1"/>
  <c r="V132" i="18"/>
  <c r="V133" i="18"/>
  <c r="V134" i="18"/>
  <c r="V135" i="18"/>
  <c r="V126" i="18"/>
  <c r="V122" i="18"/>
  <c r="V121" i="18"/>
  <c r="V120" i="18"/>
  <c r="V103" i="18"/>
  <c r="V98" i="18"/>
  <c r="V118" i="18"/>
  <c r="V117" i="18"/>
  <c r="W20" i="18"/>
  <c r="X22" i="18"/>
  <c r="W79" i="18"/>
  <c r="W38" i="18"/>
  <c r="W127" i="18" s="1"/>
  <c r="W36" i="18"/>
  <c r="V92" i="18"/>
  <c r="AA47" i="18"/>
  <c r="Y23" i="18"/>
  <c r="R69" i="18"/>
  <c r="R70" i="18"/>
  <c r="C46" i="15"/>
  <c r="W132" i="18" l="1"/>
  <c r="W133" i="18"/>
  <c r="W134" i="18"/>
  <c r="W135" i="18"/>
  <c r="W126" i="18"/>
  <c r="W96" i="18"/>
  <c r="W103" i="18"/>
  <c r="W122" i="18"/>
  <c r="W121" i="18"/>
  <c r="W120" i="18"/>
  <c r="W98" i="18"/>
  <c r="W118" i="18"/>
  <c r="W117" i="18"/>
  <c r="X20" i="18"/>
  <c r="Y22" i="18"/>
  <c r="X79" i="18"/>
  <c r="X38" i="18"/>
  <c r="X127" i="18" s="1"/>
  <c r="X36" i="18"/>
  <c r="W92" i="18"/>
  <c r="AB47" i="18"/>
  <c r="Z23" i="18"/>
  <c r="T170" i="18"/>
  <c r="H64" i="18"/>
  <c r="I64" i="18"/>
  <c r="J64" i="18"/>
  <c r="K64" i="18"/>
  <c r="L64" i="18"/>
  <c r="L169" i="18" s="1"/>
  <c r="N64" i="18"/>
  <c r="O64" i="18"/>
  <c r="O169" i="18" s="1"/>
  <c r="Q64" i="18"/>
  <c r="G74" i="18"/>
  <c r="H74" i="18"/>
  <c r="I74" i="18"/>
  <c r="J74" i="18"/>
  <c r="K74" i="18"/>
  <c r="L74" i="18"/>
  <c r="N74" i="18"/>
  <c r="O74" i="18"/>
  <c r="Q74" i="18"/>
  <c r="G73" i="18"/>
  <c r="H73" i="18"/>
  <c r="I73" i="18"/>
  <c r="J73" i="18"/>
  <c r="K73" i="18"/>
  <c r="L73" i="18"/>
  <c r="N73" i="18"/>
  <c r="O73" i="18"/>
  <c r="Q73" i="18"/>
  <c r="G67" i="18"/>
  <c r="H67" i="18"/>
  <c r="I67" i="18"/>
  <c r="J67" i="18"/>
  <c r="K67" i="18"/>
  <c r="L67" i="18"/>
  <c r="N67" i="18"/>
  <c r="O67" i="18"/>
  <c r="Q67" i="18"/>
  <c r="G66" i="18"/>
  <c r="H66" i="18"/>
  <c r="H167" i="18" s="1"/>
  <c r="I66" i="18"/>
  <c r="I167" i="18" s="1"/>
  <c r="J66" i="18"/>
  <c r="J167" i="18" s="1"/>
  <c r="K66" i="18"/>
  <c r="K167" i="18" s="1"/>
  <c r="L66" i="18"/>
  <c r="L167" i="18" s="1"/>
  <c r="N66" i="18"/>
  <c r="N167" i="18" s="1"/>
  <c r="O66" i="18"/>
  <c r="Q66" i="18"/>
  <c r="G65" i="18"/>
  <c r="H65" i="18"/>
  <c r="I65" i="18"/>
  <c r="J65" i="18"/>
  <c r="K65" i="18"/>
  <c r="L65" i="18"/>
  <c r="N65" i="18"/>
  <c r="O65" i="18"/>
  <c r="Q65" i="18"/>
  <c r="T51" i="18"/>
  <c r="T10" i="18"/>
  <c r="T12" i="18"/>
  <c r="T15" i="18"/>
  <c r="T113" i="18" s="1"/>
  <c r="T7" i="18"/>
  <c r="T6" i="18"/>
  <c r="T105" i="18" l="1"/>
  <c r="T115" i="18"/>
  <c r="T114" i="18"/>
  <c r="X132" i="18"/>
  <c r="X133" i="18"/>
  <c r="X134" i="18"/>
  <c r="X135" i="18"/>
  <c r="T181" i="18"/>
  <c r="X126" i="18"/>
  <c r="X96" i="18"/>
  <c r="T94" i="18"/>
  <c r="T95" i="18"/>
  <c r="T130" i="18"/>
  <c r="T129" i="18"/>
  <c r="T125" i="18"/>
  <c r="H169" i="18"/>
  <c r="H166" i="18"/>
  <c r="H171" i="18" s="1"/>
  <c r="H172" i="18" s="1"/>
  <c r="X103" i="18"/>
  <c r="X121" i="18"/>
  <c r="X120" i="18"/>
  <c r="X122" i="18"/>
  <c r="T102" i="18"/>
  <c r="T109" i="18"/>
  <c r="T110" i="18" s="1"/>
  <c r="X98" i="18"/>
  <c r="X118" i="18"/>
  <c r="X117" i="18"/>
  <c r="T100" i="18"/>
  <c r="T101" i="18"/>
  <c r="Y20" i="18"/>
  <c r="Q166" i="18"/>
  <c r="Q171" i="18" s="1"/>
  <c r="Q169" i="18"/>
  <c r="R169" i="18" s="1"/>
  <c r="K166" i="18"/>
  <c r="K171" i="18" s="1"/>
  <c r="K172" i="18" s="1"/>
  <c r="K169" i="18"/>
  <c r="J166" i="18"/>
  <c r="J171" i="18" s="1"/>
  <c r="J172" i="18" s="1"/>
  <c r="J169" i="18"/>
  <c r="N166" i="18"/>
  <c r="N171" i="18" s="1"/>
  <c r="N172" i="18" s="1"/>
  <c r="N169" i="18"/>
  <c r="I166" i="18"/>
  <c r="I171" i="18" s="1"/>
  <c r="I172" i="18" s="1"/>
  <c r="I169" i="18"/>
  <c r="R141" i="18"/>
  <c r="Z22" i="18"/>
  <c r="Y79" i="18"/>
  <c r="H75" i="18"/>
  <c r="H168" i="18" s="1"/>
  <c r="Y38" i="18"/>
  <c r="Y127" i="18" s="1"/>
  <c r="U12" i="18"/>
  <c r="U15" i="18"/>
  <c r="U113" i="18" s="1"/>
  <c r="U10" i="18"/>
  <c r="U6" i="18"/>
  <c r="U7" i="18"/>
  <c r="Y36" i="18"/>
  <c r="X92" i="18"/>
  <c r="U51" i="18"/>
  <c r="T93" i="18"/>
  <c r="AC47" i="18"/>
  <c r="AF47" i="18" s="1"/>
  <c r="L75" i="18"/>
  <c r="L168" i="18" s="1"/>
  <c r="K75" i="18"/>
  <c r="K168" i="18" s="1"/>
  <c r="J75" i="18"/>
  <c r="J168" i="18" s="1"/>
  <c r="AA23" i="18"/>
  <c r="U164" i="18"/>
  <c r="U170" i="18" s="1"/>
  <c r="I75" i="18"/>
  <c r="I168" i="18" s="1"/>
  <c r="R65" i="18"/>
  <c r="G167" i="18"/>
  <c r="R66" i="18"/>
  <c r="R67" i="18"/>
  <c r="R74" i="18"/>
  <c r="G166" i="18"/>
  <c r="G171" i="18" s="1"/>
  <c r="G172" i="18" s="1"/>
  <c r="R64" i="18"/>
  <c r="G75" i="18"/>
  <c r="R73" i="18"/>
  <c r="O167" i="18"/>
  <c r="O166" i="18"/>
  <c r="O171" i="18" s="1"/>
  <c r="O172" i="18" s="1"/>
  <c r="Q167" i="18"/>
  <c r="L166" i="18"/>
  <c r="L171" i="18" s="1"/>
  <c r="L172" i="18" s="1"/>
  <c r="O75" i="18"/>
  <c r="N75" i="18"/>
  <c r="N168" i="18" s="1"/>
  <c r="Q75" i="18"/>
  <c r="T74" i="18"/>
  <c r="C6" i="12"/>
  <c r="C26" i="15"/>
  <c r="C58" i="15"/>
  <c r="C57" i="15"/>
  <c r="C54" i="15"/>
  <c r="C53" i="15"/>
  <c r="C50" i="15"/>
  <c r="C49" i="15"/>
  <c r="C45" i="15"/>
  <c r="U105" i="18" l="1"/>
  <c r="Q172" i="18"/>
  <c r="R172" i="18" s="1"/>
  <c r="R171" i="18"/>
  <c r="U115" i="18"/>
  <c r="U114" i="18"/>
  <c r="Y132" i="18"/>
  <c r="Y133" i="18"/>
  <c r="Y135" i="18"/>
  <c r="Y134" i="18"/>
  <c r="T180" i="18"/>
  <c r="U181" i="18"/>
  <c r="T182" i="18"/>
  <c r="Y126" i="18"/>
  <c r="Y96" i="18"/>
  <c r="U130" i="18"/>
  <c r="U129" i="18"/>
  <c r="U125" i="18"/>
  <c r="U95" i="18"/>
  <c r="Y120" i="18"/>
  <c r="Y121" i="18"/>
  <c r="Y122" i="18"/>
  <c r="Y103" i="18"/>
  <c r="Y98" i="18"/>
  <c r="Y118" i="18"/>
  <c r="Y117" i="18"/>
  <c r="U100" i="18"/>
  <c r="U101" i="18"/>
  <c r="U102" i="18"/>
  <c r="Z20" i="18"/>
  <c r="AA22" i="18"/>
  <c r="Z79" i="18"/>
  <c r="T73" i="18"/>
  <c r="T75" i="18" s="1"/>
  <c r="T168" i="18" s="1"/>
  <c r="T88" i="18"/>
  <c r="T69" i="18"/>
  <c r="T85" i="18"/>
  <c r="T87" i="18"/>
  <c r="T62" i="18"/>
  <c r="T61" i="18"/>
  <c r="T165" i="18" s="1"/>
  <c r="T70" i="18"/>
  <c r="T66" i="18"/>
  <c r="T67" i="18"/>
  <c r="T65" i="18"/>
  <c r="T89" i="18"/>
  <c r="T64" i="18"/>
  <c r="T169" i="18" s="1"/>
  <c r="Z38" i="18"/>
  <c r="Z127" i="18" s="1"/>
  <c r="V15" i="18"/>
  <c r="V113" i="18" s="1"/>
  <c r="V12" i="18"/>
  <c r="V10" i="18"/>
  <c r="V7" i="18"/>
  <c r="V6" i="18"/>
  <c r="AD47" i="18"/>
  <c r="Z36" i="18"/>
  <c r="Y92" i="18"/>
  <c r="V51" i="18"/>
  <c r="U94" i="18"/>
  <c r="U93" i="18"/>
  <c r="U53" i="18"/>
  <c r="U107" i="18" s="1"/>
  <c r="U108" i="18" s="1"/>
  <c r="U109" i="18" s="1"/>
  <c r="U110" i="18" s="1"/>
  <c r="T82" i="18"/>
  <c r="T83" i="18"/>
  <c r="T84" i="18"/>
  <c r="T81" i="18"/>
  <c r="AB23" i="18"/>
  <c r="V164" i="18"/>
  <c r="V170" i="18" s="1"/>
  <c r="R167" i="18"/>
  <c r="R166" i="18"/>
  <c r="G168" i="18"/>
  <c r="R75" i="18"/>
  <c r="O168" i="18"/>
  <c r="Q168" i="18"/>
  <c r="C16" i="15"/>
  <c r="C21" i="15"/>
  <c r="C10" i="15"/>
  <c r="V105" i="18" l="1"/>
  <c r="U182" i="18"/>
  <c r="Z132" i="18"/>
  <c r="Z133" i="18"/>
  <c r="Z134" i="18"/>
  <c r="Z135" i="18"/>
  <c r="V115" i="18"/>
  <c r="V114" i="18"/>
  <c r="V181" i="18"/>
  <c r="T179" i="18"/>
  <c r="U180" i="18"/>
  <c r="Z126" i="18"/>
  <c r="Z96" i="18"/>
  <c r="V125" i="18"/>
  <c r="V130" i="18"/>
  <c r="V129" i="18"/>
  <c r="V95" i="18"/>
  <c r="Z122" i="18"/>
  <c r="Z121" i="18"/>
  <c r="Z120" i="18"/>
  <c r="Z103" i="18"/>
  <c r="U73" i="18"/>
  <c r="Z98" i="18"/>
  <c r="Z118" i="18"/>
  <c r="Z117" i="18"/>
  <c r="V100" i="18"/>
  <c r="V101" i="18"/>
  <c r="V102" i="18"/>
  <c r="U69" i="18"/>
  <c r="AA20" i="18"/>
  <c r="AB22" i="18"/>
  <c r="AA79" i="18"/>
  <c r="U85" i="18"/>
  <c r="U87" i="18"/>
  <c r="U61" i="18"/>
  <c r="U165" i="18" s="1"/>
  <c r="U62" i="18"/>
  <c r="U66" i="18"/>
  <c r="U65" i="18"/>
  <c r="U89" i="18"/>
  <c r="U70" i="18"/>
  <c r="U67" i="18"/>
  <c r="U64" i="18"/>
  <c r="U169" i="18" s="1"/>
  <c r="U74" i="18"/>
  <c r="U88" i="18"/>
  <c r="AA38" i="18"/>
  <c r="AA127" i="18" s="1"/>
  <c r="W15" i="18"/>
  <c r="W113" i="18" s="1"/>
  <c r="W12" i="18"/>
  <c r="W10" i="18"/>
  <c r="W6" i="18"/>
  <c r="W7" i="18"/>
  <c r="W51" i="18"/>
  <c r="V94" i="18"/>
  <c r="V93" i="18"/>
  <c r="AA36" i="18"/>
  <c r="Z92" i="18"/>
  <c r="V53" i="18"/>
  <c r="V107" i="18" s="1"/>
  <c r="V108" i="18" s="1"/>
  <c r="V109" i="18" s="1"/>
  <c r="V110" i="18" s="1"/>
  <c r="U84" i="18"/>
  <c r="U83" i="18"/>
  <c r="U82" i="18"/>
  <c r="U81" i="18"/>
  <c r="AC23" i="18"/>
  <c r="AF23" i="18" s="1"/>
  <c r="W164" i="18"/>
  <c r="W170" i="18" s="1"/>
  <c r="T166" i="18"/>
  <c r="T171" i="18" s="1"/>
  <c r="T172" i="18" s="1"/>
  <c r="T167" i="18"/>
  <c r="R168" i="18"/>
  <c r="D31" i="8"/>
  <c r="D29" i="8"/>
  <c r="D28" i="8"/>
  <c r="D13" i="8"/>
  <c r="D30" i="8" s="1"/>
  <c r="E14" i="8"/>
  <c r="F14" i="8" s="1"/>
  <c r="G14" i="8" s="1"/>
  <c r="H14" i="8" s="1"/>
  <c r="I14" i="8" s="1"/>
  <c r="W105" i="18" l="1"/>
  <c r="U179" i="18"/>
  <c r="V182" i="18"/>
  <c r="AA132" i="18"/>
  <c r="AA133" i="18"/>
  <c r="AA134" i="18"/>
  <c r="AA135" i="18"/>
  <c r="W115" i="18"/>
  <c r="W114" i="18"/>
  <c r="V180" i="18"/>
  <c r="W181" i="18"/>
  <c r="AA126" i="18"/>
  <c r="AA96" i="18"/>
  <c r="W95" i="18"/>
  <c r="W129" i="18"/>
  <c r="W130" i="18"/>
  <c r="W125" i="18"/>
  <c r="AA122" i="18"/>
  <c r="AA121" i="18"/>
  <c r="AA120" i="18"/>
  <c r="AA103" i="18"/>
  <c r="V73" i="18"/>
  <c r="U75" i="18"/>
  <c r="U168" i="18" s="1"/>
  <c r="AA98" i="18"/>
  <c r="AA118" i="18"/>
  <c r="AA117" i="18"/>
  <c r="W100" i="18"/>
  <c r="W102" i="18"/>
  <c r="W101" i="18"/>
  <c r="AB20" i="18"/>
  <c r="AC22" i="18"/>
  <c r="AD22" i="18" s="1"/>
  <c r="AB79" i="18"/>
  <c r="V89" i="18"/>
  <c r="V88" i="18"/>
  <c r="V69" i="18"/>
  <c r="V74" i="18"/>
  <c r="V65" i="18"/>
  <c r="V85" i="18"/>
  <c r="V87" i="18"/>
  <c r="V62" i="18"/>
  <c r="V61" i="18"/>
  <c r="V165" i="18" s="1"/>
  <c r="V70" i="18"/>
  <c r="V66" i="18"/>
  <c r="V67" i="18"/>
  <c r="V64" i="18"/>
  <c r="V169" i="18" s="1"/>
  <c r="AB38" i="18"/>
  <c r="AB127" i="18" s="1"/>
  <c r="X12" i="18"/>
  <c r="X15" i="18"/>
  <c r="X113" i="18" s="1"/>
  <c r="X10" i="18"/>
  <c r="X7" i="18"/>
  <c r="X6" i="18"/>
  <c r="AB36" i="18"/>
  <c r="AA92" i="18"/>
  <c r="X51" i="18"/>
  <c r="W93" i="18"/>
  <c r="W94" i="18"/>
  <c r="W53" i="18"/>
  <c r="W107" i="18" s="1"/>
  <c r="W108" i="18" s="1"/>
  <c r="W109" i="18" s="1"/>
  <c r="W110" i="18" s="1"/>
  <c r="V84" i="18"/>
  <c r="V82" i="18"/>
  <c r="V83" i="18"/>
  <c r="V81" i="18"/>
  <c r="AD23" i="18"/>
  <c r="X164" i="18"/>
  <c r="X170" i="18" s="1"/>
  <c r="U166" i="18"/>
  <c r="U171" i="18" s="1"/>
  <c r="U172" i="18" s="1"/>
  <c r="U16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182" i="18" l="1"/>
  <c r="X105" i="18"/>
  <c r="V179" i="18"/>
  <c r="X115" i="18"/>
  <c r="X114" i="18"/>
  <c r="AB96" i="18"/>
  <c r="AB132" i="18"/>
  <c r="AB133" i="18"/>
  <c r="AB135" i="18"/>
  <c r="AB134" i="18"/>
  <c r="X181" i="18"/>
  <c r="X182" i="18" s="1"/>
  <c r="W180" i="18"/>
  <c r="AB126" i="18"/>
  <c r="AF22" i="18"/>
  <c r="X130" i="18"/>
  <c r="X129" i="18"/>
  <c r="X125" i="18"/>
  <c r="X95" i="18"/>
  <c r="AB121" i="18"/>
  <c r="AB120" i="18"/>
  <c r="AB122" i="18"/>
  <c r="AB103" i="18"/>
  <c r="V75" i="18"/>
  <c r="V168" i="18" s="1"/>
  <c r="AB98" i="18"/>
  <c r="AB118" i="18"/>
  <c r="AB117" i="18"/>
  <c r="X100" i="18"/>
  <c r="X102" i="18"/>
  <c r="X101" i="18"/>
  <c r="AC20" i="18"/>
  <c r="W89" i="18"/>
  <c r="W67" i="18"/>
  <c r="W74" i="18"/>
  <c r="AC79" i="18"/>
  <c r="W65" i="18"/>
  <c r="W73" i="18"/>
  <c r="W70" i="18"/>
  <c r="W88" i="18"/>
  <c r="W66" i="18"/>
  <c r="W85" i="18"/>
  <c r="W87" i="18"/>
  <c r="W61" i="18"/>
  <c r="W165" i="18" s="1"/>
  <c r="W62" i="18"/>
  <c r="W69" i="18"/>
  <c r="W64" i="18"/>
  <c r="W169" i="18" s="1"/>
  <c r="AC38" i="18"/>
  <c r="Y15" i="18"/>
  <c r="Y113" i="18" s="1"/>
  <c r="Y12" i="18"/>
  <c r="Y10" i="18"/>
  <c r="Y6" i="18"/>
  <c r="Y7" i="18"/>
  <c r="Y51" i="18"/>
  <c r="X94" i="18"/>
  <c r="X93" i="18"/>
  <c r="AC36" i="18"/>
  <c r="AB92" i="18"/>
  <c r="X53" i="18"/>
  <c r="X107" i="18" s="1"/>
  <c r="X108" i="18" s="1"/>
  <c r="X109" i="18" s="1"/>
  <c r="X110" i="18" s="1"/>
  <c r="W84" i="18"/>
  <c r="W82" i="18"/>
  <c r="W83" i="18"/>
  <c r="W81" i="18"/>
  <c r="Y164" i="18"/>
  <c r="Y170" i="18" s="1"/>
  <c r="V166" i="18"/>
  <c r="V171" i="18" s="1"/>
  <c r="V172" i="18" s="1"/>
  <c r="V16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105" i="18" l="1"/>
  <c r="W179" i="18"/>
  <c r="AC132" i="18"/>
  <c r="AD132" i="18" s="1"/>
  <c r="AC133" i="18"/>
  <c r="AD133" i="18" s="1"/>
  <c r="AC134" i="18"/>
  <c r="AD134" i="18" s="1"/>
  <c r="AC135" i="18"/>
  <c r="AD135" i="18" s="1"/>
  <c r="Y115" i="18"/>
  <c r="Y114" i="18"/>
  <c r="X180" i="18"/>
  <c r="Y181" i="18"/>
  <c r="Y182" i="18" s="1"/>
  <c r="AC126" i="18"/>
  <c r="AD126" i="18" s="1"/>
  <c r="AC96" i="18"/>
  <c r="AD96" i="18" s="1"/>
  <c r="Y125" i="18"/>
  <c r="Y130" i="18"/>
  <c r="Y129" i="18"/>
  <c r="AF38" i="18"/>
  <c r="AC127" i="18"/>
  <c r="AD127" i="18" s="1"/>
  <c r="Y95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3" i="18"/>
  <c r="AD103" i="18" s="1"/>
  <c r="W75" i="18"/>
  <c r="W168" i="18" s="1"/>
  <c r="X74" i="18"/>
  <c r="AC98" i="18"/>
  <c r="AD98" i="18" s="1"/>
  <c r="AC118" i="18"/>
  <c r="AD118" i="18" s="1"/>
  <c r="AC117" i="18"/>
  <c r="AD117" i="18" s="1"/>
  <c r="Y100" i="18"/>
  <c r="Y102" i="18"/>
  <c r="Y101" i="18"/>
  <c r="AF36" i="18"/>
  <c r="AF20" i="18"/>
  <c r="AD20" i="18"/>
  <c r="T154" i="18"/>
  <c r="AF79" i="18"/>
  <c r="AD79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3" i="18"/>
  <c r="X70" i="18"/>
  <c r="X88" i="18"/>
  <c r="X69" i="18"/>
  <c r="X89" i="18"/>
  <c r="X85" i="18"/>
  <c r="X87" i="18"/>
  <c r="X62" i="18"/>
  <c r="X61" i="18"/>
  <c r="X165" i="18" s="1"/>
  <c r="X65" i="18"/>
  <c r="X66" i="18"/>
  <c r="X67" i="18"/>
  <c r="X64" i="18"/>
  <c r="X169" i="18" s="1"/>
  <c r="AD38" i="18"/>
  <c r="Z12" i="18"/>
  <c r="Z15" i="18"/>
  <c r="Z113" i="18" s="1"/>
  <c r="Z10" i="18"/>
  <c r="Z7" i="18"/>
  <c r="Z6" i="18"/>
  <c r="AD36" i="18"/>
  <c r="AC92" i="18"/>
  <c r="AD92" i="18" s="1"/>
  <c r="Z51" i="18"/>
  <c r="Y94" i="18"/>
  <c r="Y93" i="18"/>
  <c r="O31" i="9"/>
  <c r="O32" i="9" s="1"/>
  <c r="Y53" i="18"/>
  <c r="Y107" i="18" s="1"/>
  <c r="Y108" i="18" s="1"/>
  <c r="Y109" i="18" s="1"/>
  <c r="Y110" i="18" s="1"/>
  <c r="X84" i="18"/>
  <c r="X82" i="18"/>
  <c r="X83" i="18"/>
  <c r="X81" i="18"/>
  <c r="Z164" i="18"/>
  <c r="Z170" i="18" s="1"/>
  <c r="W166" i="18"/>
  <c r="W171" i="18" s="1"/>
  <c r="W172" i="18" s="1"/>
  <c r="W167" i="18"/>
  <c r="P31" i="11"/>
  <c r="N32" i="11"/>
  <c r="T19" i="9"/>
  <c r="D22" i="9"/>
  <c r="Z105" i="18" l="1"/>
  <c r="X179" i="18"/>
  <c r="Z115" i="18"/>
  <c r="Z114" i="18"/>
  <c r="Z181" i="18"/>
  <c r="Z182" i="18" s="1"/>
  <c r="Y180" i="18"/>
  <c r="Z130" i="18"/>
  <c r="Z129" i="18"/>
  <c r="Z125" i="18"/>
  <c r="Z95" i="18"/>
  <c r="X75" i="18"/>
  <c r="X168" i="18" s="1"/>
  <c r="Y67" i="18"/>
  <c r="Z100" i="18"/>
  <c r="Z101" i="18"/>
  <c r="Z102" i="18"/>
  <c r="U154" i="18"/>
  <c r="S154" i="18" s="1"/>
  <c r="Y69" i="18"/>
  <c r="Y64" i="18"/>
  <c r="Y169" i="18" s="1"/>
  <c r="Y66" i="18"/>
  <c r="Y65" i="18"/>
  <c r="Y85" i="18"/>
  <c r="Y87" i="18"/>
  <c r="Y62" i="18"/>
  <c r="Y61" i="18"/>
  <c r="Y165" i="18" s="1"/>
  <c r="Y89" i="18"/>
  <c r="Y70" i="18"/>
  <c r="Y74" i="18"/>
  <c r="Y73" i="18"/>
  <c r="Y88" i="18"/>
  <c r="AA15" i="18"/>
  <c r="AA113" i="18" s="1"/>
  <c r="AA12" i="18"/>
  <c r="AA10" i="18"/>
  <c r="AA6" i="18"/>
  <c r="AA7" i="18"/>
  <c r="AA51" i="18"/>
  <c r="Z94" i="18"/>
  <c r="Z93" i="18"/>
  <c r="Z53" i="18"/>
  <c r="Z107" i="18" s="1"/>
  <c r="Z108" i="18" s="1"/>
  <c r="Z109" i="18" s="1"/>
  <c r="Z110" i="18" s="1"/>
  <c r="Y84" i="18"/>
  <c r="Y82" i="18"/>
  <c r="Y83" i="18"/>
  <c r="Y81" i="18"/>
  <c r="AA164" i="18"/>
  <c r="AA170" i="18" s="1"/>
  <c r="X166" i="18"/>
  <c r="X171" i="18" s="1"/>
  <c r="X172" i="18" s="1"/>
  <c r="X16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105" i="18" l="1"/>
  <c r="Y179" i="18"/>
  <c r="AA115" i="18"/>
  <c r="AA114" i="18"/>
  <c r="Z180" i="18"/>
  <c r="AA181" i="18"/>
  <c r="AA182" i="18" s="1"/>
  <c r="AA125" i="18"/>
  <c r="AA129" i="18"/>
  <c r="AA130" i="18"/>
  <c r="AA95" i="18"/>
  <c r="AA100" i="18"/>
  <c r="AA101" i="18"/>
  <c r="AA102" i="18"/>
  <c r="Y75" i="18"/>
  <c r="Y168" i="18" s="1"/>
  <c r="Z85" i="18"/>
  <c r="Z87" i="18"/>
  <c r="Z61" i="18"/>
  <c r="Z165" i="18" s="1"/>
  <c r="Z62" i="18"/>
  <c r="Z74" i="18"/>
  <c r="Z65" i="18"/>
  <c r="Z64" i="18"/>
  <c r="Z169" i="18" s="1"/>
  <c r="Z70" i="18"/>
  <c r="Z66" i="18"/>
  <c r="Z67" i="18"/>
  <c r="Z73" i="18"/>
  <c r="Z88" i="18"/>
  <c r="Z69" i="18"/>
  <c r="Z89" i="18"/>
  <c r="AB12" i="18"/>
  <c r="AB15" i="18"/>
  <c r="AB113" i="18" s="1"/>
  <c r="AB10" i="18"/>
  <c r="AB7" i="18"/>
  <c r="AB6" i="18"/>
  <c r="AB51" i="18"/>
  <c r="AA93" i="18"/>
  <c r="AA94" i="18"/>
  <c r="AA53" i="18"/>
  <c r="AA107" i="18" s="1"/>
  <c r="AA108" i="18" s="1"/>
  <c r="AA109" i="18" s="1"/>
  <c r="AA110" i="18" s="1"/>
  <c r="Z84" i="18"/>
  <c r="Z82" i="18"/>
  <c r="Z83" i="18"/>
  <c r="Z81" i="18"/>
  <c r="AB164" i="18"/>
  <c r="AB170" i="18" s="1"/>
  <c r="Y166" i="18"/>
  <c r="Y171" i="18" s="1"/>
  <c r="Y172" i="18" s="1"/>
  <c r="Y167" i="18"/>
  <c r="N34" i="11"/>
  <c r="O33" i="11"/>
  <c r="D25" i="8"/>
  <c r="D23" i="8"/>
  <c r="AB105" i="18" l="1"/>
  <c r="Z179" i="18"/>
  <c r="AB115" i="18"/>
  <c r="AB114" i="18"/>
  <c r="AB181" i="18"/>
  <c r="AB182" i="18" s="1"/>
  <c r="AA180" i="18"/>
  <c r="AB95" i="18"/>
  <c r="AB129" i="18"/>
  <c r="AB130" i="18"/>
  <c r="AB125" i="18"/>
  <c r="AB100" i="18"/>
  <c r="AB101" i="18"/>
  <c r="AB102" i="18"/>
  <c r="Z75" i="18"/>
  <c r="Z168" i="18" s="1"/>
  <c r="AA85" i="18"/>
  <c r="AA87" i="18"/>
  <c r="AA62" i="18"/>
  <c r="AA61" i="18"/>
  <c r="AA165" i="18" s="1"/>
  <c r="AA65" i="18"/>
  <c r="AA66" i="18"/>
  <c r="AA74" i="18"/>
  <c r="AA73" i="18"/>
  <c r="AA89" i="18"/>
  <c r="AA64" i="18"/>
  <c r="AA169" i="18" s="1"/>
  <c r="AA70" i="18"/>
  <c r="AA88" i="18"/>
  <c r="AA69" i="18"/>
  <c r="AA67" i="18"/>
  <c r="AC15" i="18"/>
  <c r="AC12" i="18"/>
  <c r="AC125" i="18" s="1"/>
  <c r="AD125" i="18" s="1"/>
  <c r="AC10" i="18"/>
  <c r="AC6" i="18"/>
  <c r="AF6" i="18" s="1"/>
  <c r="AC7" i="18"/>
  <c r="AF7" i="18" s="1"/>
  <c r="AC51" i="18"/>
  <c r="AB94" i="18"/>
  <c r="AB93" i="18"/>
  <c r="AB53" i="18"/>
  <c r="AB107" i="18" s="1"/>
  <c r="AB108" i="18" s="1"/>
  <c r="AB109" i="18" s="1"/>
  <c r="AB110" i="18" s="1"/>
  <c r="AA84" i="18"/>
  <c r="AA82" i="18"/>
  <c r="AA83" i="18"/>
  <c r="AA81" i="18"/>
  <c r="AC164" i="18"/>
  <c r="AC170" i="18" s="1"/>
  <c r="AD170" i="18" s="1"/>
  <c r="AF170" i="18" s="1"/>
  <c r="Z166" i="18"/>
  <c r="Z171" i="18" s="1"/>
  <c r="Z172" i="18" s="1"/>
  <c r="Z167" i="18"/>
  <c r="N35" i="11"/>
  <c r="O34" i="11"/>
  <c r="D35" i="8"/>
  <c r="E5" i="8"/>
  <c r="E18" i="8" s="1"/>
  <c r="D18" i="8"/>
  <c r="D19" i="8"/>
  <c r="D21" i="8"/>
  <c r="D20" i="8"/>
  <c r="AC105" i="18" l="1"/>
  <c r="AD105" i="18" s="1"/>
  <c r="AA179" i="18"/>
  <c r="AC115" i="18"/>
  <c r="AD115" i="18" s="1"/>
  <c r="AC114" i="18"/>
  <c r="AD114" i="18" s="1"/>
  <c r="AF15" i="18"/>
  <c r="AC113" i="18"/>
  <c r="AD113" i="18" s="1"/>
  <c r="AB180" i="18"/>
  <c r="AC181" i="18"/>
  <c r="AC182" i="18" s="1"/>
  <c r="AC130" i="18"/>
  <c r="AD130" i="18" s="1"/>
  <c r="AC129" i="18"/>
  <c r="AD129" i="18" s="1"/>
  <c r="AC95" i="18"/>
  <c r="AD95" i="18" s="1"/>
  <c r="AF10" i="18"/>
  <c r="AC100" i="18"/>
  <c r="AD100" i="18" s="1"/>
  <c r="AF12" i="18"/>
  <c r="AF51" i="18"/>
  <c r="AC101" i="18"/>
  <c r="AD101" i="18" s="1"/>
  <c r="AC102" i="18"/>
  <c r="AD102" i="18" s="1"/>
  <c r="AA75" i="18"/>
  <c r="AA168" i="18" s="1"/>
  <c r="AB85" i="18"/>
  <c r="AB87" i="18"/>
  <c r="AB61" i="18"/>
  <c r="AB165" i="18" s="1"/>
  <c r="AB62" i="18"/>
  <c r="AB69" i="18"/>
  <c r="AB64" i="18"/>
  <c r="AB169" i="18" s="1"/>
  <c r="AB74" i="18"/>
  <c r="AB88" i="18"/>
  <c r="AB65" i="18"/>
  <c r="AB66" i="18"/>
  <c r="AB67" i="18"/>
  <c r="AB70" i="18"/>
  <c r="AB89" i="18"/>
  <c r="AB73" i="18"/>
  <c r="AD15" i="18"/>
  <c r="AD12" i="18"/>
  <c r="AD10" i="18"/>
  <c r="AD7" i="18"/>
  <c r="AD6" i="18"/>
  <c r="AC94" i="18"/>
  <c r="AD94" i="18" s="1"/>
  <c r="AC93" i="18"/>
  <c r="AD93" i="18" s="1"/>
  <c r="AD51" i="18"/>
  <c r="AC53" i="18"/>
  <c r="AC107" i="18" s="1"/>
  <c r="AC108" i="18" s="1"/>
  <c r="AC109" i="18" s="1"/>
  <c r="AC110" i="18" s="1"/>
  <c r="AB84" i="18"/>
  <c r="AB82" i="18"/>
  <c r="AB83" i="18"/>
  <c r="AB81" i="18"/>
  <c r="AD164" i="18"/>
  <c r="AF164" i="18" s="1"/>
  <c r="AA166" i="18"/>
  <c r="AA171" i="18" s="1"/>
  <c r="AA172" i="18" s="1"/>
  <c r="AA167" i="18"/>
  <c r="N36" i="11"/>
  <c r="O35" i="11"/>
  <c r="F5" i="8"/>
  <c r="G5" i="8" s="1"/>
  <c r="H5" i="8" s="1"/>
  <c r="I5" i="8" s="1"/>
  <c r="AB179" i="18" l="1"/>
  <c r="AD181" i="18"/>
  <c r="AD182" i="18" s="1"/>
  <c r="AC180" i="18"/>
  <c r="AF53" i="18"/>
  <c r="AB75" i="18"/>
  <c r="AB168" i="18" s="1"/>
  <c r="AC85" i="18"/>
  <c r="AC87" i="18"/>
  <c r="AF87" i="18" s="1"/>
  <c r="AC61" i="18"/>
  <c r="AC62" i="18"/>
  <c r="AC69" i="18"/>
  <c r="AC74" i="18"/>
  <c r="AC64" i="18"/>
  <c r="AC67" i="18"/>
  <c r="AC88" i="18"/>
  <c r="AC66" i="18"/>
  <c r="AF66" i="18" s="1"/>
  <c r="AC65" i="18"/>
  <c r="AC89" i="18"/>
  <c r="AC70" i="18"/>
  <c r="AC73" i="18"/>
  <c r="AC84" i="18"/>
  <c r="AC82" i="18"/>
  <c r="AD53" i="18"/>
  <c r="AC83" i="18"/>
  <c r="AC81" i="18"/>
  <c r="AB166" i="18"/>
  <c r="AB171" i="18" s="1"/>
  <c r="AB172" i="18" s="1"/>
  <c r="AB167" i="18"/>
  <c r="N37" i="11"/>
  <c r="O36" i="11"/>
  <c r="F18" i="8"/>
  <c r="G18" i="8"/>
  <c r="AC179" i="18" l="1"/>
  <c r="AF64" i="18"/>
  <c r="AC169" i="18"/>
  <c r="AD169" i="18" s="1"/>
  <c r="AF169" i="18" s="1"/>
  <c r="AD180" i="18"/>
  <c r="AE181" i="18"/>
  <c r="AE182" i="18" s="1"/>
  <c r="AC165" i="18"/>
  <c r="AD165" i="18" s="1"/>
  <c r="AF165" i="18" s="1"/>
  <c r="AF61" i="18"/>
  <c r="AD107" i="18"/>
  <c r="AD88" i="18"/>
  <c r="AF88" i="18"/>
  <c r="AD62" i="18"/>
  <c r="AF62" i="18"/>
  <c r="AD61" i="18"/>
  <c r="AD74" i="18"/>
  <c r="AF74" i="18"/>
  <c r="T146" i="18"/>
  <c r="AF73" i="18"/>
  <c r="T145" i="18"/>
  <c r="AF67" i="18"/>
  <c r="AF71" i="18"/>
  <c r="AD70" i="18"/>
  <c r="AF70" i="18"/>
  <c r="T143" i="18"/>
  <c r="R176" i="18" s="1"/>
  <c r="AF65" i="18"/>
  <c r="T148" i="18"/>
  <c r="AF69" i="18"/>
  <c r="AD89" i="18"/>
  <c r="AF89" i="18"/>
  <c r="T161" i="18"/>
  <c r="AF85" i="18"/>
  <c r="T159" i="18"/>
  <c r="AF84" i="18"/>
  <c r="T158" i="18"/>
  <c r="AF83" i="18"/>
  <c r="T156" i="18"/>
  <c r="AF81" i="18"/>
  <c r="T157" i="18"/>
  <c r="AF82" i="18"/>
  <c r="T149" i="18"/>
  <c r="AD65" i="18"/>
  <c r="AD67" i="18"/>
  <c r="AD69" i="18"/>
  <c r="AD85" i="18"/>
  <c r="AD73" i="18"/>
  <c r="AC75" i="18"/>
  <c r="AC168" i="18" s="1"/>
  <c r="AD71" i="18"/>
  <c r="AD87" i="18"/>
  <c r="AD83" i="18"/>
  <c r="AD82" i="18"/>
  <c r="AD81" i="18"/>
  <c r="AD84" i="18"/>
  <c r="T142" i="18"/>
  <c r="R177" i="18" s="1"/>
  <c r="R178" i="18" s="1"/>
  <c r="R179" i="18" s="1"/>
  <c r="R180" i="18" s="1"/>
  <c r="AD64" i="18"/>
  <c r="AC166" i="18"/>
  <c r="AC171" i="18" s="1"/>
  <c r="AD66" i="18"/>
  <c r="U144" i="18" s="1"/>
  <c r="AC167" i="18"/>
  <c r="T144" i="18"/>
  <c r="N38" i="11"/>
  <c r="O37" i="11"/>
  <c r="H18" i="8"/>
  <c r="U142" i="18" l="1"/>
  <c r="AD179" i="18"/>
  <c r="U145" i="18"/>
  <c r="S145" i="18" s="1"/>
  <c r="AC172" i="18"/>
  <c r="AD171" i="18"/>
  <c r="AF171" i="18" s="1"/>
  <c r="AF181" i="18"/>
  <c r="AF182" i="18" s="1"/>
  <c r="AE180" i="18"/>
  <c r="AD108" i="18"/>
  <c r="U143" i="18"/>
  <c r="S143" i="18" s="1"/>
  <c r="Q176" i="18" s="1"/>
  <c r="U148" i="18"/>
  <c r="S148" i="18" s="1"/>
  <c r="U161" i="18"/>
  <c r="S161" i="18" s="1"/>
  <c r="U158" i="18"/>
  <c r="S158" i="18" s="1"/>
  <c r="AD75" i="18"/>
  <c r="AF75" i="18"/>
  <c r="U146" i="18"/>
  <c r="S146" i="18" s="1"/>
  <c r="U149" i="18"/>
  <c r="S149" i="18" s="1"/>
  <c r="U156" i="18"/>
  <c r="S156" i="18" s="1"/>
  <c r="AD168" i="18"/>
  <c r="AF168" i="18" s="1"/>
  <c r="U159" i="18"/>
  <c r="S159" i="18" s="1"/>
  <c r="U157" i="18"/>
  <c r="S157" i="18" s="1"/>
  <c r="S142" i="18"/>
  <c r="AD167" i="18"/>
  <c r="AF167" i="18" s="1"/>
  <c r="AD166" i="18"/>
  <c r="AF166" i="18" s="1"/>
  <c r="S144" i="18"/>
  <c r="N39" i="11"/>
  <c r="O38" i="11"/>
  <c r="I18" i="8"/>
  <c r="Q177" i="18" l="1"/>
  <c r="Q178" i="18" s="1"/>
  <c r="Q179" i="18" s="1"/>
  <c r="Q180" i="18" s="1"/>
  <c r="AE179" i="18"/>
  <c r="AD172" i="18"/>
  <c r="AF172" i="18" s="1"/>
  <c r="AF180" i="18"/>
  <c r="AG181" i="18"/>
  <c r="AG182" i="18" s="1"/>
  <c r="AD110" i="18"/>
  <c r="AD109" i="18"/>
  <c r="N40" i="11"/>
  <c r="O39" i="11"/>
  <c r="AF179" i="18" l="1"/>
  <c r="AH181" i="18"/>
  <c r="AH182" i="18" s="1"/>
  <c r="AG180" i="18"/>
  <c r="N41" i="11"/>
  <c r="O40" i="11"/>
  <c r="AG179" i="18" l="1"/>
  <c r="AH180" i="18"/>
  <c r="AI181" i="18"/>
  <c r="AI182" i="18" s="1"/>
  <c r="N42" i="11"/>
  <c r="O41" i="11"/>
  <c r="AH179" i="18" l="1"/>
  <c r="AJ181" i="18"/>
  <c r="AJ182" i="18" s="1"/>
  <c r="AI180" i="18"/>
  <c r="AI179" i="18" l="1"/>
  <c r="AJ180" i="18"/>
  <c r="AK181" i="18"/>
  <c r="AK182" i="18" s="1"/>
  <c r="AJ179" i="18" l="1"/>
  <c r="AL181" i="18"/>
  <c r="AL182" i="18" s="1"/>
  <c r="AK180" i="18"/>
  <c r="AK179" i="18" l="1"/>
  <c r="AL180" i="18"/>
  <c r="AM181" i="18"/>
  <c r="AM182" i="18" s="1"/>
  <c r="AL179" i="18" l="1"/>
  <c r="AN181" i="18"/>
  <c r="AN182" i="18" s="1"/>
  <c r="AM180" i="18"/>
  <c r="AM179" i="18" l="1"/>
  <c r="AN180" i="18"/>
  <c r="AO181" i="18"/>
  <c r="AO182" i="18" s="1"/>
  <c r="AN179" i="18" l="1"/>
  <c r="AP181" i="18"/>
  <c r="AP182" i="18" s="1"/>
  <c r="AO180" i="18"/>
  <c r="AO179" i="18" s="1"/>
  <c r="AP180" i="18" l="1"/>
  <c r="AP179" i="18" s="1"/>
  <c r="AQ181" i="18"/>
  <c r="AQ182" i="18" s="1"/>
  <c r="AR181" i="18" l="1"/>
  <c r="AR182" i="18" s="1"/>
  <c r="AQ180" i="18"/>
  <c r="AQ179" i="18" s="1"/>
  <c r="AR180" i="18" l="1"/>
  <c r="AR179" i="18" s="1"/>
  <c r="AS181" i="18"/>
  <c r="AS182" i="18" s="1"/>
  <c r="AT181" i="18" l="1"/>
  <c r="AT182" i="18" s="1"/>
  <c r="AS180" i="18"/>
  <c r="AS179" i="18" s="1"/>
  <c r="AT180" i="18" l="1"/>
  <c r="AT179" i="18" s="1"/>
  <c r="AU181" i="18"/>
  <c r="AU182" i="18" s="1"/>
  <c r="AV181" i="18" l="1"/>
  <c r="AV182" i="18" s="1"/>
  <c r="AU180" i="18"/>
  <c r="AU179" i="18" s="1"/>
  <c r="AV180" i="18" l="1"/>
  <c r="AV179" i="18" s="1"/>
  <c r="AW181" i="18"/>
  <c r="AW182" i="18" s="1"/>
  <c r="AW180" i="18" l="1"/>
  <c r="AW179" i="18" s="1"/>
</calcChain>
</file>

<file path=xl/sharedStrings.xml><?xml version="1.0" encoding="utf-8"?>
<sst xmlns="http://schemas.openxmlformats.org/spreadsheetml/2006/main" count="614" uniqueCount="429">
  <si>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</si>
  <si>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</si>
  <si>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</si>
  <si>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</si>
  <si>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</si>
  <si>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</si>
  <si>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</si>
  <si>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</si>
  <si>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</si>
  <si>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</si>
  <si>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</si>
  <si>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</si>
  <si>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</si>
  <si>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</si>
  <si>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</si>
  <si>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</si>
  <si>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</si>
  <si>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</si>
  <si>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</si>
  <si>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</si>
  <si>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</si>
  <si>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</si>
  <si>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</si>
  <si>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</si>
  <si>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</si>
  <si>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</si>
  <si>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</si>
  <si>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</si>
  <si>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</si>
  <si>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</si>
  <si>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</si>
  <si>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</si>
  <si>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</si>
  <si>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</si>
  <si>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</si>
  <si>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</si>
  <si>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</si>
  <si>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</si>
  <si>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</si>
  <si>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</si>
  <si>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</si>
  <si>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</si>
  <si>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</si>
  <si>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</si>
  <si>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</si>
  <si>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</si>
  <si>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</si>
  <si>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</si>
  <si>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</si>
  <si>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</si>
  <si>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</si>
  <si>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</si>
  <si>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</si>
  <si>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</si>
  <si>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</si>
  <si>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</si>
  <si>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</si>
  <si>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</si>
  <si>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</si>
  <si>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</si>
  <si>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</si>
  <si>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</si>
  <si>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</si>
  <si>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</si>
  <si>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</si>
  <si>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</si>
  <si>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</si>
  <si>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</si>
  <si>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</si>
  <si>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</si>
  <si>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</si>
  <si>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</si>
  <si>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</si>
  <si>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</si>
  <si>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</si>
  <si>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</si>
  <si>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</si>
  <si>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</si>
  <si>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</si>
  <si>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</si>
  <si>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</si>
  <si>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</si>
  <si>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</si>
  <si>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</si>
  <si>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</si>
  <si>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</si>
  <si>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</si>
  <si>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</si>
  <si>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</si>
  <si>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</si>
  <si>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</si>
  <si>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</si>
  <si>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</si>
  <si>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</si>
  <si>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</si>
  <si>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</si>
  <si>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</si>
  <si>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</si>
  <si>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</si>
  <si>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</si>
  <si>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</si>
  <si>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</si>
  <si>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</si>
  <si>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</si>
  <si>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</si>
  <si>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</si>
  <si>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</si>
  <si>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</si>
  <si>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</si>
  <si>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</si>
  <si>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</si>
  <si>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</si>
  <si>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</si>
  <si>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</si>
  <si>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</si>
  <si>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</si>
  <si>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</si>
  <si>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</si>
  <si>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</si>
  <si>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</si>
  <si>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</si>
  <si>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</si>
  <si>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</si>
  <si>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</si>
  <si>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</si>
  <si>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</si>
  <si>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</si>
  <si>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</si>
  <si>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</si>
  <si>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</si>
  <si>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</si>
  <si>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</si>
  <si>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</si>
  <si>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</si>
  <si>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</si>
  <si>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</si>
  <si>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</si>
  <si>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</si>
  <si>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</si>
  <si>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</si>
  <si>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</si>
  <si>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</si>
  <si>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</si>
  <si>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</si>
  <si>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</si>
  <si>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</si>
  <si>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</si>
  <si>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</si>
  <si>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</si>
  <si>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</si>
  <si>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</si>
  <si>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</si>
  <si>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</si>
  <si>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</si>
  <si>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</si>
  <si>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</si>
  <si>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</si>
  <si>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</si>
  <si>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</si>
  <si>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</si>
  <si>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</si>
  <si>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</si>
  <si>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</si>
  <si>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</si>
  <si>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</si>
  <si>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</si>
  <si>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</si>
  <si>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</si>
  <si>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</si>
  <si>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</si>
  <si>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</si>
  <si>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</si>
  <si>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</si>
  <si>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</si>
  <si>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</si>
  <si>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</si>
  <si>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</si>
  <si>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</si>
  <si>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</si>
  <si>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</si>
  <si>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</si>
  <si>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</si>
  <si>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</si>
  <si>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</si>
  <si>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</si>
  <si>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</si>
  <si>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</si>
  <si>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</si>
  <si>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</si>
  <si>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</si>
  <si>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</si>
  <si>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</si>
  <si>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</si>
  <si>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</si>
  <si>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</si>
  <si>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</si>
  <si>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</si>
  <si>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</si>
  <si>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</si>
  <si>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</si>
  <si>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</si>
  <si>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</si>
  <si>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</si>
  <si>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</si>
  <si>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</si>
  <si>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</si>
  <si>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</si>
  <si>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</si>
  <si>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</si>
  <si>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</si>
  <si>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</si>
  <si>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</si>
  <si>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</si>
  <si>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</si>
  <si>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</si>
  <si>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</si>
  <si>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</si>
  <si>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</si>
  <si>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</si>
  <si>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</si>
  <si>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</si>
  <si>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</si>
  <si>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</si>
  <si>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</si>
  <si>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</si>
  <si>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</si>
  <si>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</si>
  <si>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</si>
  <si>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</si>
  <si>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</si>
  <si>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</si>
  <si>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</si>
  <si>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</si>
  <si>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</si>
  <si>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</si>
  <si>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</si>
  <si>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</si>
  <si>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</si>
  <si>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</si>
  <si>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</si>
  <si>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</si>
  <si>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</si>
  <si>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</si>
  <si>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</si>
  <si>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</si>
  <si>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</si>
  <si>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</si>
  <si>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</si>
  <si>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</si>
  <si>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</si>
  <si>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</si>
  <si>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</si>
  <si>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</si>
  <si>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</si>
  <si>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</si>
  <si>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</si>
  <si>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</si>
  <si>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</si>
  <si>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</si>
  <si>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</si>
  <si>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</si>
  <si>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</si>
  <si>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</si>
  <si>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</si>
  <si>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</si>
  <si>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</si>
  <si>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</si>
  <si>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</si>
  <si>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</si>
  <si>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</si>
  <si>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</si>
  <si>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</si>
  <si>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</si>
  <si>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</si>
  <si>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Net Fixed Assets</t>
  </si>
  <si>
    <t>Operating Profit (EBITDA)</t>
  </si>
  <si>
    <t>Suzlon Energy</t>
  </si>
  <si>
    <t>Avg EPS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</si>
  <si>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</si>
  <si>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</si>
  <si>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</si>
  <si>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</si>
  <si>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</si>
  <si>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</si>
  <si>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</si>
  <si>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</si>
  <si>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</si>
  <si>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</si>
  <si>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</si>
  <si>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</si>
  <si>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</si>
  <si>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</si>
  <si>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</si>
  <si>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</si>
  <si>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</si>
  <si>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</si>
  <si>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Sales (Rev per share)</t>
  </si>
  <si>
    <t>Expenses (Total Expense per share)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</si>
  <si>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</si>
  <si>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</si>
  <si>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</si>
  <si>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</si>
  <si>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</si>
  <si>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</si>
  <si>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</si>
  <si>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</si>
  <si>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</si>
  <si>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</si>
  <si>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</si>
  <si>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</si>
  <si>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</si>
  <si>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</si>
  <si>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</si>
  <si>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</si>
  <si>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</si>
  <si>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</si>
  <si>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</si>
  <si>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</si>
  <si>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</si>
  <si>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</si>
  <si>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</si>
  <si>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</si>
  <si>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</si>
  <si>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</si>
  <si>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</si>
  <si>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</si>
  <si>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</si>
  <si>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</si>
  <si>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</si>
  <si>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</si>
  <si>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</si>
  <si>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</si>
  <si>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</si>
  <si>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</si>
  <si>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</si>
  <si>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(reserves &amp; Surplus alone)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</si>
  <si>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</si>
  <si>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</si>
  <si>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</si>
  <si>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</si>
  <si>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</si>
  <si>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</si>
  <si>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</si>
  <si>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</si>
  <si>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</si>
  <si>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</si>
  <si>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</si>
  <si>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</si>
  <si>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</si>
  <si>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</si>
  <si>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</si>
  <si>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</si>
  <si>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Peak</t>
  </si>
  <si>
    <t>Earnings yield/ratio (to compare with other investment options)</t>
  </si>
  <si>
    <t>Other Ratio's</t>
  </si>
  <si>
    <t>Debt to Equity Ratio &lt; 1/1 (For heaving ind &lt; 4/1)</t>
  </si>
  <si>
    <t>Other Income/Revenue</t>
  </si>
  <si>
    <t>Net Interest Margin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</si>
  <si>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</si>
  <si>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</si>
  <si>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</si>
  <si>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</si>
  <si>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</si>
  <si>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</si>
  <si>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</si>
  <si>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</si>
  <si>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</si>
  <si>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</si>
  <si>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</si>
  <si>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</si>
  <si>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</si>
  <si>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</si>
  <si>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</si>
  <si>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</si>
  <si>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</si>
  <si>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</si>
  <si>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</si>
  <si>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</si>
  <si>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</si>
  <si>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</si>
  <si>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</si>
  <si>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</si>
  <si>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</si>
  <si>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</si>
  <si>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</si>
  <si>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</si>
  <si>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</si>
  <si>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</si>
  <si>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</si>
  <si>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</si>
  <si>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</si>
  <si>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</si>
  <si>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</si>
  <si>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</si>
  <si>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</si>
  <si>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</si>
  <si>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</si>
  <si>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</si>
  <si>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</si>
  <si>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</si>
  <si>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</si>
  <si>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</si>
  <si>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</si>
  <si>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</si>
  <si>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Top Expenses ( Interest Out-go )</t>
  </si>
  <si>
    <t>Dummy</t>
  </si>
  <si>
    <t>Book Value ( SHE + Total Liability + other Liability) per share</t>
  </si>
  <si>
    <t>Credit Deposit ratio (Advance/Deposits)</t>
  </si>
  <si>
    <t>Investment Depost ratio (Investment/Deposits)</t>
  </si>
  <si>
    <t>Total Debt to Owners Fund</t>
  </si>
  <si>
    <t>Credit Liability ratio (Credit / Total Liability)</t>
  </si>
  <si>
    <t>Interest spent / Interest earned</t>
  </si>
  <si>
    <t>Interest Income / Revenue</t>
  </si>
  <si>
    <t>Cash and Balance with RBI / Total Deposits</t>
  </si>
  <si>
    <t>Money with Bank / Total Deposits</t>
  </si>
  <si>
    <t>Discount/Prem to PEG</t>
  </si>
  <si>
    <t>Going Concern</t>
  </si>
  <si>
    <t>Next 10 yrs</t>
  </si>
  <si>
    <t>Worst</t>
  </si>
  <si>
    <t>Pessimistic</t>
  </si>
  <si>
    <t>Expected</t>
  </si>
  <si>
    <t>Optimistic</t>
  </si>
  <si>
    <t>Actual</t>
  </si>
  <si>
    <t>PEG (price earning growth , preferred &lt; 1)</t>
  </si>
  <si>
    <t>Debt/ Equity ratio - LTL/SHE</t>
  </si>
  <si>
    <t>B-4</t>
  </si>
  <si>
    <t>B-5</t>
  </si>
  <si>
    <t>S-2</t>
  </si>
  <si>
    <t>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</si>
</sst>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9" formatCode="#,##0.0_);[Red]\(#,##0.0\)"/>
    <numFmt numFmtId="180" formatCode="0.00_);[Red]\(0.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174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2" fontId="4" fillId="5" borderId="1" xfId="1" applyNumberFormat="1" applyFont="1" applyFill="1" applyBorder="1"/>
    <xf numFmtId="9" fontId="5" fillId="5" borderId="1" xfId="1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9" fontId="4" fillId="5" borderId="1" xfId="0" applyNumberFormat="1" applyFont="1" applyFill="1" applyBorder="1"/>
    <xf numFmtId="180" fontId="4" fillId="5" borderId="1" xfId="0" applyNumberFormat="1" applyFont="1" applyFill="1" applyBorder="1"/>
    <xf numFmtId="43" fontId="4" fillId="5" borderId="1" xfId="2" applyNumberFormat="1" applyFont="1" applyFill="1" applyBorder="1"/>
    <xf numFmtId="0" fontId="5" fillId="13" borderId="1" xfId="0" applyFont="1" applyFill="1" applyBorder="1"/>
    <xf numFmtId="43" fontId="5" fillId="0" borderId="1" xfId="2" applyFont="1" applyBorder="1"/>
    <xf numFmtId="16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73056"/>
        <c:axId val="106974592"/>
      </c:lineChart>
      <c:catAx>
        <c:axId val="106973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6974592"/>
        <c:crosses val="autoZero"/>
        <c:auto val="1"/>
        <c:lblAlgn val="ctr"/>
        <c:lblOffset val="100"/>
        <c:noMultiLvlLbl val="0"/>
      </c:catAx>
      <c:valAx>
        <c:axId val="10697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9730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276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308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266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266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266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265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264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260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261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262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263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210"/>
  <sheetViews>
    <sheetView tabSelected="1" zoomScale="80" zoomScaleNormal="80" workbookViewId="0">
      <pane xSplit="2" ySplit="3" topLeftCell="F86" activePane="bottomRight" state="frozen"/>
      <selection pane="topRight" activeCell="C1" sqref="C1"/>
      <selection pane="bottomLeft" activeCell="A5" sqref="A5"/>
      <selection pane="bottomRight" activeCell="O107" sqref="O107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2" style="104" bestFit="1" customWidth="1"/>
    <col min="8" max="8" width="9.85546875" style="104" bestFit="1" customWidth="1"/>
    <col min="9" max="12" width="10.85546875" style="104" bestFit="1" customWidth="1"/>
    <col min="13" max="13" width="8.7109375" style="181" customWidth="1"/>
    <col min="14" max="17" width="12" style="104" bestFit="1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ht="15" x14ac:dyDescent="0.25">
      <c r="B1" s="122" t="s">
        <v>241</v>
      </c>
      <c r="C1" s="123">
        <v>0.2</v>
      </c>
      <c r="F1" s="104" t="s">
        <v>250</v>
      </c>
      <c r="H1" s="125">
        <v>2004</v>
      </c>
      <c r="J1" s="104" t="s">
        <v>315</v>
      </c>
      <c r="L1" s="162">
        <v>0.05</v>
      </c>
      <c r="O1" s="169" t="s">
        <v>359</v>
      </c>
      <c r="P1" s="167"/>
      <c r="Q1" s="170">
        <v>0.05</v>
      </c>
    </row>
    <row r="2" spans="2:32" x14ac:dyDescent="0.2">
      <c r="B2" s="151" t="s">
        <v>305</v>
      </c>
      <c r="C2" s="120"/>
      <c r="F2" s="104" t="s">
        <v>251</v>
      </c>
      <c r="H2" s="125">
        <v>2013</v>
      </c>
      <c r="J2" s="104" t="s">
        <v>316</v>
      </c>
      <c r="L2" s="162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19" t="s">
        <v>287</v>
      </c>
      <c r="AF2" s="220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252</v>
      </c>
      <c r="T3" s="211">
        <v>2015</v>
      </c>
      <c r="U3" s="211">
        <v>2016</v>
      </c>
      <c r="V3" s="211">
        <v>2017</v>
      </c>
      <c r="W3" s="211">
        <v>2018</v>
      </c>
      <c r="X3" s="211">
        <v>2019</v>
      </c>
      <c r="Y3" s="211">
        <v>2020</v>
      </c>
      <c r="Z3" s="211">
        <v>2021</v>
      </c>
      <c r="AA3" s="211">
        <v>2022</v>
      </c>
      <c r="AB3" s="211">
        <v>2023</v>
      </c>
      <c r="AC3" s="115">
        <v>2024</v>
      </c>
      <c r="AD3" s="134" t="s">
        <v>1</v>
      </c>
      <c r="AE3" s="221" t="s">
        <v>288</v>
      </c>
      <c r="AF3" s="222"/>
    </row>
    <row r="4" spans="2:32" ht="15.75" x14ac:dyDescent="0.25">
      <c r="B4" s="20"/>
      <c r="C4" s="20"/>
      <c r="D4" s="20"/>
      <c r="E4" s="20"/>
      <c r="F4" s="20"/>
      <c r="G4" s="229" t="s">
        <v>405</v>
      </c>
      <c r="H4" s="20"/>
      <c r="I4" s="20"/>
      <c r="J4" s="20"/>
      <c r="K4" s="20"/>
      <c r="L4" s="20"/>
      <c r="M4" s="21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5"/>
      <c r="AE4" s="20"/>
      <c r="AF4" s="20"/>
    </row>
    <row r="5" spans="2:32" x14ac:dyDescent="0.2">
      <c r="B5" s="108" t="s">
        <v>242</v>
      </c>
      <c r="C5" s="20"/>
      <c r="D5" s="20"/>
      <c r="E5" s="144"/>
      <c r="F5" s="144"/>
      <c r="G5" s="144"/>
      <c r="H5" s="144"/>
      <c r="I5" s="144"/>
      <c r="J5" s="144"/>
      <c r="K5" s="144"/>
      <c r="L5" s="144"/>
      <c r="M5" s="175"/>
      <c r="N5" s="144"/>
      <c r="O5" s="144"/>
      <c r="P5" s="144"/>
      <c r="Q5" s="144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5"/>
      <c r="AE5" s="20"/>
      <c r="AF5" s="152"/>
    </row>
    <row r="6" spans="2:32" x14ac:dyDescent="0.2">
      <c r="B6" s="20" t="s">
        <v>16</v>
      </c>
      <c r="C6" s="139"/>
      <c r="D6" s="139"/>
      <c r="E6" s="145"/>
      <c r="F6" s="145"/>
      <c r="G6" s="241">
        <f>H6</f>
        <v>17</v>
      </c>
      <c r="H6" s="241">
        <v>17</v>
      </c>
      <c r="I6" s="241">
        <v>303</v>
      </c>
      <c r="J6" s="241">
        <v>507</v>
      </c>
      <c r="K6" s="241">
        <v>1023</v>
      </c>
      <c r="L6" s="241">
        <v>1327</v>
      </c>
      <c r="M6" s="241">
        <v>2749</v>
      </c>
      <c r="N6" s="241">
        <v>3446</v>
      </c>
      <c r="O6" s="241">
        <v>4323</v>
      </c>
      <c r="P6" s="241">
        <v>5449</v>
      </c>
      <c r="Q6" s="241">
        <v>6761</v>
      </c>
      <c r="R6" s="118">
        <f>((Q6/G6)^(1/($H$2-$H$1) ))-1</f>
        <v>0.94464451877619049</v>
      </c>
      <c r="S6" s="31">
        <f>$L$2</f>
        <v>0.18</v>
      </c>
      <c r="T6" s="152">
        <f>Q6*(1+$S6)</f>
        <v>7977.98</v>
      </c>
      <c r="U6" s="152">
        <f>T6*(1+$S6)</f>
        <v>9414.0163999999986</v>
      </c>
      <c r="V6" s="152">
        <f t="shared" ref="V6:AC6" si="0">U6*(1+$S6)</f>
        <v>11108.539351999998</v>
      </c>
      <c r="W6" s="152">
        <f t="shared" si="0"/>
        <v>13108.076435359997</v>
      </c>
      <c r="X6" s="152">
        <f t="shared" si="0"/>
        <v>15467.530193724795</v>
      </c>
      <c r="Y6" s="152">
        <f t="shared" si="0"/>
        <v>18251.685628595256</v>
      </c>
      <c r="Z6" s="152">
        <f t="shared" si="0"/>
        <v>21536.989041742403</v>
      </c>
      <c r="AA6" s="152">
        <f t="shared" si="0"/>
        <v>25413.647069256036</v>
      </c>
      <c r="AB6" s="152">
        <f t="shared" si="0"/>
        <v>29988.103541722121</v>
      </c>
      <c r="AC6" s="152">
        <f t="shared" si="0"/>
        <v>35385.962179232098</v>
      </c>
      <c r="AD6" s="136">
        <f>((AC6/G6)^(1/($AC$3-$H$1) ))-1</f>
        <v>0.46527488017983498</v>
      </c>
      <c r="AE6" s="31">
        <f>$L$1</f>
        <v>0.05</v>
      </c>
      <c r="AF6" s="144">
        <f t="shared" ref="AF6:AF55" si="1">(AC6*(1+AE6))/($C$1-AE6)</f>
        <v>247701.73525462465</v>
      </c>
    </row>
    <row r="7" spans="2:32" x14ac:dyDescent="0.2">
      <c r="B7" s="20" t="s">
        <v>240</v>
      </c>
      <c r="C7" s="139"/>
      <c r="D7" s="139"/>
      <c r="E7" s="145"/>
      <c r="F7" s="145"/>
      <c r="G7" s="241">
        <f>H7</f>
        <v>217</v>
      </c>
      <c r="H7" s="241">
        <v>217</v>
      </c>
      <c r="I7" s="241">
        <v>572</v>
      </c>
      <c r="J7" s="241">
        <v>787</v>
      </c>
      <c r="K7" s="241">
        <v>1319</v>
      </c>
      <c r="L7" s="241">
        <v>1624</v>
      </c>
      <c r="M7" s="241">
        <v>3089</v>
      </c>
      <c r="N7" s="241">
        <v>3794</v>
      </c>
      <c r="O7" s="241">
        <v>4676</v>
      </c>
      <c r="P7" s="241">
        <v>5807</v>
      </c>
      <c r="Q7" s="241">
        <v>7115</v>
      </c>
      <c r="R7" s="118">
        <f>((Q7/G7)^(1/($H$2-$H$1) ))-1</f>
        <v>0.47371260016426642</v>
      </c>
      <c r="S7" s="31">
        <f>$L$2</f>
        <v>0.18</v>
      </c>
      <c r="T7" s="152">
        <f t="shared" ref="T7:T15" si="2">Q7*(1+$S7)</f>
        <v>8395.6999999999989</v>
      </c>
      <c r="U7" s="152">
        <f t="shared" ref="U7:AC7" si="3">T7*(1+$S7)</f>
        <v>9906.9259999999977</v>
      </c>
      <c r="V7" s="152">
        <f t="shared" si="3"/>
        <v>11690.172679999996</v>
      </c>
      <c r="W7" s="152">
        <f t="shared" si="3"/>
        <v>13794.403762399994</v>
      </c>
      <c r="X7" s="152">
        <f t="shared" si="3"/>
        <v>16277.396439631992</v>
      </c>
      <c r="Y7" s="152">
        <f t="shared" si="3"/>
        <v>19207.327798765749</v>
      </c>
      <c r="Z7" s="152">
        <f t="shared" si="3"/>
        <v>22664.646802543582</v>
      </c>
      <c r="AA7" s="152">
        <f t="shared" si="3"/>
        <v>26744.283227001426</v>
      </c>
      <c r="AB7" s="152">
        <f t="shared" si="3"/>
        <v>31558.254207861683</v>
      </c>
      <c r="AC7" s="152">
        <f t="shared" si="3"/>
        <v>37238.739965276785</v>
      </c>
      <c r="AD7" s="136">
        <f>((AC7/G7)^(1/($AC$3-$H$1) ))-1</f>
        <v>0.29338184991965743</v>
      </c>
      <c r="AE7" s="31">
        <f>$L$1</f>
        <v>0.05</v>
      </c>
      <c r="AF7" s="144">
        <f t="shared" si="1"/>
        <v>260671.17975693746</v>
      </c>
    </row>
    <row r="8" spans="2:32" x14ac:dyDescent="0.2">
      <c r="B8" s="20"/>
      <c r="C8" s="139"/>
      <c r="D8" s="139"/>
      <c r="E8" s="145"/>
      <c r="F8" s="145"/>
      <c r="G8" s="146">
        <f>(G7-F7)/G7</f>
        <v>1</v>
      </c>
      <c r="H8" s="149">
        <f>(H7-G7)/H7</f>
        <v>0</v>
      </c>
      <c r="I8" s="149">
        <f t="shared" ref="I8:Q8" si="4">(I7-H7)/I7</f>
        <v>0.62062937062937062</v>
      </c>
      <c r="J8" s="149">
        <f t="shared" si="4"/>
        <v>0.27318932655654382</v>
      </c>
      <c r="K8" s="149">
        <f t="shared" si="4"/>
        <v>0.40333586050037906</v>
      </c>
      <c r="L8" s="149">
        <f t="shared" si="4"/>
        <v>0.18780788177339902</v>
      </c>
      <c r="M8" s="149">
        <f t="shared" si="4"/>
        <v>0.47426351570087405</v>
      </c>
      <c r="N8" s="149">
        <f>(N7-L7)/N7</f>
        <v>0.5719557195571956</v>
      </c>
      <c r="O8" s="149">
        <f t="shared" si="4"/>
        <v>0.18862275449101795</v>
      </c>
      <c r="P8" s="149">
        <f t="shared" si="4"/>
        <v>0.19476493886688478</v>
      </c>
      <c r="Q8" s="149">
        <f t="shared" si="4"/>
        <v>0.18383696416022488</v>
      </c>
      <c r="R8" s="127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5"/>
      <c r="AE8" s="135"/>
      <c r="AF8" s="144"/>
    </row>
    <row r="9" spans="2:32" x14ac:dyDescent="0.2">
      <c r="B9" s="20" t="s">
        <v>267</v>
      </c>
      <c r="C9" s="139"/>
      <c r="D9" s="139"/>
      <c r="E9" s="145"/>
      <c r="F9" s="145"/>
      <c r="G9" s="241">
        <f>H9</f>
        <v>0</v>
      </c>
      <c r="H9" s="241">
        <v>0</v>
      </c>
      <c r="I9" s="241">
        <v>0</v>
      </c>
      <c r="J9" s="241">
        <v>0</v>
      </c>
      <c r="K9" s="241">
        <v>0</v>
      </c>
      <c r="L9" s="241">
        <v>0</v>
      </c>
      <c r="M9" s="241">
        <v>0</v>
      </c>
      <c r="N9" s="241">
        <v>0</v>
      </c>
      <c r="O9" s="241">
        <v>0</v>
      </c>
      <c r="P9" s="241">
        <v>0</v>
      </c>
      <c r="Q9" s="241">
        <v>0</v>
      </c>
      <c r="R9" s="118" t="e">
        <f t="shared" ref="R9:R15" si="5">((Q9/G9)^(1/($H$2-$H$1) ))-1</f>
        <v>#DIV/0!</v>
      </c>
      <c r="S9" s="31">
        <f t="shared" ref="S9:S51" si="6">$L$2</f>
        <v>0.18</v>
      </c>
      <c r="T9" s="152">
        <f t="shared" ref="T9" si="7">Q9*(1+$S9)</f>
        <v>0</v>
      </c>
      <c r="U9" s="152">
        <f t="shared" ref="U9" si="8">T9*(1+$S9)</f>
        <v>0</v>
      </c>
      <c r="V9" s="152">
        <f t="shared" ref="V9" si="9">U9*(1+$S9)</f>
        <v>0</v>
      </c>
      <c r="W9" s="152">
        <f t="shared" ref="W9" si="10">V9*(1+$S9)</f>
        <v>0</v>
      </c>
      <c r="X9" s="152">
        <f t="shared" ref="X9" si="11">W9*(1+$S9)</f>
        <v>0</v>
      </c>
      <c r="Y9" s="152">
        <f t="shared" ref="Y9" si="12">X9*(1+$S9)</f>
        <v>0</v>
      </c>
      <c r="Z9" s="152">
        <f t="shared" ref="Z9" si="13">Y9*(1+$S9)</f>
        <v>0</v>
      </c>
      <c r="AA9" s="152">
        <f t="shared" ref="AA9" si="14">Z9*(1+$S9)</f>
        <v>0</v>
      </c>
      <c r="AB9" s="152">
        <f t="shared" ref="AB9" si="15">AA9*(1+$S9)</f>
        <v>0</v>
      </c>
      <c r="AC9" s="152">
        <f t="shared" ref="AC9" si="16">AB9*(1+$S9)</f>
        <v>0</v>
      </c>
      <c r="AD9" s="136" t="e">
        <f>((AC9/G9)^(1/($AC$3-$H$1) ))-1</f>
        <v>#DIV/0!</v>
      </c>
      <c r="AE9" s="31">
        <f t="shared" ref="AE9:AE88" si="17">$L$1</f>
        <v>0.05</v>
      </c>
      <c r="AF9" s="144">
        <f t="shared" si="1"/>
        <v>0</v>
      </c>
    </row>
    <row r="10" spans="2:32" x14ac:dyDescent="0.2">
      <c r="B10" s="20" t="s">
        <v>4</v>
      </c>
      <c r="C10" s="139"/>
      <c r="D10" s="139"/>
      <c r="E10" s="145"/>
      <c r="F10" s="145"/>
      <c r="G10" s="241">
        <f>H10</f>
        <v>1032</v>
      </c>
      <c r="H10" s="241">
        <v>1032</v>
      </c>
      <c r="I10" s="241">
        <v>3375</v>
      </c>
      <c r="J10" s="241">
        <v>9087</v>
      </c>
      <c r="K10" s="241">
        <v>14259</v>
      </c>
      <c r="L10" s="241">
        <v>18358</v>
      </c>
      <c r="M10" s="241">
        <v>31547</v>
      </c>
      <c r="N10" s="241">
        <v>52629</v>
      </c>
      <c r="O10" s="241">
        <v>63308</v>
      </c>
      <c r="P10" s="241">
        <v>87877</v>
      </c>
      <c r="Q10" s="241">
        <v>95499</v>
      </c>
      <c r="R10" s="118">
        <f t="shared" si="5"/>
        <v>0.65378825372782856</v>
      </c>
      <c r="S10" s="31">
        <f t="shared" si="6"/>
        <v>0.18</v>
      </c>
      <c r="T10" s="152">
        <f t="shared" si="2"/>
        <v>112688.81999999999</v>
      </c>
      <c r="U10" s="152">
        <f t="shared" ref="U10:AC10" si="18">T10*(1+$S10)</f>
        <v>132972.80759999997</v>
      </c>
      <c r="V10" s="152">
        <f t="shared" si="18"/>
        <v>156907.91296799996</v>
      </c>
      <c r="W10" s="152">
        <f t="shared" si="18"/>
        <v>185151.33730223993</v>
      </c>
      <c r="X10" s="152">
        <f t="shared" si="18"/>
        <v>218478.57801664312</v>
      </c>
      <c r="Y10" s="152">
        <f t="shared" si="18"/>
        <v>257804.72205963888</v>
      </c>
      <c r="Z10" s="152">
        <f t="shared" si="18"/>
        <v>304209.57203037385</v>
      </c>
      <c r="AA10" s="152">
        <f t="shared" si="18"/>
        <v>358967.2949958411</v>
      </c>
      <c r="AB10" s="152">
        <f t="shared" si="18"/>
        <v>423581.40809509245</v>
      </c>
      <c r="AC10" s="152">
        <f t="shared" si="18"/>
        <v>499826.06155220908</v>
      </c>
      <c r="AD10" s="136">
        <f t="shared" ref="AD10:AD53" si="19">((AC10/G10)^(1/($AC$3-$H$1) ))-1</f>
        <v>0.36225044983699894</v>
      </c>
      <c r="AE10" s="31">
        <f t="shared" si="17"/>
        <v>0.05</v>
      </c>
      <c r="AF10" s="144">
        <f t="shared" si="1"/>
        <v>3498782.4308654629</v>
      </c>
    </row>
    <row r="11" spans="2:32" x14ac:dyDescent="0.2">
      <c r="B11" s="20"/>
      <c r="C11" s="139"/>
      <c r="D11" s="139"/>
      <c r="E11" s="145"/>
      <c r="F11" s="145"/>
      <c r="G11" s="146">
        <f>(G10-F10)/G10</f>
        <v>1</v>
      </c>
      <c r="H11" s="146">
        <f>(H10-G10)/H10</f>
        <v>0</v>
      </c>
      <c r="I11" s="146">
        <f t="shared" ref="I11" si="20">(I10-H10)/I10</f>
        <v>0.69422222222222219</v>
      </c>
      <c r="J11" s="146">
        <f t="shared" ref="J11" si="21">(J10-I10)/J10</f>
        <v>0.62859029382634535</v>
      </c>
      <c r="K11" s="146">
        <f t="shared" ref="K11" si="22">(K10-J10)/K10</f>
        <v>0.36271828318956451</v>
      </c>
      <c r="L11" s="146">
        <f t="shared" ref="L11" si="23">(L10-K10)/L10</f>
        <v>0.22328140320296327</v>
      </c>
      <c r="M11" s="146">
        <f t="shared" ref="M11" si="24">(M10-L10)/M10</f>
        <v>0.41807461882270897</v>
      </c>
      <c r="N11" s="146">
        <f t="shared" ref="N11" si="25">(N10-M10)/N10</f>
        <v>0.4005776283037869</v>
      </c>
      <c r="O11" s="146">
        <f t="shared" ref="O11" si="26">(O10-N10)/O10</f>
        <v>0.16868326277879572</v>
      </c>
      <c r="P11" s="146">
        <f t="shared" ref="P11" si="27">(P10-O10)/P10</f>
        <v>0.27958396394961138</v>
      </c>
      <c r="Q11" s="146">
        <f t="shared" ref="Q11" si="28">(Q10-P10)/Q10</f>
        <v>7.981235405606342E-2</v>
      </c>
      <c r="R11" s="127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7"/>
        <v>0.05</v>
      </c>
      <c r="AF11" s="152"/>
    </row>
    <row r="12" spans="2:32" x14ac:dyDescent="0.2">
      <c r="B12" s="20" t="s">
        <v>2</v>
      </c>
      <c r="C12" s="139"/>
      <c r="D12" s="139"/>
      <c r="E12" s="145"/>
      <c r="F12" s="145"/>
      <c r="G12" s="241">
        <f>H12</f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118" t="e">
        <f t="shared" si="5"/>
        <v>#DIV/0!</v>
      </c>
      <c r="S12" s="31">
        <f t="shared" si="6"/>
        <v>0.18</v>
      </c>
      <c r="T12" s="152">
        <f t="shared" si="2"/>
        <v>0</v>
      </c>
      <c r="U12" s="152">
        <f t="shared" ref="U12:AC14" si="29">T12*(1+$S12)</f>
        <v>0</v>
      </c>
      <c r="V12" s="152">
        <f t="shared" si="29"/>
        <v>0</v>
      </c>
      <c r="W12" s="152">
        <f t="shared" si="29"/>
        <v>0</v>
      </c>
      <c r="X12" s="152">
        <f t="shared" si="29"/>
        <v>0</v>
      </c>
      <c r="Y12" s="152">
        <f t="shared" si="29"/>
        <v>0</v>
      </c>
      <c r="Z12" s="152">
        <f t="shared" si="29"/>
        <v>0</v>
      </c>
      <c r="AA12" s="152">
        <f t="shared" si="29"/>
        <v>0</v>
      </c>
      <c r="AB12" s="152">
        <f t="shared" si="29"/>
        <v>0</v>
      </c>
      <c r="AC12" s="152">
        <f t="shared" si="29"/>
        <v>0</v>
      </c>
      <c r="AD12" s="136" t="e">
        <f t="shared" si="19"/>
        <v>#DIV/0!</v>
      </c>
      <c r="AE12" s="31">
        <f t="shared" si="17"/>
        <v>0.05</v>
      </c>
      <c r="AF12" s="144">
        <f t="shared" si="1"/>
        <v>0</v>
      </c>
    </row>
    <row r="13" spans="2:32" x14ac:dyDescent="0.2">
      <c r="B13" s="20" t="s">
        <v>343</v>
      </c>
      <c r="C13" s="139"/>
      <c r="D13" s="139"/>
      <c r="E13" s="145"/>
      <c r="F13" s="145"/>
      <c r="G13" s="241">
        <f>H13</f>
        <v>41</v>
      </c>
      <c r="H13" s="241">
        <v>41</v>
      </c>
      <c r="I13" s="241">
        <v>88</v>
      </c>
      <c r="J13" s="241">
        <v>390</v>
      </c>
      <c r="K13" s="241">
        <v>959</v>
      </c>
      <c r="L13" s="241">
        <v>1277</v>
      </c>
      <c r="M13" s="241">
        <v>1995</v>
      </c>
      <c r="N13" s="241">
        <v>3076</v>
      </c>
      <c r="O13" s="241">
        <v>2332</v>
      </c>
      <c r="P13" s="241">
        <v>3339</v>
      </c>
      <c r="Q13" s="241">
        <v>4541</v>
      </c>
      <c r="R13" s="118">
        <f t="shared" si="5"/>
        <v>0.68714325718472624</v>
      </c>
      <c r="S13" s="31">
        <f t="shared" si="6"/>
        <v>0.18</v>
      </c>
      <c r="T13" s="152">
        <f t="shared" si="2"/>
        <v>5358.38</v>
      </c>
      <c r="U13" s="152">
        <f t="shared" si="29"/>
        <v>6322.8883999999998</v>
      </c>
      <c r="V13" s="152">
        <f t="shared" si="29"/>
        <v>7461.008311999999</v>
      </c>
      <c r="W13" s="152">
        <f t="shared" si="29"/>
        <v>8803.9898081599986</v>
      </c>
      <c r="X13" s="152">
        <f t="shared" si="29"/>
        <v>10388.707973628798</v>
      </c>
      <c r="Y13" s="152">
        <f t="shared" si="29"/>
        <v>12258.675408881982</v>
      </c>
      <c r="Z13" s="152">
        <f t="shared" si="29"/>
        <v>14465.236982480737</v>
      </c>
      <c r="AA13" s="152">
        <f t="shared" si="29"/>
        <v>17068.97963932727</v>
      </c>
      <c r="AB13" s="152">
        <f t="shared" si="29"/>
        <v>20141.395974406176</v>
      </c>
      <c r="AC13" s="152">
        <f t="shared" si="29"/>
        <v>23766.847249799288</v>
      </c>
      <c r="AD13" s="136">
        <f>((AC13/G13)^(1/($AC$3-$H$1) ))-1</f>
        <v>0.37454634044778023</v>
      </c>
      <c r="AE13" s="31">
        <v>0.08</v>
      </c>
      <c r="AF13" s="144">
        <f t="shared" si="1"/>
        <v>213901.6252481936</v>
      </c>
    </row>
    <row r="14" spans="2:32" x14ac:dyDescent="0.2">
      <c r="B14" s="20" t="s">
        <v>344</v>
      </c>
      <c r="C14" s="139"/>
      <c r="D14" s="139"/>
      <c r="E14" s="145"/>
      <c r="F14" s="145"/>
      <c r="G14" s="241">
        <f>H14</f>
        <v>12</v>
      </c>
      <c r="H14" s="241">
        <v>12</v>
      </c>
      <c r="I14" s="241">
        <v>128</v>
      </c>
      <c r="J14" s="241">
        <v>904</v>
      </c>
      <c r="K14" s="241">
        <v>668</v>
      </c>
      <c r="L14" s="241">
        <v>645</v>
      </c>
      <c r="M14" s="241">
        <v>677</v>
      </c>
      <c r="N14" s="241">
        <v>420</v>
      </c>
      <c r="O14" s="241">
        <v>1253</v>
      </c>
      <c r="P14" s="241">
        <v>727</v>
      </c>
      <c r="Q14" s="241">
        <v>1350</v>
      </c>
      <c r="R14" s="118">
        <f t="shared" si="5"/>
        <v>0.69007444824843311</v>
      </c>
      <c r="S14" s="31">
        <f t="shared" si="6"/>
        <v>0.18</v>
      </c>
      <c r="T14" s="152">
        <f t="shared" si="2"/>
        <v>1593</v>
      </c>
      <c r="U14" s="152">
        <f t="shared" si="29"/>
        <v>1879.74</v>
      </c>
      <c r="V14" s="152">
        <f t="shared" si="29"/>
        <v>2218.0931999999998</v>
      </c>
      <c r="W14" s="152">
        <f t="shared" si="29"/>
        <v>2617.3499759999995</v>
      </c>
      <c r="X14" s="152">
        <f t="shared" si="29"/>
        <v>3088.4729716799993</v>
      </c>
      <c r="Y14" s="152">
        <f t="shared" si="29"/>
        <v>3644.3981065823991</v>
      </c>
      <c r="Z14" s="152">
        <f t="shared" si="29"/>
        <v>4300.3897657672305</v>
      </c>
      <c r="AA14" s="152">
        <f t="shared" si="29"/>
        <v>5074.4599236053318</v>
      </c>
      <c r="AB14" s="152">
        <f t="shared" si="29"/>
        <v>5987.8627098542911</v>
      </c>
      <c r="AC14" s="152">
        <f t="shared" si="29"/>
        <v>7065.6779976280632</v>
      </c>
      <c r="AD14" s="136">
        <f t="shared" ref="AD14" si="30">((AC14/G14)^(1/($AC$3-$H$1) ))-1</f>
        <v>0.37562047010517685</v>
      </c>
      <c r="AE14" s="31">
        <v>0.08</v>
      </c>
      <c r="AF14" s="144">
        <f t="shared" si="1"/>
        <v>63591.101978652572</v>
      </c>
    </row>
    <row r="15" spans="2:32" x14ac:dyDescent="0.2">
      <c r="B15" s="20" t="s">
        <v>218</v>
      </c>
      <c r="C15" s="139"/>
      <c r="D15" s="139"/>
      <c r="E15" s="145"/>
      <c r="F15" s="145"/>
      <c r="G15" s="241">
        <f>H15</f>
        <v>395</v>
      </c>
      <c r="H15" s="241">
        <v>395</v>
      </c>
      <c r="I15" s="241">
        <v>1350</v>
      </c>
      <c r="J15" s="241">
        <v>3073</v>
      </c>
      <c r="K15" s="241">
        <v>5093</v>
      </c>
      <c r="L15" s="241">
        <v>7117</v>
      </c>
      <c r="M15" s="241">
        <v>10209</v>
      </c>
      <c r="N15" s="241">
        <v>18828</v>
      </c>
      <c r="O15" s="241">
        <v>27757</v>
      </c>
      <c r="P15" s="241">
        <v>42975</v>
      </c>
      <c r="Q15" s="241">
        <v>40932</v>
      </c>
      <c r="R15" s="118">
        <f t="shared" si="5"/>
        <v>0.67471400510590507</v>
      </c>
      <c r="S15" s="31">
        <f t="shared" si="6"/>
        <v>0.18</v>
      </c>
      <c r="T15" s="152">
        <f t="shared" si="2"/>
        <v>48299.759999999995</v>
      </c>
      <c r="U15" s="152">
        <f t="shared" ref="U15:AC15" si="31">T15*(1+$S15)</f>
        <v>56993.716799999987</v>
      </c>
      <c r="V15" s="152">
        <f t="shared" si="31"/>
        <v>67252.58582399998</v>
      </c>
      <c r="W15" s="152">
        <f t="shared" si="31"/>
        <v>79358.051272319979</v>
      </c>
      <c r="X15" s="152">
        <f t="shared" si="31"/>
        <v>93642.500501337578</v>
      </c>
      <c r="Y15" s="152">
        <f t="shared" si="31"/>
        <v>110498.15059157833</v>
      </c>
      <c r="Z15" s="152">
        <f t="shared" si="31"/>
        <v>130387.81769806243</v>
      </c>
      <c r="AA15" s="152">
        <f t="shared" si="31"/>
        <v>153857.62488371367</v>
      </c>
      <c r="AB15" s="152">
        <f t="shared" si="31"/>
        <v>181551.99736278213</v>
      </c>
      <c r="AC15" s="152">
        <f t="shared" si="31"/>
        <v>214231.3568880829</v>
      </c>
      <c r="AD15" s="136">
        <f t="shared" si="19"/>
        <v>0.36998022112949669</v>
      </c>
      <c r="AE15" s="31">
        <f t="shared" si="17"/>
        <v>0.05</v>
      </c>
      <c r="AF15" s="144">
        <f t="shared" si="1"/>
        <v>1499619.4982165801</v>
      </c>
    </row>
    <row r="16" spans="2:32" x14ac:dyDescent="0.2">
      <c r="B16" s="20"/>
      <c r="C16" s="139"/>
      <c r="D16" s="139"/>
      <c r="E16" s="145"/>
      <c r="F16" s="145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127"/>
      <c r="S16" s="20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37"/>
      <c r="AE16" s="135"/>
      <c r="AF16" s="152"/>
    </row>
    <row r="17" spans="2:32" x14ac:dyDescent="0.2">
      <c r="B17" s="20" t="s">
        <v>345</v>
      </c>
      <c r="C17" s="139"/>
      <c r="D17" s="139"/>
      <c r="E17" s="145"/>
      <c r="F17" s="145"/>
      <c r="G17" s="241">
        <f>H17</f>
        <v>6463</v>
      </c>
      <c r="H17" s="241">
        <v>6463</v>
      </c>
      <c r="I17" s="241">
        <v>17305</v>
      </c>
      <c r="J17" s="241">
        <v>51724</v>
      </c>
      <c r="K17" s="241">
        <v>65990</v>
      </c>
      <c r="L17" s="241">
        <v>43953</v>
      </c>
      <c r="M17" s="241">
        <v>101835</v>
      </c>
      <c r="N17" s="241">
        <v>128259</v>
      </c>
      <c r="O17" s="241">
        <v>150977</v>
      </c>
      <c r="P17" s="241">
        <v>248481</v>
      </c>
      <c r="Q17" s="241">
        <v>202013</v>
      </c>
      <c r="R17" s="118">
        <f>((Q17/G17)^(1/($H$2-$H$1) ))-1</f>
        <v>0.46590227225436931</v>
      </c>
      <c r="S17" s="31">
        <f t="shared" si="6"/>
        <v>0.18</v>
      </c>
      <c r="T17" s="152">
        <f t="shared" ref="T17" si="32">Q17*(1+$S17)</f>
        <v>238375.34</v>
      </c>
      <c r="U17" s="152">
        <f t="shared" ref="U17" si="33">T17*(1+$S17)</f>
        <v>281282.90119999996</v>
      </c>
      <c r="V17" s="152">
        <f t="shared" ref="V17" si="34">U17*(1+$S17)</f>
        <v>331913.82341599994</v>
      </c>
      <c r="W17" s="152">
        <f t="shared" ref="W17" si="35">V17*(1+$S17)</f>
        <v>391658.31163087994</v>
      </c>
      <c r="X17" s="152">
        <f t="shared" ref="X17" si="36">W17*(1+$S17)</f>
        <v>462156.80772443832</v>
      </c>
      <c r="Y17" s="152">
        <f t="shared" ref="Y17" si="37">X17*(1+$S17)</f>
        <v>545345.03311483713</v>
      </c>
      <c r="Z17" s="152">
        <f t="shared" ref="Z17" si="38">Y17*(1+$S17)</f>
        <v>643507.13907550776</v>
      </c>
      <c r="AA17" s="152">
        <f t="shared" ref="AA17" si="39">Z17*(1+$S17)</f>
        <v>759338.42410909908</v>
      </c>
      <c r="AB17" s="152">
        <f t="shared" ref="AB17" si="40">AA17*(1+$S17)</f>
        <v>896019.34044873691</v>
      </c>
      <c r="AC17" s="152">
        <f t="shared" ref="AC17" si="41">AB17*(1+$S17)</f>
        <v>1057302.8217295094</v>
      </c>
      <c r="AD17" s="136">
        <f t="shared" ref="AD17" si="42">((AC17/G17)^(1/($AC$3-$H$1) ))-1</f>
        <v>0.29029276406613191</v>
      </c>
      <c r="AE17" s="31">
        <v>0.08</v>
      </c>
      <c r="AF17" s="144">
        <f t="shared" si="1"/>
        <v>9515725.3955655843</v>
      </c>
    </row>
    <row r="18" spans="2:32" x14ac:dyDescent="0.2">
      <c r="B18" s="20" t="s">
        <v>346</v>
      </c>
      <c r="C18" s="139"/>
      <c r="D18" s="139"/>
      <c r="E18" s="145"/>
      <c r="F18" s="145"/>
      <c r="G18" s="241">
        <f>H18</f>
        <v>59</v>
      </c>
      <c r="H18" s="241">
        <v>59</v>
      </c>
      <c r="I18" s="241">
        <v>218</v>
      </c>
      <c r="J18" s="241">
        <v>337</v>
      </c>
      <c r="K18" s="241">
        <v>2884</v>
      </c>
      <c r="L18" s="241">
        <v>3849</v>
      </c>
      <c r="M18" s="241">
        <v>4105</v>
      </c>
      <c r="N18" s="241">
        <v>8135</v>
      </c>
      <c r="O18" s="241">
        <v>10851</v>
      </c>
      <c r="P18" s="241">
        <v>0</v>
      </c>
      <c r="Q18" s="241">
        <v>0</v>
      </c>
      <c r="R18" s="118">
        <f>((Q18/G18)^(1/($H$2-$H$1) ))-1</f>
        <v>-1</v>
      </c>
      <c r="S18" s="31">
        <f t="shared" si="6"/>
        <v>0.18</v>
      </c>
      <c r="T18" s="152">
        <f t="shared" ref="T18" si="43">Q18*(1+$S18)</f>
        <v>0</v>
      </c>
      <c r="U18" s="152">
        <f t="shared" ref="U18:AC18" si="44">T18*(1+$S18)</f>
        <v>0</v>
      </c>
      <c r="V18" s="152">
        <f t="shared" si="44"/>
        <v>0</v>
      </c>
      <c r="W18" s="152">
        <f t="shared" si="44"/>
        <v>0</v>
      </c>
      <c r="X18" s="152">
        <f t="shared" si="44"/>
        <v>0</v>
      </c>
      <c r="Y18" s="152">
        <f t="shared" si="44"/>
        <v>0</v>
      </c>
      <c r="Z18" s="152">
        <f t="shared" si="44"/>
        <v>0</v>
      </c>
      <c r="AA18" s="152">
        <f t="shared" si="44"/>
        <v>0</v>
      </c>
      <c r="AB18" s="152">
        <f t="shared" si="44"/>
        <v>0</v>
      </c>
      <c r="AC18" s="152">
        <f t="shared" si="44"/>
        <v>0</v>
      </c>
      <c r="AD18" s="136">
        <f t="shared" ref="AD18" si="45">((AC18/G18)^(1/($AC$3-$H$1) ))-1</f>
        <v>-1</v>
      </c>
      <c r="AE18" s="31">
        <v>0.08</v>
      </c>
      <c r="AF18" s="144">
        <f t="shared" si="1"/>
        <v>0</v>
      </c>
    </row>
    <row r="19" spans="2:32" x14ac:dyDescent="0.2">
      <c r="B19" s="20"/>
      <c r="C19" s="139"/>
      <c r="D19" s="139"/>
      <c r="E19" s="145"/>
      <c r="F19" s="145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127"/>
      <c r="S19" s="20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37"/>
      <c r="AE19" s="135"/>
      <c r="AF19" s="152"/>
    </row>
    <row r="20" spans="2:32" x14ac:dyDescent="0.2">
      <c r="B20" s="20" t="s">
        <v>274</v>
      </c>
      <c r="C20" s="139"/>
      <c r="D20" s="139"/>
      <c r="E20" s="145"/>
      <c r="F20" s="145"/>
      <c r="G20" s="241">
        <f>H20</f>
        <v>16</v>
      </c>
      <c r="H20" s="241">
        <v>16</v>
      </c>
      <c r="I20" s="241">
        <v>29</v>
      </c>
      <c r="J20" s="241">
        <v>69</v>
      </c>
      <c r="K20" s="241">
        <v>97</v>
      </c>
      <c r="L20" s="241">
        <v>130</v>
      </c>
      <c r="M20" s="241">
        <v>114</v>
      </c>
      <c r="N20" s="241">
        <v>129</v>
      </c>
      <c r="O20" s="241">
        <v>169</v>
      </c>
      <c r="P20" s="241">
        <v>218</v>
      </c>
      <c r="Q20" s="241">
        <v>277</v>
      </c>
      <c r="R20" s="118">
        <f>((Q20/G20)^(1/($H$2-$H$1) ))-1</f>
        <v>0.37276289466065959</v>
      </c>
      <c r="S20" s="31">
        <f t="shared" si="6"/>
        <v>0.18</v>
      </c>
      <c r="T20" s="152">
        <f t="shared" ref="T20:T45" si="46">Q20*(1+$S20)</f>
        <v>326.85999999999996</v>
      </c>
      <c r="U20" s="152">
        <f t="shared" ref="U20:U45" si="47">T20*(1+$S20)</f>
        <v>385.69479999999993</v>
      </c>
      <c r="V20" s="152">
        <f t="shared" ref="V20:V45" si="48">U20*(1+$S20)</f>
        <v>455.11986399999989</v>
      </c>
      <c r="W20" s="152">
        <f t="shared" ref="W20:W45" si="49">V20*(1+$S20)</f>
        <v>537.04143951999981</v>
      </c>
      <c r="X20" s="152">
        <f t="shared" ref="X20:X47" si="50">W20*(1+$S20)</f>
        <v>633.7088986335998</v>
      </c>
      <c r="Y20" s="152">
        <f t="shared" ref="Y20:Y47" si="51">X20*(1+$S20)</f>
        <v>747.77650038764773</v>
      </c>
      <c r="Z20" s="152">
        <f t="shared" ref="Z20:Z47" si="52">Y20*(1+$S20)</f>
        <v>882.37627045742431</v>
      </c>
      <c r="AA20" s="152">
        <f t="shared" ref="AA20:AA47" si="53">Z20*(1+$S20)</f>
        <v>1041.2039991397605</v>
      </c>
      <c r="AB20" s="152">
        <f t="shared" ref="AB20:AB47" si="54">AA20*(1+$S20)</f>
        <v>1228.6207189849174</v>
      </c>
      <c r="AC20" s="152">
        <f t="shared" ref="AC20:AC47" si="55">AB20*(1+$S20)</f>
        <v>1449.7724484022024</v>
      </c>
      <c r="AD20" s="136">
        <f t="shared" si="19"/>
        <v>0.252734370260427</v>
      </c>
      <c r="AE20" s="31">
        <f t="shared" si="17"/>
        <v>0.05</v>
      </c>
      <c r="AF20" s="144">
        <f t="shared" si="1"/>
        <v>10148.407138815415</v>
      </c>
    </row>
    <row r="21" spans="2:32" x14ac:dyDescent="0.2">
      <c r="B21" s="20"/>
      <c r="C21" s="139"/>
      <c r="D21" s="139"/>
      <c r="E21" s="145"/>
      <c r="F21" s="145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127"/>
      <c r="S21" s="20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37"/>
      <c r="AE21" s="135"/>
      <c r="AF21" s="152"/>
    </row>
    <row r="22" spans="2:32" x14ac:dyDescent="0.2">
      <c r="B22" s="20" t="s">
        <v>279</v>
      </c>
      <c r="C22" s="139"/>
      <c r="D22" s="139"/>
      <c r="E22" s="145"/>
      <c r="F22" s="145"/>
      <c r="G22" s="145">
        <f>H22</f>
        <v>-55</v>
      </c>
      <c r="H22" s="145">
        <v>-55</v>
      </c>
      <c r="I22" s="145">
        <v>-166</v>
      </c>
      <c r="J22" s="145">
        <v>1801</v>
      </c>
      <c r="K22" s="145">
        <v>-196</v>
      </c>
      <c r="L22" s="145">
        <v>-365</v>
      </c>
      <c r="M22" s="145">
        <v>960</v>
      </c>
      <c r="N22" s="145">
        <v>3050</v>
      </c>
      <c r="O22" s="145">
        <v>3588</v>
      </c>
      <c r="P22" s="145">
        <v>540</v>
      </c>
      <c r="Q22" s="145">
        <v>4448</v>
      </c>
      <c r="R22" s="118">
        <f>((Q22/G22)^(1/($H$2-$H$1) ))-1</f>
        <v>-2.6292135368199698</v>
      </c>
      <c r="S22" s="31">
        <f t="shared" si="6"/>
        <v>0.18</v>
      </c>
      <c r="T22" s="152">
        <f t="shared" ref="T22:T24" si="56">Q22*(1+$S22)</f>
        <v>5248.6399999999994</v>
      </c>
      <c r="U22" s="152">
        <f t="shared" ref="U22:U24" si="57">T22*(1+$S22)</f>
        <v>6193.395199999999</v>
      </c>
      <c r="V22" s="152">
        <f t="shared" ref="V22:V24" si="58">U22*(1+$S22)</f>
        <v>7308.2063359999984</v>
      </c>
      <c r="W22" s="152">
        <f t="shared" ref="W22:W24" si="59">V22*(1+$S22)</f>
        <v>8623.6834764799969</v>
      </c>
      <c r="X22" s="152">
        <f t="shared" ref="X22:X24" si="60">W22*(1+$S22)</f>
        <v>10175.946502246396</v>
      </c>
      <c r="Y22" s="152">
        <f t="shared" ref="Y22:Y24" si="61">X22*(1+$S22)</f>
        <v>12007.616872650746</v>
      </c>
      <c r="Z22" s="152">
        <f t="shared" ref="Z22:Z24" si="62">Y22*(1+$S22)</f>
        <v>14168.987909727879</v>
      </c>
      <c r="AA22" s="152">
        <f t="shared" ref="AA22:AA24" si="63">Z22*(1+$S22)</f>
        <v>16719.405733478896</v>
      </c>
      <c r="AB22" s="152">
        <f t="shared" ref="AB22:AB24" si="64">AA22*(1+$S22)</f>
        <v>19728.898765505095</v>
      </c>
      <c r="AC22" s="152">
        <f t="shared" ref="AC22:AC24" si="65">AB22*(1+$S22)</f>
        <v>23280.100543296012</v>
      </c>
      <c r="AD22" s="174" t="e">
        <f>((AC22/G22)^(1/($AC$3-$H$1) ))-1</f>
        <v>#NUM!</v>
      </c>
      <c r="AE22" s="31">
        <f t="shared" si="17"/>
        <v>0.05</v>
      </c>
      <c r="AF22" s="144">
        <f t="shared" si="1"/>
        <v>162960.70380307207</v>
      </c>
    </row>
    <row r="23" spans="2:32" x14ac:dyDescent="0.2">
      <c r="B23" s="20" t="s">
        <v>280</v>
      </c>
      <c r="C23" s="139"/>
      <c r="D23" s="139"/>
      <c r="E23" s="145"/>
      <c r="F23" s="145"/>
      <c r="G23" s="145">
        <f>H23</f>
        <v>-108</v>
      </c>
      <c r="H23" s="145">
        <v>-108</v>
      </c>
      <c r="I23" s="145">
        <v>-70</v>
      </c>
      <c r="J23" s="145">
        <v>-1222</v>
      </c>
      <c r="K23" s="145">
        <v>-49</v>
      </c>
      <c r="L23" s="145">
        <v>-60</v>
      </c>
      <c r="M23" s="145">
        <v>-2006</v>
      </c>
      <c r="N23" s="145">
        <v>-3423</v>
      </c>
      <c r="O23" s="145">
        <v>-4863</v>
      </c>
      <c r="P23" s="145">
        <v>-6741</v>
      </c>
      <c r="Q23" s="145">
        <v>-2798</v>
      </c>
      <c r="R23" s="118">
        <f>((Q23/G23)^(1/($H$2-$H$1) ))-1</f>
        <v>0.43564514322822667</v>
      </c>
      <c r="S23" s="31">
        <f t="shared" si="6"/>
        <v>0.18</v>
      </c>
      <c r="T23" s="152">
        <f t="shared" si="56"/>
        <v>-3301.64</v>
      </c>
      <c r="U23" s="152">
        <f t="shared" si="57"/>
        <v>-3895.9351999999994</v>
      </c>
      <c r="V23" s="152">
        <f t="shared" si="58"/>
        <v>-4597.2035359999991</v>
      </c>
      <c r="W23" s="152">
        <f t="shared" si="59"/>
        <v>-5424.7001724799984</v>
      </c>
      <c r="X23" s="152">
        <f t="shared" si="60"/>
        <v>-6401.1462035263976</v>
      </c>
      <c r="Y23" s="152">
        <f t="shared" si="61"/>
        <v>-7553.3525201611492</v>
      </c>
      <c r="Z23" s="152">
        <f t="shared" si="62"/>
        <v>-8912.9559737901563</v>
      </c>
      <c r="AA23" s="152">
        <f t="shared" si="63"/>
        <v>-10517.288049072384</v>
      </c>
      <c r="AB23" s="152">
        <f t="shared" si="64"/>
        <v>-12410.399897905412</v>
      </c>
      <c r="AC23" s="152">
        <f t="shared" si="65"/>
        <v>-14644.271879528385</v>
      </c>
      <c r="AD23" s="136">
        <f t="shared" ref="AD23:AD24" si="66">((AC23/G23)^(1/($AC$3-$H$1) ))-1</f>
        <v>0.27823940420257132</v>
      </c>
      <c r="AE23" s="31">
        <f t="shared" si="17"/>
        <v>0.05</v>
      </c>
      <c r="AF23" s="144">
        <f t="shared" si="1"/>
        <v>-102509.90315669868</v>
      </c>
    </row>
    <row r="24" spans="2:32" x14ac:dyDescent="0.2">
      <c r="B24" s="20" t="s">
        <v>281</v>
      </c>
      <c r="C24" s="139"/>
      <c r="D24" s="139"/>
      <c r="E24" s="145"/>
      <c r="F24" s="145"/>
      <c r="G24" s="145">
        <f>H24</f>
        <v>217</v>
      </c>
      <c r="H24" s="145">
        <v>217</v>
      </c>
      <c r="I24" s="145">
        <v>398</v>
      </c>
      <c r="J24" s="145">
        <v>498</v>
      </c>
      <c r="K24" s="145">
        <v>580</v>
      </c>
      <c r="L24" s="145">
        <v>720</v>
      </c>
      <c r="M24" s="145">
        <v>1796</v>
      </c>
      <c r="N24" s="145">
        <v>1195</v>
      </c>
      <c r="O24" s="145">
        <v>1364</v>
      </c>
      <c r="P24" s="145">
        <v>6681</v>
      </c>
      <c r="Q24" s="145">
        <v>175</v>
      </c>
      <c r="R24" s="118">
        <f>((Q24/G24)^(1/($H$2-$H$1) ))-1</f>
        <v>-2.3617891329680729E-2</v>
      </c>
      <c r="S24" s="31">
        <f t="shared" si="6"/>
        <v>0.18</v>
      </c>
      <c r="T24" s="152">
        <f t="shared" si="56"/>
        <v>206.5</v>
      </c>
      <c r="U24" s="152">
        <f t="shared" si="57"/>
        <v>243.67</v>
      </c>
      <c r="V24" s="152">
        <f t="shared" si="58"/>
        <v>287.53059999999999</v>
      </c>
      <c r="W24" s="152">
        <f t="shared" si="59"/>
        <v>339.28610799999996</v>
      </c>
      <c r="X24" s="152">
        <f t="shared" si="60"/>
        <v>400.35760743999992</v>
      </c>
      <c r="Y24" s="152">
        <f t="shared" si="61"/>
        <v>472.42197677919989</v>
      </c>
      <c r="Z24" s="152">
        <f t="shared" si="62"/>
        <v>557.45793259945583</v>
      </c>
      <c r="AA24" s="152">
        <f t="shared" si="63"/>
        <v>657.80036046735779</v>
      </c>
      <c r="AB24" s="152">
        <f t="shared" si="64"/>
        <v>776.2044253514822</v>
      </c>
      <c r="AC24" s="152">
        <f t="shared" si="65"/>
        <v>915.92122191474891</v>
      </c>
      <c r="AD24" s="136">
        <f t="shared" si="66"/>
        <v>7.4657117523790673E-2</v>
      </c>
      <c r="AE24" s="31">
        <f t="shared" si="17"/>
        <v>0.05</v>
      </c>
      <c r="AF24" s="144">
        <f t="shared" si="1"/>
        <v>6411.4485534032419</v>
      </c>
    </row>
    <row r="25" spans="2:32" x14ac:dyDescent="0.2">
      <c r="B25" s="20" t="s">
        <v>289</v>
      </c>
      <c r="C25" s="139"/>
      <c r="D25" s="139"/>
      <c r="E25" s="145"/>
      <c r="F25" s="145"/>
      <c r="G25" s="145">
        <f>H25</f>
        <v>53</v>
      </c>
      <c r="H25" s="145">
        <v>53</v>
      </c>
      <c r="I25" s="145">
        <v>216</v>
      </c>
      <c r="J25" s="145">
        <v>1292</v>
      </c>
      <c r="K25" s="145">
        <v>1627</v>
      </c>
      <c r="L25" s="145">
        <v>1922</v>
      </c>
      <c r="M25" s="145">
        <v>2673</v>
      </c>
      <c r="N25" s="145">
        <v>3495</v>
      </c>
      <c r="O25" s="145">
        <v>3585</v>
      </c>
      <c r="P25" s="145">
        <v>4065</v>
      </c>
      <c r="Q25" s="145">
        <v>5891</v>
      </c>
      <c r="R25" s="118">
        <f>((Q25/G25)^(1/($H$2-$H$1) ))-1</f>
        <v>0.68781049745364697</v>
      </c>
      <c r="S25" s="31">
        <f t="shared" si="6"/>
        <v>0.18</v>
      </c>
      <c r="T25" s="152">
        <f t="shared" ref="T25" si="67">Q25*(1+$S25)</f>
        <v>6951.3799999999992</v>
      </c>
      <c r="U25" s="152">
        <f t="shared" ref="U25" si="68">T25*(1+$S25)</f>
        <v>8202.6283999999978</v>
      </c>
      <c r="V25" s="152">
        <f t="shared" ref="V25" si="69">U25*(1+$S25)</f>
        <v>9679.1015119999975</v>
      </c>
      <c r="W25" s="152">
        <f t="shared" ref="W25" si="70">V25*(1+$S25)</f>
        <v>11421.339784159996</v>
      </c>
      <c r="X25" s="152">
        <f t="shared" ref="X25" si="71">W25*(1+$S25)</f>
        <v>13477.180945308795</v>
      </c>
      <c r="Y25" s="152">
        <f t="shared" ref="Y25" si="72">X25*(1+$S25)</f>
        <v>15903.073515464377</v>
      </c>
      <c r="Z25" s="152">
        <f t="shared" ref="Z25" si="73">Y25*(1+$S25)</f>
        <v>18765.626748247963</v>
      </c>
      <c r="AA25" s="152">
        <f t="shared" ref="AA25" si="74">Z25*(1+$S25)</f>
        <v>22143.439562932595</v>
      </c>
      <c r="AB25" s="152">
        <f t="shared" ref="AB25" si="75">AA25*(1+$S25)</f>
        <v>26129.258684260461</v>
      </c>
      <c r="AC25" s="152">
        <f t="shared" ref="AC25" si="76">AB25*(1+$S25)</f>
        <v>30832.525247427344</v>
      </c>
      <c r="AD25" s="136">
        <f t="shared" ref="AD25" si="77">((AC25/G25)^(1/($AC$3-$H$1) ))-1</f>
        <v>0.37479093960804621</v>
      </c>
      <c r="AE25" s="31">
        <f t="shared" si="17"/>
        <v>0.05</v>
      </c>
      <c r="AF25" s="144">
        <f t="shared" si="1"/>
        <v>215827.67673199141</v>
      </c>
    </row>
    <row r="26" spans="2:32" x14ac:dyDescent="0.2">
      <c r="B26" s="20"/>
      <c r="C26" s="139"/>
      <c r="D26" s="139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60"/>
      <c r="AE26" s="119"/>
      <c r="AF26" s="152"/>
    </row>
    <row r="27" spans="2:32" x14ac:dyDescent="0.2">
      <c r="B27" s="20" t="s">
        <v>347</v>
      </c>
      <c r="C27" s="139"/>
      <c r="D27" s="139"/>
      <c r="E27" s="145"/>
      <c r="F27" s="145"/>
      <c r="G27" s="141">
        <f>H27</f>
        <v>663</v>
      </c>
      <c r="H27" s="145">
        <v>663</v>
      </c>
      <c r="I27" s="145">
        <v>2910</v>
      </c>
      <c r="J27" s="145">
        <v>8220</v>
      </c>
      <c r="K27" s="145">
        <v>13273</v>
      </c>
      <c r="L27" s="145">
        <v>16169</v>
      </c>
      <c r="M27" s="145">
        <v>26798</v>
      </c>
      <c r="N27" s="145">
        <v>45938</v>
      </c>
      <c r="O27" s="145">
        <v>49151</v>
      </c>
      <c r="P27" s="145">
        <v>66955</v>
      </c>
      <c r="Q27" s="145">
        <v>74192</v>
      </c>
      <c r="R27" s="118">
        <f>((Q27/G27)^(1/($H$2-$H$1) ))-1</f>
        <v>0.68907635879138951</v>
      </c>
      <c r="S27" s="31">
        <f t="shared" si="6"/>
        <v>0.18</v>
      </c>
      <c r="T27" s="152">
        <f t="shared" ref="T27:T33" si="78">Q27*(1+$S27)</f>
        <v>87546.559999999998</v>
      </c>
      <c r="U27" s="152">
        <f t="shared" ref="U27:AC33" si="79">T27*(1+$S27)</f>
        <v>103304.9408</v>
      </c>
      <c r="V27" s="152">
        <f t="shared" si="79"/>
        <v>121899.83014399999</v>
      </c>
      <c r="W27" s="152">
        <f t="shared" si="79"/>
        <v>143841.79956992</v>
      </c>
      <c r="X27" s="152">
        <f t="shared" si="79"/>
        <v>169733.32349250559</v>
      </c>
      <c r="Y27" s="152">
        <f t="shared" si="79"/>
        <v>200285.32172115659</v>
      </c>
      <c r="Z27" s="152">
        <f t="shared" si="79"/>
        <v>236336.67963096476</v>
      </c>
      <c r="AA27" s="152">
        <f t="shared" si="79"/>
        <v>278877.28196453839</v>
      </c>
      <c r="AB27" s="152">
        <f t="shared" si="79"/>
        <v>329075.19271815527</v>
      </c>
      <c r="AC27" s="152">
        <f t="shared" si="79"/>
        <v>388308.7274074232</v>
      </c>
      <c r="AD27" s="136">
        <f t="shared" ref="AD27:AD33" si="80">((AC27/G27)^(1/($AC$3-$H$1) ))-1</f>
        <v>0.37525483715831354</v>
      </c>
      <c r="AE27" s="31">
        <v>0.05</v>
      </c>
      <c r="AF27" s="144">
        <f t="shared" si="1"/>
        <v>2718161.0918519623</v>
      </c>
    </row>
    <row r="28" spans="2:32" x14ac:dyDescent="0.2">
      <c r="B28" s="20"/>
      <c r="C28" s="139"/>
      <c r="D28" s="139"/>
      <c r="E28" s="145"/>
      <c r="F28" s="145"/>
      <c r="G28" s="146">
        <f>(G27-F27)/G27</f>
        <v>1</v>
      </c>
      <c r="H28" s="146">
        <f>(H27-G27)/H27</f>
        <v>0</v>
      </c>
      <c r="I28" s="146">
        <f t="shared" ref="I28:Q28" si="81">(I27-H27)/I27</f>
        <v>0.77216494845360828</v>
      </c>
      <c r="J28" s="146">
        <f t="shared" si="81"/>
        <v>0.64598540145985406</v>
      </c>
      <c r="K28" s="146">
        <f t="shared" si="81"/>
        <v>0.38069765689746099</v>
      </c>
      <c r="L28" s="146">
        <f t="shared" si="81"/>
        <v>0.17910816995485188</v>
      </c>
      <c r="M28" s="146">
        <f t="shared" si="81"/>
        <v>0.39663407716993804</v>
      </c>
      <c r="N28" s="146">
        <f>(N27-L27)/N27</f>
        <v>0.64802559972136353</v>
      </c>
      <c r="O28" s="146">
        <f t="shared" si="81"/>
        <v>6.5369982299444573E-2</v>
      </c>
      <c r="P28" s="146">
        <f t="shared" si="81"/>
        <v>0.26590993951161229</v>
      </c>
      <c r="Q28" s="146">
        <f t="shared" si="81"/>
        <v>9.7544209618287692E-2</v>
      </c>
      <c r="R28" s="3"/>
      <c r="S28" s="3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37"/>
      <c r="AE28" s="127"/>
      <c r="AF28" s="144"/>
    </row>
    <row r="29" spans="2:32" x14ac:dyDescent="0.2">
      <c r="B29" s="20" t="s">
        <v>348</v>
      </c>
      <c r="C29" s="139"/>
      <c r="D29" s="139"/>
      <c r="E29" s="145"/>
      <c r="F29" s="145"/>
      <c r="G29" s="141">
        <f>H29</f>
        <v>4749</v>
      </c>
      <c r="H29" s="145">
        <v>4749</v>
      </c>
      <c r="I29" s="145">
        <v>6690</v>
      </c>
      <c r="J29" s="145">
        <v>14156</v>
      </c>
      <c r="K29" s="145">
        <v>20922</v>
      </c>
      <c r="L29" s="145">
        <v>21314</v>
      </c>
      <c r="M29" s="145">
        <v>4749</v>
      </c>
      <c r="N29" s="145">
        <v>6690</v>
      </c>
      <c r="O29" s="145">
        <v>14156</v>
      </c>
      <c r="P29" s="145">
        <v>20922</v>
      </c>
      <c r="Q29" s="145">
        <v>21314</v>
      </c>
      <c r="R29" s="118">
        <f>((Q29/G29)^(1/($H$2-$H$1) ))-1</f>
        <v>0.18154814125448504</v>
      </c>
      <c r="S29" s="31">
        <f t="shared" si="6"/>
        <v>0.18</v>
      </c>
      <c r="T29" s="152">
        <f t="shared" ref="T29" si="82">Q29*(1+$S29)</f>
        <v>25150.52</v>
      </c>
      <c r="U29" s="152">
        <f t="shared" ref="U29:AC29" si="83">T29*(1+$S29)</f>
        <v>29677.613600000001</v>
      </c>
      <c r="V29" s="152">
        <f t="shared" si="83"/>
        <v>35019.584047999997</v>
      </c>
      <c r="W29" s="152">
        <f t="shared" si="83"/>
        <v>41323.109176639991</v>
      </c>
      <c r="X29" s="152">
        <f t="shared" si="83"/>
        <v>48761.26882843519</v>
      </c>
      <c r="Y29" s="152">
        <f t="shared" si="83"/>
        <v>57538.297217553518</v>
      </c>
      <c r="Z29" s="152">
        <f t="shared" si="83"/>
        <v>67895.190716713143</v>
      </c>
      <c r="AA29" s="152">
        <f t="shared" si="83"/>
        <v>80116.325045721504</v>
      </c>
      <c r="AB29" s="152">
        <f t="shared" si="83"/>
        <v>94537.263553951372</v>
      </c>
      <c r="AC29" s="152">
        <f t="shared" si="83"/>
        <v>111553.97099366262</v>
      </c>
      <c r="AD29" s="136">
        <f t="shared" ref="AD29" si="84">((AC29/G29)^(1/($AC$3-$H$1) ))-1</f>
        <v>0.17096561740932148</v>
      </c>
      <c r="AE29" s="31">
        <v>0.05</v>
      </c>
      <c r="AF29" s="144">
        <f t="shared" si="1"/>
        <v>780877.79695563822</v>
      </c>
    </row>
    <row r="30" spans="2:32" x14ac:dyDescent="0.2">
      <c r="B30" s="20"/>
      <c r="C30" s="139"/>
      <c r="D30" s="139"/>
      <c r="E30" s="145"/>
      <c r="F30" s="145"/>
      <c r="G30" s="146">
        <f>(G29-F29)/G29</f>
        <v>1</v>
      </c>
      <c r="H30" s="146">
        <f>(H29-G29)/H29</f>
        <v>0</v>
      </c>
      <c r="I30" s="146">
        <f t="shared" ref="I30:Q30" si="85">(I29-H29)/I29</f>
        <v>0.29013452914798205</v>
      </c>
      <c r="J30" s="146">
        <f t="shared" si="85"/>
        <v>0.52740887256287083</v>
      </c>
      <c r="K30" s="146">
        <f t="shared" si="85"/>
        <v>0.32339164515820668</v>
      </c>
      <c r="L30" s="146">
        <f t="shared" si="85"/>
        <v>1.8391667448625318E-2</v>
      </c>
      <c r="M30" s="146">
        <f t="shared" si="85"/>
        <v>-3.4881027584754687</v>
      </c>
      <c r="N30" s="146">
        <f>(N29-L29)/N29</f>
        <v>-2.1859491778774292</v>
      </c>
      <c r="O30" s="146">
        <f t="shared" si="85"/>
        <v>0.52740887256287083</v>
      </c>
      <c r="P30" s="146">
        <f t="shared" si="85"/>
        <v>0.32339164515820668</v>
      </c>
      <c r="Q30" s="146">
        <f t="shared" si="85"/>
        <v>1.8391667448625318E-2</v>
      </c>
      <c r="R30" s="3"/>
      <c r="S30" s="3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37"/>
      <c r="AE30" s="127"/>
      <c r="AF30" s="144"/>
    </row>
    <row r="31" spans="2:32" x14ac:dyDescent="0.2">
      <c r="B31" s="20" t="s">
        <v>349</v>
      </c>
      <c r="C31" s="139"/>
      <c r="D31" s="139"/>
      <c r="E31" s="145"/>
      <c r="F31" s="145"/>
      <c r="G31" s="141">
        <f>H31</f>
        <v>1745</v>
      </c>
      <c r="H31" s="145">
        <v>1745</v>
      </c>
      <c r="I31" s="145">
        <v>2583</v>
      </c>
      <c r="J31" s="145">
        <v>5677</v>
      </c>
      <c r="K31" s="145">
        <v>5418</v>
      </c>
      <c r="L31" s="145">
        <v>6387</v>
      </c>
      <c r="M31" s="145">
        <v>1745</v>
      </c>
      <c r="N31" s="145">
        <v>2583</v>
      </c>
      <c r="O31" s="145">
        <v>5677</v>
      </c>
      <c r="P31" s="145">
        <v>5418</v>
      </c>
      <c r="Q31" s="145">
        <v>6387</v>
      </c>
      <c r="R31" s="118">
        <f>((Q31/G31)^(1/($H$2-$H$1) ))-1</f>
        <v>0.15507790393285825</v>
      </c>
      <c r="S31" s="31">
        <f t="shared" si="6"/>
        <v>0.18</v>
      </c>
      <c r="T31" s="152">
        <f t="shared" ref="T31" si="86">Q31*(1+$S31)</f>
        <v>7536.66</v>
      </c>
      <c r="U31" s="152">
        <f t="shared" ref="U31:AC31" si="87">T31*(1+$S31)</f>
        <v>8893.2587999999996</v>
      </c>
      <c r="V31" s="152">
        <f t="shared" si="87"/>
        <v>10494.045383999999</v>
      </c>
      <c r="W31" s="152">
        <f t="shared" si="87"/>
        <v>12382.973553119999</v>
      </c>
      <c r="X31" s="152">
        <f t="shared" si="87"/>
        <v>14611.908792681597</v>
      </c>
      <c r="Y31" s="152">
        <f t="shared" si="87"/>
        <v>17242.052375364285</v>
      </c>
      <c r="Z31" s="152">
        <f t="shared" si="87"/>
        <v>20345.621802929854</v>
      </c>
      <c r="AA31" s="152">
        <f t="shared" si="87"/>
        <v>24007.833727457226</v>
      </c>
      <c r="AB31" s="152">
        <f t="shared" si="87"/>
        <v>28329.243798399526</v>
      </c>
      <c r="AC31" s="152">
        <f t="shared" si="87"/>
        <v>33428.507682111442</v>
      </c>
      <c r="AD31" s="136">
        <f t="shared" ref="AD31" si="88">((AC31/G31)^(1/($AC$3-$H$1) ))-1</f>
        <v>0.15908711467275016</v>
      </c>
      <c r="AE31" s="31">
        <v>0.05</v>
      </c>
      <c r="AF31" s="144">
        <f t="shared" si="1"/>
        <v>233999.55377478007</v>
      </c>
    </row>
    <row r="32" spans="2:32" x14ac:dyDescent="0.2">
      <c r="B32" s="20"/>
      <c r="C32" s="139"/>
      <c r="D32" s="139"/>
      <c r="E32" s="145"/>
      <c r="F32" s="145"/>
      <c r="G32" s="146">
        <f>(G31-F31)/G31</f>
        <v>1</v>
      </c>
      <c r="H32" s="146">
        <f>(H31-G31)/H31</f>
        <v>0</v>
      </c>
      <c r="I32" s="146">
        <f t="shared" ref="I32:Q32" si="89">(I31-H31)/I31</f>
        <v>0.32442895857530002</v>
      </c>
      <c r="J32" s="146">
        <f t="shared" si="89"/>
        <v>0.5450061652281134</v>
      </c>
      <c r="K32" s="146">
        <f t="shared" si="89"/>
        <v>-4.7803617571059429E-2</v>
      </c>
      <c r="L32" s="146">
        <f t="shared" si="89"/>
        <v>0.15171441991545326</v>
      </c>
      <c r="M32" s="146">
        <f t="shared" si="89"/>
        <v>-2.6601719197707738</v>
      </c>
      <c r="N32" s="146">
        <f>(N31-L31)/N31</f>
        <v>-1.4727061556329848</v>
      </c>
      <c r="O32" s="146">
        <f t="shared" si="89"/>
        <v>0.5450061652281134</v>
      </c>
      <c r="P32" s="146">
        <f t="shared" si="89"/>
        <v>-4.7803617571059429E-2</v>
      </c>
      <c r="Q32" s="146">
        <f t="shared" si="89"/>
        <v>0.15171441991545326</v>
      </c>
      <c r="R32" s="3"/>
      <c r="S32" s="3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37"/>
      <c r="AE32" s="127"/>
      <c r="AF32" s="144"/>
    </row>
    <row r="33" spans="2:32" x14ac:dyDescent="0.2">
      <c r="B33" s="20" t="s">
        <v>350</v>
      </c>
      <c r="C33" s="139"/>
      <c r="D33" s="139"/>
      <c r="E33" s="145"/>
      <c r="F33" s="145"/>
      <c r="G33" s="141">
        <f>H33</f>
        <v>22193</v>
      </c>
      <c r="H33" s="145">
        <v>22193</v>
      </c>
      <c r="I33" s="145">
        <v>34363</v>
      </c>
      <c r="J33" s="145">
        <v>37988</v>
      </c>
      <c r="K33" s="145">
        <v>46999</v>
      </c>
      <c r="L33" s="145">
        <v>55632</v>
      </c>
      <c r="M33" s="145">
        <v>22193</v>
      </c>
      <c r="N33" s="145">
        <v>34363</v>
      </c>
      <c r="O33" s="145">
        <v>37988</v>
      </c>
      <c r="P33" s="145">
        <v>46999</v>
      </c>
      <c r="Q33" s="145">
        <v>55632</v>
      </c>
      <c r="R33" s="118">
        <f>((Q33/G33)^(1/($H$2-$H$1) ))-1</f>
        <v>0.10750426326676266</v>
      </c>
      <c r="S33" s="31">
        <f t="shared" si="6"/>
        <v>0.18</v>
      </c>
      <c r="T33" s="152">
        <f t="shared" si="78"/>
        <v>65645.759999999995</v>
      </c>
      <c r="U33" s="152">
        <f t="shared" si="79"/>
        <v>77461.996799999994</v>
      </c>
      <c r="V33" s="152">
        <f t="shared" si="79"/>
        <v>91405.156223999991</v>
      </c>
      <c r="W33" s="152">
        <f t="shared" si="79"/>
        <v>107858.08434431998</v>
      </c>
      <c r="X33" s="152">
        <f t="shared" si="79"/>
        <v>127272.53952629758</v>
      </c>
      <c r="Y33" s="152">
        <f t="shared" si="79"/>
        <v>150181.59664103112</v>
      </c>
      <c r="Z33" s="152">
        <f t="shared" si="79"/>
        <v>177214.28403641671</v>
      </c>
      <c r="AA33" s="152">
        <f t="shared" si="79"/>
        <v>209112.85516297171</v>
      </c>
      <c r="AB33" s="152">
        <f t="shared" si="79"/>
        <v>246753.16909230661</v>
      </c>
      <c r="AC33" s="152">
        <f t="shared" si="79"/>
        <v>291168.73952892178</v>
      </c>
      <c r="AD33" s="136">
        <f t="shared" si="80"/>
        <v>0.13735603569851063</v>
      </c>
      <c r="AE33" s="31">
        <v>0.05</v>
      </c>
      <c r="AF33" s="144">
        <f t="shared" si="1"/>
        <v>2038181.1767024524</v>
      </c>
    </row>
    <row r="34" spans="2:32" x14ac:dyDescent="0.2">
      <c r="B34" s="20"/>
      <c r="C34" s="139"/>
      <c r="D34" s="139"/>
      <c r="E34" s="145"/>
      <c r="F34" s="145"/>
      <c r="G34" s="146">
        <f>(G33-F33)/G33</f>
        <v>1</v>
      </c>
      <c r="H34" s="146">
        <f>(H33-G33)/H33</f>
        <v>0</v>
      </c>
      <c r="I34" s="146">
        <f t="shared" ref="I34:Q34" si="90">(I33-H33)/I33</f>
        <v>0.35415999767191458</v>
      </c>
      <c r="J34" s="146">
        <f t="shared" si="90"/>
        <v>9.5424871011898491E-2</v>
      </c>
      <c r="K34" s="146">
        <f t="shared" si="90"/>
        <v>0.19172748356348007</v>
      </c>
      <c r="L34" s="146">
        <f t="shared" si="90"/>
        <v>0.15518047167098073</v>
      </c>
      <c r="M34" s="146">
        <f t="shared" si="90"/>
        <v>-1.5067363583111792</v>
      </c>
      <c r="N34" s="146">
        <f>(N33-L33)/N33</f>
        <v>-0.61895061548758834</v>
      </c>
      <c r="O34" s="146">
        <f t="shared" si="90"/>
        <v>9.5424871011898491E-2</v>
      </c>
      <c r="P34" s="146">
        <f t="shared" si="90"/>
        <v>0.19172748356348007</v>
      </c>
      <c r="Q34" s="146">
        <f t="shared" si="90"/>
        <v>0.15518047167098073</v>
      </c>
      <c r="R34" s="3"/>
      <c r="S34" s="3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36"/>
      <c r="AE34" s="31"/>
      <c r="AF34" s="144"/>
    </row>
    <row r="35" spans="2:32" s="181" customFormat="1" x14ac:dyDescent="0.2">
      <c r="B35" s="210"/>
      <c r="C35" s="139"/>
      <c r="D35" s="139"/>
      <c r="E35" s="145"/>
      <c r="F35" s="145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86"/>
      <c r="S35" s="186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74"/>
      <c r="AE35" s="31"/>
      <c r="AF35" s="175"/>
    </row>
    <row r="36" spans="2:32" x14ac:dyDescent="0.2">
      <c r="B36" s="20" t="s">
        <v>89</v>
      </c>
      <c r="C36" s="139"/>
      <c r="D36" s="139"/>
      <c r="E36" s="145"/>
      <c r="F36" s="145"/>
      <c r="G36" s="141">
        <f>H36</f>
        <v>48</v>
      </c>
      <c r="H36" s="165">
        <v>48</v>
      </c>
      <c r="I36" s="165">
        <v>289</v>
      </c>
      <c r="J36" s="141">
        <v>788</v>
      </c>
      <c r="K36" s="141">
        <v>1671</v>
      </c>
      <c r="L36" s="166">
        <v>2438</v>
      </c>
      <c r="M36" s="166">
        <v>2945</v>
      </c>
      <c r="N36" s="166">
        <v>4665</v>
      </c>
      <c r="O36" s="166">
        <v>7164</v>
      </c>
      <c r="P36" s="166">
        <v>9551</v>
      </c>
      <c r="Q36" s="166">
        <v>11702</v>
      </c>
      <c r="R36" s="118">
        <f>((Q36/G36)^(1/($H$2-$H$1) ))-1</f>
        <v>0.84172302392430454</v>
      </c>
      <c r="S36" s="31">
        <f t="shared" si="6"/>
        <v>0.18</v>
      </c>
      <c r="T36" s="152">
        <f t="shared" si="46"/>
        <v>13808.359999999999</v>
      </c>
      <c r="U36" s="152">
        <f t="shared" si="47"/>
        <v>16293.864799999998</v>
      </c>
      <c r="V36" s="152">
        <f t="shared" si="48"/>
        <v>19226.760463999995</v>
      </c>
      <c r="W36" s="152">
        <f t="shared" si="49"/>
        <v>22687.577347519993</v>
      </c>
      <c r="X36" s="152">
        <f t="shared" si="50"/>
        <v>26771.34127007359</v>
      </c>
      <c r="Y36" s="152">
        <f t="shared" si="51"/>
        <v>31590.182698686833</v>
      </c>
      <c r="Z36" s="152">
        <f t="shared" si="52"/>
        <v>37276.415584450464</v>
      </c>
      <c r="AA36" s="152">
        <f t="shared" si="53"/>
        <v>43986.170389651546</v>
      </c>
      <c r="AB36" s="152">
        <f t="shared" si="54"/>
        <v>51903.681059788825</v>
      </c>
      <c r="AC36" s="152">
        <f t="shared" si="55"/>
        <v>61246.343650550807</v>
      </c>
      <c r="AD36" s="136">
        <f t="shared" si="19"/>
        <v>0.42985482910598494</v>
      </c>
      <c r="AE36" s="31">
        <f t="shared" si="17"/>
        <v>0.05</v>
      </c>
      <c r="AF36" s="144">
        <f t="shared" si="1"/>
        <v>428724.40555385558</v>
      </c>
    </row>
    <row r="37" spans="2:32" s="122" customFormat="1" x14ac:dyDescent="0.2">
      <c r="B37" s="23"/>
      <c r="C37" s="147"/>
      <c r="D37" s="147"/>
      <c r="E37" s="148"/>
      <c r="F37" s="148"/>
      <c r="G37" s="146">
        <f>(G36-F36)/G36</f>
        <v>1</v>
      </c>
      <c r="H37" s="146">
        <f>(H36-G36)/H36</f>
        <v>0</v>
      </c>
      <c r="I37" s="146">
        <f t="shared" ref="I37" si="91">(I36-H36)/I36</f>
        <v>0.83391003460207613</v>
      </c>
      <c r="J37" s="146">
        <f t="shared" ref="J37" si="92">(J36-I36)/J36</f>
        <v>0.63324873096446699</v>
      </c>
      <c r="K37" s="146">
        <f t="shared" ref="K37" si="93">(K36-J36)/K36</f>
        <v>0.52842609216038305</v>
      </c>
      <c r="L37" s="146">
        <f t="shared" ref="L37:M37" si="94">(L36-K36)/L36</f>
        <v>0.31460213289581623</v>
      </c>
      <c r="M37" s="146">
        <f t="shared" si="94"/>
        <v>0.17215619694397283</v>
      </c>
      <c r="N37" s="146">
        <f t="shared" ref="N37" si="95">(N36-L36)/N36</f>
        <v>0.47738478027867093</v>
      </c>
      <c r="O37" s="146">
        <f t="shared" ref="O37" si="96">(O36-N36)/O36</f>
        <v>0.34882747068676717</v>
      </c>
      <c r="P37" s="146">
        <f t="shared" ref="P37" si="97">(P36-O36)/P36</f>
        <v>0.24992147419118416</v>
      </c>
      <c r="Q37" s="146">
        <f t="shared" ref="Q37" si="98">(Q36-P36)/Q36</f>
        <v>0.18381473252435482</v>
      </c>
      <c r="R37" s="127"/>
      <c r="S37" s="20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19"/>
      <c r="AE37" s="135"/>
      <c r="AF37" s="152"/>
    </row>
    <row r="38" spans="2:32" x14ac:dyDescent="0.2">
      <c r="B38" s="20" t="s">
        <v>259</v>
      </c>
      <c r="C38" s="139"/>
      <c r="D38" s="139"/>
      <c r="E38" s="145"/>
      <c r="F38" s="145"/>
      <c r="G38" s="141">
        <f>H38</f>
        <v>11.85</v>
      </c>
      <c r="H38" s="165">
        <v>11.85</v>
      </c>
      <c r="I38" s="165">
        <v>105</v>
      </c>
      <c r="J38" s="141">
        <v>416</v>
      </c>
      <c r="K38" s="141">
        <v>974</v>
      </c>
      <c r="L38" s="166">
        <v>1492</v>
      </c>
      <c r="M38" s="166">
        <v>2467</v>
      </c>
      <c r="N38" s="166">
        <v>3937</v>
      </c>
      <c r="O38" s="166">
        <v>6187</v>
      </c>
      <c r="P38" s="166">
        <v>8250</v>
      </c>
      <c r="Q38" s="166">
        <v>10091</v>
      </c>
      <c r="R38" s="118">
        <f>((Q38/G38)^(1/($H$2-$H$1) ))-1</f>
        <v>1.1163112448547046</v>
      </c>
      <c r="S38" s="31">
        <f t="shared" si="6"/>
        <v>0.18</v>
      </c>
      <c r="T38" s="152">
        <f t="shared" si="46"/>
        <v>11907.38</v>
      </c>
      <c r="U38" s="152">
        <f t="shared" si="47"/>
        <v>14050.708399999998</v>
      </c>
      <c r="V38" s="152">
        <f t="shared" si="48"/>
        <v>16579.835911999995</v>
      </c>
      <c r="W38" s="152">
        <f t="shared" si="49"/>
        <v>19564.206376159993</v>
      </c>
      <c r="X38" s="152">
        <f t="shared" si="50"/>
        <v>23085.763523868791</v>
      </c>
      <c r="Y38" s="152">
        <f t="shared" si="51"/>
        <v>27241.200958165173</v>
      </c>
      <c r="Z38" s="152">
        <f t="shared" si="52"/>
        <v>32144.617130634902</v>
      </c>
      <c r="AA38" s="152">
        <f t="shared" si="53"/>
        <v>37930.64821414918</v>
      </c>
      <c r="AB38" s="152">
        <f t="shared" si="54"/>
        <v>44758.164892696026</v>
      </c>
      <c r="AC38" s="152">
        <f t="shared" si="55"/>
        <v>52814.634573381307</v>
      </c>
      <c r="AD38" s="136">
        <f t="shared" si="19"/>
        <v>0.52213017803135386</v>
      </c>
      <c r="AE38" s="31">
        <f t="shared" si="17"/>
        <v>0.05</v>
      </c>
      <c r="AF38" s="144">
        <f t="shared" si="1"/>
        <v>369702.44201366912</v>
      </c>
    </row>
    <row r="39" spans="2:32" s="122" customFormat="1" x14ac:dyDescent="0.2">
      <c r="B39" s="23"/>
      <c r="C39" s="147"/>
      <c r="D39" s="147"/>
      <c r="E39" s="148"/>
      <c r="F39" s="148"/>
      <c r="G39" s="146">
        <f t="shared" ref="G39:Q39" si="99">(G38-F38)/G38</f>
        <v>1</v>
      </c>
      <c r="H39" s="146">
        <f t="shared" si="99"/>
        <v>0</v>
      </c>
      <c r="I39" s="146">
        <f t="shared" si="99"/>
        <v>0.88714285714285723</v>
      </c>
      <c r="J39" s="146">
        <f t="shared" si="99"/>
        <v>0.74759615384615385</v>
      </c>
      <c r="K39" s="146">
        <f t="shared" si="99"/>
        <v>0.5728952772073922</v>
      </c>
      <c r="L39" s="146">
        <f t="shared" si="99"/>
        <v>0.34718498659517427</v>
      </c>
      <c r="M39" s="146">
        <f t="shared" si="99"/>
        <v>0.39521686258613703</v>
      </c>
      <c r="N39" s="146">
        <f>(N38-L38)/N38</f>
        <v>0.62103124206248417</v>
      </c>
      <c r="O39" s="146">
        <f t="shared" si="99"/>
        <v>0.36366575076773883</v>
      </c>
      <c r="P39" s="146">
        <f t="shared" si="99"/>
        <v>0.25006060606060604</v>
      </c>
      <c r="Q39" s="146">
        <f t="shared" si="99"/>
        <v>0.18243979783965911</v>
      </c>
      <c r="R39" s="127"/>
      <c r="S39" s="20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19"/>
      <c r="AE39" s="135"/>
      <c r="AF39" s="152"/>
    </row>
    <row r="40" spans="2:32" x14ac:dyDescent="0.2">
      <c r="B40" s="20" t="s">
        <v>351</v>
      </c>
      <c r="C40" s="139"/>
      <c r="D40" s="139"/>
      <c r="E40" s="145"/>
      <c r="F40" s="145"/>
      <c r="G40" s="145">
        <v>18</v>
      </c>
      <c r="H40" s="145">
        <v>18</v>
      </c>
      <c r="I40" s="145">
        <v>100</v>
      </c>
      <c r="J40" s="145">
        <v>200</v>
      </c>
      <c r="K40" s="145">
        <v>360</v>
      </c>
      <c r="L40" s="145">
        <v>435</v>
      </c>
      <c r="M40" s="145">
        <v>575</v>
      </c>
      <c r="N40" s="145">
        <v>623</v>
      </c>
      <c r="O40" s="145">
        <v>857</v>
      </c>
      <c r="P40" s="145">
        <v>1257</v>
      </c>
      <c r="Q40" s="145">
        <v>1721</v>
      </c>
      <c r="R40" s="118">
        <f>((Q40/G40)^(1/($H$2-$H$1) ))-1</f>
        <v>0.65980276996424037</v>
      </c>
      <c r="S40" s="31">
        <f t="shared" si="6"/>
        <v>0.18</v>
      </c>
      <c r="T40" s="152">
        <f t="shared" ref="T40" si="100">Q40*(1+$S40)</f>
        <v>2030.78</v>
      </c>
      <c r="U40" s="152">
        <f t="shared" ref="U40:AC40" si="101">T40*(1+$S40)</f>
        <v>2396.3204000000001</v>
      </c>
      <c r="V40" s="152">
        <f t="shared" si="101"/>
        <v>2827.6580719999997</v>
      </c>
      <c r="W40" s="152">
        <f t="shared" si="101"/>
        <v>3336.6365249599994</v>
      </c>
      <c r="X40" s="152">
        <f t="shared" si="101"/>
        <v>3937.2310994527993</v>
      </c>
      <c r="Y40" s="152">
        <f t="shared" si="101"/>
        <v>4645.9326973543029</v>
      </c>
      <c r="Z40" s="152">
        <f t="shared" si="101"/>
        <v>5482.2005828780775</v>
      </c>
      <c r="AA40" s="152">
        <f t="shared" si="101"/>
        <v>6468.9966877961315</v>
      </c>
      <c r="AB40" s="152">
        <f t="shared" si="101"/>
        <v>7633.4160915994344</v>
      </c>
      <c r="AC40" s="152">
        <f t="shared" si="101"/>
        <v>9007.4309880873316</v>
      </c>
      <c r="AD40" s="136">
        <f t="shared" ref="AD40" si="102">((AC40/G40)^(1/($AC$3-$H$1) ))-1</f>
        <v>0.36447763601230787</v>
      </c>
      <c r="AE40" s="31">
        <v>0.05</v>
      </c>
      <c r="AF40" s="144">
        <f t="shared" si="1"/>
        <v>63052.016916611312</v>
      </c>
    </row>
    <row r="41" spans="2:32" x14ac:dyDescent="0.2">
      <c r="B41" s="20"/>
      <c r="C41" s="139"/>
      <c r="D41" s="139"/>
      <c r="E41" s="145"/>
      <c r="F41" s="145"/>
      <c r="G41" s="146">
        <f>(G40-F40)/G40</f>
        <v>1</v>
      </c>
      <c r="H41" s="146">
        <f>(H40-G40)/H40</f>
        <v>0</v>
      </c>
      <c r="I41" s="146">
        <f t="shared" ref="I41:Q41" si="103">(I40-H40)/I40</f>
        <v>0.82</v>
      </c>
      <c r="J41" s="146">
        <f t="shared" si="103"/>
        <v>0.5</v>
      </c>
      <c r="K41" s="146">
        <f t="shared" si="103"/>
        <v>0.44444444444444442</v>
      </c>
      <c r="L41" s="146">
        <f t="shared" si="103"/>
        <v>0.17241379310344829</v>
      </c>
      <c r="M41" s="146">
        <f t="shared" si="103"/>
        <v>0.24347826086956523</v>
      </c>
      <c r="N41" s="146">
        <f>(N40-L40)/N40</f>
        <v>0.3017656500802568</v>
      </c>
      <c r="O41" s="146">
        <f t="shared" si="103"/>
        <v>0.27304550758459745</v>
      </c>
      <c r="P41" s="146">
        <f t="shared" si="103"/>
        <v>0.31821797931583135</v>
      </c>
      <c r="Q41" s="146">
        <f t="shared" si="103"/>
        <v>0.2696106914584544</v>
      </c>
      <c r="R41" s="3"/>
      <c r="S41" s="3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36"/>
      <c r="AE41" s="31"/>
      <c r="AF41" s="144"/>
    </row>
    <row r="42" spans="2:32" s="122" customFormat="1" x14ac:dyDescent="0.2">
      <c r="B42" s="20" t="s">
        <v>313</v>
      </c>
      <c r="C42" s="147"/>
      <c r="D42" s="147"/>
      <c r="E42" s="148"/>
      <c r="F42" s="145"/>
      <c r="G42" s="145">
        <f>H42</f>
        <v>12</v>
      </c>
      <c r="H42" s="145">
        <v>12</v>
      </c>
      <c r="I42" s="145">
        <v>105</v>
      </c>
      <c r="J42" s="145">
        <v>416</v>
      </c>
      <c r="K42" s="145">
        <v>974</v>
      </c>
      <c r="L42" s="145">
        <v>1492</v>
      </c>
      <c r="M42" s="145">
        <v>1581</v>
      </c>
      <c r="N42" s="145">
        <v>2794</v>
      </c>
      <c r="O42" s="145">
        <v>4691</v>
      </c>
      <c r="P42" s="145">
        <v>6075</v>
      </c>
      <c r="Q42" s="145">
        <v>7265</v>
      </c>
      <c r="R42" s="118">
        <f>((Q42/G42)^(1/($H$2-$H$1) ))-1</f>
        <v>1.0375916513061871</v>
      </c>
      <c r="S42" s="31">
        <f t="shared" si="6"/>
        <v>0.18</v>
      </c>
      <c r="T42" s="152">
        <f t="shared" ref="T42" si="104">Q42*(1+$S42)</f>
        <v>8572.6999999999989</v>
      </c>
      <c r="U42" s="152">
        <f t="shared" ref="U42" si="105">T42*(1+$S42)</f>
        <v>10115.785999999998</v>
      </c>
      <c r="V42" s="152">
        <f t="shared" ref="V42" si="106">U42*(1+$S42)</f>
        <v>11936.627479999997</v>
      </c>
      <c r="W42" s="152">
        <f t="shared" ref="W42" si="107">V42*(1+$S42)</f>
        <v>14085.220426399996</v>
      </c>
      <c r="X42" s="152">
        <f t="shared" ref="X42" si="108">W42*(1+$S42)</f>
        <v>16620.560103151995</v>
      </c>
      <c r="Y42" s="152">
        <f t="shared" ref="Y42" si="109">X42*(1+$S42)</f>
        <v>19612.260921719353</v>
      </c>
      <c r="Z42" s="152">
        <f t="shared" ref="Z42" si="110">Y42*(1+$S42)</f>
        <v>23142.467887628834</v>
      </c>
      <c r="AA42" s="152">
        <f t="shared" ref="AA42" si="111">Z42*(1+$S42)</f>
        <v>27308.112107402023</v>
      </c>
      <c r="AB42" s="152">
        <f t="shared" ref="AB42" si="112">AA42*(1+$S42)</f>
        <v>32223.572286734387</v>
      </c>
      <c r="AC42" s="152">
        <f t="shared" ref="AC42" si="113">AB42*(1+$S42)</f>
        <v>38023.815298346577</v>
      </c>
      <c r="AD42" s="136">
        <f t="shared" ref="AD42" si="114">((AC42/G42)^(1/($AC$3-$H$1) ))-1</f>
        <v>0.49638629611796969</v>
      </c>
      <c r="AE42" s="31">
        <f t="shared" si="17"/>
        <v>0.05</v>
      </c>
      <c r="AF42" s="144">
        <f t="shared" ref="AF42" si="115">(AC42*(1+AE42))/($C$1-AE42)</f>
        <v>266166.70708842599</v>
      </c>
    </row>
    <row r="43" spans="2:32" s="122" customFormat="1" x14ac:dyDescent="0.2">
      <c r="B43" s="23"/>
      <c r="C43" s="147"/>
      <c r="D43" s="147"/>
      <c r="E43" s="148"/>
      <c r="F43" s="148"/>
      <c r="G43" s="146">
        <f t="shared" ref="G43:Q43" si="116">(G42-F42)/G42</f>
        <v>1</v>
      </c>
      <c r="H43" s="146">
        <f t="shared" si="116"/>
        <v>0</v>
      </c>
      <c r="I43" s="146">
        <f t="shared" si="116"/>
        <v>0.88571428571428568</v>
      </c>
      <c r="J43" s="146">
        <f t="shared" si="116"/>
        <v>0.74759615384615385</v>
      </c>
      <c r="K43" s="146">
        <f t="shared" si="116"/>
        <v>0.5728952772073922</v>
      </c>
      <c r="L43" s="146">
        <f t="shared" si="116"/>
        <v>0.34718498659517427</v>
      </c>
      <c r="M43" s="146">
        <f t="shared" si="116"/>
        <v>5.6293485135989876E-2</v>
      </c>
      <c r="N43" s="146">
        <f>(N42-L42)/N42</f>
        <v>0.46599856836077308</v>
      </c>
      <c r="O43" s="146">
        <f t="shared" si="116"/>
        <v>0.40439138776380301</v>
      </c>
      <c r="P43" s="146">
        <f t="shared" si="116"/>
        <v>0.22781893004115225</v>
      </c>
      <c r="Q43" s="146">
        <f t="shared" si="116"/>
        <v>0.16379903647625602</v>
      </c>
      <c r="R43" s="127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60"/>
      <c r="AE43" s="135"/>
      <c r="AF43" s="152"/>
    </row>
    <row r="44" spans="2:32" x14ac:dyDescent="0.2">
      <c r="B44" s="20" t="s">
        <v>404</v>
      </c>
      <c r="C44" s="139"/>
      <c r="D44" s="139"/>
      <c r="E44" s="145"/>
      <c r="F44" s="145"/>
      <c r="G44" s="145">
        <f>H44</f>
        <v>12</v>
      </c>
      <c r="H44" s="145">
        <v>12</v>
      </c>
      <c r="I44" s="145">
        <v>105</v>
      </c>
      <c r="J44" s="145">
        <v>416</v>
      </c>
      <c r="K44" s="145">
        <v>974</v>
      </c>
      <c r="L44" s="166">
        <v>1492</v>
      </c>
      <c r="M44" s="145">
        <v>1581</v>
      </c>
      <c r="N44" s="145">
        <v>2794</v>
      </c>
      <c r="O44" s="145">
        <v>4691</v>
      </c>
      <c r="P44" s="145">
        <v>6075</v>
      </c>
      <c r="Q44" s="145">
        <v>7265</v>
      </c>
      <c r="R44" s="118">
        <f>((Q44/G44)^(1/($H$2-$H$1) ))-1</f>
        <v>1.0375916513061871</v>
      </c>
      <c r="S44" s="31">
        <f t="shared" si="6"/>
        <v>0.18</v>
      </c>
      <c r="T44" s="152">
        <f t="shared" si="46"/>
        <v>8572.6999999999989</v>
      </c>
      <c r="U44" s="152">
        <f t="shared" si="47"/>
        <v>10115.785999999998</v>
      </c>
      <c r="V44" s="152">
        <f t="shared" si="48"/>
        <v>11936.627479999997</v>
      </c>
      <c r="W44" s="152">
        <f t="shared" si="49"/>
        <v>14085.220426399996</v>
      </c>
      <c r="X44" s="152">
        <f t="shared" si="50"/>
        <v>16620.560103151995</v>
      </c>
      <c r="Y44" s="152">
        <f t="shared" si="51"/>
        <v>19612.260921719353</v>
      </c>
      <c r="Z44" s="152">
        <f t="shared" si="52"/>
        <v>23142.467887628834</v>
      </c>
      <c r="AA44" s="152">
        <f t="shared" si="53"/>
        <v>27308.112107402023</v>
      </c>
      <c r="AB44" s="152">
        <f t="shared" si="54"/>
        <v>32223.572286734387</v>
      </c>
      <c r="AC44" s="152">
        <f t="shared" si="55"/>
        <v>38023.815298346577</v>
      </c>
      <c r="AD44" s="136">
        <f t="shared" si="19"/>
        <v>0.49638629611796969</v>
      </c>
      <c r="AE44" s="31">
        <f t="shared" si="17"/>
        <v>0.05</v>
      </c>
      <c r="AF44" s="144">
        <f t="shared" si="1"/>
        <v>266166.70708842599</v>
      </c>
    </row>
    <row r="45" spans="2:32" x14ac:dyDescent="0.2">
      <c r="B45" s="20" t="s">
        <v>298</v>
      </c>
      <c r="C45" s="139"/>
      <c r="D45" s="139"/>
      <c r="E45" s="145"/>
      <c r="F45" s="145"/>
      <c r="G45" s="165">
        <v>21</v>
      </c>
      <c r="H45" s="165">
        <v>21</v>
      </c>
      <c r="I45" s="165">
        <v>50</v>
      </c>
      <c r="J45" s="165">
        <v>118</v>
      </c>
      <c r="K45" s="141">
        <v>202</v>
      </c>
      <c r="L45" s="141">
        <v>218</v>
      </c>
      <c r="M45" s="166">
        <v>257</v>
      </c>
      <c r="N45" s="166">
        <v>362</v>
      </c>
      <c r="O45" s="166">
        <v>475</v>
      </c>
      <c r="P45" s="166">
        <v>655</v>
      </c>
      <c r="Q45" s="166">
        <v>786</v>
      </c>
      <c r="R45" s="118">
        <f>((Q45/G45)^(1/($H$2-$H$1) ))-1</f>
        <v>0.49554801677520754</v>
      </c>
      <c r="S45" s="31">
        <f t="shared" si="6"/>
        <v>0.18</v>
      </c>
      <c r="T45" s="152">
        <f t="shared" si="46"/>
        <v>927.4799999999999</v>
      </c>
      <c r="U45" s="152">
        <f t="shared" si="47"/>
        <v>1094.4263999999998</v>
      </c>
      <c r="V45" s="152">
        <f t="shared" si="48"/>
        <v>1291.4231519999998</v>
      </c>
      <c r="W45" s="152">
        <f t="shared" si="49"/>
        <v>1523.8793193599997</v>
      </c>
      <c r="X45" s="152">
        <f t="shared" si="50"/>
        <v>1798.1775968447996</v>
      </c>
      <c r="Y45" s="152">
        <f t="shared" si="51"/>
        <v>2121.8495642768635</v>
      </c>
      <c r="Z45" s="152">
        <f t="shared" si="52"/>
        <v>2503.7824858466988</v>
      </c>
      <c r="AA45" s="152">
        <f t="shared" si="53"/>
        <v>2954.4633332991043</v>
      </c>
      <c r="AB45" s="152">
        <f t="shared" si="54"/>
        <v>3486.2667332929427</v>
      </c>
      <c r="AC45" s="152">
        <f t="shared" si="55"/>
        <v>4113.7947452856724</v>
      </c>
      <c r="AD45" s="136">
        <f t="shared" si="19"/>
        <v>0.30197056626308605</v>
      </c>
      <c r="AE45" s="31">
        <f t="shared" si="17"/>
        <v>0.05</v>
      </c>
      <c r="AF45" s="144">
        <f t="shared" si="1"/>
        <v>28796.563216999701</v>
      </c>
    </row>
    <row r="46" spans="2:32" x14ac:dyDescent="0.2">
      <c r="B46" s="20"/>
      <c r="C46" s="139"/>
      <c r="D46" s="139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27"/>
      <c r="S46" s="20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37"/>
      <c r="AE46" s="135"/>
      <c r="AF46" s="152"/>
    </row>
    <row r="47" spans="2:32" x14ac:dyDescent="0.2">
      <c r="B47" s="20" t="s">
        <v>275</v>
      </c>
      <c r="C47" s="139"/>
      <c r="D47" s="139"/>
      <c r="E47" s="145"/>
      <c r="F47" s="145"/>
      <c r="G47" s="165"/>
      <c r="H47" s="165"/>
      <c r="I47" s="165"/>
      <c r="J47" s="141"/>
      <c r="K47" s="141"/>
      <c r="L47" s="166"/>
      <c r="M47" s="166"/>
      <c r="N47" s="166"/>
      <c r="O47" s="166"/>
      <c r="P47" s="166"/>
      <c r="Q47" s="166"/>
      <c r="R47" s="118" t="e">
        <f>((Q47/G47)^(1/($H$2-$H$1) ))-1</f>
        <v>#DIV/0!</v>
      </c>
      <c r="S47" s="31">
        <f t="shared" si="6"/>
        <v>0.18</v>
      </c>
      <c r="T47" s="152">
        <f t="shared" ref="T47" si="117">Q47*(1+$S47)</f>
        <v>0</v>
      </c>
      <c r="U47" s="152">
        <f t="shared" ref="U47" si="118">T47*(1+$S47)</f>
        <v>0</v>
      </c>
      <c r="V47" s="152">
        <f t="shared" ref="V47" si="119">U47*(1+$S47)</f>
        <v>0</v>
      </c>
      <c r="W47" s="152">
        <f t="shared" ref="W47" si="120">V47*(1+$S47)</f>
        <v>0</v>
      </c>
      <c r="X47" s="152">
        <f t="shared" si="50"/>
        <v>0</v>
      </c>
      <c r="Y47" s="152">
        <f t="shared" si="51"/>
        <v>0</v>
      </c>
      <c r="Z47" s="152">
        <f t="shared" si="52"/>
        <v>0</v>
      </c>
      <c r="AA47" s="152">
        <f t="shared" si="53"/>
        <v>0</v>
      </c>
      <c r="AB47" s="152">
        <f t="shared" si="54"/>
        <v>0</v>
      </c>
      <c r="AC47" s="152">
        <f t="shared" si="55"/>
        <v>0</v>
      </c>
      <c r="AD47" s="136" t="e">
        <f t="shared" si="19"/>
        <v>#DIV/0!</v>
      </c>
      <c r="AE47" s="31">
        <f t="shared" si="17"/>
        <v>0.05</v>
      </c>
      <c r="AF47" s="144">
        <f t="shared" si="1"/>
        <v>0</v>
      </c>
    </row>
    <row r="48" spans="2:32" s="122" customFormat="1" x14ac:dyDescent="0.2">
      <c r="B48" s="23"/>
      <c r="C48" s="147"/>
      <c r="D48" s="147"/>
      <c r="E48" s="148"/>
      <c r="F48" s="148"/>
      <c r="G48" s="146" t="e">
        <f>(G47-F47)/G47</f>
        <v>#DIV/0!</v>
      </c>
      <c r="H48" s="146" t="e">
        <f>(H47-G47)/H47</f>
        <v>#DIV/0!</v>
      </c>
      <c r="I48" s="146" t="e">
        <f t="shared" ref="I48" si="121">(I47-H47)/I47</f>
        <v>#DIV/0!</v>
      </c>
      <c r="J48" s="146" t="e">
        <f t="shared" ref="J48" si="122">(J47-I47)/J47</f>
        <v>#DIV/0!</v>
      </c>
      <c r="K48" s="146" t="e">
        <f t="shared" ref="K48" si="123">(K47-J47)/K47</f>
        <v>#DIV/0!</v>
      </c>
      <c r="L48" s="146" t="e">
        <f t="shared" ref="L48:M48" si="124">(L47-K47)/L47</f>
        <v>#DIV/0!</v>
      </c>
      <c r="M48" s="146" t="e">
        <f t="shared" si="124"/>
        <v>#DIV/0!</v>
      </c>
      <c r="N48" s="146" t="e">
        <f t="shared" ref="N48" si="125">(N47-L47)/N47</f>
        <v>#DIV/0!</v>
      </c>
      <c r="O48" s="146" t="e">
        <f t="shared" ref="O48" si="126">(O47-N47)/O47</f>
        <v>#DIV/0!</v>
      </c>
      <c r="P48" s="146" t="e">
        <f t="shared" ref="P48" si="127">(P47-O47)/P47</f>
        <v>#DIV/0!</v>
      </c>
      <c r="Q48" s="146" t="e">
        <f t="shared" ref="Q48" si="128">(Q47-P47)/Q47</f>
        <v>#DIV/0!</v>
      </c>
      <c r="R48" s="127"/>
      <c r="S48" s="20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7"/>
      <c r="AE48" s="135"/>
      <c r="AF48" s="154"/>
    </row>
    <row r="49" spans="2:32" s="122" customFormat="1" x14ac:dyDescent="0.2">
      <c r="B49" s="168" t="s">
        <v>358</v>
      </c>
      <c r="C49" s="147"/>
      <c r="D49" s="147"/>
      <c r="E49" s="148"/>
      <c r="F49" s="148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18" t="e">
        <f>((Q49/G49)^(1/($H$2-$H$1) ))-1</f>
        <v>#DIV/0!</v>
      </c>
      <c r="S49" s="31">
        <f t="shared" si="6"/>
        <v>0.18</v>
      </c>
      <c r="T49" s="152">
        <f t="shared" ref="T49" si="129">Q49*(1+$S49)</f>
        <v>0</v>
      </c>
      <c r="U49" s="152">
        <f t="shared" ref="U49" si="130">T49*(1+$S49)</f>
        <v>0</v>
      </c>
      <c r="V49" s="152">
        <f t="shared" ref="V49" si="131">U49*(1+$S49)</f>
        <v>0</v>
      </c>
      <c r="W49" s="152">
        <f t="shared" ref="W49" si="132">V49*(1+$S49)</f>
        <v>0</v>
      </c>
      <c r="X49" s="152">
        <f t="shared" ref="X49" si="133">W49*(1+$S49)</f>
        <v>0</v>
      </c>
      <c r="Y49" s="152">
        <f t="shared" ref="Y49" si="134">X49*(1+$S49)</f>
        <v>0</v>
      </c>
      <c r="Z49" s="152">
        <f t="shared" ref="Z49" si="135">Y49*(1+$S49)</f>
        <v>0</v>
      </c>
      <c r="AA49" s="152">
        <f t="shared" ref="AA49" si="136">Z49*(1+$S49)</f>
        <v>0</v>
      </c>
      <c r="AB49" s="152">
        <f t="shared" ref="AB49" si="137">AA49*(1+$S49)</f>
        <v>0</v>
      </c>
      <c r="AC49" s="152">
        <f t="shared" ref="AC49" si="138">AB49*(1+$S49)</f>
        <v>0</v>
      </c>
      <c r="AD49" s="136" t="e">
        <f t="shared" ref="AD49" si="139">((AC49/G49)^(1/($AC$3-$H$1) ))-1</f>
        <v>#DIV/0!</v>
      </c>
      <c r="AE49" s="31">
        <f t="shared" si="17"/>
        <v>0.05</v>
      </c>
      <c r="AF49" s="144">
        <f t="shared" ref="AF49" si="140">(AC49*(1+AE49))/($C$1-AE49)</f>
        <v>0</v>
      </c>
    </row>
    <row r="50" spans="2:32" s="122" customFormat="1" x14ac:dyDescent="0.2">
      <c r="B50" s="23"/>
      <c r="C50" s="147"/>
      <c r="D50" s="147"/>
      <c r="E50" s="148"/>
      <c r="F50" s="148"/>
      <c r="G50" s="146" t="e">
        <f>(G49-F49)/G49</f>
        <v>#DIV/0!</v>
      </c>
      <c r="H50" s="146" t="e">
        <f>(H49-G49)/H49</f>
        <v>#DIV/0!</v>
      </c>
      <c r="I50" s="146" t="e">
        <f t="shared" ref="I50" si="141">(I49-H49)/I49</f>
        <v>#DIV/0!</v>
      </c>
      <c r="J50" s="146" t="e">
        <f t="shared" ref="J50" si="142">(J49-I49)/J49</f>
        <v>#DIV/0!</v>
      </c>
      <c r="K50" s="146" t="e">
        <f t="shared" ref="K50" si="143">(K49-J49)/K49</f>
        <v>#DIV/0!</v>
      </c>
      <c r="L50" s="146" t="e">
        <f t="shared" ref="L50:M50" si="144">(L49-K49)/L49</f>
        <v>#DIV/0!</v>
      </c>
      <c r="M50" s="146" t="e">
        <f t="shared" si="144"/>
        <v>#DIV/0!</v>
      </c>
      <c r="N50" s="146" t="e">
        <f t="shared" ref="N50" si="145">(N49-L49)/N49</f>
        <v>#DIV/0!</v>
      </c>
      <c r="O50" s="146" t="e">
        <f t="shared" ref="O50" si="146">(O49-N49)/O49</f>
        <v>#DIV/0!</v>
      </c>
      <c r="P50" s="146" t="e">
        <f t="shared" ref="P50" si="147">(P49-O49)/P49</f>
        <v>#DIV/0!</v>
      </c>
      <c r="Q50" s="146" t="e">
        <f t="shared" ref="Q50" si="148">(Q49-P49)/Q49</f>
        <v>#DIV/0!</v>
      </c>
      <c r="R50" s="127"/>
      <c r="S50" s="20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37"/>
      <c r="AE50" s="135"/>
      <c r="AF50" s="154"/>
    </row>
    <row r="51" spans="2:32" x14ac:dyDescent="0.2">
      <c r="B51" s="20" t="s">
        <v>255</v>
      </c>
      <c r="C51" s="139"/>
      <c r="D51" s="139"/>
      <c r="E51" s="145"/>
      <c r="F51" s="145"/>
      <c r="G51" s="165">
        <f>H51</f>
        <v>-4</v>
      </c>
      <c r="H51" s="165">
        <v>-4</v>
      </c>
      <c r="I51" s="165">
        <v>55</v>
      </c>
      <c r="J51" s="141">
        <v>94</v>
      </c>
      <c r="K51" s="141">
        <v>200</v>
      </c>
      <c r="L51" s="166">
        <v>304</v>
      </c>
      <c r="M51" s="166">
        <v>478</v>
      </c>
      <c r="N51" s="166">
        <v>727</v>
      </c>
      <c r="O51" s="166">
        <v>977</v>
      </c>
      <c r="P51" s="166">
        <v>1300</v>
      </c>
      <c r="Q51" s="166">
        <v>1611</v>
      </c>
      <c r="R51" s="118">
        <f>((Q51/G51)^(1/($H$2-$H$1) ))-1</f>
        <v>-2.9473696372402047</v>
      </c>
      <c r="S51" s="31">
        <f t="shared" si="6"/>
        <v>0.18</v>
      </c>
      <c r="T51" s="152">
        <f>Q51*(1+$S51)</f>
        <v>1900.9799999999998</v>
      </c>
      <c r="U51" s="152">
        <f t="shared" ref="U51:AC51" si="149">T51*(1+$S51)</f>
        <v>2243.1563999999998</v>
      </c>
      <c r="V51" s="152">
        <f t="shared" si="149"/>
        <v>2646.9245519999995</v>
      </c>
      <c r="W51" s="152">
        <f t="shared" si="149"/>
        <v>3123.3709713599992</v>
      </c>
      <c r="X51" s="152">
        <f t="shared" si="149"/>
        <v>3685.577746204799</v>
      </c>
      <c r="Y51" s="152">
        <f t="shared" si="149"/>
        <v>4348.9817405216627</v>
      </c>
      <c r="Z51" s="152">
        <f t="shared" si="149"/>
        <v>5131.7984538155615</v>
      </c>
      <c r="AA51" s="152">
        <f t="shared" si="149"/>
        <v>6055.5221755023622</v>
      </c>
      <c r="AB51" s="152">
        <f t="shared" si="149"/>
        <v>7145.5161670927873</v>
      </c>
      <c r="AC51" s="152">
        <f t="shared" si="149"/>
        <v>8431.7090771694893</v>
      </c>
      <c r="AD51" s="136" t="e">
        <f t="shared" si="19"/>
        <v>#NUM!</v>
      </c>
      <c r="AE51" s="31">
        <f t="shared" si="17"/>
        <v>0.05</v>
      </c>
      <c r="AF51" s="144">
        <f t="shared" si="1"/>
        <v>59021.963540186422</v>
      </c>
    </row>
    <row r="52" spans="2:32" s="122" customFormat="1" x14ac:dyDescent="0.2">
      <c r="B52" s="23"/>
      <c r="C52" s="147"/>
      <c r="D52" s="147"/>
      <c r="E52" s="148"/>
      <c r="F52" s="148"/>
      <c r="G52" s="146">
        <f>(G51-F51)/G51</f>
        <v>1</v>
      </c>
      <c r="H52" s="146">
        <f>(H51-G51)/H51</f>
        <v>0</v>
      </c>
      <c r="I52" s="146">
        <f t="shared" ref="I52" si="150">(I51-H51)/I51</f>
        <v>1.0727272727272728</v>
      </c>
      <c r="J52" s="146">
        <f t="shared" ref="J52" si="151">(J51-I51)/J51</f>
        <v>0.41489361702127658</v>
      </c>
      <c r="K52" s="146">
        <f t="shared" ref="K52" si="152">(K51-J51)/K51</f>
        <v>0.53</v>
      </c>
      <c r="L52" s="146">
        <f t="shared" ref="L52:M52" si="153">(L51-K51)/L51</f>
        <v>0.34210526315789475</v>
      </c>
      <c r="M52" s="146">
        <f t="shared" si="153"/>
        <v>0.36401673640167365</v>
      </c>
      <c r="N52" s="146">
        <f t="shared" ref="N52" si="154">(N51-L51)/N51</f>
        <v>0.58184319119669881</v>
      </c>
      <c r="O52" s="146">
        <f t="shared" ref="O52" si="155">(O51-N51)/O51</f>
        <v>0.25588536335721596</v>
      </c>
      <c r="P52" s="146">
        <f t="shared" ref="P52" si="156">(P51-O51)/P51</f>
        <v>0.24846153846153846</v>
      </c>
      <c r="Q52" s="146">
        <f t="shared" ref="Q52" si="157">(Q51-P51)/Q51</f>
        <v>0.1930477963997517</v>
      </c>
      <c r="R52" s="127"/>
      <c r="S52" s="20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37"/>
      <c r="AE52" s="135"/>
      <c r="AF52" s="154"/>
    </row>
    <row r="53" spans="2:32" x14ac:dyDescent="0.2">
      <c r="B53" s="20" t="s">
        <v>239</v>
      </c>
      <c r="C53" s="140"/>
      <c r="D53" s="140"/>
      <c r="E53" s="141"/>
      <c r="F53" s="164"/>
      <c r="G53" s="165">
        <v>20</v>
      </c>
      <c r="H53" s="165">
        <v>20</v>
      </c>
      <c r="I53" s="165">
        <v>27</v>
      </c>
      <c r="J53" s="141">
        <v>28</v>
      </c>
      <c r="K53" s="141">
        <v>29.7</v>
      </c>
      <c r="L53" s="166">
        <v>29.69</v>
      </c>
      <c r="M53" s="166">
        <v>33.96</v>
      </c>
      <c r="N53" s="166">
        <v>34.700000000000003</v>
      </c>
      <c r="O53" s="166">
        <v>35.29</v>
      </c>
      <c r="P53" s="166">
        <v>35.86</v>
      </c>
      <c r="Q53" s="166">
        <v>36.04</v>
      </c>
      <c r="R53" s="118">
        <f>((Q53/G53)^(1/($H$2-$H$1) ))-1</f>
        <v>6.7621223179870515E-2</v>
      </c>
      <c r="S53" s="31">
        <f>Q1</f>
        <v>0.05</v>
      </c>
      <c r="T53" s="152">
        <f>Q53*(1+$S53)</f>
        <v>37.841999999999999</v>
      </c>
      <c r="U53" s="152">
        <f t="shared" ref="U53:AC53" si="158">T53*(1+$S53)</f>
        <v>39.734099999999998</v>
      </c>
      <c r="V53" s="152">
        <f t="shared" si="158"/>
        <v>41.720804999999999</v>
      </c>
      <c r="W53" s="152">
        <f t="shared" si="158"/>
        <v>43.806845250000002</v>
      </c>
      <c r="X53" s="152">
        <f t="shared" si="158"/>
        <v>45.997187512500005</v>
      </c>
      <c r="Y53" s="152">
        <f t="shared" si="158"/>
        <v>48.29704688812501</v>
      </c>
      <c r="Z53" s="152">
        <f t="shared" si="158"/>
        <v>50.711899232531266</v>
      </c>
      <c r="AA53" s="152">
        <f t="shared" si="158"/>
        <v>53.247494194157831</v>
      </c>
      <c r="AB53" s="152">
        <f t="shared" si="158"/>
        <v>55.909868903865721</v>
      </c>
      <c r="AC53" s="152">
        <f t="shared" si="158"/>
        <v>58.705362349059008</v>
      </c>
      <c r="AD53" s="136">
        <f t="shared" si="19"/>
        <v>5.5315674855733743E-2</v>
      </c>
      <c r="AE53" s="31">
        <f t="shared" si="17"/>
        <v>0.05</v>
      </c>
      <c r="AF53" s="144">
        <f t="shared" si="1"/>
        <v>410.93753644341302</v>
      </c>
    </row>
    <row r="54" spans="2:32" s="181" customFormat="1" x14ac:dyDescent="0.2">
      <c r="B54" s="210"/>
      <c r="C54" s="140"/>
      <c r="D54" s="140"/>
      <c r="E54" s="141"/>
      <c r="F54" s="164"/>
      <c r="G54" s="146">
        <f>(G53-F53)/G53</f>
        <v>1</v>
      </c>
      <c r="H54" s="146">
        <f>(H53-G53)/H53</f>
        <v>0</v>
      </c>
      <c r="I54" s="146">
        <f t="shared" ref="I54" si="159">(I53-H53)/I53</f>
        <v>0.25925925925925924</v>
      </c>
      <c r="J54" s="146">
        <f t="shared" ref="J54" si="160">(J53-I53)/J53</f>
        <v>3.5714285714285712E-2</v>
      </c>
      <c r="K54" s="146">
        <f t="shared" ref="K54" si="161">(K53-J53)/K53</f>
        <v>5.7239057239057214E-2</v>
      </c>
      <c r="L54" s="146">
        <f t="shared" ref="L54" si="162">(L53-K53)/L53</f>
        <v>-3.3681374200060662E-4</v>
      </c>
      <c r="M54" s="146">
        <f t="shared" ref="M54" si="163">(M53-L53)/M53</f>
        <v>0.12573616018845699</v>
      </c>
      <c r="N54" s="146">
        <f t="shared" ref="N54" si="164">(N53-L53)/N53</f>
        <v>0.14438040345821329</v>
      </c>
      <c r="O54" s="146">
        <f t="shared" ref="O54" si="165">(O53-N53)/O53</f>
        <v>1.6718617172003295E-2</v>
      </c>
      <c r="P54" s="146">
        <f t="shared" ref="P54" si="166">(P53-O53)/P53</f>
        <v>1.5895147796988297E-2</v>
      </c>
      <c r="Q54" s="146">
        <f t="shared" ref="Q54" si="167">(Q53-P53)/Q53</f>
        <v>4.994450610432845E-3</v>
      </c>
      <c r="R54" s="127"/>
      <c r="S54" s="210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75"/>
    </row>
    <row r="55" spans="2:32" x14ac:dyDescent="0.2">
      <c r="B55" s="20" t="s">
        <v>278</v>
      </c>
      <c r="C55" s="143"/>
      <c r="D55" s="143"/>
      <c r="E55" s="143"/>
      <c r="F55" s="145"/>
      <c r="G55" s="145">
        <v>0</v>
      </c>
      <c r="H55" s="145">
        <v>0</v>
      </c>
      <c r="I55" s="145">
        <v>0</v>
      </c>
      <c r="J55" s="145">
        <v>0</v>
      </c>
      <c r="K55" s="145">
        <v>0</v>
      </c>
      <c r="L55" s="145">
        <v>0</v>
      </c>
      <c r="M55" s="145">
        <v>1.5</v>
      </c>
      <c r="N55" s="145">
        <v>2.5</v>
      </c>
      <c r="O55" s="145">
        <v>4</v>
      </c>
      <c r="P55" s="145">
        <v>6</v>
      </c>
      <c r="Q55" s="145">
        <v>8</v>
      </c>
      <c r="R55" s="118" t="e">
        <f>((Q55/G55)^(1/($H$2-$H$1) ))-1</f>
        <v>#DIV/0!</v>
      </c>
      <c r="S55" s="31">
        <f>Q1</f>
        <v>0.05</v>
      </c>
      <c r="T55" s="152">
        <f t="shared" ref="T55" si="168">Q55*(1+$S55)</f>
        <v>8.4</v>
      </c>
      <c r="U55" s="152">
        <f t="shared" ref="U55" si="169">T55*(1+$S55)</f>
        <v>8.82</v>
      </c>
      <c r="V55" s="152">
        <f t="shared" ref="V55" si="170">U55*(1+$S55)</f>
        <v>9.261000000000001</v>
      </c>
      <c r="W55" s="152">
        <f t="shared" ref="W55" si="171">V55*(1+$S55)</f>
        <v>9.7240500000000019</v>
      </c>
      <c r="X55" s="152">
        <f t="shared" ref="X55" si="172">W55*(1+$S55)</f>
        <v>10.210252500000003</v>
      </c>
      <c r="Y55" s="152">
        <f t="shared" ref="Y55" si="173">X55*(1+$S55)</f>
        <v>10.720765125000003</v>
      </c>
      <c r="Z55" s="152">
        <f t="shared" ref="Z55" si="174">Y55*(1+$S55)</f>
        <v>11.256803381250004</v>
      </c>
      <c r="AA55" s="152">
        <f t="shared" ref="AA55" si="175">Z55*(1+$S55)</f>
        <v>11.819643550312504</v>
      </c>
      <c r="AB55" s="152">
        <f t="shared" ref="AB55" si="176">AA55*(1+$S55)</f>
        <v>12.41062572782813</v>
      </c>
      <c r="AC55" s="152">
        <f t="shared" ref="AC55" si="177">AB55*(1+$S55)</f>
        <v>13.031157014219536</v>
      </c>
      <c r="AD55" s="136" t="e">
        <f t="shared" ref="AD55" si="178">((AC55/G55)^(1/($AC$3-$H$1) ))-1</f>
        <v>#DIV/0!</v>
      </c>
      <c r="AE55" s="31">
        <f t="shared" si="17"/>
        <v>0.05</v>
      </c>
      <c r="AF55" s="144">
        <f t="shared" si="1"/>
        <v>91.218099099536744</v>
      </c>
    </row>
    <row r="56" spans="2:32" x14ac:dyDescent="0.2">
      <c r="B56" s="20" t="s">
        <v>401</v>
      </c>
      <c r="C56" s="20"/>
      <c r="D56" s="20"/>
      <c r="E56" s="126"/>
      <c r="F56" s="145"/>
      <c r="G56" s="145">
        <v>0</v>
      </c>
      <c r="H56" s="145">
        <v>0</v>
      </c>
      <c r="I56" s="145">
        <v>0</v>
      </c>
      <c r="J56" s="145">
        <v>0</v>
      </c>
      <c r="K56" s="145">
        <v>0</v>
      </c>
      <c r="L56" s="145">
        <v>0</v>
      </c>
      <c r="M56" s="145">
        <v>0</v>
      </c>
      <c r="N56" s="145">
        <v>0</v>
      </c>
      <c r="O56" s="145">
        <v>0</v>
      </c>
      <c r="P56" s="145">
        <v>0</v>
      </c>
      <c r="Q56" s="145">
        <v>0</v>
      </c>
      <c r="R56" s="145">
        <v>0</v>
      </c>
      <c r="S56" s="127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37"/>
      <c r="AE56" s="135"/>
      <c r="AF56" s="152"/>
    </row>
    <row r="57" spans="2:32" s="181" customFormat="1" x14ac:dyDescent="0.2">
      <c r="B57" s="210" t="s">
        <v>402</v>
      </c>
      <c r="C57" s="210"/>
      <c r="D57" s="210"/>
      <c r="E57" s="193"/>
      <c r="F57" s="145"/>
      <c r="G57" s="145">
        <v>0</v>
      </c>
      <c r="H57" s="145">
        <v>0</v>
      </c>
      <c r="I57" s="145">
        <v>0</v>
      </c>
      <c r="J57" s="145">
        <v>0</v>
      </c>
      <c r="K57" s="145">
        <v>0</v>
      </c>
      <c r="L57" s="145">
        <v>0</v>
      </c>
      <c r="M57" s="145">
        <v>0</v>
      </c>
      <c r="N57" s="145">
        <v>0</v>
      </c>
      <c r="O57" s="145">
        <v>0</v>
      </c>
      <c r="P57" s="145">
        <v>0</v>
      </c>
      <c r="Q57" s="145">
        <v>0</v>
      </c>
      <c r="R57" s="145">
        <v>0</v>
      </c>
      <c r="S57" s="127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37"/>
      <c r="AE57" s="194"/>
      <c r="AF57" s="152"/>
    </row>
    <row r="58" spans="2:32" s="181" customFormat="1" x14ac:dyDescent="0.2">
      <c r="B58" s="210" t="s">
        <v>403</v>
      </c>
      <c r="C58" s="210"/>
      <c r="D58" s="210"/>
      <c r="E58" s="193"/>
      <c r="F58" s="145"/>
      <c r="G58" s="145">
        <v>0</v>
      </c>
      <c r="H58" s="145">
        <v>0</v>
      </c>
      <c r="I58" s="145">
        <v>0</v>
      </c>
      <c r="J58" s="145">
        <v>0</v>
      </c>
      <c r="K58" s="145">
        <v>0</v>
      </c>
      <c r="L58" s="145">
        <v>0</v>
      </c>
      <c r="M58" s="145">
        <v>0</v>
      </c>
      <c r="N58" s="145">
        <v>0</v>
      </c>
      <c r="O58" s="145">
        <v>0</v>
      </c>
      <c r="P58" s="145">
        <v>0</v>
      </c>
      <c r="Q58" s="145">
        <v>0</v>
      </c>
      <c r="R58" s="145">
        <v>0</v>
      </c>
      <c r="S58" s="127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37"/>
      <c r="AE58" s="194"/>
      <c r="AF58" s="152"/>
    </row>
    <row r="59" spans="2:32" s="181" customFormat="1" x14ac:dyDescent="0.2">
      <c r="B59" s="210"/>
      <c r="C59" s="210"/>
      <c r="D59" s="210"/>
      <c r="E59" s="193"/>
      <c r="F59" s="145"/>
      <c r="G59" s="193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127"/>
      <c r="S59" s="127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37"/>
      <c r="AE59" s="194"/>
      <c r="AF59" s="152"/>
    </row>
    <row r="60" spans="2:32" x14ac:dyDescent="0.2">
      <c r="B60" s="108" t="s">
        <v>243</v>
      </c>
      <c r="C60" s="20"/>
      <c r="D60" s="20"/>
      <c r="E60" s="126"/>
      <c r="F60" s="126"/>
      <c r="G60" s="126"/>
      <c r="H60" s="20"/>
      <c r="I60" s="20"/>
      <c r="J60" s="20"/>
      <c r="K60" s="20"/>
      <c r="L60" s="20"/>
      <c r="M60" s="210"/>
      <c r="N60" s="20"/>
      <c r="O60" s="20"/>
      <c r="P60" s="20"/>
      <c r="Q60" s="20"/>
      <c r="R60" s="127"/>
      <c r="S60" s="127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37"/>
      <c r="AE60" s="135"/>
      <c r="AF60" s="152"/>
    </row>
    <row r="61" spans="2:32" x14ac:dyDescent="0.2">
      <c r="B61" s="20" t="s">
        <v>296</v>
      </c>
      <c r="C61" s="132"/>
      <c r="D61" s="132"/>
      <c r="E61" s="132"/>
      <c r="F61" s="132"/>
      <c r="G61" s="132">
        <f>G36/G53</f>
        <v>2.4</v>
      </c>
      <c r="H61" s="132">
        <f>H36/H53</f>
        <v>2.4</v>
      </c>
      <c r="I61" s="132">
        <f>I36/I53</f>
        <v>10.703703703703704</v>
      </c>
      <c r="J61" s="132">
        <f>J36/J53</f>
        <v>28.142857142857142</v>
      </c>
      <c r="K61" s="132">
        <f>K36/K53</f>
        <v>56.262626262626263</v>
      </c>
      <c r="L61" s="132">
        <f>L36/L53</f>
        <v>82.115190299764222</v>
      </c>
      <c r="M61" s="212">
        <f>M36/M53</f>
        <v>86.719670200235569</v>
      </c>
      <c r="N61" s="132">
        <f>N36/N53</f>
        <v>134.43804034582132</v>
      </c>
      <c r="O61" s="132">
        <f>O36/O53</f>
        <v>203.0036837631057</v>
      </c>
      <c r="P61" s="132">
        <f>P36/P53</f>
        <v>266.34132738427218</v>
      </c>
      <c r="Q61" s="132">
        <f>Q36/Q53</f>
        <v>324.69478357380689</v>
      </c>
      <c r="R61" s="118">
        <f>((Q61/G61)^(1/($H$2-$H$1) ))-1</f>
        <v>0.72507157401648548</v>
      </c>
      <c r="S61" s="127"/>
      <c r="T61" s="156">
        <f>T36/T53</f>
        <v>364.89509011151631</v>
      </c>
      <c r="U61" s="156">
        <f>U36/U53</f>
        <v>410.07257745865638</v>
      </c>
      <c r="V61" s="156">
        <f>V36/V53</f>
        <v>460.84346800115662</v>
      </c>
      <c r="W61" s="156">
        <f>W36/W53</f>
        <v>517.9002783251093</v>
      </c>
      <c r="X61" s="156">
        <f>X36/X53</f>
        <v>582.02126516536089</v>
      </c>
      <c r="Y61" s="156">
        <f>Y36/Y53</f>
        <v>654.08104085250068</v>
      </c>
      <c r="Z61" s="156">
        <f>Z36/Z53</f>
        <v>735.06250305328638</v>
      </c>
      <c r="AA61" s="156">
        <f>AA36/AA53</f>
        <v>826.07024152655038</v>
      </c>
      <c r="AB61" s="156">
        <f>AB36/AB53</f>
        <v>928.34560476317085</v>
      </c>
      <c r="AC61" s="156">
        <f>AC36/AC53</f>
        <v>1043.2836320195634</v>
      </c>
      <c r="AD61" s="136">
        <f t="shared" ref="AD61" si="179">((AC61/G61)^(1/($AC$3-$H$1) ))-1</f>
        <v>0.35490722176703415</v>
      </c>
      <c r="AE61" s="31">
        <f t="shared" si="17"/>
        <v>0.05</v>
      </c>
      <c r="AF61" s="144">
        <f t="shared" ref="AF61" si="180">(AC61*(1+AE61))/($C$1-AE61)</f>
        <v>7302.985424136943</v>
      </c>
    </row>
    <row r="62" spans="2:32" x14ac:dyDescent="0.2">
      <c r="B62" s="20" t="s">
        <v>297</v>
      </c>
      <c r="C62" s="132"/>
      <c r="D62" s="132"/>
      <c r="E62" s="132"/>
      <c r="F62" s="132"/>
      <c r="G62" s="132">
        <f>G38/G53</f>
        <v>0.59250000000000003</v>
      </c>
      <c r="H62" s="132">
        <f>H38/H53</f>
        <v>0.59250000000000003</v>
      </c>
      <c r="I62" s="132">
        <f>I38/I53</f>
        <v>3.8888888888888888</v>
      </c>
      <c r="J62" s="132">
        <f>J38/J53</f>
        <v>14.857142857142858</v>
      </c>
      <c r="K62" s="132">
        <f>K38/K53</f>
        <v>32.794612794612796</v>
      </c>
      <c r="L62" s="132">
        <f>L38/L53</f>
        <v>50.2526103065005</v>
      </c>
      <c r="M62" s="212">
        <f>M38/M53</f>
        <v>72.644287396937571</v>
      </c>
      <c r="N62" s="132">
        <f>N38/N53</f>
        <v>113.45821325648414</v>
      </c>
      <c r="O62" s="132">
        <f>O38/O53</f>
        <v>175.31878719183905</v>
      </c>
      <c r="P62" s="132">
        <f>P38/P53</f>
        <v>230.06134969325154</v>
      </c>
      <c r="Q62" s="132">
        <f>Q38/Q53</f>
        <v>279.99445061043286</v>
      </c>
      <c r="R62" s="118">
        <f>((Q62/G62)^(1/($H$2-$H$1) ))-1</f>
        <v>0.98226786701687097</v>
      </c>
      <c r="S62" s="127"/>
      <c r="T62" s="156">
        <f>T38/T53</f>
        <v>314.66043020981976</v>
      </c>
      <c r="U62" s="156">
        <f>U38/U53</f>
        <v>353.6183882357974</v>
      </c>
      <c r="V62" s="156">
        <f>V38/V53</f>
        <v>397.39971249356273</v>
      </c>
      <c r="W62" s="156">
        <f>W38/W53</f>
        <v>446.60158165943238</v>
      </c>
      <c r="X62" s="156">
        <f>X38/X53</f>
        <v>501.89511081726681</v>
      </c>
      <c r="Y62" s="156">
        <f>Y38/Y53</f>
        <v>564.03450548988076</v>
      </c>
      <c r="Z62" s="156">
        <f>Z38/Z53</f>
        <v>633.86734902672299</v>
      </c>
      <c r="AA62" s="156">
        <f>AA38/AA53</f>
        <v>712.34616366812668</v>
      </c>
      <c r="AB62" s="156">
        <f>AB38/AB53</f>
        <v>800.54140297941842</v>
      </c>
      <c r="AC62" s="156">
        <f>AC38/AC53</f>
        <v>899.65605287210826</v>
      </c>
      <c r="AD62" s="136">
        <f t="shared" ref="AD62" si="181">((AC62/G62)^(1/($AC$3-$H$1) ))-1</f>
        <v>0.4423458442796615</v>
      </c>
      <c r="AE62" s="31">
        <f t="shared" si="17"/>
        <v>0.05</v>
      </c>
      <c r="AF62" s="144">
        <f t="shared" ref="AF62" si="182">(AC62*(1+AE62))/($C$1-AE62)</f>
        <v>6297.5923701047577</v>
      </c>
    </row>
    <row r="63" spans="2:32" x14ac:dyDescent="0.2">
      <c r="B63" s="20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212"/>
      <c r="N63" s="132"/>
      <c r="O63" s="132"/>
      <c r="P63" s="132"/>
      <c r="Q63" s="132"/>
      <c r="R63" s="127"/>
      <c r="S63" s="127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19"/>
      <c r="AE63" s="135"/>
      <c r="AF63" s="144"/>
    </row>
    <row r="64" spans="2:32" x14ac:dyDescent="0.2">
      <c r="B64" s="20" t="s">
        <v>256</v>
      </c>
      <c r="C64" s="25"/>
      <c r="D64" s="25"/>
      <c r="E64" s="25"/>
      <c r="F64" s="132"/>
      <c r="G64" s="132">
        <f t="shared" ref="G64:Q64" si="183">G51/G53</f>
        <v>-0.2</v>
      </c>
      <c r="H64" s="132">
        <f t="shared" si="183"/>
        <v>-0.2</v>
      </c>
      <c r="I64" s="132">
        <f t="shared" si="183"/>
        <v>2.0370370370370372</v>
      </c>
      <c r="J64" s="132">
        <f t="shared" si="183"/>
        <v>3.3571428571428572</v>
      </c>
      <c r="K64" s="132">
        <f t="shared" si="183"/>
        <v>6.7340067340067344</v>
      </c>
      <c r="L64" s="132">
        <f t="shared" si="183"/>
        <v>10.239137756820478</v>
      </c>
      <c r="M64" s="212">
        <f t="shared" si="183"/>
        <v>14.075382803297996</v>
      </c>
      <c r="N64" s="132">
        <f t="shared" si="183"/>
        <v>20.95100864553314</v>
      </c>
      <c r="O64" s="132">
        <f t="shared" si="183"/>
        <v>27.684896571266648</v>
      </c>
      <c r="P64" s="132">
        <f t="shared" si="183"/>
        <v>36.252091466815394</v>
      </c>
      <c r="Q64" s="132">
        <f t="shared" si="183"/>
        <v>44.700332963374031</v>
      </c>
      <c r="R64" s="118">
        <f>((Q64/G64)^(1/($H$2-$H$1) ))-1</f>
        <v>-2.8240267193640416</v>
      </c>
      <c r="S64" s="127"/>
      <c r="T64" s="156">
        <f t="shared" ref="T64:AC64" si="184">T51/T53</f>
        <v>50.234659901696524</v>
      </c>
      <c r="U64" s="156">
        <f t="shared" si="184"/>
        <v>56.454189222858957</v>
      </c>
      <c r="V64" s="156">
        <f t="shared" si="184"/>
        <v>63.443755507593863</v>
      </c>
      <c r="W64" s="156">
        <f t="shared" si="184"/>
        <v>71.2986966656769</v>
      </c>
      <c r="X64" s="156">
        <f t="shared" si="184"/>
        <v>80.126154348094033</v>
      </c>
      <c r="Y64" s="156">
        <f t="shared" si="184"/>
        <v>90.046535362619949</v>
      </c>
      <c r="Z64" s="156">
        <f t="shared" si="184"/>
        <v>101.19515402656336</v>
      </c>
      <c r="AA64" s="156">
        <f t="shared" si="184"/>
        <v>113.72407785842357</v>
      </c>
      <c r="AB64" s="156">
        <f t="shared" si="184"/>
        <v>127.80420178375221</v>
      </c>
      <c r="AC64" s="156">
        <f t="shared" si="184"/>
        <v>143.62757914745487</v>
      </c>
      <c r="AD64" s="136" t="e">
        <f t="shared" ref="AD64:AD75" si="185">((AC64/G64)^(1/($AC$3-$H$1) ))-1</f>
        <v>#NUM!</v>
      </c>
      <c r="AE64" s="31">
        <f t="shared" si="17"/>
        <v>0.05</v>
      </c>
      <c r="AF64" s="144">
        <f t="shared" ref="AF64:AF89" si="186">(AC64*(1+AE64))/($C$1-AE64)</f>
        <v>1005.393054032184</v>
      </c>
    </row>
    <row r="65" spans="2:32" x14ac:dyDescent="0.2">
      <c r="B65" s="20" t="s">
        <v>245</v>
      </c>
      <c r="C65" s="25"/>
      <c r="D65" s="25"/>
      <c r="E65" s="25"/>
      <c r="F65" s="132"/>
      <c r="G65" s="132">
        <f>G7/G53</f>
        <v>10.85</v>
      </c>
      <c r="H65" s="132">
        <f>H7/H53</f>
        <v>10.85</v>
      </c>
      <c r="I65" s="132">
        <f>I7/I53</f>
        <v>21.185185185185187</v>
      </c>
      <c r="J65" s="132">
        <f>J7/J53</f>
        <v>28.107142857142858</v>
      </c>
      <c r="K65" s="132">
        <f>K7/K53</f>
        <v>44.410774410774415</v>
      </c>
      <c r="L65" s="132">
        <f>L7/L53</f>
        <v>54.698551700909398</v>
      </c>
      <c r="M65" s="212">
        <f>M7/M53</f>
        <v>90.959952885747938</v>
      </c>
      <c r="N65" s="132">
        <f>N7/N53</f>
        <v>109.3371757925072</v>
      </c>
      <c r="O65" s="132">
        <f>O7/O53</f>
        <v>132.5021252479456</v>
      </c>
      <c r="P65" s="132">
        <f>P7/P53</f>
        <v>161.93530395984385</v>
      </c>
      <c r="Q65" s="132">
        <f>Q7/Q53</f>
        <v>197.41953385127636</v>
      </c>
      <c r="R65" s="118">
        <f>((Q65/G65)^(1/($H$2-$H$1) ))-1</f>
        <v>0.38037027380822175</v>
      </c>
      <c r="S65" s="127"/>
      <c r="T65" s="156">
        <f>T7/T53</f>
        <v>221.86195232810104</v>
      </c>
      <c r="U65" s="156">
        <f>U7/U53</f>
        <v>249.33057499729446</v>
      </c>
      <c r="V65" s="156">
        <f>V7/V53</f>
        <v>280.20007475886422</v>
      </c>
      <c r="W65" s="156">
        <f>W7/W53</f>
        <v>314.89151258615215</v>
      </c>
      <c r="X65" s="156">
        <f>X7/X53</f>
        <v>353.87808081110421</v>
      </c>
      <c r="Y65" s="156">
        <f>Y7/Y53</f>
        <v>397.6915574829552</v>
      </c>
      <c r="Z65" s="156">
        <f>Z7/Z53</f>
        <v>446.92955983798765</v>
      </c>
      <c r="AA65" s="156">
        <f>AA7/AA53</f>
        <v>502.26369581792892</v>
      </c>
      <c r="AB65" s="156">
        <f>AB7/AB53</f>
        <v>564.44872482395829</v>
      </c>
      <c r="AC65" s="156">
        <f>AC7/AC53</f>
        <v>634.33285265930544</v>
      </c>
      <c r="AD65" s="136">
        <f t="shared" si="185"/>
        <v>0.2255876423862162</v>
      </c>
      <c r="AE65" s="31">
        <f t="shared" si="17"/>
        <v>0.05</v>
      </c>
      <c r="AF65" s="144">
        <f t="shared" si="186"/>
        <v>4440.3299686151377</v>
      </c>
    </row>
    <row r="66" spans="2:32" x14ac:dyDescent="0.2">
      <c r="B66" s="20" t="s">
        <v>246</v>
      </c>
      <c r="C66" s="126"/>
      <c r="D66" s="126"/>
      <c r="E66" s="126"/>
      <c r="F66" s="142"/>
      <c r="G66" s="142">
        <f>G6/G53</f>
        <v>0.85</v>
      </c>
      <c r="H66" s="142">
        <f>H6/H53</f>
        <v>0.85</v>
      </c>
      <c r="I66" s="142">
        <f>I6/I53</f>
        <v>11.222222222222221</v>
      </c>
      <c r="J66" s="142">
        <f>J6/J53</f>
        <v>18.107142857142858</v>
      </c>
      <c r="K66" s="142">
        <f>K6/K53</f>
        <v>34.444444444444443</v>
      </c>
      <c r="L66" s="142">
        <f>L6/L53</f>
        <v>44.695183563489387</v>
      </c>
      <c r="M66" s="142">
        <f>M6/M53</f>
        <v>80.948174322732626</v>
      </c>
      <c r="N66" s="142">
        <f>N6/N53</f>
        <v>99.308357348703169</v>
      </c>
      <c r="O66" s="142">
        <f>O6/O53</f>
        <v>122.49929158401814</v>
      </c>
      <c r="P66" s="142">
        <f>P6/P53</f>
        <v>151.952035694367</v>
      </c>
      <c r="Q66" s="142">
        <f>Q6/Q53</f>
        <v>187.59711431742508</v>
      </c>
      <c r="R66" s="118">
        <f>((Q66/G66)^(1/($H$2-$H$1) ))-1</f>
        <v>0.82147420504075264</v>
      </c>
      <c r="S66" s="127"/>
      <c r="T66" s="155">
        <f>T6/T53</f>
        <v>210.82342370910627</v>
      </c>
      <c r="U66" s="155">
        <f>U6/U53</f>
        <v>236.92537140642418</v>
      </c>
      <c r="V66" s="155">
        <f>V6/V53</f>
        <v>266.25898881864811</v>
      </c>
      <c r="W66" s="155">
        <f>W6/W53</f>
        <v>299.22438743429024</v>
      </c>
      <c r="X66" s="155">
        <f>X6/X53</f>
        <v>336.27121635472611</v>
      </c>
      <c r="Y66" s="155">
        <f>Y6/Y53</f>
        <v>377.90479552245404</v>
      </c>
      <c r="Z66" s="155">
        <f>Z6/Z53</f>
        <v>424.69300830142447</v>
      </c>
      <c r="AA66" s="155">
        <f>AA6/AA53</f>
        <v>477.27404742445799</v>
      </c>
      <c r="AB66" s="155">
        <f>AB6/AB53</f>
        <v>536.36511996272418</v>
      </c>
      <c r="AC66" s="155">
        <f>AC6/AC53</f>
        <v>602.77223005334713</v>
      </c>
      <c r="AD66" s="136">
        <f t="shared" si="185"/>
        <v>0.38847068710520616</v>
      </c>
      <c r="AE66" s="31">
        <f t="shared" si="17"/>
        <v>0.05</v>
      </c>
      <c r="AF66" s="144">
        <f t="shared" si="186"/>
        <v>4219.4056103734292</v>
      </c>
    </row>
    <row r="67" spans="2:32" x14ac:dyDescent="0.2">
      <c r="B67" s="20" t="s">
        <v>247</v>
      </c>
      <c r="C67" s="126"/>
      <c r="D67" s="126"/>
      <c r="E67" s="126"/>
      <c r="F67" s="142"/>
      <c r="G67" s="142">
        <f>G10/G53</f>
        <v>51.6</v>
      </c>
      <c r="H67" s="142">
        <f>H10/H53</f>
        <v>51.6</v>
      </c>
      <c r="I67" s="142">
        <f>I10/I53</f>
        <v>125</v>
      </c>
      <c r="J67" s="142">
        <f>J10/J53</f>
        <v>324.53571428571428</v>
      </c>
      <c r="K67" s="142">
        <f>K10/K53</f>
        <v>480.1010101010101</v>
      </c>
      <c r="L67" s="142">
        <f>L10/L53</f>
        <v>618.32266756483659</v>
      </c>
      <c r="M67" s="142">
        <f>M10/M53</f>
        <v>928.94581861012955</v>
      </c>
      <c r="N67" s="142">
        <f>N10/N53</f>
        <v>1516.685878962536</v>
      </c>
      <c r="O67" s="142">
        <f>O10/O53</f>
        <v>1793.9359591952395</v>
      </c>
      <c r="P67" s="142">
        <f>P10/P53</f>
        <v>2450.5577244841047</v>
      </c>
      <c r="Q67" s="142">
        <f>Q10/Q53</f>
        <v>2649.8057713651501</v>
      </c>
      <c r="R67" s="118">
        <f>((Q67/G67)^(1/($H$2-$H$1) ))-1</f>
        <v>0.54904025680763557</v>
      </c>
      <c r="S67" s="127"/>
      <c r="T67" s="155">
        <f>T10/T53</f>
        <v>2977.8769621055967</v>
      </c>
      <c r="U67" s="155">
        <f>U10/U53</f>
        <v>3346.5664907472419</v>
      </c>
      <c r="V67" s="155">
        <f>V10/V53</f>
        <v>3760.9032943635666</v>
      </c>
      <c r="W67" s="155">
        <f>W10/W53</f>
        <v>4226.5389403323888</v>
      </c>
      <c r="X67" s="155">
        <f>X10/X53</f>
        <v>4749.8247138973502</v>
      </c>
      <c r="Y67" s="155">
        <f>Y10/Y53</f>
        <v>5337.8982499036883</v>
      </c>
      <c r="Z67" s="155">
        <f>Z10/Z53</f>
        <v>5998.7808903679534</v>
      </c>
      <c r="AA67" s="155">
        <f>AA10/AA53</f>
        <v>6741.4870958420806</v>
      </c>
      <c r="AB67" s="155">
        <f>AB10/AB53</f>
        <v>7576.147402946337</v>
      </c>
      <c r="AC67" s="155">
        <f>AC10/AC53</f>
        <v>8514.146605215883</v>
      </c>
      <c r="AD67" s="136">
        <f t="shared" si="185"/>
        <v>0.29084640955723917</v>
      </c>
      <c r="AE67" s="31">
        <f t="shared" si="17"/>
        <v>0.05</v>
      </c>
      <c r="AF67" s="144">
        <f t="shared" si="186"/>
        <v>59599.026236511178</v>
      </c>
    </row>
    <row r="68" spans="2:32" x14ac:dyDescent="0.2">
      <c r="B68" s="20"/>
      <c r="C68" s="126"/>
      <c r="D68" s="126"/>
      <c r="E68" s="126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27"/>
      <c r="S68" s="127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37"/>
      <c r="AE68" s="135"/>
      <c r="AF68" s="144"/>
    </row>
    <row r="69" spans="2:32" x14ac:dyDescent="0.2">
      <c r="B69" s="20" t="s">
        <v>268</v>
      </c>
      <c r="C69" s="126"/>
      <c r="D69" s="126"/>
      <c r="E69" s="126"/>
      <c r="F69" s="142"/>
      <c r="G69" s="142">
        <f>(G7-G10)/G53</f>
        <v>-40.75</v>
      </c>
      <c r="H69" s="142">
        <f>(H7-H10)/H53</f>
        <v>-40.75</v>
      </c>
      <c r="I69" s="142">
        <f>(I7-I10)/I53</f>
        <v>-103.81481481481481</v>
      </c>
      <c r="J69" s="142">
        <f>(J7-J10)/J53</f>
        <v>-296.42857142857144</v>
      </c>
      <c r="K69" s="142">
        <f>(K7-K10)/K53</f>
        <v>-435.69023569023568</v>
      </c>
      <c r="L69" s="142">
        <f>(L7-L10)/L53</f>
        <v>-563.62411586392727</v>
      </c>
      <c r="M69" s="142">
        <f>(M7-M10)/M53</f>
        <v>-837.9858657243816</v>
      </c>
      <c r="N69" s="142">
        <f>(N7-N10)/N53</f>
        <v>-1407.3487031700288</v>
      </c>
      <c r="O69" s="142">
        <f>(O7-O10)/O53</f>
        <v>-1661.4338339472938</v>
      </c>
      <c r="P69" s="142">
        <f>(P7-P10)/P53</f>
        <v>-2288.6224205242611</v>
      </c>
      <c r="Q69" s="142">
        <f>(Q7-Q10)/Q53</f>
        <v>-2452.3862375138733</v>
      </c>
      <c r="R69" s="118">
        <f>((Q69/G69)^(1/($H$2-$H$1) ))-1</f>
        <v>0.57658691384493421</v>
      </c>
      <c r="S69" s="127"/>
      <c r="T69" s="155">
        <f>(T7-T10)/T53</f>
        <v>-2756.0150097774958</v>
      </c>
      <c r="U69" s="155">
        <f>(U7-U10)/U53</f>
        <v>-3097.2359157499473</v>
      </c>
      <c r="V69" s="155">
        <f>(V7-V10)/V53</f>
        <v>-3480.7032196047026</v>
      </c>
      <c r="W69" s="155">
        <f>(W7-W10)/W53</f>
        <v>-3911.6474277462362</v>
      </c>
      <c r="X69" s="155">
        <f>(X7-X10)/X53</f>
        <v>-4395.946633086246</v>
      </c>
      <c r="Y69" s="155">
        <f>(Y7-Y10)/Y53</f>
        <v>-4940.2066924207338</v>
      </c>
      <c r="Z69" s="155">
        <f>(Z7-Z10)/Z53</f>
        <v>-5551.8513305299657</v>
      </c>
      <c r="AA69" s="155">
        <f>(AA7-AA10)/AA53</f>
        <v>-6239.2234000241515</v>
      </c>
      <c r="AB69" s="155">
        <f>(AB7-AB10)/AB53</f>
        <v>-7011.6986781223795</v>
      </c>
      <c r="AC69" s="155">
        <f>(AC7-AC10)/AC53</f>
        <v>-7879.813752556578</v>
      </c>
      <c r="AD69" s="136">
        <f t="shared" si="185"/>
        <v>0.30112618469784658</v>
      </c>
      <c r="AE69" s="31">
        <f t="shared" si="17"/>
        <v>0.05</v>
      </c>
      <c r="AF69" s="144">
        <f t="shared" si="186"/>
        <v>-55158.696267896041</v>
      </c>
    </row>
    <row r="70" spans="2:32" x14ac:dyDescent="0.2">
      <c r="B70" s="20" t="s">
        <v>269</v>
      </c>
      <c r="C70" s="126"/>
      <c r="D70" s="126"/>
      <c r="E70" s="126"/>
      <c r="F70" s="142"/>
      <c r="G70" s="142">
        <f>(G7-G10-G9)/G53</f>
        <v>-40.75</v>
      </c>
      <c r="H70" s="142">
        <f>(H7-H10-H9)/H53</f>
        <v>-40.75</v>
      </c>
      <c r="I70" s="142">
        <f>(I7-I10-I9)/I53</f>
        <v>-103.81481481481481</v>
      </c>
      <c r="J70" s="142">
        <f>(J7-J10-J9)/J53</f>
        <v>-296.42857142857144</v>
      </c>
      <c r="K70" s="142">
        <f>(K7-K10-K9)/K53</f>
        <v>-435.69023569023568</v>
      </c>
      <c r="L70" s="142">
        <f>(L7-L10-L9)/L53</f>
        <v>-563.62411586392727</v>
      </c>
      <c r="M70" s="142">
        <f>(M7-M10-M9)/M53</f>
        <v>-837.9858657243816</v>
      </c>
      <c r="N70" s="142">
        <f>(N7-N10-N9)/N53</f>
        <v>-1407.3487031700288</v>
      </c>
      <c r="O70" s="142">
        <f>(O7-O10-O9)/O53</f>
        <v>-1661.4338339472938</v>
      </c>
      <c r="P70" s="142">
        <f>(P7-P10-P9)/P53</f>
        <v>-2288.6224205242611</v>
      </c>
      <c r="Q70" s="142">
        <f>(Q7-Q10-Q9)/Q53</f>
        <v>-2452.3862375138733</v>
      </c>
      <c r="R70" s="118">
        <f>((Q70/G70)^(1/($H$2-$H$1) ))-1</f>
        <v>0.57658691384493421</v>
      </c>
      <c r="S70" s="127"/>
      <c r="T70" s="155">
        <f>(T7-T10-T9)/T53</f>
        <v>-2756.0150097774958</v>
      </c>
      <c r="U70" s="155">
        <f>(U7-U10-U9)/U53</f>
        <v>-3097.2359157499473</v>
      </c>
      <c r="V70" s="155">
        <f>(V7-V10-V9)/V53</f>
        <v>-3480.7032196047026</v>
      </c>
      <c r="W70" s="155">
        <f>(W7-W10-W9)/W53</f>
        <v>-3911.6474277462362</v>
      </c>
      <c r="X70" s="155">
        <f>(X7-X10-X9)/X53</f>
        <v>-4395.946633086246</v>
      </c>
      <c r="Y70" s="155">
        <f>(Y7-Y10-Y9)/Y53</f>
        <v>-4940.2066924207338</v>
      </c>
      <c r="Z70" s="155">
        <f>(Z7-Z10-Z9)/Z53</f>
        <v>-5551.8513305299657</v>
      </c>
      <c r="AA70" s="155">
        <f>(AA7-AA10-AA9)/AA53</f>
        <v>-6239.2234000241515</v>
      </c>
      <c r="AB70" s="155">
        <f>(AB7-AB10-AB9)/AB53</f>
        <v>-7011.6986781223795</v>
      </c>
      <c r="AC70" s="155">
        <f>(AC7-AC10-AC9)/AC53</f>
        <v>-7879.813752556578</v>
      </c>
      <c r="AD70" s="136">
        <f t="shared" si="185"/>
        <v>0.30112618469784658</v>
      </c>
      <c r="AE70" s="31">
        <f t="shared" si="17"/>
        <v>0.05</v>
      </c>
      <c r="AF70" s="144">
        <f t="shared" si="186"/>
        <v>-55158.696267896041</v>
      </c>
    </row>
    <row r="71" spans="2:32" x14ac:dyDescent="0.2">
      <c r="B71" s="20" t="s">
        <v>406</v>
      </c>
      <c r="C71" s="142"/>
      <c r="D71" s="142"/>
      <c r="E71" s="142"/>
      <c r="F71" s="142"/>
      <c r="G71" s="142">
        <f>(G7+G10+G31)/G53</f>
        <v>149.69999999999999</v>
      </c>
      <c r="H71" s="142">
        <f>(H7+H10+H31)/H53</f>
        <v>149.69999999999999</v>
      </c>
      <c r="I71" s="142">
        <f>(I7+I10+I31)/I53</f>
        <v>241.85185185185185</v>
      </c>
      <c r="J71" s="142">
        <f>(J7+J10+J31)/J53</f>
        <v>555.39285714285711</v>
      </c>
      <c r="K71" s="142">
        <f>(K7+K10+K31)/K53</f>
        <v>706.93602693602691</v>
      </c>
      <c r="L71" s="142">
        <f>(L7+L10+L31)/L53</f>
        <v>888.14415628157622</v>
      </c>
      <c r="M71" s="142">
        <f>(M7+M10+M31)/M53</f>
        <v>1071.2897526501768</v>
      </c>
      <c r="N71" s="142">
        <f>(N7+N10+N31)/N53</f>
        <v>1700.4610951008644</v>
      </c>
      <c r="O71" s="142">
        <f>(O7+O10+O31)/O53</f>
        <v>2087.3051856049874</v>
      </c>
      <c r="P71" s="142">
        <f>(P7+P10+P31)/P53</f>
        <v>2763.5805911879534</v>
      </c>
      <c r="Q71" s="142">
        <f>(Q7+Q10+Q31)/Q53</f>
        <v>3024.4450610432855</v>
      </c>
      <c r="R71" s="118">
        <f>((Q71/G71)^(1/($H$2-$H$1) ))-1</f>
        <v>0.39651980773765905</v>
      </c>
      <c r="S71" s="127"/>
      <c r="T71" s="142">
        <f>(T7+T10+T31)/T53</f>
        <v>3398.9001638391205</v>
      </c>
      <c r="U71" s="142">
        <f t="shared" ref="U71:AC71" si="187">(U7+U10+U31)/U53</f>
        <v>3819.7163746001543</v>
      </c>
      <c r="V71" s="142">
        <f t="shared" si="187"/>
        <v>4292.6336400268392</v>
      </c>
      <c r="W71" s="142">
        <f t="shared" si="187"/>
        <v>4824.1025668873044</v>
      </c>
      <c r="X71" s="142">
        <f t="shared" si="187"/>
        <v>5421.3724085019221</v>
      </c>
      <c r="Y71" s="142">
        <f t="shared" si="187"/>
        <v>6092.5899447926358</v>
      </c>
      <c r="Z71" s="142">
        <f t="shared" si="187"/>
        <v>6846.9106046241041</v>
      </c>
      <c r="AA71" s="142">
        <f t="shared" si="187"/>
        <v>7694.6233461489919</v>
      </c>
      <c r="AB71" s="142">
        <f t="shared" si="187"/>
        <v>8647.2909985293427</v>
      </c>
      <c r="AC71" s="142">
        <f t="shared" si="187"/>
        <v>9717.9079792996417</v>
      </c>
      <c r="AD71" s="136">
        <f t="shared" si="185"/>
        <v>0.2320194073665458</v>
      </c>
      <c r="AE71" s="31">
        <f t="shared" si="17"/>
        <v>0.05</v>
      </c>
      <c r="AF71" s="144">
        <f t="shared" si="186"/>
        <v>68025.355855097485</v>
      </c>
    </row>
    <row r="72" spans="2:32" x14ac:dyDescent="0.2">
      <c r="B72" s="20"/>
      <c r="C72" s="126"/>
      <c r="D72" s="126"/>
      <c r="E72" s="126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27"/>
      <c r="S72" s="127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37"/>
      <c r="AE72" s="135"/>
      <c r="AF72" s="152"/>
    </row>
    <row r="73" spans="2:32" x14ac:dyDescent="0.2">
      <c r="B73" s="20" t="s">
        <v>248</v>
      </c>
      <c r="C73" s="126"/>
      <c r="D73" s="126"/>
      <c r="E73" s="126"/>
      <c r="F73" s="142"/>
      <c r="G73" s="142">
        <f>G12/G53</f>
        <v>0</v>
      </c>
      <c r="H73" s="142">
        <f>H12/H53</f>
        <v>0</v>
      </c>
      <c r="I73" s="142">
        <f>I12/I53</f>
        <v>0</v>
      </c>
      <c r="J73" s="142">
        <f>J12/J53</f>
        <v>0</v>
      </c>
      <c r="K73" s="142">
        <f>K12/K53</f>
        <v>0</v>
      </c>
      <c r="L73" s="142">
        <f>L12/L53</f>
        <v>0</v>
      </c>
      <c r="M73" s="142">
        <f>M12/M53</f>
        <v>0</v>
      </c>
      <c r="N73" s="142">
        <f>N12/N53</f>
        <v>0</v>
      </c>
      <c r="O73" s="142">
        <f>O12/O53</f>
        <v>0</v>
      </c>
      <c r="P73" s="142">
        <f>P12/P53</f>
        <v>0</v>
      </c>
      <c r="Q73" s="142">
        <f>Q12/Q53</f>
        <v>0</v>
      </c>
      <c r="R73" s="118" t="e">
        <f>((Q73/G73)^(1/($H$2-$H$1) ))-1</f>
        <v>#DIV/0!</v>
      </c>
      <c r="S73" s="127"/>
      <c r="T73" s="155">
        <f>T12/T53</f>
        <v>0</v>
      </c>
      <c r="U73" s="155">
        <f>U12/U53</f>
        <v>0</v>
      </c>
      <c r="V73" s="155">
        <f>V12/V53</f>
        <v>0</v>
      </c>
      <c r="W73" s="155">
        <f>W12/W53</f>
        <v>0</v>
      </c>
      <c r="X73" s="155">
        <f>X12/X53</f>
        <v>0</v>
      </c>
      <c r="Y73" s="155">
        <f>Y12/Y53</f>
        <v>0</v>
      </c>
      <c r="Z73" s="155">
        <f>Z12/Z53</f>
        <v>0</v>
      </c>
      <c r="AA73" s="155">
        <f>AA12/AA53</f>
        <v>0</v>
      </c>
      <c r="AB73" s="155">
        <f>AB12/AB53</f>
        <v>0</v>
      </c>
      <c r="AC73" s="155">
        <f>AC12/AC53</f>
        <v>0</v>
      </c>
      <c r="AD73" s="136" t="e">
        <f t="shared" si="185"/>
        <v>#DIV/0!</v>
      </c>
      <c r="AE73" s="31">
        <f t="shared" si="17"/>
        <v>0.05</v>
      </c>
      <c r="AF73" s="144">
        <f t="shared" si="186"/>
        <v>0</v>
      </c>
    </row>
    <row r="74" spans="2:32" x14ac:dyDescent="0.2">
      <c r="B74" s="20" t="s">
        <v>253</v>
      </c>
      <c r="C74" s="126"/>
      <c r="D74" s="126"/>
      <c r="E74" s="126"/>
      <c r="F74" s="142"/>
      <c r="G74" s="142">
        <f>G15/G53</f>
        <v>19.75</v>
      </c>
      <c r="H74" s="142">
        <f>H15/H53</f>
        <v>19.75</v>
      </c>
      <c r="I74" s="142">
        <f>I15/I53</f>
        <v>50</v>
      </c>
      <c r="J74" s="142">
        <f>J15/J53</f>
        <v>109.75</v>
      </c>
      <c r="K74" s="142">
        <f>K15/K53</f>
        <v>171.4814814814815</v>
      </c>
      <c r="L74" s="142">
        <f>L15/L53</f>
        <v>239.71034018187942</v>
      </c>
      <c r="M74" s="142">
        <f>M15/M53</f>
        <v>300.61837455830386</v>
      </c>
      <c r="N74" s="142">
        <f>N15/N53</f>
        <v>542.59365994236305</v>
      </c>
      <c r="O74" s="142">
        <f>O15/O53</f>
        <v>786.5400963445735</v>
      </c>
      <c r="P74" s="142">
        <f>P15/P53</f>
        <v>1198.4104852203011</v>
      </c>
      <c r="Q74" s="142">
        <f>Q15/Q53</f>
        <v>1135.7380688124306</v>
      </c>
      <c r="R74" s="118">
        <f>((Q74/G74)^(1/($H$2-$H$1) ))-1</f>
        <v>0.56864060843398301</v>
      </c>
      <c r="S74" s="127"/>
      <c r="T74" s="155">
        <f>T15/T53</f>
        <v>1276.3532582844457</v>
      </c>
      <c r="U74" s="155">
        <f>U15/U53</f>
        <v>1434.377947405377</v>
      </c>
      <c r="V74" s="155">
        <f>V15/V53</f>
        <v>1611.9675980365187</v>
      </c>
      <c r="W74" s="155">
        <f>W15/W53</f>
        <v>1811.5445387458019</v>
      </c>
      <c r="X74" s="155">
        <f>X15/X53</f>
        <v>2035.8310054476631</v>
      </c>
      <c r="Y74" s="155">
        <f>Y15/Y53</f>
        <v>2287.8862727888018</v>
      </c>
      <c r="Z74" s="155">
        <f>Z15/Z53</f>
        <v>2571.1483827531292</v>
      </c>
      <c r="AA74" s="155">
        <f>AA15/AA53</f>
        <v>2889.4810396654216</v>
      </c>
      <c r="AB74" s="155">
        <f>AB15/AB53</f>
        <v>3247.2263112430455</v>
      </c>
      <c r="AC74" s="155">
        <f>AC15/AC53</f>
        <v>3649.2638545398031</v>
      </c>
      <c r="AD74" s="136">
        <f t="shared" si="185"/>
        <v>0.29817101533792623</v>
      </c>
      <c r="AE74" s="31">
        <f t="shared" si="17"/>
        <v>0.05</v>
      </c>
      <c r="AF74" s="144">
        <f t="shared" si="186"/>
        <v>25544.846981778617</v>
      </c>
    </row>
    <row r="75" spans="2:32" x14ac:dyDescent="0.2">
      <c r="B75" s="20" t="s">
        <v>254</v>
      </c>
      <c r="C75" s="126"/>
      <c r="D75" s="126"/>
      <c r="E75" s="126"/>
      <c r="F75" s="142"/>
      <c r="G75" s="142">
        <f t="shared" ref="G75:Q75" si="188">(G73+G74)</f>
        <v>19.75</v>
      </c>
      <c r="H75" s="142">
        <f t="shared" si="188"/>
        <v>19.75</v>
      </c>
      <c r="I75" s="142">
        <f t="shared" si="188"/>
        <v>50</v>
      </c>
      <c r="J75" s="142">
        <f t="shared" si="188"/>
        <v>109.75</v>
      </c>
      <c r="K75" s="142">
        <f t="shared" si="188"/>
        <v>171.4814814814815</v>
      </c>
      <c r="L75" s="142">
        <f t="shared" si="188"/>
        <v>239.71034018187942</v>
      </c>
      <c r="M75" s="142">
        <f t="shared" ref="M75" si="189">(M73+M74)</f>
        <v>300.61837455830386</v>
      </c>
      <c r="N75" s="142">
        <f t="shared" si="188"/>
        <v>542.59365994236305</v>
      </c>
      <c r="O75" s="142">
        <f t="shared" si="188"/>
        <v>786.5400963445735</v>
      </c>
      <c r="P75" s="142">
        <f t="shared" ref="P75" si="190">(P73+P74)</f>
        <v>1198.4104852203011</v>
      </c>
      <c r="Q75" s="142">
        <f t="shared" si="188"/>
        <v>1135.7380688124306</v>
      </c>
      <c r="R75" s="118">
        <f>((Q75/G75)^(1/($H$2-$H$1) ))-1</f>
        <v>0.56864060843398301</v>
      </c>
      <c r="S75" s="127"/>
      <c r="T75" s="155">
        <f t="shared" ref="T75:AC75" si="191">(T73+T74)</f>
        <v>1276.3532582844457</v>
      </c>
      <c r="U75" s="155">
        <f t="shared" si="191"/>
        <v>1434.377947405377</v>
      </c>
      <c r="V75" s="155">
        <f t="shared" si="191"/>
        <v>1611.9675980365187</v>
      </c>
      <c r="W75" s="155">
        <f t="shared" si="191"/>
        <v>1811.5445387458019</v>
      </c>
      <c r="X75" s="155">
        <f t="shared" si="191"/>
        <v>2035.8310054476631</v>
      </c>
      <c r="Y75" s="155">
        <f t="shared" si="191"/>
        <v>2287.8862727888018</v>
      </c>
      <c r="Z75" s="155">
        <f t="shared" si="191"/>
        <v>2571.1483827531292</v>
      </c>
      <c r="AA75" s="155">
        <f t="shared" si="191"/>
        <v>2889.4810396654216</v>
      </c>
      <c r="AB75" s="155">
        <f t="shared" si="191"/>
        <v>3247.2263112430455</v>
      </c>
      <c r="AC75" s="155">
        <f t="shared" si="191"/>
        <v>3649.2638545398031</v>
      </c>
      <c r="AD75" s="136">
        <f t="shared" si="185"/>
        <v>0.29817101533792623</v>
      </c>
      <c r="AE75" s="31">
        <f t="shared" si="17"/>
        <v>0.05</v>
      </c>
      <c r="AF75" s="144">
        <f t="shared" si="186"/>
        <v>25544.846981778617</v>
      </c>
    </row>
    <row r="76" spans="2:32" x14ac:dyDescent="0.2">
      <c r="B76" s="20"/>
      <c r="C76" s="126"/>
      <c r="D76" s="126"/>
      <c r="E76" s="126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27"/>
      <c r="S76" s="127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37"/>
      <c r="AE76" s="137"/>
      <c r="AF76" s="144">
        <f t="shared" si="186"/>
        <v>0</v>
      </c>
    </row>
    <row r="77" spans="2:32" x14ac:dyDescent="0.2">
      <c r="B77" s="20" t="s">
        <v>278</v>
      </c>
      <c r="C77" s="157"/>
      <c r="D77" s="157"/>
      <c r="E77" s="157"/>
      <c r="F77" s="157"/>
      <c r="G77" s="157">
        <f>G55</f>
        <v>0</v>
      </c>
      <c r="H77" s="157">
        <f>H55</f>
        <v>0</v>
      </c>
      <c r="I77" s="157">
        <f>I55</f>
        <v>0</v>
      </c>
      <c r="J77" s="157">
        <f>J55</f>
        <v>0</v>
      </c>
      <c r="K77" s="157">
        <f>K55</f>
        <v>0</v>
      </c>
      <c r="L77" s="157">
        <f>L55</f>
        <v>0</v>
      </c>
      <c r="M77" s="157">
        <f>M55</f>
        <v>1.5</v>
      </c>
      <c r="N77" s="157">
        <f>N55</f>
        <v>2.5</v>
      </c>
      <c r="O77" s="157">
        <f>O55</f>
        <v>4</v>
      </c>
      <c r="P77" s="157">
        <f>P55</f>
        <v>6</v>
      </c>
      <c r="Q77" s="157">
        <f>Q55</f>
        <v>8</v>
      </c>
      <c r="R77" s="118" t="e">
        <f>((Q77/G77)^(1/($H$2-$H$1) ))-1</f>
        <v>#DIV/0!</v>
      </c>
      <c r="S77" s="127"/>
      <c r="T77" s="157">
        <f>T55</f>
        <v>8.4</v>
      </c>
      <c r="U77" s="157">
        <f>U55</f>
        <v>8.82</v>
      </c>
      <c r="V77" s="157">
        <f>V55</f>
        <v>9.261000000000001</v>
      </c>
      <c r="W77" s="157">
        <f>W55</f>
        <v>9.7240500000000019</v>
      </c>
      <c r="X77" s="157">
        <f>X55</f>
        <v>10.210252500000003</v>
      </c>
      <c r="Y77" s="157">
        <f>Y55</f>
        <v>10.720765125000003</v>
      </c>
      <c r="Z77" s="157">
        <f>Z55</f>
        <v>11.256803381250004</v>
      </c>
      <c r="AA77" s="157">
        <f>AA55</f>
        <v>11.819643550312504</v>
      </c>
      <c r="AB77" s="157">
        <f>AB55</f>
        <v>12.41062572782813</v>
      </c>
      <c r="AC77" s="157">
        <f>AC55</f>
        <v>13.031157014219536</v>
      </c>
      <c r="AD77" s="136" t="e">
        <f t="shared" ref="AD77" si="192">((AC77/G77)^(1/($AC$3-$H$1) ))-1</f>
        <v>#DIV/0!</v>
      </c>
      <c r="AE77" s="31">
        <f t="shared" si="17"/>
        <v>0.05</v>
      </c>
      <c r="AF77" s="144">
        <f t="shared" si="186"/>
        <v>91.218099099536744</v>
      </c>
    </row>
    <row r="78" spans="2:32" x14ac:dyDescent="0.2">
      <c r="B78" s="20"/>
      <c r="C78" s="126"/>
      <c r="D78" s="126"/>
      <c r="E78" s="126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27"/>
      <c r="S78" s="127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37"/>
      <c r="AE78" s="135"/>
      <c r="AF78" s="152"/>
    </row>
    <row r="79" spans="2:32" x14ac:dyDescent="0.2">
      <c r="B79" s="20" t="s">
        <v>306</v>
      </c>
      <c r="C79" s="126"/>
      <c r="D79" s="126"/>
      <c r="E79" s="126"/>
      <c r="F79" s="142"/>
      <c r="G79" s="142">
        <f>G22+G23</f>
        <v>-163</v>
      </c>
      <c r="H79" s="142">
        <f>H22+H23</f>
        <v>-163</v>
      </c>
      <c r="I79" s="142">
        <f>I22+I23</f>
        <v>-236</v>
      </c>
      <c r="J79" s="142">
        <f>J22+J23</f>
        <v>579</v>
      </c>
      <c r="K79" s="142">
        <f>K22+K23</f>
        <v>-245</v>
      </c>
      <c r="L79" s="142">
        <f>L22+L23</f>
        <v>-425</v>
      </c>
      <c r="M79" s="142">
        <f>M22+M23</f>
        <v>-1046</v>
      </c>
      <c r="N79" s="142">
        <f>N22+N23</f>
        <v>-373</v>
      </c>
      <c r="O79" s="142">
        <f>O22+O23</f>
        <v>-1275</v>
      </c>
      <c r="P79" s="142">
        <f>P22+P23</f>
        <v>-6201</v>
      </c>
      <c r="Q79" s="142">
        <f>Q22+Q23</f>
        <v>1650</v>
      </c>
      <c r="R79" s="118">
        <f>((Q79/G79)^(1/($H$2-$H$1) ))-1</f>
        <v>-2.2933009402490292</v>
      </c>
      <c r="S79" s="127"/>
      <c r="T79" s="142">
        <f>T22+T23</f>
        <v>1946.9999999999995</v>
      </c>
      <c r="U79" s="142">
        <f>U22+U23</f>
        <v>2297.4599999999996</v>
      </c>
      <c r="V79" s="142">
        <f>V22+V23</f>
        <v>2711.0027999999993</v>
      </c>
      <c r="W79" s="142">
        <f>W22+W23</f>
        <v>3198.9833039999985</v>
      </c>
      <c r="X79" s="142">
        <f>X22+X23</f>
        <v>3774.800298719998</v>
      </c>
      <c r="Y79" s="142">
        <f>Y22+Y23</f>
        <v>4454.2643524895966</v>
      </c>
      <c r="Z79" s="142">
        <f>Z22+Z23</f>
        <v>5256.0319359377227</v>
      </c>
      <c r="AA79" s="142">
        <f>AA22+AA23</f>
        <v>6202.1176844065121</v>
      </c>
      <c r="AB79" s="142">
        <f>AB22+AB23</f>
        <v>7318.4988675996829</v>
      </c>
      <c r="AC79" s="142">
        <f>AC22+AC23</f>
        <v>8635.8286637676265</v>
      </c>
      <c r="AD79" s="136" t="e">
        <f t="shared" ref="AD79:AD84" si="193">((AC79/G79)^(1/($AC$3-$H$1) ))-1</f>
        <v>#NUM!</v>
      </c>
      <c r="AE79" s="31">
        <f t="shared" si="17"/>
        <v>0.05</v>
      </c>
      <c r="AF79" s="144">
        <f t="shared" si="186"/>
        <v>60450.800646373384</v>
      </c>
    </row>
    <row r="80" spans="2:32" x14ac:dyDescent="0.2">
      <c r="B80" s="20"/>
      <c r="C80" s="126"/>
      <c r="D80" s="126"/>
      <c r="E80" s="126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27"/>
      <c r="S80" s="127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37"/>
      <c r="AE80" s="135"/>
      <c r="AF80" s="144"/>
    </row>
    <row r="81" spans="2:32" x14ac:dyDescent="0.2">
      <c r="B81" s="20" t="s">
        <v>307</v>
      </c>
      <c r="C81" s="126"/>
      <c r="D81" s="126"/>
      <c r="E81" s="126"/>
      <c r="F81" s="142"/>
      <c r="G81" s="142">
        <f>G79/G53</f>
        <v>-8.15</v>
      </c>
      <c r="H81" s="142">
        <f>H79/H53</f>
        <v>-8.15</v>
      </c>
      <c r="I81" s="142">
        <f>I79/I53</f>
        <v>-8.7407407407407405</v>
      </c>
      <c r="J81" s="142">
        <f>J79/J53</f>
        <v>20.678571428571427</v>
      </c>
      <c r="K81" s="142">
        <f>K79/K53</f>
        <v>-8.2491582491582491</v>
      </c>
      <c r="L81" s="142">
        <f>L79/L53</f>
        <v>-14.314584035028629</v>
      </c>
      <c r="M81" s="142">
        <f>M79/M53</f>
        <v>-30.800942285041224</v>
      </c>
      <c r="N81" s="142">
        <f>N79/N53</f>
        <v>-10.749279538904899</v>
      </c>
      <c r="O81" s="142">
        <f>O79/O53</f>
        <v>-36.129215075092098</v>
      </c>
      <c r="P81" s="142">
        <f>P79/P53</f>
        <v>-172.92247629670942</v>
      </c>
      <c r="Q81" s="142">
        <f>Q79/Q53</f>
        <v>45.782463928967815</v>
      </c>
      <c r="R81" s="118">
        <f>((Q81/G81)^(1/($H$2-$H$1) ))-1</f>
        <v>-2.2113855664998683</v>
      </c>
      <c r="S81" s="127"/>
      <c r="T81" s="144">
        <f>T79/T53</f>
        <v>51.450768986840011</v>
      </c>
      <c r="U81" s="144">
        <f>U79/U53</f>
        <v>57.82086419473449</v>
      </c>
      <c r="V81" s="144">
        <f>V79/V53</f>
        <v>64.979637856939704</v>
      </c>
      <c r="W81" s="144">
        <f>W79/W53</f>
        <v>73.024735877322698</v>
      </c>
      <c r="X81" s="144">
        <f>X79/X53</f>
        <v>82.065893652610256</v>
      </c>
      <c r="Y81" s="144">
        <f>Y79/Y53</f>
        <v>92.226432866742925</v>
      </c>
      <c r="Z81" s="144">
        <f>Z79/Z53</f>
        <v>103.64494360262535</v>
      </c>
      <c r="AA81" s="144">
        <f>AA79/AA53</f>
        <v>116.47717471533133</v>
      </c>
      <c r="AB81" s="144">
        <f>AB79/AB53</f>
        <v>130.89815825151518</v>
      </c>
      <c r="AC81" s="144">
        <f>AC79/AC53</f>
        <v>147.10459689217899</v>
      </c>
      <c r="AD81" s="136" t="e">
        <f t="shared" si="193"/>
        <v>#NUM!</v>
      </c>
      <c r="AE81" s="31">
        <f t="shared" si="17"/>
        <v>0.05</v>
      </c>
      <c r="AF81" s="144">
        <f t="shared" si="186"/>
        <v>1029.7321782452527</v>
      </c>
    </row>
    <row r="82" spans="2:32" x14ac:dyDescent="0.2">
      <c r="B82" s="20" t="s">
        <v>283</v>
      </c>
      <c r="C82" s="126"/>
      <c r="D82" s="126"/>
      <c r="E82" s="126"/>
      <c r="F82" s="142"/>
      <c r="G82" s="142">
        <f>G22/G53</f>
        <v>-2.75</v>
      </c>
      <c r="H82" s="142">
        <f>H22/H53</f>
        <v>-2.75</v>
      </c>
      <c r="I82" s="142">
        <f>I22/I53</f>
        <v>-6.1481481481481479</v>
      </c>
      <c r="J82" s="142">
        <f>J22/J53</f>
        <v>64.321428571428569</v>
      </c>
      <c r="K82" s="142">
        <f>K22/K53</f>
        <v>-6.5993265993265995</v>
      </c>
      <c r="L82" s="142">
        <f>L22/L53</f>
        <v>-12.293701583024587</v>
      </c>
      <c r="M82" s="142">
        <f>M22/M53</f>
        <v>28.268551236749115</v>
      </c>
      <c r="N82" s="142">
        <f>N22/N53</f>
        <v>87.896253602305464</v>
      </c>
      <c r="O82" s="142">
        <f>O22/O53</f>
        <v>101.67186171720034</v>
      </c>
      <c r="P82" s="142">
        <f>P22/P53</f>
        <v>15.05856107083101</v>
      </c>
      <c r="Q82" s="142">
        <f>Q22/Q53</f>
        <v>123.41842397336293</v>
      </c>
      <c r="R82" s="118">
        <f>((Q82/G82)^(1/($H$2-$H$1) ))-1</f>
        <v>-2.5260220586168356</v>
      </c>
      <c r="S82" s="127"/>
      <c r="T82" s="144">
        <f>T22/T53</f>
        <v>138.69880027482691</v>
      </c>
      <c r="U82" s="144">
        <f>U22/U53</f>
        <v>155.87103268980547</v>
      </c>
      <c r="V82" s="144">
        <f>V22/V53</f>
        <v>175.16935102282898</v>
      </c>
      <c r="W82" s="144">
        <f>W22/W53</f>
        <v>196.85698495898873</v>
      </c>
      <c r="X82" s="144">
        <f>X22/X53</f>
        <v>221.22975452533967</v>
      </c>
      <c r="Y82" s="144">
        <f>Y22/Y53</f>
        <v>248.62010508561977</v>
      </c>
      <c r="Z82" s="144">
        <f>Z22/Z53</f>
        <v>279.4016419057441</v>
      </c>
      <c r="AA82" s="144">
        <f>AA22/AA53</f>
        <v>313.99422614169333</v>
      </c>
      <c r="AB82" s="144">
        <f>AB22/AB53</f>
        <v>352.86970175923625</v>
      </c>
      <c r="AC82" s="144">
        <f>AC22/AC53</f>
        <v>396.55833150085601</v>
      </c>
      <c r="AD82" s="136" t="e">
        <f t="shared" si="193"/>
        <v>#NUM!</v>
      </c>
      <c r="AE82" s="31">
        <f t="shared" si="17"/>
        <v>0.05</v>
      </c>
      <c r="AF82" s="144">
        <f t="shared" si="186"/>
        <v>2775.9083205059919</v>
      </c>
    </row>
    <row r="83" spans="2:32" x14ac:dyDescent="0.2">
      <c r="B83" s="20" t="s">
        <v>284</v>
      </c>
      <c r="C83" s="126"/>
      <c r="D83" s="126"/>
      <c r="E83" s="126"/>
      <c r="F83" s="142"/>
      <c r="G83" s="142">
        <f>G23/G53</f>
        <v>-5.4</v>
      </c>
      <c r="H83" s="142">
        <f>H23/H53</f>
        <v>-5.4</v>
      </c>
      <c r="I83" s="142">
        <f>I23/I53</f>
        <v>-2.5925925925925926</v>
      </c>
      <c r="J83" s="142">
        <f>J23/J53</f>
        <v>-43.642857142857146</v>
      </c>
      <c r="K83" s="142">
        <f>K23/K53</f>
        <v>-1.6498316498316499</v>
      </c>
      <c r="L83" s="142">
        <f>L23/L53</f>
        <v>-2.0208824520040416</v>
      </c>
      <c r="M83" s="142">
        <f>M23/M53</f>
        <v>-59.069493521790342</v>
      </c>
      <c r="N83" s="142">
        <f>N23/N53</f>
        <v>-98.645533141210365</v>
      </c>
      <c r="O83" s="142">
        <f>O23/O53</f>
        <v>-137.80107679229243</v>
      </c>
      <c r="P83" s="142">
        <f>P23/P53</f>
        <v>-187.98103736754044</v>
      </c>
      <c r="Q83" s="142">
        <f>Q23/Q53</f>
        <v>-77.635960044395119</v>
      </c>
      <c r="R83" s="118">
        <f>((Q83/G83)^(1/($H$2-$H$1) ))-1</f>
        <v>0.34471394166576297</v>
      </c>
      <c r="S83" s="127"/>
      <c r="T83" s="144">
        <f>T23/T53</f>
        <v>-87.24803128798689</v>
      </c>
      <c r="U83" s="144">
        <f>U23/U53</f>
        <v>-98.050168495070977</v>
      </c>
      <c r="V83" s="144">
        <f>V23/V53</f>
        <v>-110.18971316588927</v>
      </c>
      <c r="W83" s="144">
        <f>W23/W53</f>
        <v>-123.83224908166602</v>
      </c>
      <c r="X83" s="144">
        <f>X23/X53</f>
        <v>-139.16386087272943</v>
      </c>
      <c r="Y83" s="144">
        <f>Y23/Y53</f>
        <v>-156.39367221887684</v>
      </c>
      <c r="Z83" s="144">
        <f>Z23/Z53</f>
        <v>-175.75669830311872</v>
      </c>
      <c r="AA83" s="144">
        <f>AA23/AA53</f>
        <v>-197.517051426362</v>
      </c>
      <c r="AB83" s="144">
        <f>AB23/AB53</f>
        <v>-221.97154350772109</v>
      </c>
      <c r="AC83" s="144">
        <f>AC23/AC53</f>
        <v>-249.453734608677</v>
      </c>
      <c r="AD83" s="136">
        <f t="shared" si="193"/>
        <v>0.21123890666867262</v>
      </c>
      <c r="AE83" s="31">
        <f t="shared" si="17"/>
        <v>0.05</v>
      </c>
      <c r="AF83" s="144">
        <f t="shared" si="186"/>
        <v>-1746.1761422607387</v>
      </c>
    </row>
    <row r="84" spans="2:32" x14ac:dyDescent="0.2">
      <c r="B84" s="20" t="s">
        <v>285</v>
      </c>
      <c r="C84" s="126"/>
      <c r="D84" s="126"/>
      <c r="E84" s="126"/>
      <c r="F84" s="142"/>
      <c r="G84" s="142">
        <f>G24/G53</f>
        <v>10.85</v>
      </c>
      <c r="H84" s="142">
        <f>H24/H53</f>
        <v>10.85</v>
      </c>
      <c r="I84" s="142">
        <f>I24/I53</f>
        <v>14.74074074074074</v>
      </c>
      <c r="J84" s="142">
        <f>J24/J53</f>
        <v>17.785714285714285</v>
      </c>
      <c r="K84" s="142">
        <f>K24/K53</f>
        <v>19.528619528619529</v>
      </c>
      <c r="L84" s="142">
        <f>L24/L53</f>
        <v>24.250589424048499</v>
      </c>
      <c r="M84" s="142">
        <f>M24/M53</f>
        <v>52.885747938751472</v>
      </c>
      <c r="N84" s="142">
        <f>N24/N53</f>
        <v>34.438040345821321</v>
      </c>
      <c r="O84" s="142">
        <f>O24/O53</f>
        <v>38.651175970529899</v>
      </c>
      <c r="P84" s="142">
        <f>P24/P53</f>
        <v>186.30786391522588</v>
      </c>
      <c r="Q84" s="142">
        <f>Q24/Q53</f>
        <v>4.8557158712541622</v>
      </c>
      <c r="R84" s="118">
        <f>((Q84/G84)^(1/($H$2-$H$1) ))-1</f>
        <v>-8.5460191806414953E-2</v>
      </c>
      <c r="S84" s="127"/>
      <c r="T84" s="144">
        <f>T24/T53</f>
        <v>5.4568997410284874</v>
      </c>
      <c r="U84" s="144">
        <f>U24/U53</f>
        <v>6.1325158994415379</v>
      </c>
      <c r="V84" s="144">
        <f>V24/V53</f>
        <v>6.8917797727057284</v>
      </c>
      <c r="W84" s="144">
        <f>W24/W53</f>
        <v>7.7450477445645314</v>
      </c>
      <c r="X84" s="144">
        <f>X24/X53</f>
        <v>8.7039584177010916</v>
      </c>
      <c r="Y84" s="144">
        <f>Y24/Y53</f>
        <v>9.7815913646545578</v>
      </c>
      <c r="Z84" s="144">
        <f>Z24/Z53</f>
        <v>10.992645533611787</v>
      </c>
      <c r="AA84" s="144">
        <f>AA24/AA53</f>
        <v>12.353639742535149</v>
      </c>
      <c r="AB84" s="144">
        <f>AB24/AB53</f>
        <v>13.883137996372835</v>
      </c>
      <c r="AC84" s="144">
        <f>AC24/AC53</f>
        <v>15.602002700685659</v>
      </c>
      <c r="AD84" s="136">
        <f t="shared" si="193"/>
        <v>1.8327637055804091E-2</v>
      </c>
      <c r="AE84" s="31">
        <f t="shared" si="17"/>
        <v>0.05</v>
      </c>
      <c r="AF84" s="144">
        <f t="shared" si="186"/>
        <v>109.21401890479962</v>
      </c>
    </row>
    <row r="85" spans="2:32" x14ac:dyDescent="0.2">
      <c r="B85" s="20" t="s">
        <v>290</v>
      </c>
      <c r="C85" s="126"/>
      <c r="D85" s="126"/>
      <c r="E85" s="126"/>
      <c r="F85" s="142"/>
      <c r="G85" s="142">
        <f>G25/G53</f>
        <v>2.65</v>
      </c>
      <c r="H85" s="142">
        <f>H25/H53</f>
        <v>2.65</v>
      </c>
      <c r="I85" s="142">
        <f>I25/I53</f>
        <v>8</v>
      </c>
      <c r="J85" s="142">
        <f>J25/J53</f>
        <v>46.142857142857146</v>
      </c>
      <c r="K85" s="142">
        <f>K25/K53</f>
        <v>54.781144781144782</v>
      </c>
      <c r="L85" s="142">
        <f>L25/L53</f>
        <v>64.735601212529474</v>
      </c>
      <c r="M85" s="142">
        <f>M25/M53</f>
        <v>78.710247349823319</v>
      </c>
      <c r="N85" s="142">
        <f>N25/N53</f>
        <v>100.72046109510086</v>
      </c>
      <c r="O85" s="142">
        <f>O25/O53</f>
        <v>101.5868517993766</v>
      </c>
      <c r="P85" s="142">
        <f>P25/P53</f>
        <v>113.35750139431121</v>
      </c>
      <c r="Q85" s="142">
        <f>Q25/Q53</f>
        <v>163.45726970033297</v>
      </c>
      <c r="R85" s="118">
        <f>((Q85/G85)^(1/($H$2-$H$1) ))-1</f>
        <v>0.58090759232620504</v>
      </c>
      <c r="S85" s="127"/>
      <c r="T85" s="144">
        <f>T25/T53</f>
        <v>183.69483642513609</v>
      </c>
      <c r="U85" s="144">
        <f>U25/U53</f>
        <v>206.4380066492005</v>
      </c>
      <c r="V85" s="144">
        <f>V25/V53</f>
        <v>231.99699794862534</v>
      </c>
      <c r="W85" s="144">
        <f>W25/W53</f>
        <v>260.72043578988365</v>
      </c>
      <c r="X85" s="144">
        <f>X25/X53</f>
        <v>293.0001087924407</v>
      </c>
      <c r="Y85" s="144">
        <f>Y25/Y53</f>
        <v>329.27631273817138</v>
      </c>
      <c r="Z85" s="144">
        <f>Z25/Z53</f>
        <v>370.04385622004014</v>
      </c>
      <c r="AA85" s="144">
        <f>AA25/AA53</f>
        <v>415.85880984728317</v>
      </c>
      <c r="AB85" s="144">
        <f>AB25/AB53</f>
        <v>467.34609106647059</v>
      </c>
      <c r="AC85" s="144">
        <f>AC25/AC53</f>
        <v>525.20798805565266</v>
      </c>
      <c r="AD85" s="136">
        <f t="shared" ref="AD85" si="194">((AC85/G85)^(1/($AC$3-$H$1) ))-1</f>
        <v>0.30272957406416445</v>
      </c>
      <c r="AE85" s="31">
        <f t="shared" si="17"/>
        <v>0.05</v>
      </c>
      <c r="AF85" s="144">
        <f t="shared" si="186"/>
        <v>3676.4559163895683</v>
      </c>
    </row>
    <row r="86" spans="2:32" x14ac:dyDescent="0.2">
      <c r="B86" s="20"/>
      <c r="C86" s="126"/>
      <c r="D86" s="126"/>
      <c r="E86" s="126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27"/>
      <c r="S86" s="127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7"/>
      <c r="AE86" s="135"/>
      <c r="AF86" s="152"/>
    </row>
    <row r="87" spans="2:32" x14ac:dyDescent="0.2">
      <c r="B87" s="20" t="s">
        <v>301</v>
      </c>
      <c r="C87" s="142"/>
      <c r="D87" s="142"/>
      <c r="E87" s="142"/>
      <c r="F87" s="142"/>
      <c r="G87" s="142">
        <f>G47/G53</f>
        <v>0</v>
      </c>
      <c r="H87" s="142">
        <f>H47/H53</f>
        <v>0</v>
      </c>
      <c r="I87" s="142">
        <f>I47/I53</f>
        <v>0</v>
      </c>
      <c r="J87" s="142">
        <f>J47/J53</f>
        <v>0</v>
      </c>
      <c r="K87" s="142">
        <f>K47/K53</f>
        <v>0</v>
      </c>
      <c r="L87" s="142">
        <f>L47/L53</f>
        <v>0</v>
      </c>
      <c r="M87" s="142">
        <f>M47/M53</f>
        <v>0</v>
      </c>
      <c r="N87" s="142">
        <f>N47/N53</f>
        <v>0</v>
      </c>
      <c r="O87" s="142">
        <f>O47/O53</f>
        <v>0</v>
      </c>
      <c r="P87" s="142">
        <f>P47/P53</f>
        <v>0</v>
      </c>
      <c r="Q87" s="142">
        <f>Q47/Q53</f>
        <v>0</v>
      </c>
      <c r="R87" s="118" t="e">
        <f>((Q87/G87)^(1/($H$2-$H$1) ))-1</f>
        <v>#DIV/0!</v>
      </c>
      <c r="S87" s="127"/>
      <c r="T87" s="142">
        <f>T47/T53</f>
        <v>0</v>
      </c>
      <c r="U87" s="142">
        <f>U47/U53</f>
        <v>0</v>
      </c>
      <c r="V87" s="142">
        <f>V47/V53</f>
        <v>0</v>
      </c>
      <c r="W87" s="142">
        <f>W47/W53</f>
        <v>0</v>
      </c>
      <c r="X87" s="142">
        <f>X47/X53</f>
        <v>0</v>
      </c>
      <c r="Y87" s="142">
        <f>Y47/Y53</f>
        <v>0</v>
      </c>
      <c r="Z87" s="142">
        <f>Z47/Z53</f>
        <v>0</v>
      </c>
      <c r="AA87" s="142">
        <f>AA47/AA53</f>
        <v>0</v>
      </c>
      <c r="AB87" s="142">
        <f>AB47/AB53</f>
        <v>0</v>
      </c>
      <c r="AC87" s="142">
        <f>AC47/AC53</f>
        <v>0</v>
      </c>
      <c r="AD87" s="136" t="e">
        <f t="shared" ref="AD87:AD89" si="195">((AC87/G87)^(1/($AC$3-$H$1) ))-1</f>
        <v>#DIV/0!</v>
      </c>
      <c r="AE87" s="31">
        <f t="shared" si="17"/>
        <v>0.05</v>
      </c>
      <c r="AF87" s="144">
        <f t="shared" si="186"/>
        <v>0</v>
      </c>
    </row>
    <row r="88" spans="2:32" x14ac:dyDescent="0.2">
      <c r="B88" s="20" t="s">
        <v>302</v>
      </c>
      <c r="C88" s="142"/>
      <c r="D88" s="142"/>
      <c r="E88" s="142"/>
      <c r="F88" s="142"/>
      <c r="G88" s="142">
        <f>G51/G53</f>
        <v>-0.2</v>
      </c>
      <c r="H88" s="142">
        <f>H51/H53</f>
        <v>-0.2</v>
      </c>
      <c r="I88" s="142">
        <f>I51/I53</f>
        <v>2.0370370370370372</v>
      </c>
      <c r="J88" s="142">
        <f>J51/J53</f>
        <v>3.3571428571428572</v>
      </c>
      <c r="K88" s="142">
        <f>K51/K53</f>
        <v>6.7340067340067344</v>
      </c>
      <c r="L88" s="142">
        <f>L51/L53</f>
        <v>10.239137756820478</v>
      </c>
      <c r="M88" s="142">
        <f>M51/M53</f>
        <v>14.075382803297996</v>
      </c>
      <c r="N88" s="142">
        <f>N51/N53</f>
        <v>20.95100864553314</v>
      </c>
      <c r="O88" s="142">
        <f>O51/O53</f>
        <v>27.684896571266648</v>
      </c>
      <c r="P88" s="142">
        <f>P51/P53</f>
        <v>36.252091466815394</v>
      </c>
      <c r="Q88" s="142">
        <f>Q51/Q53</f>
        <v>44.700332963374031</v>
      </c>
      <c r="R88" s="118">
        <f>((Q88/G88)^(1/($H$2-$H$1) ))-1</f>
        <v>-2.8240267193640416</v>
      </c>
      <c r="S88" s="127"/>
      <c r="T88" s="142">
        <f>T51/T53</f>
        <v>50.234659901696524</v>
      </c>
      <c r="U88" s="142">
        <f>U51/U53</f>
        <v>56.454189222858957</v>
      </c>
      <c r="V88" s="142">
        <f>V51/V53</f>
        <v>63.443755507593863</v>
      </c>
      <c r="W88" s="142">
        <f>W51/W53</f>
        <v>71.2986966656769</v>
      </c>
      <c r="X88" s="142">
        <f>X51/X53</f>
        <v>80.126154348094033</v>
      </c>
      <c r="Y88" s="142">
        <f>Y51/Y53</f>
        <v>90.046535362619949</v>
      </c>
      <c r="Z88" s="142">
        <f>Z51/Z53</f>
        <v>101.19515402656336</v>
      </c>
      <c r="AA88" s="142">
        <f>AA51/AA53</f>
        <v>113.72407785842357</v>
      </c>
      <c r="AB88" s="142">
        <f>AB51/AB53</f>
        <v>127.80420178375221</v>
      </c>
      <c r="AC88" s="142">
        <f>AC51/AC53</f>
        <v>143.62757914745487</v>
      </c>
      <c r="AD88" s="136" t="e">
        <f t="shared" si="195"/>
        <v>#NUM!</v>
      </c>
      <c r="AE88" s="31">
        <f t="shared" si="17"/>
        <v>0.05</v>
      </c>
      <c r="AF88" s="144">
        <f t="shared" si="186"/>
        <v>1005.393054032184</v>
      </c>
    </row>
    <row r="89" spans="2:32" x14ac:dyDescent="0.2">
      <c r="B89" s="20" t="s">
        <v>303</v>
      </c>
      <c r="C89" s="142"/>
      <c r="D89" s="142"/>
      <c r="E89" s="142"/>
      <c r="F89" s="142"/>
      <c r="G89" s="142">
        <f>G6/G53</f>
        <v>0.85</v>
      </c>
      <c r="H89" s="142">
        <f>H6/H53</f>
        <v>0.85</v>
      </c>
      <c r="I89" s="142">
        <f>I6/I53</f>
        <v>11.222222222222221</v>
      </c>
      <c r="J89" s="142">
        <f>J6/J53</f>
        <v>18.107142857142858</v>
      </c>
      <c r="K89" s="142">
        <f>K6/K53</f>
        <v>34.444444444444443</v>
      </c>
      <c r="L89" s="142">
        <f>L6/L53</f>
        <v>44.695183563489387</v>
      </c>
      <c r="M89" s="142">
        <f>M6/M53</f>
        <v>80.948174322732626</v>
      </c>
      <c r="N89" s="142">
        <f>N6/N53</f>
        <v>99.308357348703169</v>
      </c>
      <c r="O89" s="142">
        <f>O6/O53</f>
        <v>122.49929158401814</v>
      </c>
      <c r="P89" s="142">
        <f>P6/P53</f>
        <v>151.952035694367</v>
      </c>
      <c r="Q89" s="142">
        <f>Q6/Q53</f>
        <v>187.59711431742508</v>
      </c>
      <c r="R89" s="118">
        <f>((Q89/G89)^(1/($H$2-$H$1) ))-1</f>
        <v>0.82147420504075264</v>
      </c>
      <c r="S89" s="127"/>
      <c r="T89" s="142">
        <f>T6/T53</f>
        <v>210.82342370910627</v>
      </c>
      <c r="U89" s="142">
        <f>U6/U53</f>
        <v>236.92537140642418</v>
      </c>
      <c r="V89" s="142">
        <f>V6/V53</f>
        <v>266.25898881864811</v>
      </c>
      <c r="W89" s="142">
        <f>W6/W53</f>
        <v>299.22438743429024</v>
      </c>
      <c r="X89" s="142">
        <f>X6/X53</f>
        <v>336.27121635472611</v>
      </c>
      <c r="Y89" s="142">
        <f>Y6/Y53</f>
        <v>377.90479552245404</v>
      </c>
      <c r="Z89" s="142">
        <f>Z6/Z53</f>
        <v>424.69300830142447</v>
      </c>
      <c r="AA89" s="142">
        <f>AA6/AA53</f>
        <v>477.27404742445799</v>
      </c>
      <c r="AB89" s="142">
        <f>AB6/AB53</f>
        <v>536.36511996272418</v>
      </c>
      <c r="AC89" s="142">
        <f>AC6/AC53</f>
        <v>602.77223005334713</v>
      </c>
      <c r="AD89" s="136">
        <f t="shared" si="195"/>
        <v>0.38847068710520616</v>
      </c>
      <c r="AE89" s="31">
        <f t="shared" ref="AE89" si="196">$L$1</f>
        <v>0.05</v>
      </c>
      <c r="AF89" s="144">
        <f t="shared" si="186"/>
        <v>4219.4056103734292</v>
      </c>
    </row>
    <row r="90" spans="2:32" x14ac:dyDescent="0.2">
      <c r="B90" s="20"/>
      <c r="C90" s="126"/>
      <c r="D90" s="126"/>
      <c r="E90" s="126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27"/>
      <c r="S90" s="127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37"/>
      <c r="AE90" s="20"/>
      <c r="AF90" s="152"/>
    </row>
    <row r="91" spans="2:32" x14ac:dyDescent="0.2">
      <c r="B91" s="108" t="s">
        <v>300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2:32" x14ac:dyDescent="0.2">
      <c r="B92" s="20" t="s">
        <v>299</v>
      </c>
      <c r="C92" s="150"/>
      <c r="D92" s="150"/>
      <c r="E92" s="150"/>
      <c r="F92" s="150"/>
      <c r="G92" s="150">
        <f>G47/G36</f>
        <v>0</v>
      </c>
      <c r="H92" s="150">
        <f>H47/H36</f>
        <v>0</v>
      </c>
      <c r="I92" s="150">
        <f>I47/I36</f>
        <v>0</v>
      </c>
      <c r="J92" s="150">
        <f>J47/J36</f>
        <v>0</v>
      </c>
      <c r="K92" s="150">
        <f>K47/K36</f>
        <v>0</v>
      </c>
      <c r="L92" s="150">
        <f>L47/L36</f>
        <v>0</v>
      </c>
      <c r="M92" s="176">
        <f>M47/M36</f>
        <v>0</v>
      </c>
      <c r="N92" s="150">
        <f>N47/N36</f>
        <v>0</v>
      </c>
      <c r="O92" s="150">
        <f>O47/O36</f>
        <v>0</v>
      </c>
      <c r="P92" s="150">
        <f>P47/P36</f>
        <v>0</v>
      </c>
      <c r="Q92" s="150">
        <f>Q47/Q36</f>
        <v>0</v>
      </c>
      <c r="R92" s="118" t="e">
        <f t="shared" ref="R92:R138" si="197">((Q92/G92)^(1/($H$2-$H$1) ))-1</f>
        <v>#DIV/0!</v>
      </c>
      <c r="S92" s="150"/>
      <c r="T92" s="150">
        <f>T47/T36</f>
        <v>0</v>
      </c>
      <c r="U92" s="150">
        <f>U47/U36</f>
        <v>0</v>
      </c>
      <c r="V92" s="150">
        <f>V47/V36</f>
        <v>0</v>
      </c>
      <c r="W92" s="150">
        <f>W47/W36</f>
        <v>0</v>
      </c>
      <c r="X92" s="150">
        <f>X47/X36</f>
        <v>0</v>
      </c>
      <c r="Y92" s="150">
        <f>Y47/Y36</f>
        <v>0</v>
      </c>
      <c r="Z92" s="150">
        <f>Z47/Z36</f>
        <v>0</v>
      </c>
      <c r="AA92" s="150">
        <f>AA47/AA36</f>
        <v>0</v>
      </c>
      <c r="AB92" s="150">
        <f>AB47/AB36</f>
        <v>0</v>
      </c>
      <c r="AC92" s="150">
        <f>AC47/AC36</f>
        <v>0</v>
      </c>
      <c r="AD92" s="136" t="e">
        <f t="shared" ref="AD92:AD122" si="198">((AC92/G92)^(1/($AC$3-$H$1) ))-1</f>
        <v>#DIV/0!</v>
      </c>
      <c r="AE92" s="144"/>
      <c r="AF92" s="144"/>
    </row>
    <row r="93" spans="2:32" x14ac:dyDescent="0.2">
      <c r="B93" s="20" t="s">
        <v>264</v>
      </c>
      <c r="C93" s="150"/>
      <c r="D93" s="150"/>
      <c r="E93" s="150"/>
      <c r="F93" s="150"/>
      <c r="G93" s="150">
        <f>G51/G36</f>
        <v>-8.3333333333333329E-2</v>
      </c>
      <c r="H93" s="150">
        <f>H51/H36</f>
        <v>-8.3333333333333329E-2</v>
      </c>
      <c r="I93" s="150">
        <f>I51/I36</f>
        <v>0.19031141868512111</v>
      </c>
      <c r="J93" s="150">
        <f>J51/J36</f>
        <v>0.11928934010152284</v>
      </c>
      <c r="K93" s="150">
        <f>K51/K36</f>
        <v>0.11968880909634949</v>
      </c>
      <c r="L93" s="150">
        <f>L51/L36</f>
        <v>0.12469237079573421</v>
      </c>
      <c r="M93" s="176">
        <f>M51/M36</f>
        <v>0.16230899830220713</v>
      </c>
      <c r="N93" s="150">
        <f>N51/N36</f>
        <v>0.15584137191854233</v>
      </c>
      <c r="O93" s="150">
        <f>O51/O36</f>
        <v>0.13637632607481853</v>
      </c>
      <c r="P93" s="150">
        <f>P51/P36</f>
        <v>0.13611140194744006</v>
      </c>
      <c r="Q93" s="150">
        <f>Q51/Q36</f>
        <v>0.13766877456844984</v>
      </c>
      <c r="R93" s="118">
        <f t="shared" si="197"/>
        <v>-2.0573629215378926</v>
      </c>
      <c r="S93" s="150"/>
      <c r="T93" s="150">
        <f>T51/T36</f>
        <v>0.13766877456844984</v>
      </c>
      <c r="U93" s="150">
        <f>U51/U36</f>
        <v>0.13766877456844984</v>
      </c>
      <c r="V93" s="150">
        <f>V51/V36</f>
        <v>0.13766877456844984</v>
      </c>
      <c r="W93" s="150">
        <f>W51/W36</f>
        <v>0.13766877456844984</v>
      </c>
      <c r="X93" s="150">
        <f>X51/X36</f>
        <v>0.13766877456844986</v>
      </c>
      <c r="Y93" s="150">
        <f>Y51/Y36</f>
        <v>0.13766877456844986</v>
      </c>
      <c r="Z93" s="150">
        <f>Z51/Z36</f>
        <v>0.13766877456844984</v>
      </c>
      <c r="AA93" s="150">
        <f>AA51/AA36</f>
        <v>0.13766877456844984</v>
      </c>
      <c r="AB93" s="150">
        <f>AB51/AB36</f>
        <v>0.13766877456844984</v>
      </c>
      <c r="AC93" s="150">
        <f>AC51/AC36</f>
        <v>0.13766877456844986</v>
      </c>
      <c r="AD93" s="136" t="e">
        <f t="shared" si="198"/>
        <v>#NUM!</v>
      </c>
      <c r="AE93" s="144"/>
      <c r="AF93" s="144"/>
    </row>
    <row r="94" spans="2:32" x14ac:dyDescent="0.2">
      <c r="B94" s="20" t="s">
        <v>341</v>
      </c>
      <c r="C94" s="150"/>
      <c r="D94" s="150"/>
      <c r="E94" s="150"/>
      <c r="F94" s="150"/>
      <c r="G94" s="150">
        <f>G51/G7</f>
        <v>-1.8433179723502304E-2</v>
      </c>
      <c r="H94" s="150">
        <f>H51/H7</f>
        <v>-1.8433179723502304E-2</v>
      </c>
      <c r="I94" s="150">
        <f>I51/I7</f>
        <v>9.6153846153846159E-2</v>
      </c>
      <c r="J94" s="150">
        <f>J51/J7</f>
        <v>0.11944091486658195</v>
      </c>
      <c r="K94" s="150">
        <f>K51/K7</f>
        <v>0.15163002274450341</v>
      </c>
      <c r="L94" s="150">
        <f>L51/L7</f>
        <v>0.18719211822660098</v>
      </c>
      <c r="M94" s="176">
        <f>M51/M7</f>
        <v>0.15474263515700873</v>
      </c>
      <c r="N94" s="150">
        <f>N51/N7</f>
        <v>0.19161834475487613</v>
      </c>
      <c r="O94" s="150">
        <f>O51/O7</f>
        <v>0.20893926432848589</v>
      </c>
      <c r="P94" s="150">
        <f>P51/P7</f>
        <v>0.22386774582400551</v>
      </c>
      <c r="Q94" s="150">
        <f>Q51/Q7</f>
        <v>0.22642304989458889</v>
      </c>
      <c r="R94" s="118">
        <f t="shared" si="197"/>
        <v>-2.3214039406483611</v>
      </c>
      <c r="S94" s="20"/>
      <c r="T94" s="150">
        <f>T51/T7</f>
        <v>0.22642304989458889</v>
      </c>
      <c r="U94" s="150">
        <f>U51/U7</f>
        <v>0.22642304989458895</v>
      </c>
      <c r="V94" s="150">
        <f>V51/V7</f>
        <v>0.22642304989458892</v>
      </c>
      <c r="W94" s="150">
        <f>W51/W7</f>
        <v>0.22642304989458895</v>
      </c>
      <c r="X94" s="150">
        <f>X51/X7</f>
        <v>0.22642304989458895</v>
      </c>
      <c r="Y94" s="150">
        <f>Y51/Y7</f>
        <v>0.22642304989458895</v>
      </c>
      <c r="Z94" s="150">
        <f>Z51/Z7</f>
        <v>0.22642304989458895</v>
      </c>
      <c r="AA94" s="150">
        <f>AA51/AA7</f>
        <v>0.22642304989458895</v>
      </c>
      <c r="AB94" s="150">
        <f>AB51/AB7</f>
        <v>0.22642304989458895</v>
      </c>
      <c r="AC94" s="150">
        <f>AC51/AC7</f>
        <v>0.22642304989458895</v>
      </c>
      <c r="AD94" s="136" t="e">
        <f t="shared" si="198"/>
        <v>#NUM!</v>
      </c>
      <c r="AE94" s="144"/>
      <c r="AF94" s="144"/>
    </row>
    <row r="95" spans="2:32" x14ac:dyDescent="0.2">
      <c r="B95" s="20" t="s">
        <v>342</v>
      </c>
      <c r="C95" s="150"/>
      <c r="D95" s="150"/>
      <c r="E95" s="150"/>
      <c r="F95" s="150"/>
      <c r="G95" s="150">
        <f>(G51)/(G7+G10)</f>
        <v>-3.2025620496397116E-3</v>
      </c>
      <c r="H95" s="150">
        <f>(H51)/(H7+H10)</f>
        <v>-3.2025620496397116E-3</v>
      </c>
      <c r="I95" s="150">
        <f>(I51)/(I7+I10)</f>
        <v>1.3934633899163922E-2</v>
      </c>
      <c r="J95" s="150">
        <f>(J51)/(J7+J10)</f>
        <v>9.5199513874822759E-3</v>
      </c>
      <c r="K95" s="150">
        <f>(K51)/(K7+K10)</f>
        <v>1.2838618564642445E-2</v>
      </c>
      <c r="L95" s="150">
        <f>(L51)/(L7+L10)</f>
        <v>1.5213692323090782E-2</v>
      </c>
      <c r="M95" s="176">
        <f>(M51)/(M7+M10)</f>
        <v>1.3800669823305231E-2</v>
      </c>
      <c r="N95" s="150">
        <f>(N51)/(N7+N10)</f>
        <v>1.288481647555075E-2</v>
      </c>
      <c r="O95" s="150">
        <f>(O51)/(O7+O10)</f>
        <v>1.4371028477288774E-2</v>
      </c>
      <c r="P95" s="150">
        <f>(P51)/(P7+P10)</f>
        <v>1.3876435677383545E-2</v>
      </c>
      <c r="Q95" s="150">
        <f>(Q51)/(Q7+Q10)</f>
        <v>1.5699612138694526E-2</v>
      </c>
      <c r="R95" s="118">
        <f t="shared" si="197"/>
        <v>-2.1931915037309646</v>
      </c>
      <c r="S95" s="20"/>
      <c r="T95" s="150">
        <f>(T51)/(T7+T10)</f>
        <v>1.5699612138694526E-2</v>
      </c>
      <c r="U95" s="150">
        <f>(U51)/(U7+U10)</f>
        <v>1.5699612138694526E-2</v>
      </c>
      <c r="V95" s="150">
        <f>(V51)/(V7+V10)</f>
        <v>1.5699612138694526E-2</v>
      </c>
      <c r="W95" s="150">
        <f>(W51)/(W7+W10)</f>
        <v>1.5699612138694526E-2</v>
      </c>
      <c r="X95" s="150">
        <f>(X51)/(X7+X10)</f>
        <v>1.5699612138694526E-2</v>
      </c>
      <c r="Y95" s="150">
        <f>(Y51)/(Y7+Y10)</f>
        <v>1.5699612138694526E-2</v>
      </c>
      <c r="Z95" s="150">
        <f>(Z51)/(Z7+Z10)</f>
        <v>1.5699612138694526E-2</v>
      </c>
      <c r="AA95" s="150">
        <f>(AA51)/(AA7+AA10)</f>
        <v>1.5699612138694526E-2</v>
      </c>
      <c r="AB95" s="150">
        <f>(AB51)/(AB7+AB10)</f>
        <v>1.569961213869453E-2</v>
      </c>
      <c r="AC95" s="150">
        <f>(AC51)/(AC7+AC10)</f>
        <v>1.569961213869453E-2</v>
      </c>
      <c r="AD95" s="136" t="e">
        <f t="shared" si="198"/>
        <v>#NUM!</v>
      </c>
      <c r="AE95" s="144"/>
      <c r="AF95" s="144"/>
    </row>
    <row r="96" spans="2:32" x14ac:dyDescent="0.2">
      <c r="B96" s="171" t="s">
        <v>360</v>
      </c>
      <c r="C96" s="150"/>
      <c r="D96" s="150"/>
      <c r="E96" s="150"/>
      <c r="F96" s="150"/>
      <c r="G96" s="150">
        <f>G22/G36</f>
        <v>-1.1458333333333333</v>
      </c>
      <c r="H96" s="150">
        <f>H22/H36</f>
        <v>-1.1458333333333333</v>
      </c>
      <c r="I96" s="150">
        <f>I22/I36</f>
        <v>-0.5743944636678201</v>
      </c>
      <c r="J96" s="150">
        <f>J22/J36</f>
        <v>2.2855329949238579</v>
      </c>
      <c r="K96" s="150">
        <f>K22/K36</f>
        <v>-0.1172950329144225</v>
      </c>
      <c r="L96" s="150">
        <f>L22/L36</f>
        <v>-0.14971287940935193</v>
      </c>
      <c r="M96" s="176">
        <f>M22/M36</f>
        <v>0.32597623089983024</v>
      </c>
      <c r="N96" s="150">
        <f>N22/N36</f>
        <v>0.6538049303322615</v>
      </c>
      <c r="O96" s="150">
        <f>O22/O36</f>
        <v>0.50083752093802347</v>
      </c>
      <c r="P96" s="150">
        <f>P22/P36</f>
        <v>5.6538582347398177E-2</v>
      </c>
      <c r="Q96" s="150">
        <f>Q22/Q36</f>
        <v>0.38010596479234321</v>
      </c>
      <c r="R96" s="118">
        <f t="shared" si="197"/>
        <v>-1.8846137642067786</v>
      </c>
      <c r="S96" s="20"/>
      <c r="T96" s="150">
        <f>T22/T36</f>
        <v>0.38010596479234315</v>
      </c>
      <c r="U96" s="150">
        <f>U22/U36</f>
        <v>0.38010596479234321</v>
      </c>
      <c r="V96" s="150">
        <f>V22/V36</f>
        <v>0.38010596479234321</v>
      </c>
      <c r="W96" s="150">
        <f>W22/W36</f>
        <v>0.38010596479234315</v>
      </c>
      <c r="X96" s="150">
        <f>X22/X36</f>
        <v>0.38010596479234315</v>
      </c>
      <c r="Y96" s="150">
        <f>Y22/Y36</f>
        <v>0.38010596479234315</v>
      </c>
      <c r="Z96" s="150">
        <f>Z22/Z36</f>
        <v>0.38010596479234315</v>
      </c>
      <c r="AA96" s="150">
        <f>AA22/AA36</f>
        <v>0.3801059647923431</v>
      </c>
      <c r="AB96" s="150">
        <f>AB22/AB36</f>
        <v>0.38010596479234304</v>
      </c>
      <c r="AC96" s="150">
        <f>AC22/AC36</f>
        <v>0.3801059647923431</v>
      </c>
      <c r="AD96" s="136" t="e">
        <f t="shared" si="198"/>
        <v>#NUM!</v>
      </c>
      <c r="AE96" s="144"/>
      <c r="AF96" s="144"/>
    </row>
    <row r="97" spans="2:32" x14ac:dyDescent="0.2">
      <c r="B97" s="2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76"/>
      <c r="N97" s="150"/>
      <c r="O97" s="150"/>
      <c r="P97" s="150"/>
      <c r="Q97" s="150"/>
      <c r="R97" s="150"/>
      <c r="S97" s="2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44"/>
      <c r="AF97" s="144"/>
    </row>
    <row r="98" spans="2:32" x14ac:dyDescent="0.2">
      <c r="B98" s="20" t="s">
        <v>312</v>
      </c>
      <c r="C98" s="150"/>
      <c r="D98" s="150"/>
      <c r="E98" s="150"/>
      <c r="F98" s="150"/>
      <c r="G98" s="150">
        <f>G42/G36</f>
        <v>0.25</v>
      </c>
      <c r="H98" s="150">
        <f>H42/H36</f>
        <v>0.25</v>
      </c>
      <c r="I98" s="150">
        <f>I42/I36</f>
        <v>0.36332179930795849</v>
      </c>
      <c r="J98" s="150">
        <f>J42/J36</f>
        <v>0.52791878172588835</v>
      </c>
      <c r="K98" s="150">
        <f>K42/K36</f>
        <v>0.58288450029922201</v>
      </c>
      <c r="L98" s="150">
        <f>L42/L36</f>
        <v>0.6119770303527482</v>
      </c>
      <c r="M98" s="176">
        <f>M42/M36</f>
        <v>0.5368421052631579</v>
      </c>
      <c r="N98" s="150">
        <f>N42/N36</f>
        <v>0.5989281886387996</v>
      </c>
      <c r="O98" s="150">
        <f>O42/O36</f>
        <v>0.65480178671133449</v>
      </c>
      <c r="P98" s="150">
        <f>P42/P36</f>
        <v>0.63605905140822949</v>
      </c>
      <c r="Q98" s="150">
        <f>Q42/Q36</f>
        <v>0.62083404546231413</v>
      </c>
      <c r="R98" s="118">
        <f t="shared" si="197"/>
        <v>0.10635075135485361</v>
      </c>
      <c r="S98" s="20"/>
      <c r="T98" s="150">
        <f>T42/T36</f>
        <v>0.62083404546231413</v>
      </c>
      <c r="U98" s="150">
        <f>U42/U36</f>
        <v>0.62083404546231413</v>
      </c>
      <c r="V98" s="150">
        <f>V42/V36</f>
        <v>0.62083404546231413</v>
      </c>
      <c r="W98" s="150">
        <f>W42/W36</f>
        <v>0.62083404546231413</v>
      </c>
      <c r="X98" s="150">
        <f>X42/X36</f>
        <v>0.62083404546231413</v>
      </c>
      <c r="Y98" s="150">
        <f>Y42/Y36</f>
        <v>0.62083404546231424</v>
      </c>
      <c r="Z98" s="150">
        <f>Z42/Z36</f>
        <v>0.62083404546231413</v>
      </c>
      <c r="AA98" s="150">
        <f>AA42/AA36</f>
        <v>0.62083404546231413</v>
      </c>
      <c r="AB98" s="150">
        <f>AB42/AB36</f>
        <v>0.62083404546231413</v>
      </c>
      <c r="AC98" s="150">
        <f>AC42/AC36</f>
        <v>0.62083404546231413</v>
      </c>
      <c r="AD98" s="136">
        <f t="shared" si="198"/>
        <v>4.6530225067382025E-2</v>
      </c>
      <c r="AE98" s="144"/>
      <c r="AF98" s="144"/>
    </row>
    <row r="99" spans="2:32" s="172" customFormat="1" x14ac:dyDescent="0.2">
      <c r="B99" s="171"/>
      <c r="C99" s="176"/>
      <c r="D99" s="176"/>
      <c r="E99" s="176"/>
      <c r="F99" s="176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6"/>
      <c r="S99" s="171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4"/>
      <c r="AE99" s="175"/>
      <c r="AF99" s="175"/>
    </row>
    <row r="100" spans="2:32" x14ac:dyDescent="0.2">
      <c r="B100" s="20" t="s">
        <v>314</v>
      </c>
      <c r="C100" s="150"/>
      <c r="D100" s="150"/>
      <c r="E100" s="150"/>
      <c r="F100" s="161"/>
      <c r="G100" s="161">
        <f>G12+G15-G10</f>
        <v>-637</v>
      </c>
      <c r="H100" s="161">
        <f>H12+H15-H10</f>
        <v>-637</v>
      </c>
      <c r="I100" s="161">
        <f>I12+I15-I10</f>
        <v>-2025</v>
      </c>
      <c r="J100" s="161">
        <f>J12+J15-J10</f>
        <v>-6014</v>
      </c>
      <c r="K100" s="161">
        <f>K12+K15-K10</f>
        <v>-9166</v>
      </c>
      <c r="L100" s="161">
        <f>L12+L15-L10</f>
        <v>-11241</v>
      </c>
      <c r="M100" s="161">
        <f>M12+M15-M10</f>
        <v>-21338</v>
      </c>
      <c r="N100" s="161">
        <f>N12+N15-N10</f>
        <v>-33801</v>
      </c>
      <c r="O100" s="161">
        <f>O12+O15-O10</f>
        <v>-35551</v>
      </c>
      <c r="P100" s="161">
        <f>P12+P15-P10</f>
        <v>-44902</v>
      </c>
      <c r="Q100" s="161">
        <f>Q12+Q15-Q10</f>
        <v>-54567</v>
      </c>
      <c r="R100" s="118">
        <f t="shared" si="197"/>
        <v>0.63966269604191206</v>
      </c>
      <c r="S100" s="20"/>
      <c r="T100" s="161">
        <f>T12+T15-T10</f>
        <v>-64389.06</v>
      </c>
      <c r="U100" s="161">
        <f>U12+U15-U10</f>
        <v>-75979.090799999976</v>
      </c>
      <c r="V100" s="161">
        <f>V12+V15-V10</f>
        <v>-89655.327143999981</v>
      </c>
      <c r="W100" s="161">
        <f>W12+W15-W10</f>
        <v>-105793.28602991995</v>
      </c>
      <c r="X100" s="161">
        <f>X12+X15-X10</f>
        <v>-124836.07751530554</v>
      </c>
      <c r="Y100" s="161">
        <f>Y12+Y15-Y10</f>
        <v>-147306.57146806055</v>
      </c>
      <c r="Z100" s="161">
        <f>Z12+Z15-Z10</f>
        <v>-173821.75433231142</v>
      </c>
      <c r="AA100" s="161">
        <f>AA12+AA15-AA10</f>
        <v>-205109.67011212744</v>
      </c>
      <c r="AB100" s="161">
        <f>AB12+AB15-AB10</f>
        <v>-242029.41073231032</v>
      </c>
      <c r="AC100" s="161">
        <f>AC12+AC15-AC10</f>
        <v>-285594.70466412615</v>
      </c>
      <c r="AD100" s="136">
        <f t="shared" si="198"/>
        <v>0.35700215054523832</v>
      </c>
      <c r="AE100" s="144"/>
      <c r="AF100" s="144"/>
    </row>
    <row r="101" spans="2:32" ht="12" customHeight="1" x14ac:dyDescent="0.2">
      <c r="B101" s="20" t="s">
        <v>310</v>
      </c>
      <c r="C101" s="20"/>
      <c r="D101" s="20"/>
      <c r="E101" s="20"/>
      <c r="F101" s="20"/>
      <c r="G101" s="150">
        <f>G51/G20</f>
        <v>-0.25</v>
      </c>
      <c r="H101" s="150">
        <f>H51/H20</f>
        <v>-0.25</v>
      </c>
      <c r="I101" s="150">
        <f>I51/I20</f>
        <v>1.896551724137931</v>
      </c>
      <c r="J101" s="150">
        <f>J51/J20</f>
        <v>1.3623188405797102</v>
      </c>
      <c r="K101" s="150">
        <f>K51/K20</f>
        <v>2.0618556701030926</v>
      </c>
      <c r="L101" s="150">
        <f>L51/L20</f>
        <v>2.3384615384615386</v>
      </c>
      <c r="M101" s="176">
        <f>M51/M20</f>
        <v>4.192982456140351</v>
      </c>
      <c r="N101" s="150">
        <f>N51/N20</f>
        <v>5.6356589147286824</v>
      </c>
      <c r="O101" s="150">
        <f>O51/O20</f>
        <v>5.7810650887573969</v>
      </c>
      <c r="P101" s="150">
        <f>P51/P20</f>
        <v>5.9633027522935782</v>
      </c>
      <c r="Q101" s="150">
        <f>Q51/Q20</f>
        <v>5.8158844765342961</v>
      </c>
      <c r="R101" s="118">
        <f t="shared" si="197"/>
        <v>-2.4185768313045677</v>
      </c>
      <c r="S101" s="20"/>
      <c r="T101" s="150">
        <f>T51/T20</f>
        <v>5.8158844765342961</v>
      </c>
      <c r="U101" s="150">
        <f>U51/U20</f>
        <v>5.815884476534297</v>
      </c>
      <c r="V101" s="150">
        <f>V51/V20</f>
        <v>5.8158844765342961</v>
      </c>
      <c r="W101" s="150">
        <f>W51/W20</f>
        <v>5.815884476534297</v>
      </c>
      <c r="X101" s="150">
        <f>X51/X20</f>
        <v>5.8158844765342961</v>
      </c>
      <c r="Y101" s="150">
        <f>Y51/Y20</f>
        <v>5.8158844765342961</v>
      </c>
      <c r="Z101" s="150">
        <f>Z51/Z20</f>
        <v>5.8158844765342961</v>
      </c>
      <c r="AA101" s="150">
        <f>AA51/AA20</f>
        <v>5.8158844765342961</v>
      </c>
      <c r="AB101" s="150">
        <f>AB51/AB20</f>
        <v>5.8158844765342961</v>
      </c>
      <c r="AC101" s="150">
        <f>AC51/AC20</f>
        <v>5.815884476534297</v>
      </c>
      <c r="AD101" s="174" t="e">
        <f t="shared" si="198"/>
        <v>#NUM!</v>
      </c>
      <c r="AE101" s="20"/>
      <c r="AF101" s="20"/>
    </row>
    <row r="102" spans="2:32" x14ac:dyDescent="0.2">
      <c r="B102" s="20" t="s">
        <v>311</v>
      </c>
      <c r="C102" s="20"/>
      <c r="D102" s="20"/>
      <c r="E102" s="20"/>
      <c r="F102" s="20"/>
      <c r="G102" s="150">
        <f>G51/G36</f>
        <v>-8.3333333333333329E-2</v>
      </c>
      <c r="H102" s="150">
        <f>H51/H36</f>
        <v>-8.3333333333333329E-2</v>
      </c>
      <c r="I102" s="150">
        <f>I51/I36</f>
        <v>0.19031141868512111</v>
      </c>
      <c r="J102" s="150">
        <f>J51/J36</f>
        <v>0.11928934010152284</v>
      </c>
      <c r="K102" s="150">
        <f>K51/K36</f>
        <v>0.11968880909634949</v>
      </c>
      <c r="L102" s="150">
        <f>L51/L36</f>
        <v>0.12469237079573421</v>
      </c>
      <c r="M102" s="176">
        <f>M51/M36</f>
        <v>0.16230899830220713</v>
      </c>
      <c r="N102" s="150">
        <f>N51/N36</f>
        <v>0.15584137191854233</v>
      </c>
      <c r="O102" s="150">
        <f>O51/O36</f>
        <v>0.13637632607481853</v>
      </c>
      <c r="P102" s="150">
        <f>P51/P36</f>
        <v>0.13611140194744006</v>
      </c>
      <c r="Q102" s="150">
        <f>Q51/Q36</f>
        <v>0.13766877456844984</v>
      </c>
      <c r="R102" s="118">
        <f t="shared" si="197"/>
        <v>-2.0573629215378926</v>
      </c>
      <c r="S102" s="20"/>
      <c r="T102" s="150">
        <f>T51/T36</f>
        <v>0.13766877456844984</v>
      </c>
      <c r="U102" s="150">
        <f>U51/U36</f>
        <v>0.13766877456844984</v>
      </c>
      <c r="V102" s="150">
        <f>V51/V36</f>
        <v>0.13766877456844984</v>
      </c>
      <c r="W102" s="150">
        <f>W51/W36</f>
        <v>0.13766877456844984</v>
      </c>
      <c r="X102" s="150">
        <f>X51/X36</f>
        <v>0.13766877456844986</v>
      </c>
      <c r="Y102" s="150">
        <f>Y51/Y36</f>
        <v>0.13766877456844986</v>
      </c>
      <c r="Z102" s="150">
        <f>Z51/Z36</f>
        <v>0.13766877456844984</v>
      </c>
      <c r="AA102" s="150">
        <f>AA51/AA36</f>
        <v>0.13766877456844984</v>
      </c>
      <c r="AB102" s="150">
        <f>AB51/AB36</f>
        <v>0.13766877456844984</v>
      </c>
      <c r="AC102" s="150">
        <f>AC51/AC36</f>
        <v>0.13766877456844986</v>
      </c>
      <c r="AD102" s="174" t="e">
        <f t="shared" si="198"/>
        <v>#NUM!</v>
      </c>
      <c r="AE102" s="20"/>
      <c r="AF102" s="20"/>
    </row>
    <row r="103" spans="2:32" x14ac:dyDescent="0.2">
      <c r="B103" s="20" t="s">
        <v>334</v>
      </c>
      <c r="C103" s="20"/>
      <c r="D103" s="20"/>
      <c r="E103" s="150"/>
      <c r="F103" s="150"/>
      <c r="G103" s="150">
        <f>G36/G20</f>
        <v>3</v>
      </c>
      <c r="H103" s="150">
        <f>H36/H20</f>
        <v>3</v>
      </c>
      <c r="I103" s="150">
        <f>I36/I20</f>
        <v>9.9655172413793096</v>
      </c>
      <c r="J103" s="150">
        <f>J36/J20</f>
        <v>11.420289855072463</v>
      </c>
      <c r="K103" s="150">
        <f>K36/K20</f>
        <v>17.226804123711339</v>
      </c>
      <c r="L103" s="150">
        <f>L36/L20</f>
        <v>18.753846153846155</v>
      </c>
      <c r="M103" s="176">
        <f>M36/M20</f>
        <v>25.833333333333332</v>
      </c>
      <c r="N103" s="150">
        <f>N36/N20</f>
        <v>36.162790697674417</v>
      </c>
      <c r="O103" s="150">
        <f>O36/O20</f>
        <v>42.390532544378701</v>
      </c>
      <c r="P103" s="150">
        <f>P36/P20</f>
        <v>43.811926605504588</v>
      </c>
      <c r="Q103" s="150">
        <f>Q36/Q20</f>
        <v>42.245487364620942</v>
      </c>
      <c r="R103" s="118">
        <f t="shared" si="197"/>
        <v>0.34161771933642604</v>
      </c>
      <c r="S103" s="20"/>
      <c r="T103" s="150">
        <f>T36/T20</f>
        <v>42.245487364620942</v>
      </c>
      <c r="U103" s="150">
        <f>U36/U20</f>
        <v>42.245487364620942</v>
      </c>
      <c r="V103" s="150">
        <f>V36/V20</f>
        <v>42.245487364620935</v>
      </c>
      <c r="W103" s="150">
        <f>W36/W20</f>
        <v>42.245487364620942</v>
      </c>
      <c r="X103" s="150">
        <f>X36/X20</f>
        <v>42.245487364620935</v>
      </c>
      <c r="Y103" s="150">
        <f>Y36/Y20</f>
        <v>42.245487364620935</v>
      </c>
      <c r="Z103" s="150">
        <f>Z36/Z20</f>
        <v>42.245487364620935</v>
      </c>
      <c r="AA103" s="150">
        <f>AA36/AA20</f>
        <v>42.245487364620942</v>
      </c>
      <c r="AB103" s="150">
        <f>AB36/AB20</f>
        <v>42.245487364620942</v>
      </c>
      <c r="AC103" s="150">
        <f>AC36/AC20</f>
        <v>42.245487364620942</v>
      </c>
      <c r="AD103" s="136">
        <f t="shared" si="198"/>
        <v>0.14138708336767114</v>
      </c>
      <c r="AE103" s="20"/>
      <c r="AF103" s="20"/>
    </row>
    <row r="104" spans="2:32" x14ac:dyDescent="0.2">
      <c r="B104" s="20"/>
      <c r="C104" s="20"/>
      <c r="D104" s="20"/>
      <c r="E104" s="20"/>
      <c r="F104" s="20"/>
      <c r="G104" s="150"/>
      <c r="H104" s="150"/>
      <c r="I104" s="150"/>
      <c r="J104" s="150"/>
      <c r="K104" s="150"/>
      <c r="L104" s="150"/>
      <c r="M104" s="176"/>
      <c r="N104" s="150"/>
      <c r="O104" s="150"/>
      <c r="P104" s="150"/>
      <c r="Q104" s="150"/>
      <c r="R104" s="127"/>
      <c r="S104" s="20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27"/>
      <c r="AE104" s="20"/>
      <c r="AF104" s="20"/>
    </row>
    <row r="105" spans="2:32" s="181" customFormat="1" x14ac:dyDescent="0.2">
      <c r="B105" s="210" t="s">
        <v>424</v>
      </c>
      <c r="C105" s="210"/>
      <c r="D105" s="210"/>
      <c r="E105" s="210"/>
      <c r="F105" s="210"/>
      <c r="G105" s="230">
        <f>G10/G7</f>
        <v>4.7557603686635943</v>
      </c>
      <c r="H105" s="230">
        <f>H10/H7</f>
        <v>4.7557603686635943</v>
      </c>
      <c r="I105" s="230">
        <f>I10/I7</f>
        <v>5.90034965034965</v>
      </c>
      <c r="J105" s="230">
        <f>J10/J7</f>
        <v>11.546378653113088</v>
      </c>
      <c r="K105" s="230">
        <f>K10/K7</f>
        <v>10.810462471569371</v>
      </c>
      <c r="L105" s="230">
        <f>L10/L7</f>
        <v>11.304187192118226</v>
      </c>
      <c r="M105" s="230">
        <f>M10/M7</f>
        <v>10.212690191000323</v>
      </c>
      <c r="N105" s="230">
        <f>N10/N7</f>
        <v>13.871639430680021</v>
      </c>
      <c r="O105" s="230">
        <f>O10/O7</f>
        <v>13.538922155688622</v>
      </c>
      <c r="P105" s="230">
        <f>P10/P7</f>
        <v>15.132942999827794</v>
      </c>
      <c r="Q105" s="230">
        <f>Q10/Q7</f>
        <v>13.422206605762474</v>
      </c>
      <c r="R105" s="173">
        <f t="shared" si="197"/>
        <v>0.12219183953743085</v>
      </c>
      <c r="S105" s="210"/>
      <c r="T105" s="230">
        <f>T10/T7</f>
        <v>13.422206605762474</v>
      </c>
      <c r="U105" s="230">
        <f>U10/U7</f>
        <v>13.422206605762474</v>
      </c>
      <c r="V105" s="230">
        <f>V10/V7</f>
        <v>13.422206605762474</v>
      </c>
      <c r="W105" s="230">
        <f>W10/W7</f>
        <v>13.422206605762474</v>
      </c>
      <c r="X105" s="230">
        <f>X10/X7</f>
        <v>13.422206605762476</v>
      </c>
      <c r="Y105" s="230">
        <f>Y10/Y7</f>
        <v>13.422206605762476</v>
      </c>
      <c r="Z105" s="230">
        <f>Z10/Z7</f>
        <v>13.422206605762476</v>
      </c>
      <c r="AA105" s="230">
        <f>AA10/AA7</f>
        <v>13.422206605762476</v>
      </c>
      <c r="AB105" s="230">
        <f>AB10/AB7</f>
        <v>13.422206605762474</v>
      </c>
      <c r="AC105" s="230">
        <f>AC10/AC7</f>
        <v>13.422206605762474</v>
      </c>
      <c r="AD105" s="174">
        <f t="shared" si="198"/>
        <v>5.3246920019497379E-2</v>
      </c>
      <c r="AE105" s="210"/>
      <c r="AF105" s="210"/>
    </row>
    <row r="106" spans="2:32" s="181" customFormat="1" x14ac:dyDescent="0.2">
      <c r="B106" s="210"/>
      <c r="C106" s="210"/>
      <c r="D106" s="210"/>
      <c r="E106" s="210"/>
      <c r="F106" s="210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27"/>
      <c r="S106" s="210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37"/>
      <c r="AE106" s="210"/>
      <c r="AF106" s="210"/>
    </row>
    <row r="107" spans="2:32" x14ac:dyDescent="0.2">
      <c r="B107" s="20" t="s">
        <v>320</v>
      </c>
      <c r="C107" s="20"/>
      <c r="D107" s="20"/>
      <c r="E107" s="163"/>
      <c r="F107" s="163"/>
      <c r="G107" s="163">
        <f>G77*G53</f>
        <v>0</v>
      </c>
      <c r="H107" s="163">
        <f>H77*H53</f>
        <v>0</v>
      </c>
      <c r="I107" s="163">
        <f>I77*I53</f>
        <v>0</v>
      </c>
      <c r="J107" s="163">
        <f>J77*J53</f>
        <v>0</v>
      </c>
      <c r="K107" s="163">
        <f>K77*K53</f>
        <v>0</v>
      </c>
      <c r="L107" s="163">
        <f>L77*L53</f>
        <v>0</v>
      </c>
      <c r="M107" s="195">
        <f>M77*M53</f>
        <v>50.94</v>
      </c>
      <c r="N107" s="163">
        <f>N77*N53</f>
        <v>86.75</v>
      </c>
      <c r="O107" s="163">
        <f>O77*O53</f>
        <v>141.16</v>
      </c>
      <c r="P107" s="163">
        <f>P77*P53</f>
        <v>215.16</v>
      </c>
      <c r="Q107" s="163">
        <f>Q77*Q53</f>
        <v>288.32</v>
      </c>
      <c r="R107" s="118" t="e">
        <f t="shared" si="197"/>
        <v>#DIV/0!</v>
      </c>
      <c r="S107" s="20"/>
      <c r="T107" s="163">
        <f>T77*T53</f>
        <v>317.87279999999998</v>
      </c>
      <c r="U107" s="163">
        <f>U77*U53</f>
        <v>350.45476200000002</v>
      </c>
      <c r="V107" s="163">
        <f>V77*V53</f>
        <v>386.37637510500002</v>
      </c>
      <c r="W107" s="163">
        <f>W77*W53</f>
        <v>425.97995355326259</v>
      </c>
      <c r="X107" s="163">
        <f>X77*X53</f>
        <v>469.64289879247207</v>
      </c>
      <c r="Y107" s="163">
        <f>Y77*Y53</f>
        <v>517.78129591870049</v>
      </c>
      <c r="Z107" s="163">
        <f>Z77*Z53</f>
        <v>570.85387875036747</v>
      </c>
      <c r="AA107" s="163">
        <f>AA77*AA53</f>
        <v>629.36640132228013</v>
      </c>
      <c r="AB107" s="163">
        <f>AB77*AB53</f>
        <v>693.87645745781379</v>
      </c>
      <c r="AC107" s="163">
        <f>AC77*AC53</f>
        <v>764.99879434723971</v>
      </c>
      <c r="AD107" s="136" t="e">
        <f t="shared" si="198"/>
        <v>#DIV/0!</v>
      </c>
      <c r="AE107" s="20"/>
      <c r="AF107" s="20"/>
    </row>
    <row r="108" spans="2:32" x14ac:dyDescent="0.2">
      <c r="B108" s="20" t="s">
        <v>321</v>
      </c>
      <c r="C108" s="20"/>
      <c r="D108" s="20"/>
      <c r="E108" s="163"/>
      <c r="F108" s="163"/>
      <c r="G108" s="163">
        <f t="shared" ref="G108:Q108" si="199">(G107*0.17)+G107</f>
        <v>0</v>
      </c>
      <c r="H108" s="163">
        <f t="shared" si="199"/>
        <v>0</v>
      </c>
      <c r="I108" s="163">
        <f t="shared" si="199"/>
        <v>0</v>
      </c>
      <c r="J108" s="163">
        <f t="shared" si="199"/>
        <v>0</v>
      </c>
      <c r="K108" s="163">
        <f t="shared" si="199"/>
        <v>0</v>
      </c>
      <c r="L108" s="163">
        <f t="shared" si="199"/>
        <v>0</v>
      </c>
      <c r="M108" s="195">
        <f t="shared" ref="M108" si="200">(M107*0.17)+M107</f>
        <v>59.599800000000002</v>
      </c>
      <c r="N108" s="163">
        <f t="shared" si="199"/>
        <v>101.4975</v>
      </c>
      <c r="O108" s="163">
        <f t="shared" si="199"/>
        <v>165.15719999999999</v>
      </c>
      <c r="P108" s="163">
        <f t="shared" si="199"/>
        <v>251.7372</v>
      </c>
      <c r="Q108" s="163">
        <f t="shared" si="199"/>
        <v>337.33440000000002</v>
      </c>
      <c r="R108" s="118" t="e">
        <f t="shared" si="197"/>
        <v>#DIV/0!</v>
      </c>
      <c r="S108" s="20"/>
      <c r="T108" s="163">
        <f t="shared" ref="T108:AC108" si="201">(T107*0.17)+T107</f>
        <v>371.91117599999995</v>
      </c>
      <c r="U108" s="163">
        <f t="shared" si="201"/>
        <v>410.03207154</v>
      </c>
      <c r="V108" s="163">
        <f t="shared" si="201"/>
        <v>452.06035887285003</v>
      </c>
      <c r="W108" s="163">
        <f t="shared" si="201"/>
        <v>498.39654565731723</v>
      </c>
      <c r="X108" s="163">
        <f t="shared" si="201"/>
        <v>549.48219158719235</v>
      </c>
      <c r="Y108" s="163">
        <f t="shared" si="201"/>
        <v>605.80411622487964</v>
      </c>
      <c r="Z108" s="163">
        <f t="shared" si="201"/>
        <v>667.89903813792989</v>
      </c>
      <c r="AA108" s="163">
        <f t="shared" si="201"/>
        <v>736.3586895470678</v>
      </c>
      <c r="AB108" s="163">
        <f t="shared" si="201"/>
        <v>811.83545522564214</v>
      </c>
      <c r="AC108" s="163">
        <f t="shared" si="201"/>
        <v>895.04858938627046</v>
      </c>
      <c r="AD108" s="136" t="e">
        <f t="shared" si="198"/>
        <v>#DIV/0!</v>
      </c>
      <c r="AE108" s="20"/>
      <c r="AF108" s="20"/>
    </row>
    <row r="109" spans="2:32" x14ac:dyDescent="0.2">
      <c r="B109" s="20" t="s">
        <v>322</v>
      </c>
      <c r="C109" s="20"/>
      <c r="D109" s="20"/>
      <c r="E109" s="20"/>
      <c r="F109" s="150"/>
      <c r="G109" s="150">
        <f>G108/G51</f>
        <v>0</v>
      </c>
      <c r="H109" s="150">
        <f>H108/H51</f>
        <v>0</v>
      </c>
      <c r="I109" s="150">
        <f>I108/I51</f>
        <v>0</v>
      </c>
      <c r="J109" s="150">
        <f>J108/J51</f>
        <v>0</v>
      </c>
      <c r="K109" s="150">
        <f>K108/K51</f>
        <v>0</v>
      </c>
      <c r="L109" s="150">
        <f>L108/L51</f>
        <v>0</v>
      </c>
      <c r="M109" s="176">
        <f>M108/M51</f>
        <v>0.12468577405857741</v>
      </c>
      <c r="N109" s="150">
        <f>N108/N51</f>
        <v>0.13961141678129299</v>
      </c>
      <c r="O109" s="150">
        <f>O108/O51</f>
        <v>0.16904524053224154</v>
      </c>
      <c r="P109" s="150">
        <f>P108/P51</f>
        <v>0.19364400000000001</v>
      </c>
      <c r="Q109" s="150">
        <f>Q108/Q51</f>
        <v>0.20939441340782125</v>
      </c>
      <c r="R109" s="118" t="e">
        <f t="shared" si="197"/>
        <v>#DIV/0!</v>
      </c>
      <c r="S109" s="20"/>
      <c r="T109" s="150">
        <f>T108/T51</f>
        <v>0.19564181422213806</v>
      </c>
      <c r="U109" s="150">
        <f>U108/U51</f>
        <v>0.18279245777958239</v>
      </c>
      <c r="V109" s="150">
        <f>V108/V51</f>
        <v>0.17078702093388951</v>
      </c>
      <c r="W109" s="150">
        <f>W108/W51</f>
        <v>0.15957007676238408</v>
      </c>
      <c r="X109" s="150">
        <f>X108/X51</f>
        <v>0.14908983866993941</v>
      </c>
      <c r="Y109" s="150">
        <f>Y108/Y51</f>
        <v>0.13929792129966798</v>
      </c>
      <c r="Z109" s="150">
        <f>Z108/Z51</f>
        <v>0.13014911714651184</v>
      </c>
      <c r="AA109" s="150">
        <f>AA108/AA51</f>
        <v>0.12160118784239775</v>
      </c>
      <c r="AB109" s="150">
        <f>AB108/AB51</f>
        <v>0.1136146691493589</v>
      </c>
      <c r="AC109" s="150">
        <f>AC108/AC51</f>
        <v>0.10615268876031202</v>
      </c>
      <c r="AD109" s="136" t="e">
        <f t="shared" si="198"/>
        <v>#DIV/0!</v>
      </c>
      <c r="AE109" s="20"/>
      <c r="AF109" s="20"/>
    </row>
    <row r="110" spans="2:32" x14ac:dyDescent="0.2">
      <c r="B110" s="20" t="s">
        <v>317</v>
      </c>
      <c r="C110" s="20"/>
      <c r="D110" s="20"/>
      <c r="E110" s="20"/>
      <c r="F110" s="150"/>
      <c r="G110" s="150">
        <f>1-G109</f>
        <v>1</v>
      </c>
      <c r="H110" s="150">
        <f t="shared" ref="H110:Q110" si="202">1-H109</f>
        <v>1</v>
      </c>
      <c r="I110" s="150">
        <f t="shared" si="202"/>
        <v>1</v>
      </c>
      <c r="J110" s="150">
        <f t="shared" si="202"/>
        <v>1</v>
      </c>
      <c r="K110" s="150">
        <f t="shared" si="202"/>
        <v>1</v>
      </c>
      <c r="L110" s="150">
        <f t="shared" si="202"/>
        <v>1</v>
      </c>
      <c r="M110" s="176">
        <f t="shared" ref="M110" si="203">1-M109</f>
        <v>0.87531422594142261</v>
      </c>
      <c r="N110" s="150">
        <f t="shared" si="202"/>
        <v>0.86038858321870704</v>
      </c>
      <c r="O110" s="150">
        <f t="shared" si="202"/>
        <v>0.83095475946775843</v>
      </c>
      <c r="P110" s="150">
        <f t="shared" si="202"/>
        <v>0.80635599999999996</v>
      </c>
      <c r="Q110" s="150">
        <f t="shared" si="202"/>
        <v>0.79060558659217872</v>
      </c>
      <c r="R110" s="118">
        <f t="shared" si="197"/>
        <v>-2.5768407630973988E-2</v>
      </c>
      <c r="S110" s="20"/>
      <c r="T110" s="150">
        <f t="shared" ref="T110:AC110" si="204">1-T109</f>
        <v>0.80435818577786189</v>
      </c>
      <c r="U110" s="150">
        <f t="shared" si="204"/>
        <v>0.81720754222041758</v>
      </c>
      <c r="V110" s="150">
        <f t="shared" si="204"/>
        <v>0.82921297906611047</v>
      </c>
      <c r="W110" s="150">
        <f t="shared" si="204"/>
        <v>0.84042992323761589</v>
      </c>
      <c r="X110" s="150">
        <f t="shared" si="204"/>
        <v>0.85091016133006059</v>
      </c>
      <c r="Y110" s="150">
        <f t="shared" si="204"/>
        <v>0.860702078700332</v>
      </c>
      <c r="Z110" s="150">
        <f t="shared" si="204"/>
        <v>0.86985088285348811</v>
      </c>
      <c r="AA110" s="150">
        <f t="shared" si="204"/>
        <v>0.87839881215760229</v>
      </c>
      <c r="AB110" s="150">
        <f t="shared" si="204"/>
        <v>0.88638533085064108</v>
      </c>
      <c r="AC110" s="150">
        <f t="shared" si="204"/>
        <v>0.89384731123968797</v>
      </c>
      <c r="AD110" s="136">
        <f t="shared" si="198"/>
        <v>-5.5953032129452129E-3</v>
      </c>
      <c r="AE110" s="20"/>
      <c r="AF110" s="20"/>
    </row>
    <row r="111" spans="2:32" x14ac:dyDescent="0.2">
      <c r="B111" s="20"/>
      <c r="C111" s="20"/>
      <c r="D111" s="20"/>
      <c r="E111" s="20"/>
      <c r="F111" s="20"/>
      <c r="G111" s="150"/>
      <c r="H111" s="150"/>
      <c r="I111" s="150"/>
      <c r="J111" s="150"/>
      <c r="K111" s="150"/>
      <c r="L111" s="150"/>
      <c r="M111" s="176"/>
      <c r="N111" s="150"/>
      <c r="O111" s="150"/>
      <c r="P111" s="150"/>
      <c r="Q111" s="150"/>
      <c r="R111" s="127"/>
      <c r="S111" s="2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27"/>
      <c r="AE111" s="20"/>
      <c r="AF111" s="20"/>
    </row>
    <row r="112" spans="2:32" s="181" customFormat="1" x14ac:dyDescent="0.2">
      <c r="B112" s="210" t="s">
        <v>407</v>
      </c>
      <c r="C112" s="210"/>
      <c r="D112" s="210"/>
      <c r="E112" s="210"/>
      <c r="F112" s="176"/>
      <c r="G112" s="176">
        <f>G33/G27</f>
        <v>33.473604826546001</v>
      </c>
      <c r="H112" s="176">
        <f>H33/H27</f>
        <v>33.473604826546001</v>
      </c>
      <c r="I112" s="176">
        <f>I33/I27</f>
        <v>11.808591065292097</v>
      </c>
      <c r="J112" s="176">
        <f>J33/J27</f>
        <v>4.6214111922141123</v>
      </c>
      <c r="K112" s="176">
        <f>K33/K27</f>
        <v>3.540947788744067</v>
      </c>
      <c r="L112" s="176">
        <f>L33/L27</f>
        <v>3.4406580493537016</v>
      </c>
      <c r="M112" s="176">
        <f>M33/M27</f>
        <v>0.82815881782222556</v>
      </c>
      <c r="N112" s="176">
        <f>N33/N27</f>
        <v>0.74802995341547307</v>
      </c>
      <c r="O112" s="176">
        <f>O33/O27</f>
        <v>0.77288356289800819</v>
      </c>
      <c r="P112" s="176">
        <f>P33/P27</f>
        <v>0.70194907027107756</v>
      </c>
      <c r="Q112" s="176">
        <f>Q33/Q27</f>
        <v>0.7498382574940694</v>
      </c>
      <c r="R112" s="173">
        <f t="shared" si="197"/>
        <v>-0.34431367918781841</v>
      </c>
      <c r="S112" s="210"/>
      <c r="T112" s="176">
        <f>T33/T27</f>
        <v>0.7498382574940694</v>
      </c>
      <c r="U112" s="176">
        <f>U33/U27</f>
        <v>0.7498382574940694</v>
      </c>
      <c r="V112" s="176">
        <f>V33/V27</f>
        <v>0.7498382574940694</v>
      </c>
      <c r="W112" s="176">
        <f>W33/W27</f>
        <v>0.7498382574940694</v>
      </c>
      <c r="X112" s="176">
        <f>X33/X27</f>
        <v>0.7498382574940694</v>
      </c>
      <c r="Y112" s="176">
        <f>Y33/Y27</f>
        <v>0.74983825749406929</v>
      </c>
      <c r="Z112" s="176">
        <f>Z33/Z27</f>
        <v>0.74983825749406929</v>
      </c>
      <c r="AA112" s="176">
        <f>AA33/AA27</f>
        <v>0.74983825749406929</v>
      </c>
      <c r="AB112" s="176">
        <f>AB33/AB27</f>
        <v>0.74983825749406929</v>
      </c>
      <c r="AC112" s="176">
        <f>AC33/AC27</f>
        <v>0.7498382574940694</v>
      </c>
      <c r="AD112" s="174">
        <f t="shared" si="198"/>
        <v>-0.17298524973842133</v>
      </c>
      <c r="AE112" s="210"/>
      <c r="AF112" s="210"/>
    </row>
    <row r="113" spans="2:32" s="181" customFormat="1" x14ac:dyDescent="0.2">
      <c r="B113" s="210" t="s">
        <v>408</v>
      </c>
      <c r="C113" s="210"/>
      <c r="D113" s="210"/>
      <c r="E113" s="210"/>
      <c r="F113" s="176"/>
      <c r="G113" s="176">
        <f>G15/G27</f>
        <v>0.59577677224736048</v>
      </c>
      <c r="H113" s="176">
        <f>H15/H27</f>
        <v>0.59577677224736048</v>
      </c>
      <c r="I113" s="176">
        <f>I15/I27</f>
        <v>0.46391752577319589</v>
      </c>
      <c r="J113" s="176">
        <f>J15/J27</f>
        <v>0.37384428223844285</v>
      </c>
      <c r="K113" s="176">
        <f>K15/K27</f>
        <v>0.3837112936035561</v>
      </c>
      <c r="L113" s="176">
        <f>L15/L27</f>
        <v>0.44016327540354999</v>
      </c>
      <c r="M113" s="176">
        <f>M15/M27</f>
        <v>0.38096126576610195</v>
      </c>
      <c r="N113" s="176">
        <f>N15/N27</f>
        <v>0.40985676346379901</v>
      </c>
      <c r="O113" s="176">
        <f>O15/O27</f>
        <v>0.5647291001200383</v>
      </c>
      <c r="P113" s="176">
        <f>P15/P27</f>
        <v>0.64184900306175785</v>
      </c>
      <c r="Q113" s="176">
        <f>Q15/Q27</f>
        <v>0.55170368772913525</v>
      </c>
      <c r="R113" s="173">
        <f t="shared" si="197"/>
        <v>-8.5030813501890679E-3</v>
      </c>
      <c r="S113" s="210"/>
      <c r="T113" s="176">
        <f>T15/T27</f>
        <v>0.55170368772913514</v>
      </c>
      <c r="U113" s="176">
        <f>U15/U27</f>
        <v>0.55170368772913514</v>
      </c>
      <c r="V113" s="176">
        <f>V15/V27</f>
        <v>0.55170368772913514</v>
      </c>
      <c r="W113" s="176">
        <f>W15/W27</f>
        <v>0.55170368772913514</v>
      </c>
      <c r="X113" s="176">
        <f>X15/X27</f>
        <v>0.55170368772913514</v>
      </c>
      <c r="Y113" s="176">
        <f>Y15/Y27</f>
        <v>0.55170368772913514</v>
      </c>
      <c r="Z113" s="176">
        <f>Z15/Z27</f>
        <v>0.55170368772913514</v>
      </c>
      <c r="AA113" s="176">
        <f>AA15/AA27</f>
        <v>0.55170368772913514</v>
      </c>
      <c r="AB113" s="176">
        <f>AB15/AB27</f>
        <v>0.55170368772913525</v>
      </c>
      <c r="AC113" s="176">
        <f>AC15/AC27</f>
        <v>0.55170368772913525</v>
      </c>
      <c r="AD113" s="174">
        <f t="shared" si="198"/>
        <v>-3.8353735513598775E-3</v>
      </c>
      <c r="AE113" s="210"/>
      <c r="AF113" s="210"/>
    </row>
    <row r="114" spans="2:32" s="181" customFormat="1" x14ac:dyDescent="0.2">
      <c r="B114" s="210" t="s">
        <v>410</v>
      </c>
      <c r="C114" s="210"/>
      <c r="D114" s="210"/>
      <c r="E114" s="210"/>
      <c r="F114" s="176"/>
      <c r="G114" s="176">
        <f>G33/G10</f>
        <v>21.504844961240309</v>
      </c>
      <c r="H114" s="176">
        <f>H33/H10</f>
        <v>21.504844961240309</v>
      </c>
      <c r="I114" s="176">
        <f>I33/I10</f>
        <v>10.181629629629629</v>
      </c>
      <c r="J114" s="176">
        <f>J33/J10</f>
        <v>4.1804776053703092</v>
      </c>
      <c r="K114" s="176">
        <f>K33/K10</f>
        <v>3.2960936952100428</v>
      </c>
      <c r="L114" s="176">
        <f>L33/L10</f>
        <v>3.0303954679158949</v>
      </c>
      <c r="M114" s="176">
        <f>M33/M10</f>
        <v>0.70349003074777317</v>
      </c>
      <c r="N114" s="176">
        <f>N33/N10</f>
        <v>0.65292899352068257</v>
      </c>
      <c r="O114" s="176">
        <f>O33/O10</f>
        <v>0.60005054653440326</v>
      </c>
      <c r="P114" s="176">
        <f>P33/P10</f>
        <v>0.53482708786144273</v>
      </c>
      <c r="Q114" s="176">
        <f>Q33/Q10</f>
        <v>0.58254013131027549</v>
      </c>
      <c r="R114" s="173">
        <f t="shared" si="197"/>
        <v>-0.33032281444113487</v>
      </c>
      <c r="S114" s="210"/>
      <c r="T114" s="176">
        <f>T33/T10</f>
        <v>0.58254013131027549</v>
      </c>
      <c r="U114" s="176">
        <f>U33/U10</f>
        <v>0.5825401313102756</v>
      </c>
      <c r="V114" s="176">
        <f>V33/V10</f>
        <v>0.5825401313102756</v>
      </c>
      <c r="W114" s="176">
        <f>W33/W10</f>
        <v>0.5825401313102756</v>
      </c>
      <c r="X114" s="176">
        <f>X33/X10</f>
        <v>0.5825401313102756</v>
      </c>
      <c r="Y114" s="176">
        <f>Y33/Y10</f>
        <v>0.58254013131027549</v>
      </c>
      <c r="Z114" s="176">
        <f>Z33/Z10</f>
        <v>0.58254013131027549</v>
      </c>
      <c r="AA114" s="176">
        <f>AA33/AA10</f>
        <v>0.5825401313102756</v>
      </c>
      <c r="AB114" s="176">
        <f>AB33/AB10</f>
        <v>0.5825401313102756</v>
      </c>
      <c r="AC114" s="176">
        <f>AC33/AC10</f>
        <v>0.5825401313102756</v>
      </c>
      <c r="AD114" s="174">
        <f t="shared" si="198"/>
        <v>-0.16509035777187531</v>
      </c>
      <c r="AE114" s="210"/>
      <c r="AF114" s="210"/>
    </row>
    <row r="115" spans="2:32" s="181" customFormat="1" x14ac:dyDescent="0.2">
      <c r="B115" s="210" t="s">
        <v>409</v>
      </c>
      <c r="C115" s="210"/>
      <c r="D115" s="210"/>
      <c r="E115" s="210"/>
      <c r="F115" s="176"/>
      <c r="G115" s="230">
        <f>G10/G7</f>
        <v>4.7557603686635943</v>
      </c>
      <c r="H115" s="230">
        <f>H10/H7</f>
        <v>4.7557603686635943</v>
      </c>
      <c r="I115" s="230">
        <f>I10/I7</f>
        <v>5.90034965034965</v>
      </c>
      <c r="J115" s="230">
        <f>J10/J7</f>
        <v>11.546378653113088</v>
      </c>
      <c r="K115" s="230">
        <f>K10/K7</f>
        <v>10.810462471569371</v>
      </c>
      <c r="L115" s="230">
        <f>L10/L7</f>
        <v>11.304187192118226</v>
      </c>
      <c r="M115" s="230">
        <f>M10/M7</f>
        <v>10.212690191000323</v>
      </c>
      <c r="N115" s="230">
        <f>N10/N7</f>
        <v>13.871639430680021</v>
      </c>
      <c r="O115" s="230">
        <f>O10/O7</f>
        <v>13.538922155688622</v>
      </c>
      <c r="P115" s="230">
        <f>P10/P7</f>
        <v>15.132942999827794</v>
      </c>
      <c r="Q115" s="230">
        <f>Q10/Q7</f>
        <v>13.422206605762474</v>
      </c>
      <c r="R115" s="173">
        <f t="shared" si="197"/>
        <v>0.12219183953743085</v>
      </c>
      <c r="S115" s="210"/>
      <c r="T115" s="230">
        <f>T10/T7</f>
        <v>13.422206605762474</v>
      </c>
      <c r="U115" s="230">
        <f>U10/U7</f>
        <v>13.422206605762474</v>
      </c>
      <c r="V115" s="230">
        <f>V10/V7</f>
        <v>13.422206605762474</v>
      </c>
      <c r="W115" s="230">
        <f>W10/W7</f>
        <v>13.422206605762474</v>
      </c>
      <c r="X115" s="230">
        <f>X10/X7</f>
        <v>13.422206605762476</v>
      </c>
      <c r="Y115" s="230">
        <f>Y10/Y7</f>
        <v>13.422206605762476</v>
      </c>
      <c r="Z115" s="230">
        <f>Z10/Z7</f>
        <v>13.422206605762476</v>
      </c>
      <c r="AA115" s="230">
        <f>AA10/AA7</f>
        <v>13.422206605762476</v>
      </c>
      <c r="AB115" s="230">
        <f>AB10/AB7</f>
        <v>13.422206605762474</v>
      </c>
      <c r="AC115" s="230">
        <f>AC10/AC7</f>
        <v>13.422206605762474</v>
      </c>
      <c r="AD115" s="174">
        <f t="shared" si="198"/>
        <v>5.3246920019497379E-2</v>
      </c>
      <c r="AE115" s="210"/>
      <c r="AF115" s="210"/>
    </row>
    <row r="116" spans="2:32" s="181" customFormat="1" x14ac:dyDescent="0.2">
      <c r="B116" s="210"/>
      <c r="C116" s="210"/>
      <c r="D116" s="210"/>
      <c r="E116" s="210"/>
      <c r="F116" s="210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27"/>
      <c r="S116" s="210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37"/>
      <c r="AE116" s="210"/>
      <c r="AF116" s="210"/>
    </row>
    <row r="117" spans="2:32" x14ac:dyDescent="0.2">
      <c r="B117" s="20" t="s">
        <v>319</v>
      </c>
      <c r="C117" s="150"/>
      <c r="D117" s="150"/>
      <c r="E117" s="150"/>
      <c r="F117" s="150"/>
      <c r="G117" s="150" t="e">
        <f>#REF!/G36</f>
        <v>#REF!</v>
      </c>
      <c r="H117" s="150" t="e">
        <f>#REF!/H36</f>
        <v>#REF!</v>
      </c>
      <c r="I117" s="150" t="e">
        <f>#REF!/I36</f>
        <v>#REF!</v>
      </c>
      <c r="J117" s="150" t="e">
        <f>#REF!/J36</f>
        <v>#REF!</v>
      </c>
      <c r="K117" s="150" t="e">
        <f>#REF!/K36</f>
        <v>#REF!</v>
      </c>
      <c r="L117" s="150" t="e">
        <f>#REF!/L36</f>
        <v>#REF!</v>
      </c>
      <c r="M117" s="176" t="e">
        <f>#REF!/M36</f>
        <v>#REF!</v>
      </c>
      <c r="N117" s="150" t="e">
        <f>#REF!/N36</f>
        <v>#REF!</v>
      </c>
      <c r="O117" s="150" t="e">
        <f>#REF!/O36</f>
        <v>#REF!</v>
      </c>
      <c r="P117" s="150" t="e">
        <f>#REF!/P36</f>
        <v>#REF!</v>
      </c>
      <c r="Q117" s="150" t="e">
        <f>#REF!/Q36</f>
        <v>#REF!</v>
      </c>
      <c r="R117" s="118" t="e">
        <f t="shared" si="197"/>
        <v>#REF!</v>
      </c>
      <c r="S117" s="20"/>
      <c r="T117" s="150" t="e">
        <f>#REF!/T36</f>
        <v>#REF!</v>
      </c>
      <c r="U117" s="150" t="e">
        <f>#REF!/U36</f>
        <v>#REF!</v>
      </c>
      <c r="V117" s="150" t="e">
        <f>#REF!/V36</f>
        <v>#REF!</v>
      </c>
      <c r="W117" s="150" t="e">
        <f>#REF!/W36</f>
        <v>#REF!</v>
      </c>
      <c r="X117" s="150" t="e">
        <f>#REF!/X36</f>
        <v>#REF!</v>
      </c>
      <c r="Y117" s="150" t="e">
        <f>#REF!/Y36</f>
        <v>#REF!</v>
      </c>
      <c r="Z117" s="150" t="e">
        <f>#REF!/Z36</f>
        <v>#REF!</v>
      </c>
      <c r="AA117" s="150" t="e">
        <f>#REF!/AA36</f>
        <v>#REF!</v>
      </c>
      <c r="AB117" s="150" t="e">
        <f>#REF!/AB36</f>
        <v>#REF!</v>
      </c>
      <c r="AC117" s="150" t="e">
        <f>#REF!/AC36</f>
        <v>#REF!</v>
      </c>
      <c r="AD117" s="136" t="e">
        <f t="shared" si="198"/>
        <v>#REF!</v>
      </c>
      <c r="AE117" s="20"/>
      <c r="AF117" s="20"/>
    </row>
    <row r="118" spans="2:32" x14ac:dyDescent="0.2">
      <c r="B118" s="20" t="s">
        <v>318</v>
      </c>
      <c r="C118" s="150"/>
      <c r="D118" s="150"/>
      <c r="E118" s="150"/>
      <c r="F118" s="150"/>
      <c r="G118" s="150" t="e">
        <f>#REF!/G36</f>
        <v>#REF!</v>
      </c>
      <c r="H118" s="150" t="e">
        <f>#REF!/H36</f>
        <v>#REF!</v>
      </c>
      <c r="I118" s="150" t="e">
        <f>#REF!/I36</f>
        <v>#REF!</v>
      </c>
      <c r="J118" s="150" t="e">
        <f>#REF!/J36</f>
        <v>#REF!</v>
      </c>
      <c r="K118" s="150" t="e">
        <f>#REF!/K36</f>
        <v>#REF!</v>
      </c>
      <c r="L118" s="150" t="e">
        <f>#REF!/L36</f>
        <v>#REF!</v>
      </c>
      <c r="M118" s="176" t="e">
        <f>#REF!/M36</f>
        <v>#REF!</v>
      </c>
      <c r="N118" s="150" t="e">
        <f>#REF!/N36</f>
        <v>#REF!</v>
      </c>
      <c r="O118" s="150" t="e">
        <f>#REF!/O36</f>
        <v>#REF!</v>
      </c>
      <c r="P118" s="150" t="e">
        <f>#REF!/P36</f>
        <v>#REF!</v>
      </c>
      <c r="Q118" s="150" t="e">
        <f>#REF!/Q36</f>
        <v>#REF!</v>
      </c>
      <c r="R118" s="118" t="e">
        <f t="shared" si="197"/>
        <v>#REF!</v>
      </c>
      <c r="S118" s="20"/>
      <c r="T118" s="150" t="e">
        <f>#REF!/T36</f>
        <v>#REF!</v>
      </c>
      <c r="U118" s="150" t="e">
        <f>#REF!/U36</f>
        <v>#REF!</v>
      </c>
      <c r="V118" s="150" t="e">
        <f>#REF!/V36</f>
        <v>#REF!</v>
      </c>
      <c r="W118" s="150" t="e">
        <f>#REF!/W36</f>
        <v>#REF!</v>
      </c>
      <c r="X118" s="150" t="e">
        <f>#REF!/X36</f>
        <v>#REF!</v>
      </c>
      <c r="Y118" s="150" t="e">
        <f>#REF!/Y36</f>
        <v>#REF!</v>
      </c>
      <c r="Z118" s="150" t="e">
        <f>#REF!/Z36</f>
        <v>#REF!</v>
      </c>
      <c r="AA118" s="150" t="e">
        <f>#REF!/AA36</f>
        <v>#REF!</v>
      </c>
      <c r="AB118" s="150" t="e">
        <f>#REF!/AB36</f>
        <v>#REF!</v>
      </c>
      <c r="AC118" s="150" t="e">
        <f>#REF!/AC36</f>
        <v>#REF!</v>
      </c>
      <c r="AD118" s="136" t="e">
        <f t="shared" si="198"/>
        <v>#REF!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0"/>
      <c r="H119" s="150"/>
      <c r="I119" s="150"/>
      <c r="J119" s="150"/>
      <c r="K119" s="150"/>
      <c r="L119" s="150"/>
      <c r="M119" s="176"/>
      <c r="N119" s="150"/>
      <c r="O119" s="150"/>
      <c r="P119" s="150"/>
      <c r="Q119" s="150"/>
      <c r="R119" s="127"/>
      <c r="S119" s="2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27"/>
      <c r="AE119" s="20"/>
      <c r="AF119" s="20"/>
    </row>
    <row r="120" spans="2:32" x14ac:dyDescent="0.2">
      <c r="B120" s="20" t="s">
        <v>336</v>
      </c>
      <c r="C120" s="20"/>
      <c r="D120" s="20"/>
      <c r="E120" s="20"/>
      <c r="F120" s="20"/>
      <c r="G120" s="150">
        <f>G38/G36</f>
        <v>0.24687499999999998</v>
      </c>
      <c r="H120" s="150">
        <f>H38/H36</f>
        <v>0.24687499999999998</v>
      </c>
      <c r="I120" s="150">
        <f>I38/I36</f>
        <v>0.36332179930795849</v>
      </c>
      <c r="J120" s="150">
        <f>J38/J36</f>
        <v>0.52791878172588835</v>
      </c>
      <c r="K120" s="150">
        <f>K38/K36</f>
        <v>0.58288450029922201</v>
      </c>
      <c r="L120" s="150">
        <f>L38/L36</f>
        <v>0.6119770303527482</v>
      </c>
      <c r="M120" s="176">
        <f>M38/M36</f>
        <v>0.83769100169779287</v>
      </c>
      <c r="N120" s="150">
        <f>N38/N36</f>
        <v>0.84394426580921755</v>
      </c>
      <c r="O120" s="150">
        <f>O38/O36</f>
        <v>0.86362367392518147</v>
      </c>
      <c r="P120" s="150">
        <f>P38/P36</f>
        <v>0.86378389697413882</v>
      </c>
      <c r="Q120" s="150">
        <f>Q38/Q36</f>
        <v>0.86233122543155016</v>
      </c>
      <c r="R120" s="118">
        <f t="shared" si="197"/>
        <v>0.1490931140912346</v>
      </c>
      <c r="S120" s="20"/>
      <c r="T120" s="150">
        <f>T38/T36</f>
        <v>0.86233122543155016</v>
      </c>
      <c r="U120" s="150">
        <f>U38/U36</f>
        <v>0.86233122543155016</v>
      </c>
      <c r="V120" s="150">
        <f>V38/V36</f>
        <v>0.86233122543155016</v>
      </c>
      <c r="W120" s="150">
        <f>W38/W36</f>
        <v>0.86233122543155016</v>
      </c>
      <c r="X120" s="150">
        <f>X38/X36</f>
        <v>0.86233122543155016</v>
      </c>
      <c r="Y120" s="150">
        <f>Y38/Y36</f>
        <v>0.86233122543155027</v>
      </c>
      <c r="Z120" s="150">
        <f>Z38/Z36</f>
        <v>0.86233122543155016</v>
      </c>
      <c r="AA120" s="150">
        <f>AA38/AA36</f>
        <v>0.86233122543155005</v>
      </c>
      <c r="AB120" s="150">
        <f>AB38/AB36</f>
        <v>0.86233122543154994</v>
      </c>
      <c r="AC120" s="150">
        <f>AC38/AC36</f>
        <v>0.86233122543154994</v>
      </c>
      <c r="AD120" s="136">
        <f t="shared" si="198"/>
        <v>6.453476747920206E-2</v>
      </c>
      <c r="AE120" s="20"/>
      <c r="AF120" s="20"/>
    </row>
    <row r="121" spans="2:32" x14ac:dyDescent="0.2">
      <c r="B121" s="20" t="str">
        <f>B44</f>
        <v>Top Expenses ( Interest Out-go )</v>
      </c>
      <c r="C121" s="20"/>
      <c r="D121" s="20"/>
      <c r="E121" s="20"/>
      <c r="F121" s="20"/>
      <c r="G121" s="150">
        <f>G44/G36</f>
        <v>0.25</v>
      </c>
      <c r="H121" s="150">
        <f>H44/H36</f>
        <v>0.25</v>
      </c>
      <c r="I121" s="150">
        <f>I44/I36</f>
        <v>0.36332179930795849</v>
      </c>
      <c r="J121" s="150">
        <f>J44/J36</f>
        <v>0.52791878172588835</v>
      </c>
      <c r="K121" s="150">
        <f>K44/K36</f>
        <v>0.58288450029922201</v>
      </c>
      <c r="L121" s="150">
        <f>L44/L36</f>
        <v>0.6119770303527482</v>
      </c>
      <c r="M121" s="176">
        <f>M44/M36</f>
        <v>0.5368421052631579</v>
      </c>
      <c r="N121" s="150">
        <f>N44/N36</f>
        <v>0.5989281886387996</v>
      </c>
      <c r="O121" s="150">
        <f>O44/O36</f>
        <v>0.65480178671133449</v>
      </c>
      <c r="P121" s="150">
        <f>P44/P36</f>
        <v>0.63605905140822949</v>
      </c>
      <c r="Q121" s="150">
        <f>Q44/Q36</f>
        <v>0.62083404546231413</v>
      </c>
      <c r="R121" s="118">
        <f t="shared" si="197"/>
        <v>0.10635075135485361</v>
      </c>
      <c r="S121" s="20"/>
      <c r="T121" s="150">
        <f>T44/T36</f>
        <v>0.62083404546231413</v>
      </c>
      <c r="U121" s="150">
        <f>U44/U36</f>
        <v>0.62083404546231413</v>
      </c>
      <c r="V121" s="150">
        <f>V44/V36</f>
        <v>0.62083404546231413</v>
      </c>
      <c r="W121" s="150">
        <f>W44/W36</f>
        <v>0.62083404546231413</v>
      </c>
      <c r="X121" s="150">
        <f>X44/X36</f>
        <v>0.62083404546231413</v>
      </c>
      <c r="Y121" s="150">
        <f>Y44/Y36</f>
        <v>0.62083404546231424</v>
      </c>
      <c r="Z121" s="150">
        <f>Z44/Z36</f>
        <v>0.62083404546231413</v>
      </c>
      <c r="AA121" s="150">
        <f>AA44/AA36</f>
        <v>0.62083404546231413</v>
      </c>
      <c r="AB121" s="150">
        <f>AB44/AB36</f>
        <v>0.62083404546231413</v>
      </c>
      <c r="AC121" s="150">
        <f>AC44/AC36</f>
        <v>0.62083404546231413</v>
      </c>
      <c r="AD121" s="136">
        <f t="shared" si="198"/>
        <v>4.6530225067382025E-2</v>
      </c>
      <c r="AE121" s="20"/>
      <c r="AF121" s="20"/>
    </row>
    <row r="122" spans="2:32" x14ac:dyDescent="0.2">
      <c r="B122" s="20" t="str">
        <f>B45</f>
        <v>2nd highest Expenses Comp. ( Empl )</v>
      </c>
      <c r="C122" s="20"/>
      <c r="D122" s="20"/>
      <c r="E122" s="20"/>
      <c r="F122" s="20"/>
      <c r="G122" s="150">
        <f>G45/G36</f>
        <v>0.4375</v>
      </c>
      <c r="H122" s="150">
        <f>H45/H36</f>
        <v>0.4375</v>
      </c>
      <c r="I122" s="150">
        <f>I45/I36</f>
        <v>0.17301038062283736</v>
      </c>
      <c r="J122" s="150">
        <f>J45/J36</f>
        <v>0.14974619289340102</v>
      </c>
      <c r="K122" s="150">
        <f>K45/K36</f>
        <v>0.12088569718731298</v>
      </c>
      <c r="L122" s="150">
        <f>L45/L36</f>
        <v>8.9417555373256769E-2</v>
      </c>
      <c r="M122" s="176">
        <f>M45/M36</f>
        <v>8.7266553480475378E-2</v>
      </c>
      <c r="N122" s="150">
        <f>N45/N36</f>
        <v>7.7599142550911035E-2</v>
      </c>
      <c r="O122" s="150">
        <f>O45/O36</f>
        <v>6.6303740926856508E-2</v>
      </c>
      <c r="P122" s="150">
        <f>P45/P36</f>
        <v>6.8579206365825568E-2</v>
      </c>
      <c r="Q122" s="150">
        <f>Q45/Q36</f>
        <v>6.7168005469150568E-2</v>
      </c>
      <c r="R122" s="118">
        <f t="shared" si="197"/>
        <v>-0.1879625777884204</v>
      </c>
      <c r="S122" s="20"/>
      <c r="T122" s="150">
        <f>T45/T36</f>
        <v>6.7168005469150568E-2</v>
      </c>
      <c r="U122" s="150">
        <f>U45/U36</f>
        <v>6.7168005469150568E-2</v>
      </c>
      <c r="V122" s="150">
        <f>V45/V36</f>
        <v>6.7168005469150582E-2</v>
      </c>
      <c r="W122" s="150">
        <f>W45/W36</f>
        <v>6.7168005469150582E-2</v>
      </c>
      <c r="X122" s="150">
        <f>X45/X36</f>
        <v>6.7168005469150582E-2</v>
      </c>
      <c r="Y122" s="150">
        <f>Y45/Y36</f>
        <v>6.7168005469150582E-2</v>
      </c>
      <c r="Z122" s="150">
        <f>Z45/Z36</f>
        <v>6.7168005469150582E-2</v>
      </c>
      <c r="AA122" s="150">
        <f>AA45/AA36</f>
        <v>6.7168005469150582E-2</v>
      </c>
      <c r="AB122" s="150">
        <f>AB45/AB36</f>
        <v>6.7168005469150568E-2</v>
      </c>
      <c r="AC122" s="150">
        <f>AC45/AC36</f>
        <v>6.7168005469150582E-2</v>
      </c>
      <c r="AD122" s="136">
        <f t="shared" si="198"/>
        <v>-8.9438634076480672E-2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0"/>
      <c r="N123" s="20"/>
      <c r="O123" s="20"/>
      <c r="P123" s="20"/>
      <c r="Q123" s="20"/>
      <c r="R123" s="127"/>
      <c r="S123" s="127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7"/>
      <c r="AE123" s="20"/>
      <c r="AF123" s="20"/>
    </row>
    <row r="124" spans="2:32" x14ac:dyDescent="0.2">
      <c r="B124" s="108" t="s">
        <v>354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192"/>
      <c r="N124" s="25"/>
      <c r="O124" s="25"/>
      <c r="P124" s="25"/>
      <c r="Q124" s="25"/>
      <c r="R124" s="127"/>
      <c r="S124" s="127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27"/>
      <c r="AE124" s="20"/>
      <c r="AF124" s="20"/>
    </row>
    <row r="125" spans="2:32" x14ac:dyDescent="0.2">
      <c r="B125" s="20" t="s">
        <v>337</v>
      </c>
      <c r="C125" s="20"/>
      <c r="D125" s="20"/>
      <c r="E125" s="20"/>
      <c r="F125" s="20"/>
      <c r="G125" s="20" t="e">
        <f>G12/G9</f>
        <v>#DIV/0!</v>
      </c>
      <c r="H125" s="20" t="e">
        <f>H12/H9</f>
        <v>#DIV/0!</v>
      </c>
      <c r="I125" s="20" t="e">
        <f>I12/I9</f>
        <v>#DIV/0!</v>
      </c>
      <c r="J125" s="20" t="e">
        <f>J12/J9</f>
        <v>#DIV/0!</v>
      </c>
      <c r="K125" s="20" t="e">
        <f>K12/K9</f>
        <v>#DIV/0!</v>
      </c>
      <c r="L125" s="20" t="e">
        <f>L12/L9</f>
        <v>#DIV/0!</v>
      </c>
      <c r="M125" s="210" t="e">
        <f>M12/M9</f>
        <v>#DIV/0!</v>
      </c>
      <c r="N125" s="20" t="e">
        <f>N12/N9</f>
        <v>#DIV/0!</v>
      </c>
      <c r="O125" s="20" t="e">
        <f>O12/O9</f>
        <v>#DIV/0!</v>
      </c>
      <c r="P125" s="20" t="e">
        <f>P12/P9</f>
        <v>#DIV/0!</v>
      </c>
      <c r="Q125" s="20" t="e">
        <f>Q12/Q9</f>
        <v>#DIV/0!</v>
      </c>
      <c r="R125" s="118" t="e">
        <f t="shared" si="197"/>
        <v>#DIV/0!</v>
      </c>
      <c r="S125" s="127"/>
      <c r="T125" s="20" t="e">
        <f>T12/T9</f>
        <v>#DIV/0!</v>
      </c>
      <c r="U125" s="20" t="e">
        <f>U12/U9</f>
        <v>#DIV/0!</v>
      </c>
      <c r="V125" s="20" t="e">
        <f>V12/V9</f>
        <v>#DIV/0!</v>
      </c>
      <c r="W125" s="20" t="e">
        <f>W12/W9</f>
        <v>#DIV/0!</v>
      </c>
      <c r="X125" s="20" t="e">
        <f>X12/X9</f>
        <v>#DIV/0!</v>
      </c>
      <c r="Y125" s="20" t="e">
        <f>Y12/Y9</f>
        <v>#DIV/0!</v>
      </c>
      <c r="Z125" s="20" t="e">
        <f>Z12/Z9</f>
        <v>#DIV/0!</v>
      </c>
      <c r="AA125" s="20" t="e">
        <f>AA12/AA9</f>
        <v>#DIV/0!</v>
      </c>
      <c r="AB125" s="20" t="e">
        <f>AB12/AB9</f>
        <v>#DIV/0!</v>
      </c>
      <c r="AC125" s="20" t="e">
        <f>AC12/AC9</f>
        <v>#DIV/0!</v>
      </c>
      <c r="AD125" s="118" t="e">
        <f t="shared" ref="AD125" si="205">((AC125/T125)^(1/($H$2-$H$1) ))-1</f>
        <v>#DIV/0!</v>
      </c>
      <c r="AE125" s="20"/>
      <c r="AF125" s="20"/>
    </row>
    <row r="126" spans="2:32" x14ac:dyDescent="0.2">
      <c r="B126" s="20" t="s">
        <v>339</v>
      </c>
      <c r="C126" s="20"/>
      <c r="D126" s="20"/>
      <c r="E126" s="20"/>
      <c r="F126" s="20"/>
      <c r="G126" s="25">
        <f>G36/360</f>
        <v>0.13333333333333333</v>
      </c>
      <c r="H126" s="25">
        <f>H36/360</f>
        <v>0.13333333333333333</v>
      </c>
      <c r="I126" s="25">
        <f>I36/360</f>
        <v>0.80277777777777781</v>
      </c>
      <c r="J126" s="25">
        <f>J36/360</f>
        <v>2.1888888888888891</v>
      </c>
      <c r="K126" s="25">
        <f>K36/360</f>
        <v>4.6416666666666666</v>
      </c>
      <c r="L126" s="25">
        <f>L36/360</f>
        <v>6.7722222222222221</v>
      </c>
      <c r="M126" s="192">
        <f>M36/360</f>
        <v>8.1805555555555554</v>
      </c>
      <c r="N126" s="25">
        <f>N36/360</f>
        <v>12.958333333333334</v>
      </c>
      <c r="O126" s="25">
        <f>O36/360</f>
        <v>19.899999999999999</v>
      </c>
      <c r="P126" s="25">
        <f>P36/360</f>
        <v>26.530555555555555</v>
      </c>
      <c r="Q126" s="25">
        <f>Q36/360</f>
        <v>32.505555555555553</v>
      </c>
      <c r="R126" s="118">
        <f t="shared" si="197"/>
        <v>0.84172302392430454</v>
      </c>
      <c r="S126" s="127"/>
      <c r="T126" s="25">
        <f>T36/360</f>
        <v>38.356555555555552</v>
      </c>
      <c r="U126" s="25">
        <f>U36/360</f>
        <v>45.260735555555549</v>
      </c>
      <c r="V126" s="25">
        <f>V36/360</f>
        <v>53.407667955555546</v>
      </c>
      <c r="W126" s="25">
        <f>W36/360</f>
        <v>63.021048187555536</v>
      </c>
      <c r="X126" s="25">
        <f>X36/360</f>
        <v>74.364836861315524</v>
      </c>
      <c r="Y126" s="25">
        <f>Y36/360</f>
        <v>87.750507496352313</v>
      </c>
      <c r="Z126" s="25">
        <f>Z36/360</f>
        <v>103.54559884569574</v>
      </c>
      <c r="AA126" s="25">
        <f>AA36/360</f>
        <v>122.18380663792097</v>
      </c>
      <c r="AB126" s="25">
        <f>AB36/360</f>
        <v>144.17689183274675</v>
      </c>
      <c r="AC126" s="25">
        <f>AC36/360</f>
        <v>170.12873236264113</v>
      </c>
      <c r="AD126" s="118">
        <f t="shared" ref="AD126:AD132" si="206">((AC126/T126)^(1/($H$2-$H$1) ))-1</f>
        <v>0.17999999999999994</v>
      </c>
      <c r="AE126" s="20"/>
      <c r="AF126" s="20"/>
    </row>
    <row r="127" spans="2:32" x14ac:dyDescent="0.2">
      <c r="B127" s="20" t="s">
        <v>338</v>
      </c>
      <c r="C127" s="20"/>
      <c r="D127" s="20"/>
      <c r="E127" s="20"/>
      <c r="F127" s="20"/>
      <c r="G127" s="25">
        <f>G38/360</f>
        <v>3.2916666666666664E-2</v>
      </c>
      <c r="H127" s="25">
        <f>H38/360</f>
        <v>3.2916666666666664E-2</v>
      </c>
      <c r="I127" s="25">
        <f>I38/360</f>
        <v>0.29166666666666669</v>
      </c>
      <c r="J127" s="25">
        <f>J38/360</f>
        <v>1.1555555555555554</v>
      </c>
      <c r="K127" s="25">
        <f>K38/360</f>
        <v>2.7055555555555557</v>
      </c>
      <c r="L127" s="25">
        <f>L38/360</f>
        <v>4.1444444444444448</v>
      </c>
      <c r="M127" s="192">
        <f>M38/360</f>
        <v>6.8527777777777779</v>
      </c>
      <c r="N127" s="25">
        <f>N38/360</f>
        <v>10.936111111111112</v>
      </c>
      <c r="O127" s="25">
        <f>O38/360</f>
        <v>17.18611111111111</v>
      </c>
      <c r="P127" s="25">
        <f>P38/360</f>
        <v>22.916666666666668</v>
      </c>
      <c r="Q127" s="25">
        <f>Q38/360</f>
        <v>28.030555555555555</v>
      </c>
      <c r="R127" s="118">
        <f t="shared" si="197"/>
        <v>1.1163112448547046</v>
      </c>
      <c r="S127" s="127"/>
      <c r="T127" s="25">
        <f>T38/360</f>
        <v>33.076055555555556</v>
      </c>
      <c r="U127" s="25">
        <f>U38/360</f>
        <v>39.02974555555555</v>
      </c>
      <c r="V127" s="25">
        <f>V38/360</f>
        <v>46.055099755555538</v>
      </c>
      <c r="W127" s="25">
        <f>W38/360</f>
        <v>54.345017711555535</v>
      </c>
      <c r="X127" s="25">
        <f>X38/360</f>
        <v>64.127120899635528</v>
      </c>
      <c r="Y127" s="25">
        <f>Y38/360</f>
        <v>75.670002661569924</v>
      </c>
      <c r="Z127" s="25">
        <f>Z38/360</f>
        <v>89.290603140652507</v>
      </c>
      <c r="AA127" s="25">
        <f>AA38/360</f>
        <v>105.36291170596995</v>
      </c>
      <c r="AB127" s="25">
        <f>AB38/360</f>
        <v>124.32823581304451</v>
      </c>
      <c r="AC127" s="25">
        <f>AC38/360</f>
        <v>146.70731825939251</v>
      </c>
      <c r="AD127" s="118">
        <f t="shared" si="206"/>
        <v>0.17999999999999994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192"/>
      <c r="N128" s="25"/>
      <c r="O128" s="25"/>
      <c r="P128" s="25"/>
      <c r="Q128" s="25"/>
      <c r="R128" s="25"/>
      <c r="S128" s="127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7"/>
      <c r="AE128" s="20"/>
      <c r="AF128" s="20"/>
    </row>
    <row r="129" spans="2:32" x14ac:dyDescent="0.2">
      <c r="B129" s="20" t="s">
        <v>355</v>
      </c>
      <c r="C129" s="20"/>
      <c r="D129" s="20"/>
      <c r="E129" s="20"/>
      <c r="F129" s="20"/>
      <c r="G129" s="25">
        <f>G10/G7</f>
        <v>4.7557603686635943</v>
      </c>
      <c r="H129" s="25">
        <f>H10/H7</f>
        <v>4.7557603686635943</v>
      </c>
      <c r="I129" s="25">
        <f>I10/I7</f>
        <v>5.90034965034965</v>
      </c>
      <c r="J129" s="25">
        <f>J10/J7</f>
        <v>11.546378653113088</v>
      </c>
      <c r="K129" s="25">
        <f>K10/K7</f>
        <v>10.810462471569371</v>
      </c>
      <c r="L129" s="25">
        <f>L10/L7</f>
        <v>11.304187192118226</v>
      </c>
      <c r="M129" s="192">
        <f>M10/M7</f>
        <v>10.212690191000323</v>
      </c>
      <c r="N129" s="25">
        <f>N10/N7</f>
        <v>13.871639430680021</v>
      </c>
      <c r="O129" s="25">
        <f>O10/O7</f>
        <v>13.538922155688622</v>
      </c>
      <c r="P129" s="25">
        <f>P10/P7</f>
        <v>15.132942999827794</v>
      </c>
      <c r="Q129" s="25">
        <f>Q10/Q7</f>
        <v>13.422206605762474</v>
      </c>
      <c r="R129" s="118">
        <f t="shared" si="197"/>
        <v>0.12219183953743085</v>
      </c>
      <c r="S129" s="127"/>
      <c r="T129" s="25">
        <f>T10/T7</f>
        <v>13.422206605762474</v>
      </c>
      <c r="U129" s="25">
        <f>U10/U7</f>
        <v>13.422206605762474</v>
      </c>
      <c r="V129" s="25">
        <f>V10/V7</f>
        <v>13.422206605762474</v>
      </c>
      <c r="W129" s="25">
        <f>W10/W7</f>
        <v>13.422206605762474</v>
      </c>
      <c r="X129" s="25">
        <f>X10/X7</f>
        <v>13.422206605762476</v>
      </c>
      <c r="Y129" s="25">
        <f>Y10/Y7</f>
        <v>13.422206605762476</v>
      </c>
      <c r="Z129" s="25">
        <f>Z10/Z7</f>
        <v>13.422206605762476</v>
      </c>
      <c r="AA129" s="25">
        <f>AA10/AA7</f>
        <v>13.422206605762476</v>
      </c>
      <c r="AB129" s="25">
        <f>AB10/AB7</f>
        <v>13.422206605762474</v>
      </c>
      <c r="AC129" s="25">
        <f>AC10/AC7</f>
        <v>13.422206605762474</v>
      </c>
      <c r="AD129" s="118">
        <f t="shared" si="206"/>
        <v>0</v>
      </c>
      <c r="AE129" s="20"/>
      <c r="AF129" s="20"/>
    </row>
    <row r="130" spans="2:32" x14ac:dyDescent="0.2">
      <c r="B130" s="20" t="s">
        <v>340</v>
      </c>
      <c r="C130" s="20"/>
      <c r="D130" s="20"/>
      <c r="E130" s="20"/>
      <c r="F130" s="20"/>
      <c r="G130" s="25">
        <f>G10/(G10+G7)</f>
        <v>0.82626100880704567</v>
      </c>
      <c r="H130" s="25">
        <f>H10/(H10+H7)</f>
        <v>0.82626100880704567</v>
      </c>
      <c r="I130" s="25">
        <f>I10/(I10+I7)</f>
        <v>0.85507980744869516</v>
      </c>
      <c r="J130" s="25">
        <f>J10/(J10+J7)</f>
        <v>0.92029572614948352</v>
      </c>
      <c r="K130" s="25">
        <f>K10/(K10+K7)</f>
        <v>0.91532931056618305</v>
      </c>
      <c r="L130" s="25">
        <f>L10/(L10+L7)</f>
        <v>0.91872685416875188</v>
      </c>
      <c r="M130" s="192">
        <f>M10/(M10+M7)</f>
        <v>0.91081533664395431</v>
      </c>
      <c r="N130" s="25">
        <f>N10/(N10+N7)</f>
        <v>0.93275791787037199</v>
      </c>
      <c r="O130" s="25">
        <f>O10/(O10+O7)</f>
        <v>0.9312191103789127</v>
      </c>
      <c r="P130" s="25">
        <f>P10/(P10+P7)</f>
        <v>0.93801502924725677</v>
      </c>
      <c r="Q130" s="25">
        <f>Q10/(Q10+Q7)</f>
        <v>0.93066248270216545</v>
      </c>
      <c r="R130" s="118">
        <f t="shared" si="197"/>
        <v>1.3308442106881202E-2</v>
      </c>
      <c r="S130" s="127"/>
      <c r="T130" s="25">
        <f>T10/(T10+T7)</f>
        <v>0.93066248270216545</v>
      </c>
      <c r="U130" s="25">
        <f>U10/(U10+U7)</f>
        <v>0.93066248270216534</v>
      </c>
      <c r="V130" s="25">
        <f>V10/(V10+V7)</f>
        <v>0.93066248270216545</v>
      </c>
      <c r="W130" s="25">
        <f>W10/(W10+W7)</f>
        <v>0.93066248270216534</v>
      </c>
      <c r="X130" s="25">
        <f>X10/(X10+X7)</f>
        <v>0.93066248270216545</v>
      </c>
      <c r="Y130" s="25">
        <f>Y10/(Y10+Y7)</f>
        <v>0.93066248270216545</v>
      </c>
      <c r="Z130" s="25">
        <f>Z10/(Z10+Z7)</f>
        <v>0.93066248270216534</v>
      </c>
      <c r="AA130" s="25">
        <f>AA10/(AA10+AA7)</f>
        <v>0.93066248270216534</v>
      </c>
      <c r="AB130" s="25">
        <f>AB10/(AB10+AB7)</f>
        <v>0.93066248270216545</v>
      </c>
      <c r="AC130" s="25">
        <f>AC10/(AC10+AC7)</f>
        <v>0.93066248270216534</v>
      </c>
      <c r="AD130" s="118">
        <f t="shared" si="206"/>
        <v>0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192"/>
      <c r="N131" s="25"/>
      <c r="O131" s="25"/>
      <c r="P131" s="25"/>
      <c r="Q131" s="25"/>
      <c r="R131" s="25"/>
      <c r="S131" s="127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27"/>
      <c r="AE131" s="20"/>
      <c r="AF131" s="20"/>
    </row>
    <row r="132" spans="2:32" s="181" customFormat="1" x14ac:dyDescent="0.2">
      <c r="B132" s="210" t="s">
        <v>412</v>
      </c>
      <c r="C132" s="210"/>
      <c r="D132" s="210"/>
      <c r="E132" s="210"/>
      <c r="F132" s="210"/>
      <c r="G132" s="192">
        <f>(G36-G40)/G36</f>
        <v>0.625</v>
      </c>
      <c r="H132" s="192">
        <f>(H36-H40)/H36</f>
        <v>0.625</v>
      </c>
      <c r="I132" s="192">
        <f>(I36-I40)/I36</f>
        <v>0.65397923875432529</v>
      </c>
      <c r="J132" s="192">
        <f>(J36-J40)/J36</f>
        <v>0.74619289340101524</v>
      </c>
      <c r="K132" s="192">
        <f>(K36-K40)/K36</f>
        <v>0.78456014362657089</v>
      </c>
      <c r="L132" s="192">
        <f>(L36-L40)/L36</f>
        <v>0.82157506152584081</v>
      </c>
      <c r="M132" s="192">
        <f>(M36-M40)/M36</f>
        <v>0.8047538200339559</v>
      </c>
      <c r="N132" s="192">
        <f>(N36-N40)/N36</f>
        <v>0.86645230439442655</v>
      </c>
      <c r="O132" s="192">
        <f>(O36-O40)/O36</f>
        <v>0.88037409268565048</v>
      </c>
      <c r="P132" s="192">
        <f>(P36-P40)/P36</f>
        <v>0.86839074442466757</v>
      </c>
      <c r="Q132" s="192">
        <f>(Q36-Q40)/Q36</f>
        <v>0.85293112288497697</v>
      </c>
      <c r="R132" s="173">
        <f t="shared" si="197"/>
        <v>3.515115635646171E-2</v>
      </c>
      <c r="S132" s="127"/>
      <c r="T132" s="192">
        <f>(T36-T40)/T36</f>
        <v>0.85293112288497686</v>
      </c>
      <c r="U132" s="192">
        <f>(U36-U40)/U36</f>
        <v>0.85293112288497686</v>
      </c>
      <c r="V132" s="192">
        <f>(V36-V40)/V36</f>
        <v>0.85293112288497697</v>
      </c>
      <c r="W132" s="192">
        <f>(W36-W40)/W36</f>
        <v>0.85293112288497697</v>
      </c>
      <c r="X132" s="192">
        <f>(X36-X40)/X36</f>
        <v>0.85293112288497697</v>
      </c>
      <c r="Y132" s="192">
        <f>(Y36-Y40)/Y36</f>
        <v>0.85293112288497686</v>
      </c>
      <c r="Z132" s="192">
        <f>(Z36-Z40)/Z36</f>
        <v>0.85293112288497686</v>
      </c>
      <c r="AA132" s="192">
        <f>(AA36-AA40)/AA36</f>
        <v>0.85293112288497686</v>
      </c>
      <c r="AB132" s="192">
        <f>(AB36-AB40)/AB36</f>
        <v>0.85293112288497686</v>
      </c>
      <c r="AC132" s="192">
        <f>(AC36-AC40)/AC36</f>
        <v>0.85293112288497686</v>
      </c>
      <c r="AD132" s="173">
        <f t="shared" si="206"/>
        <v>0</v>
      </c>
      <c r="AE132" s="210"/>
      <c r="AF132" s="210"/>
    </row>
    <row r="133" spans="2:32" x14ac:dyDescent="0.2">
      <c r="B133" s="20" t="s">
        <v>356</v>
      </c>
      <c r="C133" s="20"/>
      <c r="D133" s="20"/>
      <c r="E133" s="20"/>
      <c r="F133" s="20"/>
      <c r="G133" s="25">
        <f>G40/G36</f>
        <v>0.375</v>
      </c>
      <c r="H133" s="25">
        <f>H40/H36</f>
        <v>0.375</v>
      </c>
      <c r="I133" s="25">
        <f>I40/I36</f>
        <v>0.34602076124567471</v>
      </c>
      <c r="J133" s="25">
        <f>J40/J36</f>
        <v>0.25380710659898476</v>
      </c>
      <c r="K133" s="25">
        <f>K40/K36</f>
        <v>0.21543985637342908</v>
      </c>
      <c r="L133" s="25">
        <f>L40/L36</f>
        <v>0.17842493847415913</v>
      </c>
      <c r="M133" s="192">
        <f>M40/M36</f>
        <v>0.19524617996604415</v>
      </c>
      <c r="N133" s="25">
        <f>N40/N36</f>
        <v>0.13354769560557342</v>
      </c>
      <c r="O133" s="25">
        <f>O40/O36</f>
        <v>0.11962590731434952</v>
      </c>
      <c r="P133" s="25">
        <f>P40/P36</f>
        <v>0.13160925557533243</v>
      </c>
      <c r="Q133" s="25">
        <f>Q40/Q36</f>
        <v>0.14706887711502306</v>
      </c>
      <c r="R133" s="118">
        <f t="shared" si="197"/>
        <v>-9.8777205691023218E-2</v>
      </c>
      <c r="S133" s="127"/>
      <c r="T133" s="192">
        <f>T40/T36</f>
        <v>0.14706887711502309</v>
      </c>
      <c r="U133" s="192">
        <f>U40/U36</f>
        <v>0.14706887711502309</v>
      </c>
      <c r="V133" s="192">
        <f>V40/V36</f>
        <v>0.14706887711502309</v>
      </c>
      <c r="W133" s="192">
        <f>W40/W36</f>
        <v>0.14706887711502309</v>
      </c>
      <c r="X133" s="192">
        <f>X40/X36</f>
        <v>0.14706887711502309</v>
      </c>
      <c r="Y133" s="192">
        <f>Y40/Y36</f>
        <v>0.14706887711502312</v>
      </c>
      <c r="Z133" s="192">
        <f>Z40/Z36</f>
        <v>0.14706887711502312</v>
      </c>
      <c r="AA133" s="192">
        <f>AA40/AA36</f>
        <v>0.14706887711502312</v>
      </c>
      <c r="AB133" s="192">
        <f>AB40/AB36</f>
        <v>0.14706887711502309</v>
      </c>
      <c r="AC133" s="192">
        <f>AC40/AC36</f>
        <v>0.14706887711502309</v>
      </c>
      <c r="AD133" s="118">
        <f t="shared" ref="AD133:AD138" si="207">((AC133/T133)^(1/($H$2-$H$1) ))-1</f>
        <v>0</v>
      </c>
      <c r="AE133" s="20"/>
      <c r="AF133" s="20"/>
    </row>
    <row r="134" spans="2:32" x14ac:dyDescent="0.2">
      <c r="B134" s="20" t="s">
        <v>357</v>
      </c>
      <c r="C134" s="20"/>
      <c r="D134" s="20"/>
      <c r="E134" s="20"/>
      <c r="F134" s="20"/>
      <c r="G134" s="25">
        <f>G42/(G36-G40)</f>
        <v>0.4</v>
      </c>
      <c r="H134" s="192">
        <f>H42/(H36-H40)</f>
        <v>0.4</v>
      </c>
      <c r="I134" s="192">
        <f>I42/(I36-I40)</f>
        <v>0.55555555555555558</v>
      </c>
      <c r="J134" s="192">
        <f>J42/(J36-J40)</f>
        <v>0.70748299319727892</v>
      </c>
      <c r="K134" s="192">
        <f>K42/(K36-K40)</f>
        <v>0.74294431731502675</v>
      </c>
      <c r="L134" s="192">
        <f>L42/(L36-L40)</f>
        <v>0.74488267598602098</v>
      </c>
      <c r="M134" s="192">
        <f>M42/(M36-M40)</f>
        <v>0.66708860759493671</v>
      </c>
      <c r="N134" s="192">
        <f>N42/(N36-N40)</f>
        <v>0.69124195942602673</v>
      </c>
      <c r="O134" s="192">
        <f>O42/(O36-O40)</f>
        <v>0.74377675598541304</v>
      </c>
      <c r="P134" s="192">
        <f>P42/(P36-P40)</f>
        <v>0.73245719797443931</v>
      </c>
      <c r="Q134" s="192">
        <f>Q42/(Q36-Q40)</f>
        <v>0.72788297765754939</v>
      </c>
      <c r="R134" s="118">
        <f t="shared" si="197"/>
        <v>6.8781833997076491E-2</v>
      </c>
      <c r="S134" s="127"/>
      <c r="T134" s="192">
        <f>T42/(T36-T40)</f>
        <v>0.72788297765754939</v>
      </c>
      <c r="U134" s="192">
        <f>U42/(U36-U40)</f>
        <v>0.72788297765754939</v>
      </c>
      <c r="V134" s="192">
        <f>V42/(V36-V40)</f>
        <v>0.72788297765754928</v>
      </c>
      <c r="W134" s="192">
        <f>W42/(W36-W40)</f>
        <v>0.72788297765754928</v>
      </c>
      <c r="X134" s="192">
        <f>X42/(X36-X40)</f>
        <v>0.72788297765754939</v>
      </c>
      <c r="Y134" s="192">
        <f>Y42/(Y36-Y40)</f>
        <v>0.7278829776575495</v>
      </c>
      <c r="Z134" s="192">
        <f>Z42/(Z36-Z40)</f>
        <v>0.72788297765754939</v>
      </c>
      <c r="AA134" s="192">
        <f>AA42/(AA36-AA40)</f>
        <v>0.72788297765754939</v>
      </c>
      <c r="AB134" s="192">
        <f>AB42/(AB36-AB40)</f>
        <v>0.72788297765754939</v>
      </c>
      <c r="AC134" s="192">
        <f>AC42/(AC36-AC40)</f>
        <v>0.72788297765754939</v>
      </c>
      <c r="AD134" s="118">
        <f t="shared" si="207"/>
        <v>0</v>
      </c>
      <c r="AE134" s="20"/>
      <c r="AF134" s="20"/>
    </row>
    <row r="135" spans="2:32" x14ac:dyDescent="0.2">
      <c r="B135" s="20" t="s">
        <v>411</v>
      </c>
      <c r="C135" s="20"/>
      <c r="D135" s="20"/>
      <c r="E135" s="20"/>
      <c r="F135" s="20"/>
      <c r="G135" s="176">
        <f>G42/(G36-G40)</f>
        <v>0.4</v>
      </c>
      <c r="H135" s="176">
        <f>H42/(H36-H40)</f>
        <v>0.4</v>
      </c>
      <c r="I135" s="176">
        <f>I42/(I36-I40)</f>
        <v>0.55555555555555558</v>
      </c>
      <c r="J135" s="176">
        <f>J42/(J36-J40)</f>
        <v>0.70748299319727892</v>
      </c>
      <c r="K135" s="176">
        <f>K42/(K36-K40)</f>
        <v>0.74294431731502675</v>
      </c>
      <c r="L135" s="176">
        <f>L42/(L36-L40)</f>
        <v>0.74488267598602098</v>
      </c>
      <c r="M135" s="176">
        <f>M42/(M36-M40)</f>
        <v>0.66708860759493671</v>
      </c>
      <c r="N135" s="176">
        <f>N42/(N36-N40)</f>
        <v>0.69124195942602673</v>
      </c>
      <c r="O135" s="176">
        <f>O42/(O36-O40)</f>
        <v>0.74377675598541304</v>
      </c>
      <c r="P135" s="176">
        <f>P42/(P36-P40)</f>
        <v>0.73245719797443931</v>
      </c>
      <c r="Q135" s="176">
        <f>Q42/(Q36-Q40)</f>
        <v>0.72788297765754939</v>
      </c>
      <c r="R135" s="173">
        <f t="shared" si="197"/>
        <v>6.8781833997076491E-2</v>
      </c>
      <c r="S135" s="127"/>
      <c r="T135" s="176">
        <f>T42/(T36-T40)</f>
        <v>0.72788297765754939</v>
      </c>
      <c r="U135" s="176">
        <f>U42/(U36-U40)</f>
        <v>0.72788297765754939</v>
      </c>
      <c r="V135" s="176">
        <f>V42/(V36-V40)</f>
        <v>0.72788297765754928</v>
      </c>
      <c r="W135" s="176">
        <f>W42/(W36-W40)</f>
        <v>0.72788297765754928</v>
      </c>
      <c r="X135" s="176">
        <f>X42/(X36-X40)</f>
        <v>0.72788297765754939</v>
      </c>
      <c r="Y135" s="176">
        <f>Y42/(Y36-Y40)</f>
        <v>0.7278829776575495</v>
      </c>
      <c r="Z135" s="176">
        <f>Z42/(Z36-Z40)</f>
        <v>0.72788297765754939</v>
      </c>
      <c r="AA135" s="176">
        <f>AA42/(AA36-AA40)</f>
        <v>0.72788297765754939</v>
      </c>
      <c r="AB135" s="176">
        <f>AB42/(AB36-AB40)</f>
        <v>0.72788297765754939</v>
      </c>
      <c r="AC135" s="176">
        <f>AC42/(AC36-AC40)</f>
        <v>0.72788297765754939</v>
      </c>
      <c r="AD135" s="173">
        <f t="shared" si="207"/>
        <v>0</v>
      </c>
      <c r="AE135" s="20"/>
      <c r="AF135" s="20"/>
    </row>
    <row r="136" spans="2:32" s="181" customFormat="1" x14ac:dyDescent="0.2">
      <c r="B136" s="210"/>
      <c r="C136" s="210"/>
      <c r="D136" s="210"/>
      <c r="E136" s="210"/>
      <c r="F136" s="210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92"/>
      <c r="S136" s="127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37"/>
      <c r="AE136" s="210"/>
      <c r="AF136" s="210"/>
    </row>
    <row r="137" spans="2:32" s="181" customFormat="1" x14ac:dyDescent="0.2">
      <c r="B137" s="210" t="s">
        <v>413</v>
      </c>
      <c r="C137" s="210"/>
      <c r="D137" s="210"/>
      <c r="E137" s="210"/>
      <c r="F137" s="210"/>
      <c r="G137" s="176">
        <f>G13/G27</f>
        <v>6.1840120663650078E-2</v>
      </c>
      <c r="H137" s="176">
        <f>H13/H27</f>
        <v>6.1840120663650078E-2</v>
      </c>
      <c r="I137" s="176">
        <f>I13/I27</f>
        <v>3.0240549828178694E-2</v>
      </c>
      <c r="J137" s="176">
        <f>J13/J27</f>
        <v>4.7445255474452552E-2</v>
      </c>
      <c r="K137" s="176">
        <f>K13/K27</f>
        <v>7.2251940028629544E-2</v>
      </c>
      <c r="L137" s="176">
        <f>L13/L27</f>
        <v>7.8978291792937097E-2</v>
      </c>
      <c r="M137" s="176">
        <f>M13/M27</f>
        <v>7.4445854168221512E-2</v>
      </c>
      <c r="N137" s="176">
        <f>N13/N27</f>
        <v>6.695981540336976E-2</v>
      </c>
      <c r="O137" s="176">
        <f>O13/O27</f>
        <v>4.7445626742080527E-2</v>
      </c>
      <c r="P137" s="176">
        <f>P13/P27</f>
        <v>4.9869315211709356E-2</v>
      </c>
      <c r="Q137" s="176">
        <f>Q13/Q27</f>
        <v>6.1206059952555535E-2</v>
      </c>
      <c r="R137" s="173">
        <f t="shared" si="197"/>
        <v>-1.144472596873225E-3</v>
      </c>
      <c r="S137" s="127"/>
      <c r="T137" s="176">
        <f>T13/T27</f>
        <v>6.1206059952555535E-2</v>
      </c>
      <c r="U137" s="176">
        <f>U13/U27</f>
        <v>6.1206059952555535E-2</v>
      </c>
      <c r="V137" s="176">
        <f>V13/V27</f>
        <v>6.1206059952555528E-2</v>
      </c>
      <c r="W137" s="176">
        <f>W13/W27</f>
        <v>6.1206059952555521E-2</v>
      </c>
      <c r="X137" s="176">
        <f>X13/X27</f>
        <v>6.1206059952555521E-2</v>
      </c>
      <c r="Y137" s="176">
        <f>Y13/Y27</f>
        <v>6.1206059952555528E-2</v>
      </c>
      <c r="Z137" s="176">
        <f>Z13/Z27</f>
        <v>6.1206059952555528E-2</v>
      </c>
      <c r="AA137" s="176">
        <f>AA13/AA27</f>
        <v>6.1206059952555535E-2</v>
      </c>
      <c r="AB137" s="176">
        <f>AB13/AB27</f>
        <v>6.1206059952555528E-2</v>
      </c>
      <c r="AC137" s="176">
        <f>AC13/AC27</f>
        <v>6.1206059952555535E-2</v>
      </c>
      <c r="AD137" s="173">
        <f t="shared" si="207"/>
        <v>0</v>
      </c>
      <c r="AE137" s="210"/>
      <c r="AF137" s="210"/>
    </row>
    <row r="138" spans="2:32" x14ac:dyDescent="0.2">
      <c r="B138" s="20" t="s">
        <v>414</v>
      </c>
      <c r="C138" s="20"/>
      <c r="D138" s="20"/>
      <c r="E138" s="20"/>
      <c r="F138" s="20"/>
      <c r="G138" s="176">
        <f>G14/G27</f>
        <v>1.8099547511312219E-2</v>
      </c>
      <c r="H138" s="176">
        <f>H14/H27</f>
        <v>1.8099547511312219E-2</v>
      </c>
      <c r="I138" s="176">
        <f>I14/I27</f>
        <v>4.3986254295532649E-2</v>
      </c>
      <c r="J138" s="176">
        <f>J14/J27</f>
        <v>0.10997566909975669</v>
      </c>
      <c r="K138" s="176">
        <f>K14/K27</f>
        <v>5.0327732991787839E-2</v>
      </c>
      <c r="L138" s="176">
        <f>L14/L27</f>
        <v>3.9891149730966663E-2</v>
      </c>
      <c r="M138" s="176">
        <f>M14/M27</f>
        <v>2.5263079334278678E-2</v>
      </c>
      <c r="N138" s="176">
        <f>N14/N27</f>
        <v>9.1427576298489261E-3</v>
      </c>
      <c r="O138" s="176">
        <f>O14/O27</f>
        <v>2.549286891416248E-2</v>
      </c>
      <c r="P138" s="176">
        <f>P14/P27</f>
        <v>1.0858038981405421E-2</v>
      </c>
      <c r="Q138" s="176">
        <f>Q14/Q27</f>
        <v>1.8196031917187837E-2</v>
      </c>
      <c r="R138" s="173">
        <f t="shared" si="197"/>
        <v>5.9090842865017201E-4</v>
      </c>
      <c r="S138" s="127"/>
      <c r="T138" s="176">
        <f>T14/T27</f>
        <v>1.8196031917187837E-2</v>
      </c>
      <c r="U138" s="176">
        <f>U14/U27</f>
        <v>1.8196031917187837E-2</v>
      </c>
      <c r="V138" s="176">
        <f>V14/V27</f>
        <v>1.8196031917187837E-2</v>
      </c>
      <c r="W138" s="176">
        <f>W14/W27</f>
        <v>1.8196031917187834E-2</v>
      </c>
      <c r="X138" s="176">
        <f>X14/X27</f>
        <v>1.8196031917187834E-2</v>
      </c>
      <c r="Y138" s="176">
        <f>Y14/Y27</f>
        <v>1.8196031917187834E-2</v>
      </c>
      <c r="Z138" s="176">
        <f>Z14/Z27</f>
        <v>1.8196031917187834E-2</v>
      </c>
      <c r="AA138" s="176">
        <f>AA14/AA27</f>
        <v>1.8196031917187834E-2</v>
      </c>
      <c r="AB138" s="176">
        <f>AB14/AB27</f>
        <v>1.8196031917187834E-2</v>
      </c>
      <c r="AC138" s="176">
        <f>AC14/AC27</f>
        <v>1.8196031917187834E-2</v>
      </c>
      <c r="AD138" s="173">
        <f t="shared" si="20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0"/>
      <c r="N139" s="20"/>
      <c r="O139" s="20"/>
      <c r="P139" s="20"/>
      <c r="Q139" s="20"/>
      <c r="R139" s="127"/>
      <c r="S139" s="127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0"/>
      <c r="N140" s="20"/>
      <c r="O140" s="20"/>
      <c r="P140" s="20"/>
      <c r="Q140" s="20"/>
      <c r="R140" s="23"/>
      <c r="S140" s="23"/>
      <c r="T140" s="121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5"/>
      <c r="AE140" s="20"/>
      <c r="AF140" s="20"/>
    </row>
    <row r="141" spans="2:32" x14ac:dyDescent="0.2">
      <c r="B141" s="23" t="s">
        <v>277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0"/>
      <c r="N141" s="20"/>
      <c r="O141" s="20"/>
      <c r="P141" s="20"/>
      <c r="Q141" s="25"/>
      <c r="R141" s="158">
        <f>AVERAGE(G64:Q64)</f>
        <v>15.057366985026755</v>
      </c>
      <c r="S141" s="23"/>
      <c r="T141" s="108" t="s">
        <v>417</v>
      </c>
      <c r="U141" s="239" t="s">
        <v>416</v>
      </c>
      <c r="V141" s="20"/>
      <c r="W141" s="20"/>
      <c r="X141" s="20"/>
      <c r="Y141" s="20"/>
      <c r="Z141" s="20"/>
      <c r="AA141" s="20"/>
      <c r="AB141" s="20"/>
      <c r="AC141" s="20"/>
      <c r="AD141" s="135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0"/>
      <c r="N142" s="20"/>
      <c r="O142" s="20"/>
      <c r="P142" s="20"/>
      <c r="Q142" s="20"/>
      <c r="R142" s="20"/>
      <c r="S142" s="138">
        <f>T142+U142</f>
        <v>222.68789653696464</v>
      </c>
      <c r="T142" s="132">
        <f>PV($C$1, ($AC$3-$T$3), 0, -AC64)</f>
        <v>27.83598706712058</v>
      </c>
      <c r="U142" s="132">
        <f>PV($C$1, ($AC$3-$T$3), 0, -AF64)</f>
        <v>194.85190946984406</v>
      </c>
      <c r="V142" s="20"/>
      <c r="W142" s="20"/>
      <c r="X142" s="20"/>
      <c r="Y142" s="20"/>
      <c r="Z142" s="20"/>
      <c r="AA142" s="20"/>
      <c r="AB142" s="20"/>
      <c r="AC142" s="20"/>
      <c r="AD142" s="135"/>
      <c r="AE142" s="20"/>
      <c r="AF142" s="20"/>
    </row>
    <row r="143" spans="2:32" x14ac:dyDescent="0.2">
      <c r="B143" s="20" t="s">
        <v>270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0"/>
      <c r="N143" s="20"/>
      <c r="O143" s="20"/>
      <c r="P143" s="20"/>
      <c r="Q143" s="20"/>
      <c r="R143" s="20"/>
      <c r="S143" s="138">
        <f t="shared" ref="S143:S154" si="208">T143+U143</f>
        <v>983.50365230322961</v>
      </c>
      <c r="T143" s="132">
        <f>PV($C$1, ($AC$3-$T$3), 0, -AC65)</f>
        <v>122.93795653790372</v>
      </c>
      <c r="U143" s="132">
        <f>PV($C$1, ($AC$3-$T$3), 0, -AF65)</f>
        <v>860.56569576532593</v>
      </c>
      <c r="V143" s="20"/>
      <c r="W143" s="20"/>
      <c r="X143" s="20"/>
      <c r="Y143" s="20"/>
      <c r="Z143" s="20"/>
      <c r="AA143" s="20"/>
      <c r="AB143" s="20"/>
      <c r="AC143" s="20"/>
      <c r="AD143" s="135"/>
      <c r="AE143" s="20"/>
      <c r="AF143" s="20"/>
    </row>
    <row r="144" spans="2:32" x14ac:dyDescent="0.2">
      <c r="B144" s="20" t="s">
        <v>271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0"/>
      <c r="N144" s="20"/>
      <c r="O144" s="20"/>
      <c r="P144" s="20"/>
      <c r="Q144" s="20"/>
      <c r="R144" s="20"/>
      <c r="S144" s="138">
        <f t="shared" si="208"/>
        <v>934.57037149994892</v>
      </c>
      <c r="T144" s="132">
        <f>PV($C$1, ($AC$3-$T$3), 0, -AC66)</f>
        <v>116.82129643749363</v>
      </c>
      <c r="U144" s="132">
        <f>PV($C$1, ($AC$3-$T$3), 0, -AF66)</f>
        <v>817.74907506245529</v>
      </c>
      <c r="V144" s="20"/>
      <c r="W144" s="20"/>
      <c r="X144" s="20"/>
      <c r="Y144" s="20"/>
      <c r="Z144" s="20"/>
      <c r="AA144" s="20"/>
      <c r="AB144" s="20"/>
      <c r="AC144" s="20"/>
      <c r="AD144" s="135"/>
      <c r="AE144" s="20"/>
      <c r="AF144" s="20"/>
    </row>
    <row r="145" spans="2:32" x14ac:dyDescent="0.2">
      <c r="B145" s="20" t="s">
        <v>272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0"/>
      <c r="N145" s="20"/>
      <c r="O145" s="20"/>
      <c r="P145" s="20"/>
      <c r="Q145" s="20"/>
      <c r="R145" s="20"/>
      <c r="S145" s="138">
        <f t="shared" si="208"/>
        <v>13200.789218735927</v>
      </c>
      <c r="T145" s="132">
        <f>PV($C$1, ($AC$3-$T$3), 0, -AC67)</f>
        <v>1650.0986523419911</v>
      </c>
      <c r="U145" s="132">
        <f>PV($C$1, ($AC$3-$T$3), 0, -AF67)</f>
        <v>11550.690566393936</v>
      </c>
      <c r="V145" s="20"/>
      <c r="W145" s="20"/>
      <c r="X145" s="20"/>
      <c r="Y145" s="20"/>
      <c r="Z145" s="20"/>
      <c r="AA145" s="20"/>
      <c r="AB145" s="20"/>
      <c r="AC145" s="20"/>
      <c r="AD145" s="135"/>
      <c r="AE145" s="20"/>
      <c r="AF145" s="20"/>
    </row>
    <row r="146" spans="2:32" x14ac:dyDescent="0.2">
      <c r="B146" s="20" t="s">
        <v>273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0"/>
      <c r="N146" s="20"/>
      <c r="O146" s="20"/>
      <c r="P146" s="20"/>
      <c r="Q146" s="20"/>
      <c r="R146" s="20"/>
      <c r="S146" s="138">
        <f t="shared" si="208"/>
        <v>0</v>
      </c>
      <c r="T146" s="132">
        <f>PV($C$1, ($AC$3-$T$3), 0, -AC73)</f>
        <v>0</v>
      </c>
      <c r="U146" s="132">
        <f>PV($C$1, ($AC$3-$T$3), 0, -AF73)</f>
        <v>0</v>
      </c>
      <c r="V146" s="20"/>
      <c r="W146" s="20"/>
      <c r="X146" s="20"/>
      <c r="Y146" s="20"/>
      <c r="Z146" s="20"/>
      <c r="AA146" s="20"/>
      <c r="AB146" s="20"/>
      <c r="AC146" s="20"/>
      <c r="AD146" s="135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0"/>
      <c r="N147" s="20"/>
      <c r="O147" s="20"/>
      <c r="P147" s="20"/>
      <c r="Q147" s="20"/>
      <c r="R147" s="20"/>
      <c r="S147" s="138"/>
      <c r="T147" s="132"/>
      <c r="U147" s="20"/>
      <c r="V147" s="20"/>
      <c r="W147" s="20"/>
      <c r="X147" s="20"/>
      <c r="Y147" s="20"/>
      <c r="Z147" s="20"/>
      <c r="AA147" s="20"/>
      <c r="AB147" s="20"/>
      <c r="AC147" s="20"/>
      <c r="AD147" s="135"/>
      <c r="AE147" s="20"/>
      <c r="AF147" s="20"/>
    </row>
    <row r="148" spans="2:32" x14ac:dyDescent="0.2">
      <c r="B148" s="20" t="s">
        <v>268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0"/>
      <c r="N148" s="20"/>
      <c r="O148" s="20"/>
      <c r="P148" s="20"/>
      <c r="Q148" s="20"/>
      <c r="R148" s="20"/>
      <c r="S148" s="138">
        <f t="shared" si="208"/>
        <v>-12217.2855664327</v>
      </c>
      <c r="T148" s="132">
        <f>PV($C$1, ($AC$3-$T$3), 0, -AC69)</f>
        <v>-1527.1606958040875</v>
      </c>
      <c r="U148" s="132">
        <f>PV($C$1, ($AC$3-$T$3), 0, -$AF$69)</f>
        <v>-10690.124870628611</v>
      </c>
      <c r="V148" s="20"/>
      <c r="W148" s="20"/>
      <c r="X148" s="20"/>
      <c r="Y148" s="20"/>
      <c r="Z148" s="20"/>
      <c r="AA148" s="20"/>
      <c r="AB148" s="20"/>
      <c r="AC148" s="20"/>
      <c r="AD148" s="135"/>
      <c r="AE148" s="20"/>
      <c r="AF148" s="20"/>
    </row>
    <row r="149" spans="2:32" x14ac:dyDescent="0.2">
      <c r="B149" s="20" t="s">
        <v>269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0"/>
      <c r="N149" s="20"/>
      <c r="O149" s="20"/>
      <c r="P149" s="20"/>
      <c r="Q149" s="20"/>
      <c r="R149" s="20"/>
      <c r="S149" s="138">
        <f t="shared" si="208"/>
        <v>-12217.2855664327</v>
      </c>
      <c r="T149" s="132">
        <f>PV($C$1, ($AC$3-$T$3), 0, -AC70)</f>
        <v>-1527.1606958040875</v>
      </c>
      <c r="U149" s="132">
        <f>PV($C$1, ($AC$3-$T$3), 0, -$AF$70)</f>
        <v>-10690.124870628611</v>
      </c>
      <c r="V149" s="20"/>
      <c r="W149" s="20"/>
      <c r="X149" s="20"/>
      <c r="Y149" s="20"/>
      <c r="Z149" s="20"/>
      <c r="AA149" s="20"/>
      <c r="AB149" s="20"/>
      <c r="AC149" s="20"/>
      <c r="AD149" s="135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0"/>
      <c r="N150" s="20"/>
      <c r="O150" s="20"/>
      <c r="P150" s="20"/>
      <c r="Q150" s="20"/>
      <c r="R150" s="20"/>
      <c r="S150" s="138"/>
      <c r="T150" s="138"/>
      <c r="U150" s="138"/>
      <c r="V150" s="20"/>
      <c r="W150" s="20"/>
      <c r="X150" s="20"/>
      <c r="Y150" s="20"/>
      <c r="Z150" s="20"/>
      <c r="AA150" s="20"/>
      <c r="AB150" s="20"/>
      <c r="AC150" s="20"/>
      <c r="AD150" s="135"/>
      <c r="AE150" s="20"/>
      <c r="AF150" s="20"/>
    </row>
    <row r="151" spans="2:32" x14ac:dyDescent="0.2">
      <c r="B151" s="108" t="s">
        <v>291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0"/>
      <c r="N151" s="20"/>
      <c r="O151" s="20"/>
      <c r="P151" s="20"/>
      <c r="Q151" s="20"/>
      <c r="R151" s="20"/>
      <c r="S151" s="138"/>
      <c r="T151" s="132"/>
      <c r="U151" s="132"/>
      <c r="V151" s="20"/>
      <c r="W151" s="20"/>
      <c r="X151" s="20"/>
      <c r="Y151" s="20"/>
      <c r="Z151" s="20"/>
      <c r="AA151" s="20"/>
      <c r="AB151" s="20"/>
      <c r="AC151" s="20"/>
      <c r="AD151" s="135"/>
      <c r="AE151" s="20"/>
      <c r="AF151" s="20"/>
    </row>
    <row r="152" spans="2:32" x14ac:dyDescent="0.2">
      <c r="B152" s="20" t="s">
        <v>278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0"/>
      <c r="N152" s="20"/>
      <c r="O152" s="20"/>
      <c r="P152" s="20"/>
      <c r="Q152" s="20"/>
      <c r="R152" s="20"/>
      <c r="S152" s="138">
        <f t="shared" ref="S152" si="209">T152+U152</f>
        <v>83.237993147662721</v>
      </c>
      <c r="T152" s="132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65.559314429453451</v>
      </c>
      <c r="U152" s="132">
        <f>PV($C$1, ($AC$3-$T$3), 0, -AF77)</f>
        <v>17.678678718209273</v>
      </c>
      <c r="V152" s="20"/>
      <c r="W152" s="20"/>
      <c r="X152" s="20"/>
      <c r="Y152" s="20"/>
      <c r="Z152" s="20"/>
      <c r="AA152" s="20"/>
      <c r="AB152" s="20"/>
      <c r="AC152" s="20"/>
      <c r="AD152" s="135"/>
      <c r="AE152" s="20"/>
      <c r="AF152" s="20"/>
    </row>
    <row r="153" spans="2:32" x14ac:dyDescent="0.2">
      <c r="B153" s="2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0"/>
      <c r="N153" s="20"/>
      <c r="O153" s="20"/>
      <c r="P153" s="20"/>
      <c r="Q153" s="20"/>
      <c r="R153" s="20"/>
      <c r="S153" s="138"/>
      <c r="T153" s="132"/>
      <c r="U153" s="132"/>
      <c r="V153" s="20"/>
      <c r="W153" s="20"/>
      <c r="X153" s="20"/>
      <c r="Y153" s="20"/>
      <c r="Z153" s="20"/>
      <c r="AA153" s="20"/>
      <c r="AB153" s="20"/>
      <c r="AC153" s="20"/>
      <c r="AD153" s="135"/>
      <c r="AE153" s="20"/>
      <c r="AF153" s="20"/>
    </row>
    <row r="154" spans="2:32" x14ac:dyDescent="0.2">
      <c r="B154" s="20" t="s">
        <v>286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0"/>
      <c r="N154" s="20"/>
      <c r="O154" s="20"/>
      <c r="P154" s="20"/>
      <c r="Q154" s="20"/>
      <c r="R154" s="20"/>
      <c r="S154" s="138">
        <f t="shared" si="208"/>
        <v>55162.334883594471</v>
      </c>
      <c r="T154" s="132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43446.564730133992</v>
      </c>
      <c r="U154" s="132">
        <f>PV($C$1, ($AC$3-$T$3), 0, -AF79)</f>
        <v>11715.770153460477</v>
      </c>
      <c r="V154" s="20"/>
      <c r="W154" s="20"/>
      <c r="X154" s="20"/>
      <c r="Y154" s="20"/>
      <c r="Z154" s="20"/>
      <c r="AA154" s="20"/>
      <c r="AB154" s="20"/>
      <c r="AC154" s="20"/>
      <c r="AD154" s="135"/>
      <c r="AE154" s="20"/>
      <c r="AF154" s="20"/>
    </row>
    <row r="155" spans="2:32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0"/>
      <c r="N155" s="20"/>
      <c r="O155" s="20"/>
      <c r="P155" s="20"/>
      <c r="Q155" s="20"/>
      <c r="R155" s="20"/>
      <c r="S155" s="138"/>
      <c r="T155" s="132"/>
      <c r="U155" s="132"/>
      <c r="V155" s="20"/>
      <c r="W155" s="20"/>
      <c r="X155" s="20"/>
      <c r="Y155" s="20"/>
      <c r="Z155" s="20"/>
      <c r="AA155" s="20"/>
      <c r="AB155" s="20"/>
      <c r="AC155" s="20"/>
      <c r="AD155" s="135"/>
      <c r="AE155" s="20"/>
      <c r="AF155" s="20"/>
    </row>
    <row r="156" spans="2:32" x14ac:dyDescent="0.2">
      <c r="B156" s="20" t="s">
        <v>282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0"/>
      <c r="N156" s="20"/>
      <c r="O156" s="20"/>
      <c r="P156" s="20"/>
      <c r="Q156" s="20"/>
      <c r="R156" s="20"/>
      <c r="S156" s="138">
        <f t="shared" ref="S156:S159" si="210">T156+U156</f>
        <v>939.64729415350712</v>
      </c>
      <c r="T156" s="132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740.07829935199106</v>
      </c>
      <c r="U156" s="132">
        <f>PV($C$1, ($AC$3-$T$3), 0, -AF81)</f>
        <v>199.56899480151608</v>
      </c>
      <c r="V156" s="20"/>
      <c r="W156" s="20"/>
      <c r="X156" s="20"/>
      <c r="Y156" s="20"/>
      <c r="Z156" s="20"/>
      <c r="AA156" s="20"/>
      <c r="AB156" s="20"/>
      <c r="AC156" s="20"/>
      <c r="AD156" s="135"/>
      <c r="AE156" s="20"/>
      <c r="AF156" s="20"/>
    </row>
    <row r="157" spans="2:32" x14ac:dyDescent="0.2">
      <c r="B157" s="20" t="s">
        <v>283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0"/>
      <c r="N157" s="20"/>
      <c r="O157" s="20"/>
      <c r="P157" s="20"/>
      <c r="Q157" s="20"/>
      <c r="R157" s="20"/>
      <c r="S157" s="138">
        <f t="shared" si="210"/>
        <v>2533.0613117544253</v>
      </c>
      <c r="T157" s="132">
        <f>PV($C$1, ($AC$3-$T$3), 0, -AC82)+PV($C$1, ($AB$3-$T$3), 0, -AC82)+PV($C$1, ($AA$3-$T$3), 0, -AC82)+PV($C$1, ($Z$3-$T$3), 0, -AC82)+PV($C$1, ($Y$3-$T$3), 0, -AC82)+PV($C$1, ($X$3-$T$3), 0, -AC82)+PV($C$1, ($W$3-$T$3), 0, -AC82)+PV($C$1, ($V$3-$T$3), 0, -AC82)+PV($C$1, ($U$3-$T$3), 0, -AC82)+PV($C$1, ($T$3-$T$3), 0, -AC82)</f>
        <v>1995.0716821319136</v>
      </c>
      <c r="U157" s="132">
        <f>PV($C$1, ($AC$3-$T$3), 0, -AF82)</f>
        <v>537.98962962251153</v>
      </c>
      <c r="V157" s="20"/>
      <c r="W157" s="20"/>
      <c r="X157" s="20"/>
      <c r="Y157" s="20"/>
      <c r="Z157" s="20"/>
      <c r="AA157" s="20"/>
      <c r="AB157" s="20"/>
      <c r="AC157" s="20"/>
      <c r="AD157" s="135"/>
      <c r="AE157" s="20"/>
      <c r="AF157" s="20"/>
    </row>
    <row r="158" spans="2:32" x14ac:dyDescent="0.2">
      <c r="B158" s="20" t="s">
        <v>284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0"/>
      <c r="N158" s="20"/>
      <c r="O158" s="20"/>
      <c r="P158" s="20"/>
      <c r="Q158" s="20"/>
      <c r="R158" s="20"/>
      <c r="S158" s="138">
        <f t="shared" si="210"/>
        <v>-1593.4140176009178</v>
      </c>
      <c r="T158" s="132">
        <f>PV($C$1, ($AC$3-$T$3), 0, -AC83)+PV($C$1, ($AB$3-$T$3), 0, -AC83)+PV($C$1, ($AA$3-$T$3), 0, -AC83)+PV($C$1, ($Z$3-$T$3), 0, -AC83)+PV($C$1, ($Y$3-$T$3), 0, -AC83)+PV($C$1, ($X$3-$T$3), 0, -AC83)+PV($C$1, ($W$3-$T$3), 0, -AC83)+PV($C$1, ($V$3-$T$3), 0, -AC83)+PV($C$1, ($U$3-$T$3), 0, -AC83)+PV($C$1, ($T$3-$T$3), 0, -AC83)</f>
        <v>-1254.9933827799225</v>
      </c>
      <c r="U158" s="132">
        <f>PV($C$1, ($AC$3-$T$3), 0, -AF83)</f>
        <v>-338.42063482099536</v>
      </c>
      <c r="V158" s="20"/>
      <c r="W158" s="20"/>
      <c r="X158" s="20"/>
      <c r="Y158" s="20"/>
      <c r="Z158" s="20"/>
      <c r="AA158" s="20"/>
      <c r="AB158" s="20"/>
      <c r="AC158" s="20"/>
      <c r="AD158" s="135"/>
      <c r="AE158" s="20"/>
      <c r="AF158" s="20"/>
    </row>
    <row r="159" spans="2:32" x14ac:dyDescent="0.2">
      <c r="B159" s="20" t="s">
        <v>285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0"/>
      <c r="N159" s="20"/>
      <c r="O159" s="20"/>
      <c r="P159" s="20"/>
      <c r="Q159" s="20"/>
      <c r="R159" s="20"/>
      <c r="S159" s="138">
        <f t="shared" si="210"/>
        <v>99.659561501129602</v>
      </c>
      <c r="T159" s="132">
        <f>PV($C$1, ($AC$3-$T$3), 0, -AC84)+PV($C$1, ($AB$3-$T$3), 0, -AC84)+PV($C$1, ($AA$3-$T$3), 0, -AC84)+PV($C$1, ($Z$3-$T$3), 0, -AC84)+PV($C$1, ($Y$3-$T$3), 0, -AC84)+PV($C$1, ($X$3-$T$3), 0, -AC84)+PV($C$1, ($W$3-$T$3), 0, -AC84)+PV($C$1, ($V$3-$T$3), 0, -AC84)+PV($C$1, ($U$3-$T$3), 0, -AC84)+PV($C$1, ($T$3-$T$3), 0, -AC84)</f>
        <v>78.49315296157485</v>
      </c>
      <c r="U159" s="132">
        <f>PV($C$1, ($AC$3-$T$3), 0, -AF84)</f>
        <v>21.166408539554752</v>
      </c>
      <c r="V159" s="20"/>
      <c r="W159" s="20"/>
      <c r="X159" s="20"/>
      <c r="Y159" s="20"/>
      <c r="Z159" s="20"/>
      <c r="AA159" s="20"/>
      <c r="AB159" s="20"/>
      <c r="AC159" s="20"/>
      <c r="AD159" s="135"/>
      <c r="AE159" s="20"/>
      <c r="AF159" s="20"/>
    </row>
    <row r="160" spans="2:32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0"/>
      <c r="N160" s="20"/>
      <c r="O160" s="20"/>
      <c r="P160" s="20"/>
      <c r="Q160" s="20"/>
      <c r="R160" s="20"/>
      <c r="S160" s="138"/>
      <c r="T160" s="132"/>
      <c r="U160" s="132"/>
      <c r="V160" s="20"/>
      <c r="W160" s="20"/>
      <c r="X160" s="20"/>
      <c r="Y160" s="20"/>
      <c r="Z160" s="20"/>
      <c r="AA160" s="20"/>
      <c r="AB160" s="20"/>
      <c r="AC160" s="20"/>
      <c r="AD160" s="135"/>
      <c r="AE160" s="20"/>
      <c r="AF160" s="20"/>
    </row>
    <row r="161" spans="2:32" x14ac:dyDescent="0.2">
      <c r="B161" s="20" t="s">
        <v>292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0"/>
      <c r="N161" s="20"/>
      <c r="O161" s="20"/>
      <c r="P161" s="20"/>
      <c r="Q161" s="20"/>
      <c r="R161" s="20"/>
      <c r="S161" s="138">
        <f>T161+U161</f>
        <v>3354.8255817323106</v>
      </c>
      <c r="T161" s="132">
        <f>PV($C$1, ($AC$3-$T$3), 0, -AC85)+PV($C$1, ($AB$3-$T$3), 0, -AC85)+PV($C$1, ($AA$3-$T$3), 0, -AC85)+PV($C$1, ($Z$3-$T$3), 0, -AC85)+PV($C$1, ($Y$3-$T$3), 0, -AC85)+PV($C$1, ($X$3-$T$3), 0, -AC85)+PV($C$1, ($W$3-$T$3), 0, -AC85)+PV($C$1, ($V$3-$T$3), 0, -AC85)+PV($C$1, ($U$3-$T$3), 0, -AC85)+PV($C$1, ($T$3-$T$3), 0, -AC85)</f>
        <v>2642.3037948379279</v>
      </c>
      <c r="U161" s="132">
        <f>PV($C$1, ($AC$3-$T$3), 0, -AF85)</f>
        <v>712.52178689438301</v>
      </c>
      <c r="V161" s="20"/>
      <c r="W161" s="20"/>
      <c r="X161" s="20"/>
      <c r="Y161" s="20"/>
      <c r="Z161" s="20"/>
      <c r="AA161" s="20"/>
      <c r="AB161" s="20"/>
      <c r="AC161" s="20"/>
      <c r="AD161" s="135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0"/>
      <c r="N162" s="182">
        <v>41729</v>
      </c>
      <c r="O162" s="210">
        <v>350</v>
      </c>
      <c r="P162" s="210"/>
      <c r="Q162" s="210"/>
      <c r="R162" s="210"/>
      <c r="S162" s="179"/>
      <c r="T162" s="179"/>
      <c r="U162" s="20"/>
      <c r="V162" s="20"/>
      <c r="W162" s="20"/>
      <c r="X162" s="20"/>
      <c r="Y162" s="20"/>
      <c r="Z162" s="20"/>
      <c r="AA162" s="20"/>
      <c r="AB162" s="20"/>
      <c r="AC162" s="20"/>
      <c r="AD162" s="135"/>
      <c r="AE162" s="20"/>
      <c r="AF162" s="20"/>
    </row>
    <row r="163" spans="2:32" x14ac:dyDescent="0.2">
      <c r="B163" s="108" t="s">
        <v>249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0"/>
      <c r="N163" s="232" t="s">
        <v>362</v>
      </c>
      <c r="O163" s="210">
        <v>570</v>
      </c>
      <c r="P163" s="210"/>
      <c r="Q163" s="210">
        <v>440</v>
      </c>
      <c r="R163" s="190" t="s">
        <v>363</v>
      </c>
      <c r="S163" s="179"/>
      <c r="T163" s="180"/>
      <c r="U163" s="20"/>
      <c r="V163" s="20"/>
      <c r="W163" s="20"/>
      <c r="X163" s="20"/>
      <c r="Y163" s="20"/>
      <c r="Z163" s="20"/>
      <c r="AA163" s="20"/>
      <c r="AB163" s="20"/>
      <c r="AC163" s="20"/>
      <c r="AD163" s="135"/>
      <c r="AE163" s="20"/>
      <c r="AF163" s="20"/>
    </row>
    <row r="164" spans="2:32" x14ac:dyDescent="0.2">
      <c r="B164" s="20" t="s">
        <v>204</v>
      </c>
      <c r="C164" s="22">
        <v>0</v>
      </c>
      <c r="D164" s="22">
        <v>0</v>
      </c>
      <c r="E164" s="22">
        <v>0</v>
      </c>
      <c r="F164" s="22">
        <v>0</v>
      </c>
      <c r="G164" s="22">
        <v>70</v>
      </c>
      <c r="H164" s="22">
        <v>70</v>
      </c>
      <c r="I164" s="22">
        <v>90</v>
      </c>
      <c r="J164" s="22">
        <v>125</v>
      </c>
      <c r="K164" s="22">
        <v>130</v>
      </c>
      <c r="L164" s="22">
        <v>45</v>
      </c>
      <c r="M164" s="189">
        <v>230</v>
      </c>
      <c r="N164" s="22">
        <v>270</v>
      </c>
      <c r="O164" s="22">
        <v>335</v>
      </c>
      <c r="P164" s="22">
        <v>420</v>
      </c>
      <c r="Q164" s="22">
        <v>440</v>
      </c>
      <c r="R164" s="118">
        <f t="shared" ref="R164:R172" si="211">((Q164/G164)^(1/($H$2-$H$1) ))-1</f>
        <v>0.22660878480099322</v>
      </c>
      <c r="S164" s="31">
        <v>0.1</v>
      </c>
      <c r="T164" s="119">
        <f t="shared" ref="T164" si="212">Q164*(1+$S164)</f>
        <v>484.00000000000006</v>
      </c>
      <c r="U164" s="119">
        <f t="shared" ref="U164:AC164" si="213">T164*(1+$S164)</f>
        <v>532.40000000000009</v>
      </c>
      <c r="V164" s="119">
        <f t="shared" si="213"/>
        <v>585.6400000000001</v>
      </c>
      <c r="W164" s="119">
        <f t="shared" si="213"/>
        <v>644.20400000000018</v>
      </c>
      <c r="X164" s="119">
        <f t="shared" si="213"/>
        <v>708.62440000000026</v>
      </c>
      <c r="Y164" s="119">
        <f t="shared" si="213"/>
        <v>779.48684000000037</v>
      </c>
      <c r="Z164" s="119">
        <f t="shared" si="213"/>
        <v>857.43552400000044</v>
      </c>
      <c r="AA164" s="119">
        <f t="shared" si="213"/>
        <v>943.17907640000055</v>
      </c>
      <c r="AB164" s="119">
        <f t="shared" si="213"/>
        <v>1037.4969840400006</v>
      </c>
      <c r="AC164" s="119">
        <f t="shared" si="213"/>
        <v>1141.2466824440007</v>
      </c>
      <c r="AD164" s="136">
        <f t="shared" ref="AD164:AD168" si="214">((AC164/G164)^(1/($AC$3-$H$1) ))-1</f>
        <v>0.14977821142545533</v>
      </c>
      <c r="AE164" s="31">
        <f t="shared" ref="AE164:AE172" si="215">$L$1</f>
        <v>0.05</v>
      </c>
      <c r="AF164" s="126">
        <f t="shared" ref="AF164:AF168" si="216">(AC164*(1+AD164))/($C$1-AE164)</f>
        <v>8747.8704622379846</v>
      </c>
    </row>
    <row r="165" spans="2:32" x14ac:dyDescent="0.2">
      <c r="B165" s="20" t="s">
        <v>361</v>
      </c>
      <c r="C165" s="25"/>
      <c r="D165" s="25"/>
      <c r="E165" s="25"/>
      <c r="F165" s="25"/>
      <c r="G165" s="25">
        <f>G164/G61</f>
        <v>29.166666666666668</v>
      </c>
      <c r="H165" s="25">
        <f>H164/H61</f>
        <v>29.166666666666668</v>
      </c>
      <c r="I165" s="25">
        <f>I164/I61</f>
        <v>8.4083044982698958</v>
      </c>
      <c r="J165" s="25">
        <f>J164/J61</f>
        <v>4.4416243654822338</v>
      </c>
      <c r="K165" s="25">
        <f>K164/K61</f>
        <v>2.3105924596050271</v>
      </c>
      <c r="L165" s="25">
        <f>L164/L61</f>
        <v>0.54801066447908131</v>
      </c>
      <c r="M165" s="192">
        <f>M164/M61</f>
        <v>2.6522241086587437</v>
      </c>
      <c r="N165" s="25">
        <f>N164/N61</f>
        <v>2.0083601286173636</v>
      </c>
      <c r="O165" s="25">
        <f>O164/O61</f>
        <v>1.650216359575656</v>
      </c>
      <c r="P165" s="25">
        <f>P164/P61</f>
        <v>1.5769238823159879</v>
      </c>
      <c r="Q165" s="25">
        <f>Q164/Q61</f>
        <v>1.3551187831139975</v>
      </c>
      <c r="R165" s="118">
        <f t="shared" ref="R165" si="217">((Q165/G165)^(1/($H$2-$H$1) ))-1</f>
        <v>-0.28895194652991751</v>
      </c>
      <c r="S165" s="127"/>
      <c r="T165" s="25">
        <f>T164/T61</f>
        <v>1.3264086394039554</v>
      </c>
      <c r="U165" s="25">
        <f>U164/U61</f>
        <v>1.298306761450482</v>
      </c>
      <c r="V165" s="25">
        <f>V164/V61</f>
        <v>1.2708002622672092</v>
      </c>
      <c r="W165" s="25">
        <f>W164/W61</f>
        <v>1.2438765278971415</v>
      </c>
      <c r="X165" s="25">
        <f>X164/X61</f>
        <v>1.2175232116281345</v>
      </c>
      <c r="Y165" s="25">
        <f>Y164/Y61</f>
        <v>1.1917282283309285</v>
      </c>
      <c r="Z165" s="25">
        <f>Z164/Z61</f>
        <v>1.1664797489171379</v>
      </c>
      <c r="AA165" s="25">
        <f>AA164/AA61</f>
        <v>1.1417661949146563</v>
      </c>
      <c r="AB165" s="25">
        <f>AB164/AB61</f>
        <v>1.1175762331579899</v>
      </c>
      <c r="AC165" s="25">
        <f>AC164/AC61</f>
        <v>1.0938987705910834</v>
      </c>
      <c r="AD165" s="136">
        <f t="shared" ref="AD165" si="218">((AC165/G165)^(1/($AC$3-$H$1) ))-1</f>
        <v>-0.15139708981258149</v>
      </c>
      <c r="AE165" s="31">
        <f t="shared" si="215"/>
        <v>0.05</v>
      </c>
      <c r="AF165" s="126">
        <f t="shared" ref="AF165" si="219">(AC165*(1+AD165))/($C$1-AE165)</f>
        <v>6.188571201160217</v>
      </c>
    </row>
    <row r="166" spans="2:32" x14ac:dyDescent="0.2">
      <c r="B166" s="20" t="s">
        <v>42</v>
      </c>
      <c r="C166" s="25"/>
      <c r="D166" s="25"/>
      <c r="E166" s="25"/>
      <c r="F166" s="25"/>
      <c r="G166" s="25">
        <f>G164/G64</f>
        <v>-350</v>
      </c>
      <c r="H166" s="25">
        <f>H164/H64</f>
        <v>-350</v>
      </c>
      <c r="I166" s="25">
        <f>I164/I64</f>
        <v>44.18181818181818</v>
      </c>
      <c r="J166" s="25">
        <f>J164/J64</f>
        <v>37.234042553191486</v>
      </c>
      <c r="K166" s="25">
        <f>K164/K64</f>
        <v>19.305</v>
      </c>
      <c r="L166" s="25">
        <f>L164/L64</f>
        <v>4.3949013157894736</v>
      </c>
      <c r="M166" s="192">
        <f>M164/M64</f>
        <v>16.340585774058578</v>
      </c>
      <c r="N166" s="25">
        <f>N164/N64</f>
        <v>12.887207702888585</v>
      </c>
      <c r="O166" s="25">
        <f>O164/O64</f>
        <v>12.100460593654043</v>
      </c>
      <c r="P166" s="25">
        <f>P164/P64</f>
        <v>11.585538461538462</v>
      </c>
      <c r="Q166" s="25">
        <f>Q164/Q64</f>
        <v>9.8433271260086901</v>
      </c>
      <c r="R166" s="118">
        <f t="shared" si="211"/>
        <v>-1.6724730354984372</v>
      </c>
      <c r="S166" s="127"/>
      <c r="T166" s="119">
        <f>T164/T64</f>
        <v>9.6347820597796936</v>
      </c>
      <c r="U166" s="119">
        <f>U164/U64</f>
        <v>9.4306553212250392</v>
      </c>
      <c r="V166" s="119">
        <f>V164/V64</f>
        <v>9.2308533017075618</v>
      </c>
      <c r="W166" s="119">
        <f>W164/W64</f>
        <v>9.0352843758239292</v>
      </c>
      <c r="X166" s="119">
        <f>X164/X64</f>
        <v>8.8438588593869838</v>
      </c>
      <c r="Y166" s="119">
        <f>Y164/Y64</f>
        <v>8.6564889682982784</v>
      </c>
      <c r="Z166" s="119">
        <f>Z164/Z64</f>
        <v>8.4730887782919595</v>
      </c>
      <c r="AA166" s="119">
        <f>AA164/AA64</f>
        <v>8.2935741855315381</v>
      </c>
      <c r="AB166" s="119">
        <f>AB164/AB64</f>
        <v>8.1178628680414633</v>
      </c>
      <c r="AC166" s="119">
        <f>AC164/AC64</f>
        <v>7.9458742479558389</v>
      </c>
      <c r="AD166" s="136" t="e">
        <f t="shared" si="214"/>
        <v>#NUM!</v>
      </c>
      <c r="AE166" s="31">
        <f t="shared" si="215"/>
        <v>0.05</v>
      </c>
      <c r="AF166" s="126" t="e">
        <f t="shared" si="216"/>
        <v>#NUM!</v>
      </c>
    </row>
    <row r="167" spans="2:32" x14ac:dyDescent="0.2">
      <c r="B167" s="20" t="s">
        <v>257</v>
      </c>
      <c r="C167" s="25"/>
      <c r="D167" s="25"/>
      <c r="E167" s="25"/>
      <c r="F167" s="25"/>
      <c r="G167" s="25">
        <f>G164/G66</f>
        <v>82.352941176470594</v>
      </c>
      <c r="H167" s="25">
        <f>H164/H66</f>
        <v>82.352941176470594</v>
      </c>
      <c r="I167" s="25">
        <f>I164/I66</f>
        <v>8.0198019801980198</v>
      </c>
      <c r="J167" s="25">
        <f>J164/J66</f>
        <v>6.9033530571992108</v>
      </c>
      <c r="K167" s="25">
        <f>K164/K66</f>
        <v>3.774193548387097</v>
      </c>
      <c r="L167" s="25">
        <f>L164/L66</f>
        <v>1.0068198944988698</v>
      </c>
      <c r="M167" s="192">
        <f>M164/M66</f>
        <v>2.8413241178610402</v>
      </c>
      <c r="N167" s="25">
        <f>N164/N66</f>
        <v>2.7188044109112015</v>
      </c>
      <c r="O167" s="25">
        <f>O164/O66</f>
        <v>2.7347096923432801</v>
      </c>
      <c r="P167" s="25">
        <f>P164/P66</f>
        <v>2.7640300972655529</v>
      </c>
      <c r="Q167" s="25">
        <f>Q164/Q66</f>
        <v>2.345451856234285</v>
      </c>
      <c r="R167" s="118">
        <f t="shared" si="211"/>
        <v>-0.32658459757131186</v>
      </c>
      <c r="S167" s="127"/>
      <c r="T167" s="119">
        <f>T164/T66</f>
        <v>2.2957600796191522</v>
      </c>
      <c r="U167" s="119">
        <f>U164/U66</f>
        <v>2.2471210948814586</v>
      </c>
      <c r="V167" s="119">
        <f>V164/V66</f>
        <v>2.1995125971085465</v>
      </c>
      <c r="W167" s="119">
        <f>W164/W66</f>
        <v>2.1529127539494675</v>
      </c>
      <c r="X167" s="119">
        <f>X164/X66</f>
        <v>2.1073001956030808</v>
      </c>
      <c r="Y167" s="119">
        <f>Y164/Y66</f>
        <v>2.0626540050182705</v>
      </c>
      <c r="Z167" s="119">
        <f>Z164/Z66</f>
        <v>2.0189537083017819</v>
      </c>
      <c r="AA167" s="119">
        <f>AA164/AA66</f>
        <v>1.9761792653292867</v>
      </c>
      <c r="AB167" s="119">
        <f>AB164/AB66</f>
        <v>1.9343110605553613</v>
      </c>
      <c r="AC167" s="119">
        <f>AC164/AC66</f>
        <v>1.8933298940181718</v>
      </c>
      <c r="AD167" s="136">
        <f t="shared" si="214"/>
        <v>-0.17191034560289919</v>
      </c>
      <c r="AE167" s="31">
        <f t="shared" si="215"/>
        <v>0.05</v>
      </c>
      <c r="AF167" s="126">
        <f t="shared" si="216"/>
        <v>10.452312650648047</v>
      </c>
    </row>
    <row r="168" spans="2:32" x14ac:dyDescent="0.2">
      <c r="B168" s="20" t="s">
        <v>258</v>
      </c>
      <c r="C168" s="25"/>
      <c r="D168" s="25"/>
      <c r="E168" s="25"/>
      <c r="F168" s="25"/>
      <c r="G168" s="25">
        <f>G164/G75</f>
        <v>3.5443037974683542</v>
      </c>
      <c r="H168" s="25">
        <f>H164/H75</f>
        <v>3.5443037974683542</v>
      </c>
      <c r="I168" s="25">
        <f>I164/I75</f>
        <v>1.8</v>
      </c>
      <c r="J168" s="25">
        <f>J164/J75</f>
        <v>1.1389521640091116</v>
      </c>
      <c r="K168" s="25">
        <f>K164/K75</f>
        <v>0.75809935205183576</v>
      </c>
      <c r="L168" s="25">
        <f>L164/L75</f>
        <v>0.18772657018406633</v>
      </c>
      <c r="M168" s="192">
        <f>M164/M75</f>
        <v>0.76508962679988257</v>
      </c>
      <c r="N168" s="25">
        <f>N164/N75</f>
        <v>0.4976099426386234</v>
      </c>
      <c r="O168" s="25">
        <f>O164/O75</f>
        <v>0.42591598515689738</v>
      </c>
      <c r="P168" s="25">
        <f>P164/P75</f>
        <v>0.35046422338568939</v>
      </c>
      <c r="Q168" s="25">
        <f>Q164/Q75</f>
        <v>0.38741327079057952</v>
      </c>
      <c r="R168" s="118">
        <f t="shared" si="211"/>
        <v>-0.21804345864439245</v>
      </c>
      <c r="S168" s="127"/>
      <c r="T168" s="192">
        <f>T164/T75</f>
        <v>0.37920536251111814</v>
      </c>
      <c r="U168" s="192">
        <f>U164/U75</f>
        <v>0.37117135059350975</v>
      </c>
      <c r="V168" s="192">
        <f>V164/V75</f>
        <v>0.36330755079279986</v>
      </c>
      <c r="W168" s="192">
        <f>W164/W75</f>
        <v>0.35561035692007109</v>
      </c>
      <c r="X168" s="192">
        <f>X164/X75</f>
        <v>0.34807623918871372</v>
      </c>
      <c r="Y168" s="192">
        <f>Y164/Y75</f>
        <v>0.3407017425957326</v>
      </c>
      <c r="Z168" s="192">
        <f>Z164/Z75</f>
        <v>0.33348348533734851</v>
      </c>
      <c r="AA168" s="192">
        <f>AA164/AA75</f>
        <v>0.32641815725816736</v>
      </c>
      <c r="AB168" s="192">
        <f>AB164/AB75</f>
        <v>0.31950251833320614</v>
      </c>
      <c r="AC168" s="192">
        <f>AC164/AC75</f>
        <v>0.31273339718207899</v>
      </c>
      <c r="AD168" s="136">
        <f t="shared" si="214"/>
        <v>-0.11430913351107508</v>
      </c>
      <c r="AE168" s="31">
        <f t="shared" si="215"/>
        <v>0.05</v>
      </c>
      <c r="AF168" s="126">
        <f t="shared" si="216"/>
        <v>1.846567423534804</v>
      </c>
    </row>
    <row r="169" spans="2:32" x14ac:dyDescent="0.2">
      <c r="B169" s="178" t="s">
        <v>353</v>
      </c>
      <c r="C169" s="159"/>
      <c r="D169" s="159"/>
      <c r="E169" s="159"/>
      <c r="F169" s="159"/>
      <c r="G169" s="159">
        <f>G64/G164</f>
        <v>-2.8571428571428571E-3</v>
      </c>
      <c r="H169" s="159">
        <f>H64/H164</f>
        <v>-2.8571428571428571E-3</v>
      </c>
      <c r="I169" s="159">
        <f>I64/I164</f>
        <v>2.2633744855967079E-2</v>
      </c>
      <c r="J169" s="159">
        <f>J64/J164</f>
        <v>2.6857142857142857E-2</v>
      </c>
      <c r="K169" s="159">
        <f>K64/K164</f>
        <v>5.1800051800051802E-2</v>
      </c>
      <c r="L169" s="159">
        <f>L64/L164</f>
        <v>0.2275363945960106</v>
      </c>
      <c r="M169" s="159">
        <f>M64/M164</f>
        <v>6.1197316536078246E-2</v>
      </c>
      <c r="N169" s="159">
        <f>N64/N164</f>
        <v>7.7596328316789406E-2</v>
      </c>
      <c r="O169" s="159">
        <f>O64/O164</f>
        <v>8.2641482302288502E-2</v>
      </c>
      <c r="P169" s="159">
        <f>P64/P164</f>
        <v>8.6314503492417607E-2</v>
      </c>
      <c r="Q169" s="159">
        <f>Q64/Q164</f>
        <v>0.10159166582585007</v>
      </c>
      <c r="R169" s="173">
        <f t="shared" si="211"/>
        <v>-2.4870484721499646</v>
      </c>
      <c r="S169" s="127"/>
      <c r="T169" s="159">
        <f>T64/T164</f>
        <v>0.10379061963160438</v>
      </c>
      <c r="U169" s="159">
        <f>U64/U164</f>
        <v>0.10603716984008067</v>
      </c>
      <c r="V169" s="159">
        <f>V64/V164</f>
        <v>0.10833234667644603</v>
      </c>
      <c r="W169" s="159">
        <f>W64/W164</f>
        <v>0.11067720266511366</v>
      </c>
      <c r="X169" s="159">
        <f>X64/X164</f>
        <v>0.11307281311241048</v>
      </c>
      <c r="Y169" s="159">
        <f>Y64/Y164</f>
        <v>0.11552027659969205</v>
      </c>
      <c r="Z169" s="159">
        <f>Z64/Z164</f>
        <v>0.11802071548713126</v>
      </c>
      <c r="AA169" s="159">
        <f>AA64/AA164</f>
        <v>0.12057527642841114</v>
      </c>
      <c r="AB169" s="159">
        <f>AB64/AB164</f>
        <v>0.12318513089655857</v>
      </c>
      <c r="AC169" s="159">
        <f>AC64/AC164</f>
        <v>0.1258514757211594</v>
      </c>
      <c r="AD169" s="174" t="e">
        <f t="shared" ref="AD169:AD170" si="220">((AC169/G169)^(1/($AC$3-$H$1) ))-1</f>
        <v>#NUM!</v>
      </c>
      <c r="AE169" s="31">
        <f t="shared" si="215"/>
        <v>0.05</v>
      </c>
      <c r="AF169" s="193" t="e">
        <f t="shared" ref="AF169:AF172" si="221">(AC169*(1+AD169))/($C$1-AE169)</f>
        <v>#NUM!</v>
      </c>
    </row>
    <row r="170" spans="2:32" x14ac:dyDescent="0.2">
      <c r="B170" s="20" t="s">
        <v>309</v>
      </c>
      <c r="C170" s="150"/>
      <c r="D170" s="150"/>
      <c r="E170" s="150"/>
      <c r="F170" s="150"/>
      <c r="G170" s="150">
        <f>G55/G164</f>
        <v>0</v>
      </c>
      <c r="H170" s="150">
        <f>H55/H164</f>
        <v>0</v>
      </c>
      <c r="I170" s="150">
        <f>I55/I164</f>
        <v>0</v>
      </c>
      <c r="J170" s="150">
        <f>J55/J164</f>
        <v>0</v>
      </c>
      <c r="K170" s="150">
        <f>K55/K164</f>
        <v>0</v>
      </c>
      <c r="L170" s="150">
        <f>L55/L164</f>
        <v>0</v>
      </c>
      <c r="M170" s="176">
        <f>M55/M164</f>
        <v>6.5217391304347823E-3</v>
      </c>
      <c r="N170" s="150">
        <f>N55/N164</f>
        <v>9.2592592592592587E-3</v>
      </c>
      <c r="O170" s="150">
        <f>O55/O164</f>
        <v>1.1940298507462687E-2</v>
      </c>
      <c r="P170" s="150">
        <f>P55/P164</f>
        <v>1.4285714285714285E-2</v>
      </c>
      <c r="Q170" s="150">
        <f>Q55/Q164</f>
        <v>1.8181818181818181E-2</v>
      </c>
      <c r="R170" s="173" t="e">
        <f t="shared" si="211"/>
        <v>#DIV/0!</v>
      </c>
      <c r="S170" s="127"/>
      <c r="T170" s="176">
        <f>T55/T164</f>
        <v>1.7355371900826446E-2</v>
      </c>
      <c r="U170" s="176">
        <f>U55/U164</f>
        <v>1.6566491359879788E-2</v>
      </c>
      <c r="V170" s="176">
        <f>V55/V164</f>
        <v>1.58134690253398E-2</v>
      </c>
      <c r="W170" s="176">
        <f>W55/W164</f>
        <v>1.5094674978733444E-2</v>
      </c>
      <c r="X170" s="176">
        <f>X55/X164</f>
        <v>1.4408553388791014E-2</v>
      </c>
      <c r="Y170" s="176">
        <f>Y55/Y164</f>
        <v>1.3753619143845966E-2</v>
      </c>
      <c r="Z170" s="176">
        <f>Z55/Z164</f>
        <v>1.3128454637307514E-2</v>
      </c>
      <c r="AA170" s="176">
        <f>AA55/AA164</f>
        <v>1.2531706699248081E-2</v>
      </c>
      <c r="AB170" s="176">
        <f>AB55/AB164</f>
        <v>1.1962083667464077E-2</v>
      </c>
      <c r="AC170" s="176">
        <f>AC55/AC164</f>
        <v>1.1418352591670254E-2</v>
      </c>
      <c r="AD170" s="174" t="e">
        <f t="shared" si="220"/>
        <v>#DIV/0!</v>
      </c>
      <c r="AE170" s="31">
        <f t="shared" si="215"/>
        <v>0.05</v>
      </c>
      <c r="AF170" s="193" t="e">
        <f t="shared" si="221"/>
        <v>#DIV/0!</v>
      </c>
    </row>
    <row r="171" spans="2:32" s="181" customFormat="1" x14ac:dyDescent="0.2">
      <c r="B171" s="210" t="s">
        <v>423</v>
      </c>
      <c r="C171" s="176"/>
      <c r="D171" s="176"/>
      <c r="E171" s="176"/>
      <c r="F171" s="176"/>
      <c r="G171" s="230">
        <f t="shared" ref="G171:P171" si="222">(G166)/($L$2*100)</f>
        <v>-19.444444444444443</v>
      </c>
      <c r="H171" s="230">
        <f t="shared" si="222"/>
        <v>-19.444444444444443</v>
      </c>
      <c r="I171" s="230">
        <f t="shared" si="222"/>
        <v>2.4545454545454546</v>
      </c>
      <c r="J171" s="230">
        <f t="shared" si="222"/>
        <v>2.0685579196217492</v>
      </c>
      <c r="K171" s="230">
        <f t="shared" si="222"/>
        <v>1.0725</v>
      </c>
      <c r="L171" s="230">
        <f t="shared" si="222"/>
        <v>0.24416118421052632</v>
      </c>
      <c r="M171" s="230">
        <f t="shared" si="222"/>
        <v>0.90781032078103208</v>
      </c>
      <c r="N171" s="230">
        <f t="shared" si="222"/>
        <v>0.71595598349381029</v>
      </c>
      <c r="O171" s="230">
        <f t="shared" si="222"/>
        <v>0.672247810758558</v>
      </c>
      <c r="P171" s="230">
        <f t="shared" si="222"/>
        <v>0.64364102564102565</v>
      </c>
      <c r="Q171" s="230">
        <f>(Q166)/($L$2*100)</f>
        <v>0.54685150700048279</v>
      </c>
      <c r="R171" s="173">
        <f t="shared" si="211"/>
        <v>-1.6724730354984372</v>
      </c>
      <c r="S171" s="127"/>
      <c r="T171" s="176">
        <f>(T166)/($L$2*100)</f>
        <v>0.53526566998776071</v>
      </c>
      <c r="U171" s="176">
        <f t="shared" ref="U171:AC171" si="223">(U166)/($L$2*100)</f>
        <v>0.52392529562361334</v>
      </c>
      <c r="V171" s="176">
        <f t="shared" si="223"/>
        <v>0.51282518342819783</v>
      </c>
      <c r="W171" s="176">
        <f t="shared" si="223"/>
        <v>0.50196024310132936</v>
      </c>
      <c r="X171" s="176">
        <f t="shared" si="223"/>
        <v>0.49132549218816579</v>
      </c>
      <c r="Y171" s="176">
        <f t="shared" si="223"/>
        <v>0.48091605379434882</v>
      </c>
      <c r="Z171" s="176">
        <f t="shared" si="223"/>
        <v>0.47072715434955331</v>
      </c>
      <c r="AA171" s="176">
        <f t="shared" si="223"/>
        <v>0.46075412141841876</v>
      </c>
      <c r="AB171" s="176">
        <f t="shared" si="223"/>
        <v>0.45099238155785909</v>
      </c>
      <c r="AC171" s="176">
        <f t="shared" si="223"/>
        <v>0.44143745821976882</v>
      </c>
      <c r="AD171" s="174" t="e">
        <f t="shared" ref="AD171:AD172" si="224">((AC171/G171)^(1/($AC$3-$H$1) ))-1</f>
        <v>#NUM!</v>
      </c>
      <c r="AE171" s="31">
        <f t="shared" si="215"/>
        <v>0.05</v>
      </c>
      <c r="AF171" s="193" t="e">
        <f t="shared" si="221"/>
        <v>#NUM!</v>
      </c>
    </row>
    <row r="172" spans="2:32" x14ac:dyDescent="0.2">
      <c r="B172" s="210" t="s">
        <v>415</v>
      </c>
      <c r="C172" s="150"/>
      <c r="D172" s="150"/>
      <c r="E172" s="150"/>
      <c r="F172" s="150"/>
      <c r="G172" s="176">
        <f t="shared" ref="G172:P172" si="225">G171-1</f>
        <v>-20.444444444444443</v>
      </c>
      <c r="H172" s="176">
        <f t="shared" si="225"/>
        <v>-20.444444444444443</v>
      </c>
      <c r="I172" s="176">
        <f t="shared" si="225"/>
        <v>1.4545454545454546</v>
      </c>
      <c r="J172" s="176">
        <f t="shared" si="225"/>
        <v>1.0685579196217492</v>
      </c>
      <c r="K172" s="176">
        <f t="shared" si="225"/>
        <v>7.2500000000000009E-2</v>
      </c>
      <c r="L172" s="176">
        <f t="shared" si="225"/>
        <v>-0.75583881578947365</v>
      </c>
      <c r="M172" s="176">
        <f t="shared" si="225"/>
        <v>-9.2189679218967924E-2</v>
      </c>
      <c r="N172" s="176">
        <f t="shared" si="225"/>
        <v>-0.28404401650618971</v>
      </c>
      <c r="O172" s="176">
        <f t="shared" si="225"/>
        <v>-0.327752189241442</v>
      </c>
      <c r="P172" s="176">
        <f t="shared" si="225"/>
        <v>-0.35635897435897435</v>
      </c>
      <c r="Q172" s="150">
        <f>Q171-1</f>
        <v>-0.45314849299951721</v>
      </c>
      <c r="R172" s="173">
        <f t="shared" si="211"/>
        <v>-0.34508486781836201</v>
      </c>
      <c r="S172" s="127"/>
      <c r="T172" s="176">
        <f>T171-1</f>
        <v>-0.46473433001223929</v>
      </c>
      <c r="U172" s="176">
        <f t="shared" ref="U172:AC172" si="226">U171-1</f>
        <v>-0.47607470437638666</v>
      </c>
      <c r="V172" s="176">
        <f t="shared" si="226"/>
        <v>-0.48717481657180217</v>
      </c>
      <c r="W172" s="176">
        <f t="shared" si="226"/>
        <v>-0.49803975689867064</v>
      </c>
      <c r="X172" s="176">
        <f t="shared" si="226"/>
        <v>-0.50867450781183421</v>
      </c>
      <c r="Y172" s="176">
        <f t="shared" si="226"/>
        <v>-0.51908394620565113</v>
      </c>
      <c r="Z172" s="176">
        <f t="shared" si="226"/>
        <v>-0.52927284565044674</v>
      </c>
      <c r="AA172" s="176">
        <f t="shared" si="226"/>
        <v>-0.53924587858158124</v>
      </c>
      <c r="AB172" s="176">
        <f t="shared" si="226"/>
        <v>-0.54900761844214085</v>
      </c>
      <c r="AC172" s="176">
        <f t="shared" si="226"/>
        <v>-0.55856254178023113</v>
      </c>
      <c r="AD172" s="174">
        <f t="shared" si="224"/>
        <v>-0.16473395930440093</v>
      </c>
      <c r="AE172" s="31">
        <f t="shared" si="215"/>
        <v>0.05</v>
      </c>
      <c r="AF172" s="193">
        <f t="shared" si="221"/>
        <v>-3.110322151690958</v>
      </c>
    </row>
    <row r="173" spans="2:32" x14ac:dyDescent="0.2">
      <c r="B173" s="20"/>
      <c r="C173" s="128"/>
      <c r="D173" s="128"/>
      <c r="E173" s="128"/>
      <c r="F173" s="128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27"/>
      <c r="S173" s="127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5"/>
      <c r="AE173" s="20"/>
      <c r="AF173" s="126"/>
    </row>
    <row r="174" spans="2:32" x14ac:dyDescent="0.2">
      <c r="B174" s="108" t="s">
        <v>295</v>
      </c>
      <c r="C174" s="20"/>
      <c r="D174" s="20"/>
      <c r="E174" s="20"/>
      <c r="F174" s="20"/>
      <c r="G174" s="20"/>
      <c r="H174" s="20"/>
      <c r="I174" s="20"/>
      <c r="J174" s="20"/>
      <c r="K174" s="210"/>
      <c r="L174" s="210"/>
      <c r="M174" s="210"/>
      <c r="N174" s="20"/>
      <c r="O174" s="20"/>
      <c r="P174" s="20"/>
      <c r="Q174" s="239" t="s">
        <v>416</v>
      </c>
      <c r="R174" s="108" t="s">
        <v>417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35"/>
      <c r="AE174" s="20"/>
      <c r="AF174" s="20"/>
    </row>
    <row r="175" spans="2:32" x14ac:dyDescent="0.2">
      <c r="B175" s="20" t="s">
        <v>293</v>
      </c>
      <c r="C175" s="20" t="s">
        <v>304</v>
      </c>
      <c r="D175" s="20"/>
      <c r="E175" s="20"/>
      <c r="F175" s="20"/>
      <c r="G175" s="20"/>
      <c r="H175" s="20"/>
      <c r="I175" s="20"/>
      <c r="J175" s="20"/>
      <c r="K175" s="210"/>
      <c r="L175" s="210"/>
      <c r="M175" s="210"/>
      <c r="N175" s="20"/>
      <c r="O175" s="20"/>
      <c r="P175" s="20"/>
      <c r="Q175" s="127">
        <f>(Q164-S152)/Q164</f>
        <v>0.81082274284622102</v>
      </c>
      <c r="R175" s="176">
        <f>(Q164-T152)/Q164</f>
        <v>0.85100155811487843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35"/>
      <c r="AE175" s="20"/>
      <c r="AF175" s="20"/>
    </row>
    <row r="176" spans="2:32" x14ac:dyDescent="0.2">
      <c r="B176" s="20" t="s">
        <v>335</v>
      </c>
      <c r="C176" s="20" t="s">
        <v>304</v>
      </c>
      <c r="D176" s="20"/>
      <c r="E176" s="20"/>
      <c r="F176" s="20"/>
      <c r="G176" s="20"/>
      <c r="H176" s="20"/>
      <c r="I176" s="20"/>
      <c r="J176" s="20"/>
      <c r="K176" s="210"/>
      <c r="L176" s="210"/>
      <c r="M176" s="210"/>
      <c r="N176" s="127"/>
      <c r="O176" s="20"/>
      <c r="P176" s="20"/>
      <c r="Q176" s="127">
        <f>(Q164-S143)/Q164</f>
        <v>-1.2352355734164309</v>
      </c>
      <c r="R176" s="176">
        <f>(Q164-T143)/Q164</f>
        <v>0.72059555332294611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35"/>
      <c r="AE176" s="20"/>
      <c r="AF176" s="20"/>
    </row>
    <row r="177" spans="2:49" x14ac:dyDescent="0.2">
      <c r="B177" s="20" t="s">
        <v>294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0"/>
      <c r="N177" s="20"/>
      <c r="O177" s="20"/>
      <c r="P177" s="20"/>
      <c r="Q177" s="25">
        <f>Q164/S142</f>
        <v>1.9758595183773855</v>
      </c>
      <c r="R177" s="238">
        <f>Q164/T142</f>
        <v>15.806876147019084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35"/>
      <c r="AE177" s="20"/>
      <c r="AF177" s="20"/>
    </row>
    <row r="178" spans="2:49" x14ac:dyDescent="0.2">
      <c r="B178" s="20" t="s">
        <v>353</v>
      </c>
      <c r="C178" s="20"/>
      <c r="D178" s="20"/>
      <c r="E178" s="210"/>
      <c r="F178" s="210"/>
      <c r="G178" s="232" t="s">
        <v>418</v>
      </c>
      <c r="H178" s="233"/>
      <c r="I178" s="232" t="s">
        <v>419</v>
      </c>
      <c r="J178" s="233"/>
      <c r="K178" s="210"/>
      <c r="L178" s="232" t="s">
        <v>420</v>
      </c>
      <c r="M178" s="233"/>
      <c r="N178" s="232" t="s">
        <v>421</v>
      </c>
      <c r="O178" s="20"/>
      <c r="P178" s="20"/>
      <c r="Q178" s="150">
        <f>1/Q177</f>
        <v>0.50610885576582876</v>
      </c>
      <c r="R178" s="176">
        <f>1/R177</f>
        <v>6.3263606970728595E-2</v>
      </c>
      <c r="S178" s="20"/>
      <c r="T178" s="211" t="s">
        <v>11</v>
      </c>
      <c r="U178" s="211" t="s">
        <v>12</v>
      </c>
      <c r="V178" s="211" t="s">
        <v>13</v>
      </c>
      <c r="W178" s="211" t="s">
        <v>14</v>
      </c>
      <c r="X178" s="211" t="s">
        <v>15</v>
      </c>
      <c r="Y178" s="211" t="s">
        <v>234</v>
      </c>
      <c r="Z178" s="211" t="s">
        <v>235</v>
      </c>
      <c r="AA178" s="211" t="s">
        <v>236</v>
      </c>
      <c r="AB178" s="211" t="s">
        <v>237</v>
      </c>
      <c r="AC178" s="211" t="s">
        <v>238</v>
      </c>
      <c r="AD178" s="211" t="s">
        <v>381</v>
      </c>
      <c r="AE178" s="211" t="s">
        <v>382</v>
      </c>
      <c r="AF178" s="211" t="s">
        <v>383</v>
      </c>
      <c r="AG178" s="211" t="s">
        <v>384</v>
      </c>
      <c r="AH178" s="211" t="s">
        <v>385</v>
      </c>
      <c r="AI178" s="211" t="s">
        <v>386</v>
      </c>
      <c r="AJ178" s="211" t="s">
        <v>387</v>
      </c>
      <c r="AK178" s="211" t="s">
        <v>388</v>
      </c>
      <c r="AL178" s="211" t="s">
        <v>389</v>
      </c>
      <c r="AM178" s="211" t="s">
        <v>390</v>
      </c>
      <c r="AN178" s="211" t="s">
        <v>391</v>
      </c>
      <c r="AO178" s="211" t="s">
        <v>392</v>
      </c>
      <c r="AP178" s="211" t="s">
        <v>393</v>
      </c>
      <c r="AQ178" s="211" t="s">
        <v>394</v>
      </c>
      <c r="AR178" s="211" t="s">
        <v>395</v>
      </c>
      <c r="AS178" s="211" t="s">
        <v>396</v>
      </c>
      <c r="AT178" s="211" t="s">
        <v>397</v>
      </c>
      <c r="AU178" s="211" t="s">
        <v>398</v>
      </c>
      <c r="AV178" s="211" t="s">
        <v>399</v>
      </c>
      <c r="AW178" s="211" t="s">
        <v>400</v>
      </c>
    </row>
    <row r="179" spans="2:49" x14ac:dyDescent="0.2">
      <c r="B179" s="210" t="s">
        <v>364</v>
      </c>
      <c r="C179" s="20"/>
      <c r="D179" s="20"/>
      <c r="E179" s="210"/>
      <c r="F179" s="210"/>
      <c r="G179" s="234">
        <v>0</v>
      </c>
      <c r="H179" s="233"/>
      <c r="I179" s="234">
        <v>0.05</v>
      </c>
      <c r="J179" s="233"/>
      <c r="K179" s="184">
        <v>0.05</v>
      </c>
      <c r="L179" s="234">
        <v>0.12</v>
      </c>
      <c r="M179" s="233"/>
      <c r="N179" s="234">
        <v>0.2</v>
      </c>
      <c r="O179" s="233"/>
      <c r="P179" s="20"/>
      <c r="Q179" s="230">
        <f t="shared" ref="Q179:R180" si="227">1/Q178</f>
        <v>1.9758595183773853</v>
      </c>
      <c r="R179" s="230">
        <f t="shared" si="227"/>
        <v>15.806876147019082</v>
      </c>
      <c r="S179" s="20"/>
      <c r="T179" s="192">
        <f>$Q$164-T180</f>
        <v>424.1897646657219</v>
      </c>
      <c r="U179" s="237">
        <f>T179-U180</f>
        <v>407.58901756472989</v>
      </c>
      <c r="V179" s="237">
        <f t="shared" ref="V179:AW179" si="228">U179-V180</f>
        <v>390.15823310868831</v>
      </c>
      <c r="W179" s="237">
        <f t="shared" si="228"/>
        <v>371.85590942984464</v>
      </c>
      <c r="X179" s="237">
        <f t="shared" si="228"/>
        <v>352.63846956705879</v>
      </c>
      <c r="Y179" s="237">
        <f t="shared" si="228"/>
        <v>332.46015771113366</v>
      </c>
      <c r="Z179" s="237">
        <f t="shared" si="228"/>
        <v>311.27293026241222</v>
      </c>
      <c r="AA179" s="237">
        <f t="shared" si="228"/>
        <v>289.02634144125471</v>
      </c>
      <c r="AB179" s="237">
        <f t="shared" si="228"/>
        <v>265.66742317903936</v>
      </c>
      <c r="AC179" s="237">
        <f t="shared" si="228"/>
        <v>241.14055900371324</v>
      </c>
      <c r="AD179" s="237">
        <f t="shared" si="228"/>
        <v>215.3873516196208</v>
      </c>
      <c r="AE179" s="237">
        <f t="shared" si="228"/>
        <v>188.34648386632372</v>
      </c>
      <c r="AF179" s="237">
        <f t="shared" si="228"/>
        <v>159.95357272536179</v>
      </c>
      <c r="AG179" s="237">
        <f t="shared" si="228"/>
        <v>130.14101602735178</v>
      </c>
      <c r="AH179" s="237">
        <f t="shared" si="228"/>
        <v>98.837831494441247</v>
      </c>
      <c r="AI179" s="237">
        <f t="shared" si="228"/>
        <v>65.969487734885192</v>
      </c>
      <c r="AJ179" s="237">
        <f t="shared" si="228"/>
        <v>31.457726787351334</v>
      </c>
      <c r="AK179" s="237">
        <f t="shared" si="228"/>
        <v>-4.7796222075592212</v>
      </c>
      <c r="AL179" s="237">
        <f t="shared" si="228"/>
        <v>-42.828838652215303</v>
      </c>
      <c r="AM179" s="237">
        <f t="shared" si="228"/>
        <v>-82.780515919104189</v>
      </c>
      <c r="AN179" s="237">
        <f t="shared" si="228"/>
        <v>-124.72977704933751</v>
      </c>
      <c r="AO179" s="237">
        <f t="shared" si="228"/>
        <v>-168.77650123608251</v>
      </c>
      <c r="AP179" s="237">
        <f t="shared" si="228"/>
        <v>-215.02556163216477</v>
      </c>
      <c r="AQ179" s="237">
        <f t="shared" si="228"/>
        <v>-263.58707504805113</v>
      </c>
      <c r="AR179" s="237">
        <f t="shared" si="228"/>
        <v>-314.5766641347318</v>
      </c>
      <c r="AS179" s="237">
        <f t="shared" si="228"/>
        <v>-368.11573267574653</v>
      </c>
      <c r="AT179" s="237">
        <f t="shared" si="228"/>
        <v>-424.33175464381202</v>
      </c>
      <c r="AU179" s="237">
        <f t="shared" si="228"/>
        <v>-483.35857771028077</v>
      </c>
      <c r="AV179" s="237">
        <f t="shared" si="228"/>
        <v>-545.336741930073</v>
      </c>
      <c r="AW179" s="237">
        <f t="shared" si="228"/>
        <v>-610.41381436085476</v>
      </c>
    </row>
    <row r="180" spans="2:49" s="181" customFormat="1" x14ac:dyDescent="0.2">
      <c r="B180" s="210" t="s">
        <v>365</v>
      </c>
      <c r="C180" s="183"/>
      <c r="D180" s="183"/>
      <c r="E180" s="190" t="s">
        <v>363</v>
      </c>
      <c r="F180" s="189">
        <v>450</v>
      </c>
      <c r="G180" s="234">
        <v>0</v>
      </c>
      <c r="H180" s="235">
        <v>10</v>
      </c>
      <c r="I180" s="234">
        <v>0.05</v>
      </c>
      <c r="J180" s="233">
        <v>8</v>
      </c>
      <c r="K180" s="184">
        <v>0.05</v>
      </c>
      <c r="L180" s="234">
        <v>0.12</v>
      </c>
      <c r="M180" s="233">
        <v>6</v>
      </c>
      <c r="N180" s="234">
        <v>0.2</v>
      </c>
      <c r="O180" s="233">
        <v>5</v>
      </c>
      <c r="P180" s="179"/>
      <c r="Q180" s="230">
        <f t="shared" si="227"/>
        <v>0.50610885576582876</v>
      </c>
      <c r="R180" s="230">
        <f t="shared" si="227"/>
        <v>6.3263606970728595E-2</v>
      </c>
      <c r="S180" s="179"/>
      <c r="T180" s="192">
        <f>R141*(1+$K$179)</f>
        <v>15.810235334278094</v>
      </c>
      <c r="U180" s="192">
        <f>T180*(1+$K$179)</f>
        <v>16.600747100991999</v>
      </c>
      <c r="V180" s="192">
        <f>U180*(1+$K$179)</f>
        <v>17.4307844560416</v>
      </c>
      <c r="W180" s="192">
        <f>V180*(1+$K$179)</f>
        <v>18.302323678843681</v>
      </c>
      <c r="X180" s="192">
        <f>W180*(1+$K$179)</f>
        <v>19.217439862785866</v>
      </c>
      <c r="Y180" s="192">
        <f>X180*(1+$K$179)</f>
        <v>20.178311855925159</v>
      </c>
      <c r="Z180" s="192">
        <f>Y180*(1+$K$179)</f>
        <v>21.187227448721419</v>
      </c>
      <c r="AA180" s="192">
        <f>Z180*(1+$K$179)</f>
        <v>22.246588821157491</v>
      </c>
      <c r="AB180" s="192">
        <f>AA180*(1+$K$179)</f>
        <v>23.358918262215369</v>
      </c>
      <c r="AC180" s="192">
        <f>AB180*(1+$K$179)</f>
        <v>24.526864175326139</v>
      </c>
      <c r="AD180" s="192">
        <f>AC180*(1+$K$179)</f>
        <v>25.753207384092448</v>
      </c>
      <c r="AE180" s="192">
        <f>AD180*(1+$K$179)</f>
        <v>27.040867753297071</v>
      </c>
      <c r="AF180" s="192">
        <f>AE180*(1+$K$179)</f>
        <v>28.392911140961925</v>
      </c>
      <c r="AG180" s="192">
        <f>AF180*(1+$K$179)</f>
        <v>29.812556698010024</v>
      </c>
      <c r="AH180" s="192">
        <f>AG180*(1+$K$179)</f>
        <v>31.303184532910528</v>
      </c>
      <c r="AI180" s="192">
        <f>AH180*(1+$K$179)</f>
        <v>32.868343759556055</v>
      </c>
      <c r="AJ180" s="192">
        <f>AI180*(1+$K$179)</f>
        <v>34.511760947533858</v>
      </c>
      <c r="AK180" s="192">
        <f>AJ180*(1+$K$179)</f>
        <v>36.237348994910555</v>
      </c>
      <c r="AL180" s="192">
        <f>AK180*(1+$K$179)</f>
        <v>38.049216444656082</v>
      </c>
      <c r="AM180" s="192">
        <f>AL180*(1+$K$179)</f>
        <v>39.951677266888886</v>
      </c>
      <c r="AN180" s="192">
        <f>AM180*(1+$K$179)</f>
        <v>41.949261130233332</v>
      </c>
      <c r="AO180" s="192">
        <f>AN180*(1+$K$179)</f>
        <v>44.046724186745003</v>
      </c>
      <c r="AP180" s="192">
        <f>AO180*(1+$K$179)</f>
        <v>46.249060396082257</v>
      </c>
      <c r="AQ180" s="192">
        <f>AP180*(1+$K$179)</f>
        <v>48.561513415886374</v>
      </c>
      <c r="AR180" s="192">
        <f>AQ180*(1+$K$179)</f>
        <v>50.989589086680695</v>
      </c>
      <c r="AS180" s="192">
        <f>AR180*(1+$K$179)</f>
        <v>53.539068541014736</v>
      </c>
      <c r="AT180" s="192">
        <f>AS180*(1+$K$179)</f>
        <v>56.216021968065476</v>
      </c>
      <c r="AU180" s="192">
        <f>AT180*(1+$K$179)</f>
        <v>59.026823066468751</v>
      </c>
      <c r="AV180" s="192">
        <f>AU180*(1+$K$179)</f>
        <v>61.978164219792191</v>
      </c>
      <c r="AW180" s="192">
        <f>AV180*(1+$K$179)</f>
        <v>65.077072430781797</v>
      </c>
    </row>
    <row r="181" spans="2:49" s="181" customFormat="1" x14ac:dyDescent="0.2">
      <c r="B181" s="183"/>
      <c r="C181" s="183"/>
      <c r="D181" s="183"/>
      <c r="E181" s="190" t="s">
        <v>422</v>
      </c>
      <c r="F181" s="189">
        <v>570</v>
      </c>
      <c r="G181" s="234">
        <v>0</v>
      </c>
      <c r="H181" s="235">
        <v>12</v>
      </c>
      <c r="I181" s="234">
        <v>0.05</v>
      </c>
      <c r="J181" s="233">
        <v>9</v>
      </c>
      <c r="K181" s="210"/>
      <c r="L181" s="234">
        <v>0.12</v>
      </c>
      <c r="M181" s="233">
        <v>7</v>
      </c>
      <c r="N181" s="234">
        <v>0.2</v>
      </c>
      <c r="O181" s="233">
        <v>6</v>
      </c>
      <c r="P181" s="179"/>
      <c r="Q181" s="230"/>
      <c r="R181" s="230"/>
      <c r="S181" s="179"/>
      <c r="T181" s="236">
        <f>Q64*(1+$K$180)</f>
        <v>46.935349611542733</v>
      </c>
      <c r="U181" s="236">
        <f>T181*(1+$K$180)</f>
        <v>49.282117092119869</v>
      </c>
      <c r="V181" s="236">
        <f>U181*(1+$K$180)</f>
        <v>51.746222946725865</v>
      </c>
      <c r="W181" s="236">
        <f>V181*(1+$K$180)</f>
        <v>54.333534094062159</v>
      </c>
      <c r="X181" s="236">
        <f>W181*(1+$K$180)</f>
        <v>57.050210798765271</v>
      </c>
      <c r="Y181" s="236">
        <f>X181*(1+$K$180)</f>
        <v>59.902721338703536</v>
      </c>
      <c r="Z181" s="236">
        <f>Y181*(1+$K$180)</f>
        <v>62.897857405638717</v>
      </c>
      <c r="AA181" s="236">
        <f>Z181*(1+$K$180)</f>
        <v>66.042750275920653</v>
      </c>
      <c r="AB181" s="236">
        <f>AA181*(1+$K$180)</f>
        <v>69.344887789716694</v>
      </c>
      <c r="AC181" s="236">
        <f>AB181*(1+$K$180)</f>
        <v>72.812132179202536</v>
      </c>
      <c r="AD181" s="236">
        <f>AC181*(1+$K$180)</f>
        <v>76.452738788162662</v>
      </c>
      <c r="AE181" s="236">
        <f>AD181*(1+$K$180)</f>
        <v>80.275375727570804</v>
      </c>
      <c r="AF181" s="236">
        <f>AE181*(1+$K$180)</f>
        <v>84.289144513949353</v>
      </c>
      <c r="AG181" s="236">
        <f>AF181*(1+$K$180)</f>
        <v>88.503601739646825</v>
      </c>
      <c r="AH181" s="236">
        <f>AG181*(1+$K$180)</f>
        <v>92.928781826629177</v>
      </c>
      <c r="AI181" s="236">
        <f>AH181*(1+$K$180)</f>
        <v>97.575220917960635</v>
      </c>
      <c r="AJ181" s="236">
        <f>AI181*(1+$K$180)</f>
        <v>102.45398196385867</v>
      </c>
      <c r="AK181" s="236">
        <f>AJ181*(1+$K$180)</f>
        <v>107.57668106205161</v>
      </c>
      <c r="AL181" s="236">
        <f>AK181*(1+$K$180)</f>
        <v>112.95551511515418</v>
      </c>
      <c r="AM181" s="236">
        <f>AL181*(1+$K$180)</f>
        <v>118.60329087091191</v>
      </c>
      <c r="AN181" s="236">
        <f>AM181*(1+$K$180)</f>
        <v>124.53345541445751</v>
      </c>
      <c r="AO181" s="236">
        <f>AN181*(1+$K$180)</f>
        <v>130.76012818518038</v>
      </c>
      <c r="AP181" s="236">
        <f>AO181*(1+$K$180)</f>
        <v>137.2981345944394</v>
      </c>
      <c r="AQ181" s="236">
        <f>AP181*(1+$K$180)</f>
        <v>144.16304132416138</v>
      </c>
      <c r="AR181" s="236">
        <f>AQ181*(1+$K$180)</f>
        <v>151.37119339036946</v>
      </c>
      <c r="AS181" s="236">
        <f>AR181*(1+$K$180)</f>
        <v>158.93975305988795</v>
      </c>
      <c r="AT181" s="236">
        <f>AS181*(1+$K$180)</f>
        <v>166.88674071288236</v>
      </c>
      <c r="AU181" s="236">
        <f>AT181*(1+$K$180)</f>
        <v>175.23107774852647</v>
      </c>
      <c r="AV181" s="236">
        <f>AU181*(1+$K$180)</f>
        <v>183.99263163595282</v>
      </c>
      <c r="AW181" s="236">
        <f>AV181*(1+$K$180)</f>
        <v>193.19226321775048</v>
      </c>
    </row>
    <row r="182" spans="2:49" x14ac:dyDescent="0.2">
      <c r="B182" s="20"/>
      <c r="C182" s="20"/>
      <c r="D182" s="2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0"/>
      <c r="Q182" s="176"/>
      <c r="R182" s="20"/>
      <c r="S182" s="20"/>
      <c r="T182" s="236">
        <f>$Q$164-T181</f>
        <v>393.06465038845727</v>
      </c>
      <c r="U182" s="236">
        <f>T182-U181</f>
        <v>343.78253329633742</v>
      </c>
      <c r="V182" s="236">
        <f t="shared" ref="V182:AW182" si="229">U182-V181</f>
        <v>292.03631034961154</v>
      </c>
      <c r="W182" s="236">
        <f t="shared" si="229"/>
        <v>237.7027762555494</v>
      </c>
      <c r="X182" s="236">
        <f t="shared" si="229"/>
        <v>180.65256545678412</v>
      </c>
      <c r="Y182" s="236">
        <f t="shared" si="229"/>
        <v>120.74984411808057</v>
      </c>
      <c r="Z182" s="236">
        <f t="shared" si="229"/>
        <v>57.851986712441857</v>
      </c>
      <c r="AA182" s="236">
        <f t="shared" si="229"/>
        <v>-8.1907635634787965</v>
      </c>
      <c r="AB182" s="236">
        <f t="shared" si="229"/>
        <v>-77.53565135319549</v>
      </c>
      <c r="AC182" s="236">
        <f t="shared" si="229"/>
        <v>-150.34778353239801</v>
      </c>
      <c r="AD182" s="236">
        <f t="shared" si="229"/>
        <v>-226.80052232056067</v>
      </c>
      <c r="AE182" s="236">
        <f t="shared" si="229"/>
        <v>-307.07589804813148</v>
      </c>
      <c r="AF182" s="236">
        <f t="shared" si="229"/>
        <v>-391.36504256208082</v>
      </c>
      <c r="AG182" s="236">
        <f t="shared" si="229"/>
        <v>-479.86864430172761</v>
      </c>
      <c r="AH182" s="236">
        <f t="shared" si="229"/>
        <v>-572.79742612835685</v>
      </c>
      <c r="AI182" s="236">
        <f t="shared" si="229"/>
        <v>-670.37264704631752</v>
      </c>
      <c r="AJ182" s="236">
        <f t="shared" si="229"/>
        <v>-772.82662901017625</v>
      </c>
      <c r="AK182" s="236">
        <f t="shared" si="229"/>
        <v>-880.4033100722279</v>
      </c>
      <c r="AL182" s="236">
        <f t="shared" si="229"/>
        <v>-993.35882518738208</v>
      </c>
      <c r="AM182" s="236">
        <f t="shared" si="229"/>
        <v>-1111.962116058294</v>
      </c>
      <c r="AN182" s="236">
        <f t="shared" si="229"/>
        <v>-1236.4955714727514</v>
      </c>
      <c r="AO182" s="236">
        <f t="shared" si="229"/>
        <v>-1367.2556996579317</v>
      </c>
      <c r="AP182" s="236">
        <f t="shared" si="229"/>
        <v>-1504.5538342523712</v>
      </c>
      <c r="AQ182" s="236">
        <f t="shared" si="229"/>
        <v>-1648.7168755765326</v>
      </c>
      <c r="AR182" s="236">
        <f t="shared" si="229"/>
        <v>-1800.088068966902</v>
      </c>
      <c r="AS182" s="236">
        <f t="shared" si="229"/>
        <v>-1959.0278220267901</v>
      </c>
      <c r="AT182" s="236">
        <f t="shared" si="229"/>
        <v>-2125.9145627396724</v>
      </c>
      <c r="AU182" s="236">
        <f t="shared" si="229"/>
        <v>-2301.1456404881988</v>
      </c>
      <c r="AV182" s="236">
        <f t="shared" si="229"/>
        <v>-2485.1382721241516</v>
      </c>
      <c r="AW182" s="236">
        <f t="shared" si="229"/>
        <v>-2678.3305353419023</v>
      </c>
    </row>
    <row r="183" spans="2:49" x14ac:dyDescent="0.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spans="2:49" x14ac:dyDescent="0.2">
      <c r="B184" s="20"/>
      <c r="C184" s="202" t="s">
        <v>366</v>
      </c>
      <c r="D184" s="203"/>
      <c r="E184" s="203"/>
      <c r="F184" s="203"/>
      <c r="G184" s="203"/>
      <c r="H184" s="203"/>
      <c r="I184" s="203"/>
      <c r="J184" s="203"/>
      <c r="K184" s="187"/>
      <c r="L184" s="216" t="s">
        <v>323</v>
      </c>
      <c r="M184" s="217"/>
      <c r="N184" s="217"/>
      <c r="O184" s="218"/>
      <c r="P184" s="190" t="s">
        <v>326</v>
      </c>
      <c r="Q184" s="187"/>
      <c r="R184" s="216" t="s">
        <v>324</v>
      </c>
      <c r="S184" s="217"/>
      <c r="T184" s="218"/>
      <c r="U184" s="190" t="s">
        <v>326</v>
      </c>
      <c r="V184" s="187"/>
      <c r="W184" s="187"/>
      <c r="X184" s="187"/>
      <c r="Y184" s="187"/>
      <c r="Z184" s="20"/>
      <c r="AA184" s="20"/>
      <c r="AB184" s="20"/>
      <c r="AC184" s="20"/>
      <c r="AD184" s="20"/>
      <c r="AE184" s="20"/>
      <c r="AF184" s="20"/>
    </row>
    <row r="185" spans="2:49" x14ac:dyDescent="0.2">
      <c r="B185" s="20"/>
      <c r="C185" s="196" t="s">
        <v>325</v>
      </c>
      <c r="D185" s="196" t="s">
        <v>0</v>
      </c>
      <c r="E185" s="196" t="s">
        <v>367</v>
      </c>
      <c r="F185" s="196" t="s">
        <v>368</v>
      </c>
      <c r="G185" s="196" t="s">
        <v>369</v>
      </c>
      <c r="H185" s="196" t="s">
        <v>370</v>
      </c>
      <c r="I185" s="196" t="s">
        <v>371</v>
      </c>
      <c r="J185" s="196" t="s">
        <v>372</v>
      </c>
      <c r="K185" s="187"/>
      <c r="L185" s="196" t="s">
        <v>325</v>
      </c>
      <c r="M185" s="196"/>
      <c r="N185" s="196"/>
      <c r="O185" s="196" t="s">
        <v>0</v>
      </c>
      <c r="P185" s="196" t="s">
        <v>352</v>
      </c>
      <c r="Q185" s="187"/>
      <c r="R185" s="196" t="s">
        <v>325</v>
      </c>
      <c r="S185" s="196"/>
      <c r="T185" s="196" t="s">
        <v>0</v>
      </c>
      <c r="U185" s="196" t="s">
        <v>352</v>
      </c>
      <c r="V185" s="187"/>
      <c r="W185" s="187"/>
      <c r="X185" s="187"/>
      <c r="Y185" s="187"/>
      <c r="Z185" s="20"/>
      <c r="AA185" s="20"/>
      <c r="AB185" s="20"/>
      <c r="AC185" s="20"/>
      <c r="AD185" s="20"/>
      <c r="AE185" s="20"/>
      <c r="AF185" s="20"/>
    </row>
    <row r="186" spans="2:49" x14ac:dyDescent="0.2">
      <c r="B186" s="20"/>
      <c r="C186" s="197" t="s">
        <v>327</v>
      </c>
      <c r="D186" s="188">
        <v>70</v>
      </c>
      <c r="E186" s="204" t="s">
        <v>373</v>
      </c>
      <c r="F186" s="189">
        <v>0</v>
      </c>
      <c r="G186" s="189">
        <v>1</v>
      </c>
      <c r="H186" s="208">
        <f>F186/G186</f>
        <v>0</v>
      </c>
      <c r="I186" s="208">
        <f>H186*D187</f>
        <v>0</v>
      </c>
      <c r="J186" s="209">
        <f>I186+D187</f>
        <v>1</v>
      </c>
      <c r="K186" s="187"/>
      <c r="L186" s="197" t="s">
        <v>327</v>
      </c>
      <c r="M186" s="208"/>
      <c r="N186" s="197"/>
      <c r="O186" s="188">
        <v>70</v>
      </c>
      <c r="P186" s="201">
        <f>O186</f>
        <v>70</v>
      </c>
      <c r="Q186" s="187"/>
      <c r="R186" s="197" t="s">
        <v>327</v>
      </c>
      <c r="S186" s="197"/>
      <c r="T186" s="188">
        <v>70</v>
      </c>
      <c r="U186" s="201">
        <f>T186</f>
        <v>70</v>
      </c>
      <c r="V186" s="187"/>
      <c r="W186" s="187"/>
      <c r="X186" s="187"/>
      <c r="Y186" s="187"/>
      <c r="Z186" s="20"/>
      <c r="AA186" s="20"/>
      <c r="AB186" s="20"/>
      <c r="AC186" s="20"/>
      <c r="AD186" s="20"/>
      <c r="AE186" s="20"/>
      <c r="AF186" s="20"/>
    </row>
    <row r="187" spans="2:49" x14ac:dyDescent="0.2">
      <c r="B187" s="20"/>
      <c r="C187" s="197" t="s">
        <v>328</v>
      </c>
      <c r="D187" s="188">
        <v>1</v>
      </c>
      <c r="E187" s="204" t="s">
        <v>374</v>
      </c>
      <c r="F187" s="189">
        <v>0</v>
      </c>
      <c r="G187" s="189">
        <v>1</v>
      </c>
      <c r="H187" s="208">
        <f>F187/G187</f>
        <v>0</v>
      </c>
      <c r="I187" s="208">
        <f>H187*J186</f>
        <v>0</v>
      </c>
      <c r="J187" s="208">
        <f>I187+J186</f>
        <v>1</v>
      </c>
      <c r="K187" s="187"/>
      <c r="L187" s="197" t="s">
        <v>328</v>
      </c>
      <c r="M187" s="208"/>
      <c r="N187" s="197"/>
      <c r="O187" s="188">
        <v>1</v>
      </c>
      <c r="P187" s="201">
        <f>O187</f>
        <v>1</v>
      </c>
      <c r="Q187" s="187"/>
      <c r="R187" s="197" t="s">
        <v>328</v>
      </c>
      <c r="S187" s="197"/>
      <c r="T187" s="188">
        <v>1</v>
      </c>
      <c r="U187" s="201">
        <f>T187</f>
        <v>1</v>
      </c>
      <c r="V187" s="187"/>
      <c r="W187" s="187"/>
      <c r="X187" s="187"/>
      <c r="Y187" s="187"/>
      <c r="Z187" s="20"/>
      <c r="AA187" s="20"/>
      <c r="AB187" s="20"/>
      <c r="AC187" s="20"/>
      <c r="AD187" s="20"/>
      <c r="AE187" s="20"/>
      <c r="AF187" s="20"/>
    </row>
    <row r="188" spans="2:49" x14ac:dyDescent="0.2">
      <c r="B188" s="20"/>
      <c r="C188" s="197" t="s">
        <v>330</v>
      </c>
      <c r="D188" s="198">
        <f>D186*D187</f>
        <v>70</v>
      </c>
      <c r="E188" s="204" t="s">
        <v>375</v>
      </c>
      <c r="F188" s="189">
        <v>0</v>
      </c>
      <c r="G188" s="189">
        <v>1</v>
      </c>
      <c r="H188" s="208">
        <f>F188/G188</f>
        <v>0</v>
      </c>
      <c r="I188" s="208">
        <f>H188*J187</f>
        <v>0</v>
      </c>
      <c r="J188" s="208">
        <f>I188+J187</f>
        <v>1</v>
      </c>
      <c r="K188" s="187"/>
      <c r="L188" s="197" t="s">
        <v>329</v>
      </c>
      <c r="M188" s="208"/>
      <c r="N188" s="197"/>
      <c r="O188" s="198">
        <f>O186*O187</f>
        <v>70</v>
      </c>
      <c r="P188" s="201">
        <f>O188</f>
        <v>70</v>
      </c>
      <c r="Q188" s="187"/>
      <c r="R188" s="197" t="s">
        <v>330</v>
      </c>
      <c r="S188" s="197"/>
      <c r="T188" s="198">
        <f>T186*T187</f>
        <v>70</v>
      </c>
      <c r="U188" s="198">
        <f>U186*U187</f>
        <v>70</v>
      </c>
      <c r="V188" s="187"/>
      <c r="W188" s="187"/>
      <c r="X188" s="187"/>
      <c r="Y188" s="187"/>
      <c r="Z188" s="20"/>
      <c r="AA188" s="20"/>
      <c r="AB188" s="20"/>
      <c r="AC188" s="20"/>
      <c r="AD188" s="20"/>
      <c r="AE188" s="20"/>
      <c r="AF188" s="20"/>
    </row>
    <row r="189" spans="2:49" x14ac:dyDescent="0.2">
      <c r="B189" s="20"/>
      <c r="C189" s="208"/>
      <c r="D189" s="198"/>
      <c r="E189" s="204" t="s">
        <v>425</v>
      </c>
      <c r="F189" s="189">
        <v>0</v>
      </c>
      <c r="G189" s="189">
        <v>1</v>
      </c>
      <c r="H189" s="208">
        <f t="shared" ref="H189:H192" si="230">F189/G189</f>
        <v>0</v>
      </c>
      <c r="I189" s="208">
        <f t="shared" ref="I189:I191" si="231">H189*J188</f>
        <v>0</v>
      </c>
      <c r="J189" s="208">
        <f t="shared" ref="J189:J191" si="232">I189+J188</f>
        <v>1</v>
      </c>
      <c r="K189" s="210"/>
      <c r="L189" s="197" t="s">
        <v>331</v>
      </c>
      <c r="M189" s="208"/>
      <c r="N189" s="197"/>
      <c r="O189" s="188">
        <v>570</v>
      </c>
      <c r="P189" s="188">
        <v>600</v>
      </c>
      <c r="Q189" s="187"/>
      <c r="R189" s="197" t="s">
        <v>331</v>
      </c>
      <c r="S189" s="197"/>
      <c r="T189" s="188">
        <v>570</v>
      </c>
      <c r="U189" s="188">
        <v>600</v>
      </c>
      <c r="V189" s="187"/>
      <c r="W189" s="187"/>
      <c r="X189" s="187"/>
      <c r="Y189" s="187"/>
      <c r="Z189" s="20"/>
      <c r="AA189" s="20"/>
      <c r="AB189" s="20"/>
      <c r="AC189" s="20"/>
      <c r="AD189" s="20"/>
      <c r="AE189" s="20"/>
      <c r="AF189" s="20"/>
    </row>
    <row r="190" spans="2:49" x14ac:dyDescent="0.2">
      <c r="B190" s="20"/>
      <c r="C190" s="208"/>
      <c r="D190" s="198"/>
      <c r="E190" s="204" t="s">
        <v>426</v>
      </c>
      <c r="F190" s="189">
        <v>0</v>
      </c>
      <c r="G190" s="189">
        <v>1</v>
      </c>
      <c r="H190" s="208">
        <f t="shared" si="230"/>
        <v>0</v>
      </c>
      <c r="I190" s="208">
        <f t="shared" si="231"/>
        <v>0</v>
      </c>
      <c r="J190" s="208">
        <f t="shared" si="232"/>
        <v>1</v>
      </c>
      <c r="K190" s="210"/>
      <c r="L190" s="197" t="s">
        <v>332</v>
      </c>
      <c r="M190" s="208"/>
      <c r="N190" s="197"/>
      <c r="O190" s="198">
        <f>O189*O187</f>
        <v>570</v>
      </c>
      <c r="P190" s="198">
        <f>P189*P187</f>
        <v>600</v>
      </c>
      <c r="Q190" s="187"/>
      <c r="R190" s="197" t="s">
        <v>328</v>
      </c>
      <c r="S190" s="197"/>
      <c r="T190" s="188">
        <v>1</v>
      </c>
      <c r="U190" s="193">
        <v>1</v>
      </c>
      <c r="V190" s="187"/>
      <c r="W190" s="187"/>
      <c r="X190" s="187"/>
      <c r="Y190" s="187"/>
      <c r="Z190" s="20"/>
      <c r="AA190" s="20"/>
      <c r="AB190" s="20"/>
      <c r="AC190" s="20"/>
      <c r="AD190" s="20"/>
      <c r="AE190" s="20"/>
      <c r="AF190" s="20"/>
    </row>
    <row r="191" spans="2:49" x14ac:dyDescent="0.2">
      <c r="B191" s="20"/>
      <c r="C191" s="208"/>
      <c r="D191" s="198"/>
      <c r="E191" s="204" t="s">
        <v>428</v>
      </c>
      <c r="F191" s="189">
        <v>0</v>
      </c>
      <c r="G191" s="189">
        <v>1</v>
      </c>
      <c r="H191" s="208">
        <f t="shared" si="230"/>
        <v>0</v>
      </c>
      <c r="I191" s="208">
        <f t="shared" si="231"/>
        <v>0</v>
      </c>
      <c r="J191" s="208">
        <f t="shared" si="232"/>
        <v>1</v>
      </c>
      <c r="K191" s="210"/>
      <c r="L191" s="197"/>
      <c r="M191" s="208"/>
      <c r="N191" s="197"/>
      <c r="O191" s="198"/>
      <c r="P191" s="198"/>
      <c r="Q191" s="187"/>
      <c r="R191" s="197" t="s">
        <v>330</v>
      </c>
      <c r="S191" s="197"/>
      <c r="T191" s="198">
        <f>T189*T190</f>
        <v>570</v>
      </c>
      <c r="U191" s="198">
        <f>U190*U189</f>
        <v>600</v>
      </c>
      <c r="V191" s="187"/>
      <c r="W191" s="187"/>
      <c r="X191" s="187"/>
      <c r="Y191" s="187"/>
      <c r="Z191" s="20"/>
      <c r="AA191" s="20"/>
      <c r="AB191" s="20"/>
      <c r="AC191" s="20"/>
      <c r="AD191" s="20"/>
      <c r="AE191" s="20"/>
      <c r="AF191" s="20"/>
    </row>
    <row r="192" spans="2:49" x14ac:dyDescent="0.2">
      <c r="B192" s="20"/>
      <c r="C192" s="208"/>
      <c r="D192" s="198"/>
      <c r="E192" s="204" t="s">
        <v>376</v>
      </c>
      <c r="F192" s="189">
        <v>0</v>
      </c>
      <c r="G192" s="189">
        <v>10</v>
      </c>
      <c r="H192" s="208">
        <f t="shared" si="230"/>
        <v>0</v>
      </c>
      <c r="I192" s="208">
        <f>H192*J191</f>
        <v>0</v>
      </c>
      <c r="J192" s="208">
        <f>I192</f>
        <v>0</v>
      </c>
      <c r="K192" s="210"/>
      <c r="L192" s="197"/>
      <c r="M192" s="208"/>
      <c r="N192" s="197"/>
      <c r="O192" s="198"/>
      <c r="P192" s="198"/>
      <c r="Q192" s="187"/>
      <c r="R192" s="197"/>
      <c r="S192" s="197"/>
      <c r="T192" s="198"/>
      <c r="U192" s="198"/>
      <c r="V192" s="187"/>
      <c r="W192" s="187"/>
      <c r="X192" s="187"/>
      <c r="Y192" s="187"/>
      <c r="Z192" s="20"/>
      <c r="AA192" s="20"/>
      <c r="AB192" s="20"/>
      <c r="AC192" s="20"/>
      <c r="AD192" s="20"/>
      <c r="AE192" s="20"/>
      <c r="AF192" s="20"/>
    </row>
    <row r="193" spans="2:32" x14ac:dyDescent="0.2">
      <c r="B193" s="20"/>
      <c r="C193" s="197"/>
      <c r="D193" s="198"/>
      <c r="E193" s="204" t="s">
        <v>427</v>
      </c>
      <c r="F193" s="189">
        <v>0</v>
      </c>
      <c r="G193" s="189">
        <v>2</v>
      </c>
      <c r="H193" s="208">
        <f>F193/G193</f>
        <v>0</v>
      </c>
      <c r="I193" s="208">
        <f>H193*J192</f>
        <v>0</v>
      </c>
      <c r="J193" s="208">
        <f>I193</f>
        <v>0</v>
      </c>
      <c r="K193" s="187"/>
      <c r="L193" s="199" t="s">
        <v>333</v>
      </c>
      <c r="M193" s="199"/>
      <c r="N193" s="199"/>
      <c r="O193" s="200">
        <f>O190/O188</f>
        <v>8.1428571428571423</v>
      </c>
      <c r="P193" s="200">
        <f>P190/P188</f>
        <v>8.5714285714285712</v>
      </c>
      <c r="Q193" s="187"/>
      <c r="R193" s="199" t="s">
        <v>333</v>
      </c>
      <c r="S193" s="199"/>
      <c r="T193" s="240">
        <f>T191/T188</f>
        <v>8.1428571428571423</v>
      </c>
      <c r="U193" s="240">
        <f>U191/U188</f>
        <v>8.5714285714285712</v>
      </c>
      <c r="V193" s="187"/>
      <c r="W193" s="187"/>
      <c r="X193" s="187"/>
      <c r="Y193" s="187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/>
      <c r="C194" s="197" t="s">
        <v>331</v>
      </c>
      <c r="D194" s="188">
        <v>570</v>
      </c>
      <c r="E194" s="204"/>
      <c r="F194" s="197"/>
      <c r="G194" s="197"/>
      <c r="H194" s="199" t="s">
        <v>377</v>
      </c>
      <c r="I194" s="197"/>
      <c r="J194" s="209">
        <f>J193</f>
        <v>0</v>
      </c>
      <c r="K194" s="187"/>
      <c r="L194" s="187"/>
      <c r="M194" s="210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187"/>
      <c r="C195" s="197" t="s">
        <v>328</v>
      </c>
      <c r="D195" s="188">
        <v>1</v>
      </c>
      <c r="E195" s="204" t="s">
        <v>376</v>
      </c>
      <c r="F195" s="189">
        <v>10</v>
      </c>
      <c r="G195" s="189">
        <v>2</v>
      </c>
      <c r="H195" s="197">
        <f>F195/G195</f>
        <v>5</v>
      </c>
      <c r="I195" s="205">
        <f>H195*D187</f>
        <v>5</v>
      </c>
      <c r="J195" s="205">
        <f>I195</f>
        <v>5</v>
      </c>
      <c r="K195" s="187"/>
      <c r="L195" s="187"/>
      <c r="M195" s="210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</row>
    <row r="196" spans="2:32" x14ac:dyDescent="0.2">
      <c r="B196" s="187"/>
      <c r="C196" s="197" t="s">
        <v>330</v>
      </c>
      <c r="D196" s="198">
        <f>D194*D195</f>
        <v>570</v>
      </c>
      <c r="E196" s="197"/>
      <c r="F196" s="197"/>
      <c r="G196" s="197"/>
      <c r="H196" s="199" t="s">
        <v>377</v>
      </c>
      <c r="I196" s="197"/>
      <c r="J196" s="209">
        <f>J195</f>
        <v>5</v>
      </c>
      <c r="K196" s="187"/>
      <c r="L196" s="187"/>
      <c r="M196" s="210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</row>
    <row r="197" spans="2:32" x14ac:dyDescent="0.2">
      <c r="B197" s="187"/>
      <c r="C197" s="197"/>
      <c r="D197" s="198"/>
      <c r="E197" s="204" t="s">
        <v>376</v>
      </c>
      <c r="F197" s="189">
        <v>10</v>
      </c>
      <c r="G197" s="189">
        <v>2</v>
      </c>
      <c r="H197" s="197">
        <f>F197/G197</f>
        <v>5</v>
      </c>
      <c r="I197" s="209">
        <f>H197*J196</f>
        <v>25</v>
      </c>
      <c r="J197" s="209">
        <f>I197</f>
        <v>25</v>
      </c>
      <c r="K197" s="187"/>
      <c r="L197" s="187"/>
      <c r="M197" s="210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</row>
    <row r="198" spans="2:32" x14ac:dyDescent="0.2">
      <c r="B198" s="187"/>
      <c r="C198" s="199" t="s">
        <v>333</v>
      </c>
      <c r="D198" s="200">
        <f>D196/D188</f>
        <v>8.1428571428571423</v>
      </c>
      <c r="E198" s="204"/>
      <c r="F198" s="197"/>
      <c r="G198" s="197"/>
      <c r="H198" s="199" t="s">
        <v>377</v>
      </c>
      <c r="I198" s="197"/>
      <c r="J198" s="209">
        <f>J197</f>
        <v>25</v>
      </c>
      <c r="K198" s="187"/>
      <c r="L198" s="187"/>
      <c r="M198" s="210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</row>
    <row r="199" spans="2:32" x14ac:dyDescent="0.2"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210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</row>
    <row r="200" spans="2:32" x14ac:dyDescent="0.2">
      <c r="B200" s="187"/>
      <c r="C200" s="187"/>
      <c r="D200" s="194"/>
      <c r="E200" s="206"/>
      <c r="F200" s="206"/>
      <c r="G200" s="207"/>
      <c r="H200" s="187"/>
      <c r="I200" s="194"/>
      <c r="J200" s="206"/>
      <c r="K200" s="207"/>
      <c r="L200" s="187"/>
      <c r="M200" s="210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</row>
    <row r="201" spans="2:32" ht="14.25" x14ac:dyDescent="0.2">
      <c r="B201" s="187"/>
      <c r="C201" s="187"/>
      <c r="D201" s="213" t="s">
        <v>27</v>
      </c>
      <c r="E201" s="214"/>
      <c r="F201" s="214"/>
      <c r="G201" s="215"/>
      <c r="H201" s="187"/>
      <c r="I201" s="213" t="s">
        <v>378</v>
      </c>
      <c r="J201" s="214"/>
      <c r="K201" s="215"/>
      <c r="L201" s="187"/>
      <c r="M201" s="210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</row>
    <row r="202" spans="2:32" x14ac:dyDescent="0.2">
      <c r="B202" s="187"/>
      <c r="C202" s="187"/>
      <c r="D202" s="187" t="s">
        <v>28</v>
      </c>
      <c r="E202" s="193"/>
      <c r="F202" s="193"/>
      <c r="G202" s="188">
        <f>D188</f>
        <v>70</v>
      </c>
      <c r="H202" s="187"/>
      <c r="I202" s="187" t="s">
        <v>28</v>
      </c>
      <c r="J202" s="193"/>
      <c r="K202" s="188">
        <f>G202</f>
        <v>70</v>
      </c>
      <c r="L202" s="187"/>
      <c r="M202" s="210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</row>
    <row r="203" spans="2:32" x14ac:dyDescent="0.2">
      <c r="B203" s="187"/>
      <c r="C203" s="187"/>
      <c r="D203" s="187" t="s">
        <v>29</v>
      </c>
      <c r="E203" s="193"/>
      <c r="F203" s="193"/>
      <c r="G203" s="188">
        <f>D196</f>
        <v>570</v>
      </c>
      <c r="H203" s="187"/>
      <c r="I203" s="187" t="s">
        <v>29</v>
      </c>
      <c r="J203" s="187"/>
      <c r="K203" s="188">
        <f>G203</f>
        <v>570</v>
      </c>
      <c r="L203" s="187"/>
      <c r="M203" s="210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</row>
    <row r="204" spans="2:32" x14ac:dyDescent="0.2">
      <c r="B204" s="187"/>
      <c r="C204" s="187"/>
      <c r="D204" s="187" t="s">
        <v>30</v>
      </c>
      <c r="E204" s="187"/>
      <c r="F204" s="187"/>
      <c r="G204" s="189">
        <v>10</v>
      </c>
      <c r="H204" s="187"/>
      <c r="I204" s="187"/>
      <c r="J204" s="187"/>
      <c r="K204" s="187"/>
      <c r="L204" s="187"/>
      <c r="M204" s="210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</row>
    <row r="205" spans="2:32" x14ac:dyDescent="0.2">
      <c r="B205" s="187"/>
      <c r="C205" s="187"/>
      <c r="D205" s="190" t="s">
        <v>31</v>
      </c>
      <c r="E205" s="186"/>
      <c r="F205" s="186"/>
      <c r="G205" s="186">
        <f>((G203/G202)^(1/G204))-1</f>
        <v>0.23332541646363025</v>
      </c>
      <c r="H205" s="187"/>
      <c r="I205" s="190" t="s">
        <v>379</v>
      </c>
      <c r="J205" s="190"/>
      <c r="K205" s="231">
        <f>K203/K202</f>
        <v>8.1428571428571423</v>
      </c>
      <c r="L205" s="187"/>
      <c r="M205" s="210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</row>
    <row r="206" spans="2:32" ht="15" x14ac:dyDescent="0.25">
      <c r="B206" s="187"/>
      <c r="C206" s="187"/>
      <c r="D206" s="190" t="s">
        <v>32</v>
      </c>
      <c r="E206" s="195"/>
      <c r="F206" s="195"/>
      <c r="G206" s="191">
        <f>G204*12</f>
        <v>120</v>
      </c>
      <c r="H206" s="187"/>
      <c r="I206" s="190" t="s">
        <v>380</v>
      </c>
      <c r="J206" s="190"/>
      <c r="K206" s="190">
        <f>K203/K202</f>
        <v>8.1428571428571423</v>
      </c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</row>
    <row r="207" spans="2:32" x14ac:dyDescent="0.2">
      <c r="B207" s="210"/>
      <c r="C207" s="187"/>
      <c r="D207" s="187" t="s">
        <v>30</v>
      </c>
      <c r="E207" s="192"/>
      <c r="F207" s="192"/>
      <c r="G207" s="192">
        <f>G206/12</f>
        <v>10</v>
      </c>
      <c r="H207" s="187"/>
      <c r="I207" s="187"/>
      <c r="J207" s="187"/>
      <c r="K207" s="187"/>
    </row>
    <row r="208" spans="2:32" x14ac:dyDescent="0.2">
      <c r="B208" s="210"/>
      <c r="C208" s="187"/>
      <c r="D208" s="190" t="s">
        <v>33</v>
      </c>
      <c r="E208" s="186"/>
      <c r="F208" s="186"/>
      <c r="G208" s="186">
        <f>((G203/G202)^(1/G206))-1</f>
        <v>1.7629777839784921E-2</v>
      </c>
      <c r="H208" s="187"/>
      <c r="I208" s="187"/>
      <c r="J208" s="187"/>
      <c r="K208" s="187"/>
    </row>
    <row r="209" spans="2:11" x14ac:dyDescent="0.2">
      <c r="B209" s="210"/>
      <c r="C209" s="187"/>
      <c r="D209" s="187"/>
      <c r="E209" s="187"/>
      <c r="F209" s="187"/>
      <c r="G209" s="187"/>
      <c r="H209" s="187"/>
      <c r="I209" s="187"/>
      <c r="J209" s="187"/>
      <c r="K209" s="187"/>
    </row>
    <row r="210" spans="2:11" x14ac:dyDescent="0.2">
      <c r="B210" s="210"/>
      <c r="C210" s="187"/>
      <c r="D210" s="187"/>
      <c r="E210" s="187"/>
      <c r="F210" s="187"/>
      <c r="G210" s="187"/>
      <c r="H210" s="187"/>
      <c r="I210" s="187"/>
      <c r="J210" s="187"/>
      <c r="K210" s="187"/>
    </row>
  </sheetData>
  <mergeCells count="6">
    <mergeCell ref="D201:G201"/>
    <mergeCell ref="I201:K201"/>
    <mergeCell ref="L184:O184"/>
    <mergeCell ref="R184:T184"/>
    <mergeCell ref="AE2:AF2"/>
    <mergeCell ref="AE3:A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23" t="s">
        <v>27</v>
      </c>
      <c r="K5" s="223"/>
      <c r="M5" s="223" t="s">
        <v>65</v>
      </c>
      <c r="N5" s="22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23" t="s">
        <v>36</v>
      </c>
      <c r="K14" s="223"/>
      <c r="L14" s="22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23" t="s">
        <v>27</v>
      </c>
      <c r="S5" s="22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23" t="s">
        <v>36</v>
      </c>
      <c r="S14" s="223"/>
      <c r="T14" s="22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23" t="s">
        <v>27</v>
      </c>
      <c r="C2" s="223"/>
      <c r="E2" s="223" t="s">
        <v>65</v>
      </c>
      <c r="F2" s="223"/>
      <c r="H2" s="227" t="s">
        <v>36</v>
      </c>
      <c r="I2" s="22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24" t="s">
        <v>68</v>
      </c>
      <c r="E10" s="225"/>
      <c r="F10" s="225"/>
      <c r="G10" s="225"/>
      <c r="H10" s="226"/>
      <c r="I10" s="224" t="s">
        <v>72</v>
      </c>
      <c r="J10" s="225"/>
      <c r="K10" s="225"/>
      <c r="L10" s="22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2014-08-29T10:40:17Z</dcterms:modified>
</cp:coreProperties>
</file>
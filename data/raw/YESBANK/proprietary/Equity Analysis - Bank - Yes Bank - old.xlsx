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5" yWindow="-15" windowWidth="9615" windowHeight="12105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Q60" i="18"/>
  <c r="P60"/>
  <c r="O60"/>
  <c r="N60"/>
  <c r="M60"/>
  <c r="L60"/>
  <c r="K60"/>
  <c r="J60"/>
  <c r="I60"/>
  <c r="H60"/>
  <c r="G60"/>
  <c r="Q58"/>
  <c r="P58"/>
  <c r="O58"/>
  <c r="N58"/>
  <c r="M58"/>
  <c r="L58"/>
  <c r="K58"/>
  <c r="J58"/>
  <c r="I58"/>
  <c r="H58"/>
  <c r="G58"/>
  <c r="Q56"/>
  <c r="P56"/>
  <c r="O56"/>
  <c r="N56"/>
  <c r="M56"/>
  <c r="L56"/>
  <c r="K56"/>
  <c r="J56"/>
  <c r="I56"/>
  <c r="G55"/>
  <c r="H56" s="1"/>
  <c r="Q54"/>
  <c r="P54"/>
  <c r="O54"/>
  <c r="N54"/>
  <c r="M54"/>
  <c r="L54"/>
  <c r="K54"/>
  <c r="J54"/>
  <c r="I54"/>
  <c r="G53"/>
  <c r="H54" s="1"/>
  <c r="Q52"/>
  <c r="P52"/>
  <c r="O52"/>
  <c r="N52"/>
  <c r="M52"/>
  <c r="L52"/>
  <c r="K52"/>
  <c r="J52"/>
  <c r="I52"/>
  <c r="G51"/>
  <c r="H52" s="1"/>
  <c r="G49"/>
  <c r="Q48"/>
  <c r="P48"/>
  <c r="O48"/>
  <c r="N48"/>
  <c r="M48"/>
  <c r="L48"/>
  <c r="K48"/>
  <c r="J48"/>
  <c r="I48"/>
  <c r="H48"/>
  <c r="G48"/>
  <c r="Q46"/>
  <c r="P46"/>
  <c r="O46"/>
  <c r="N46"/>
  <c r="M46"/>
  <c r="L46"/>
  <c r="K46"/>
  <c r="J46"/>
  <c r="I46"/>
  <c r="G45"/>
  <c r="H46" s="1"/>
  <c r="Q44"/>
  <c r="P44"/>
  <c r="O44"/>
  <c r="N44"/>
  <c r="M44"/>
  <c r="L44"/>
  <c r="K44"/>
  <c r="J44"/>
  <c r="I44"/>
  <c r="G43"/>
  <c r="H44" s="1"/>
  <c r="G42"/>
  <c r="G41"/>
  <c r="G40"/>
  <c r="Q39"/>
  <c r="P39"/>
  <c r="O39"/>
  <c r="N39"/>
  <c r="M39"/>
  <c r="L39"/>
  <c r="K39"/>
  <c r="J39"/>
  <c r="I39"/>
  <c r="G39"/>
  <c r="G38"/>
  <c r="H39" s="1"/>
  <c r="G36"/>
  <c r="G33"/>
  <c r="G32"/>
  <c r="G31"/>
  <c r="Q30"/>
  <c r="P30"/>
  <c r="O30"/>
  <c r="N30"/>
  <c r="M30"/>
  <c r="L30"/>
  <c r="K30"/>
  <c r="J30"/>
  <c r="I30"/>
  <c r="G29"/>
  <c r="H30" s="1"/>
  <c r="Q28"/>
  <c r="P28"/>
  <c r="O28"/>
  <c r="N28"/>
  <c r="M28"/>
  <c r="L28"/>
  <c r="K28"/>
  <c r="J28"/>
  <c r="I28"/>
  <c r="G27"/>
  <c r="H28" s="1"/>
  <c r="Q26"/>
  <c r="P26"/>
  <c r="O26"/>
  <c r="N26"/>
  <c r="M26"/>
  <c r="L26"/>
  <c r="K26"/>
  <c r="J26"/>
  <c r="I26"/>
  <c r="G26"/>
  <c r="G25"/>
  <c r="H26" s="1"/>
  <c r="G23"/>
  <c r="G22"/>
  <c r="G21"/>
  <c r="G20"/>
  <c r="G18"/>
  <c r="G16"/>
  <c r="G15"/>
  <c r="G14"/>
  <c r="G13"/>
  <c r="G12"/>
  <c r="Q11"/>
  <c r="P11"/>
  <c r="O11"/>
  <c r="N11"/>
  <c r="M11"/>
  <c r="L11"/>
  <c r="K11"/>
  <c r="J11"/>
  <c r="I11"/>
  <c r="G11"/>
  <c r="G10"/>
  <c r="H11" s="1"/>
  <c r="G9"/>
  <c r="Q8"/>
  <c r="P8"/>
  <c r="O8"/>
  <c r="N8"/>
  <c r="M8"/>
  <c r="L8"/>
  <c r="K8"/>
  <c r="J8"/>
  <c r="I8"/>
  <c r="G7"/>
  <c r="G8" s="1"/>
  <c r="G6"/>
  <c r="G44" l="1"/>
  <c r="G46"/>
  <c r="G52"/>
  <c r="G54"/>
  <c r="G56"/>
  <c r="G28"/>
  <c r="G30"/>
  <c r="H8"/>
  <c r="H266" l="1"/>
  <c r="H268" s="1"/>
  <c r="H269" s="1"/>
  <c r="H265"/>
  <c r="H264"/>
  <c r="T201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H37"/>
  <c r="G37"/>
  <c r="G66"/>
  <c r="H66"/>
  <c r="H202" s="1"/>
  <c r="G67"/>
  <c r="H67"/>
  <c r="G68"/>
  <c r="H68"/>
  <c r="G70"/>
  <c r="H70"/>
  <c r="H204" s="1"/>
  <c r="G7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T154" s="1"/>
  <c r="H154"/>
  <c r="G155"/>
  <c r="T155" s="1"/>
  <c r="H155"/>
  <c r="G156"/>
  <c r="H156"/>
  <c r="G157"/>
  <c r="H157"/>
  <c r="G159"/>
  <c r="H159"/>
  <c r="G160"/>
  <c r="H160"/>
  <c r="G162"/>
  <c r="T162" s="1"/>
  <c r="H162"/>
  <c r="G163"/>
  <c r="H163"/>
  <c r="G164"/>
  <c r="H164"/>
  <c r="G166"/>
  <c r="H166"/>
  <c r="G167"/>
  <c r="H167"/>
  <c r="H215" l="1"/>
  <c r="H216"/>
  <c r="H217" s="1"/>
  <c r="G214"/>
  <c r="G205"/>
  <c r="G204"/>
  <c r="G203"/>
  <c r="H214"/>
  <c r="G209"/>
  <c r="G202"/>
  <c r="H267"/>
  <c r="H270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S130"/>
  <c r="T130" s="1"/>
  <c r="R130"/>
  <c r="Q130"/>
  <c r="P130"/>
  <c r="O130"/>
  <c r="N130"/>
  <c r="M130"/>
  <c r="L130"/>
  <c r="K130"/>
  <c r="J130"/>
  <c r="I130"/>
  <c r="V57"/>
  <c r="G215" l="1"/>
  <c r="G216"/>
  <c r="G206"/>
  <c r="AF47"/>
  <c r="S126"/>
  <c r="T126" s="1"/>
  <c r="R126"/>
  <c r="Q126"/>
  <c r="P126"/>
  <c r="O126"/>
  <c r="N126"/>
  <c r="M126"/>
  <c r="L126"/>
  <c r="K126"/>
  <c r="J126"/>
  <c r="U49"/>
  <c r="S46"/>
  <c r="R46"/>
  <c r="S44"/>
  <c r="R44"/>
  <c r="S39"/>
  <c r="R39"/>
  <c r="S37"/>
  <c r="R37"/>
  <c r="Q37"/>
  <c r="P37"/>
  <c r="O37"/>
  <c r="N37"/>
  <c r="M37"/>
  <c r="L37"/>
  <c r="K37"/>
  <c r="I126"/>
  <c r="G217" l="1"/>
  <c r="I37"/>
  <c r="J37"/>
  <c r="S132"/>
  <c r="T132" s="1"/>
  <c r="S131"/>
  <c r="T131" s="1"/>
  <c r="S128"/>
  <c r="T128" s="1"/>
  <c r="S127"/>
  <c r="T127" s="1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S58"/>
  <c r="R58"/>
  <c r="S56"/>
  <c r="R56"/>
  <c r="S54"/>
  <c r="R54"/>
  <c r="S52"/>
  <c r="R52"/>
  <c r="S30"/>
  <c r="R30"/>
  <c r="S28"/>
  <c r="R28"/>
  <c r="S26"/>
  <c r="R26"/>
  <c r="S11"/>
  <c r="R11"/>
  <c r="S8"/>
  <c r="R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AH47" s="1"/>
  <c r="V220" l="1"/>
  <c r="H220"/>
  <c r="G220"/>
  <c r="V225"/>
  <c r="V226" s="1"/>
  <c r="V227" s="1"/>
  <c r="H225"/>
  <c r="G225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V219"/>
  <c r="S225"/>
  <c r="R225"/>
  <c r="R224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T220" s="1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5" l="1"/>
  <c r="T205" s="1"/>
  <c r="T71"/>
  <c r="S204"/>
  <c r="T204" s="1"/>
  <c r="T70"/>
  <c r="V224"/>
  <c r="G224"/>
  <c r="G226"/>
  <c r="H224"/>
  <c r="H226"/>
  <c r="H227" s="1"/>
  <c r="G219"/>
  <c r="G221"/>
  <c r="T225"/>
  <c r="H219"/>
  <c r="H221"/>
  <c r="H222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21" l="1"/>
  <c r="G222"/>
  <c r="T222" s="1"/>
  <c r="T219"/>
  <c r="T224"/>
  <c r="T226"/>
  <c r="G227"/>
  <c r="T227" s="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S155"/>
  <c r="S156"/>
  <c r="T156" s="1"/>
  <c r="S157"/>
  <c r="T157" s="1"/>
  <c r="S159"/>
  <c r="T159" s="1"/>
  <c r="S160"/>
  <c r="T160" s="1"/>
  <c r="S162"/>
  <c r="S163" s="1"/>
  <c r="T163" s="1"/>
  <c r="S166"/>
  <c r="T166" s="1"/>
  <c r="S167"/>
  <c r="T167" s="1"/>
  <c r="V17"/>
  <c r="V19"/>
  <c r="V24"/>
  <c r="S92" l="1"/>
  <c r="T92" s="1"/>
  <c r="T90"/>
  <c r="S164"/>
  <c r="T164" s="1"/>
  <c r="T98"/>
  <c r="S208"/>
  <c r="T208" s="1"/>
  <c r="T86"/>
  <c r="S139"/>
  <c r="T88"/>
  <c r="S110"/>
  <c r="T110" s="1"/>
  <c r="T68"/>
  <c r="S214"/>
  <c r="T214" s="1"/>
  <c r="T72"/>
  <c r="S122"/>
  <c r="T122" s="1"/>
  <c r="T116"/>
  <c r="S120"/>
  <c r="T120" s="1"/>
  <c r="T114"/>
  <c r="S121"/>
  <c r="T121" s="1"/>
  <c r="T115"/>
  <c r="S119"/>
  <c r="T119" s="1"/>
  <c r="T113"/>
  <c r="S118"/>
  <c r="T118" s="1"/>
  <c r="T112"/>
  <c r="S202"/>
  <c r="T202" s="1"/>
  <c r="T66"/>
  <c r="S209"/>
  <c r="T209" s="1"/>
  <c r="T80"/>
  <c r="S206"/>
  <c r="T206" s="1"/>
  <c r="T75"/>
  <c r="R238"/>
  <c r="S203"/>
  <c r="T203" s="1"/>
  <c r="S84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140" l="1"/>
  <c r="T139"/>
  <c r="S207"/>
  <c r="T207" s="1"/>
  <c r="T84"/>
  <c r="S216"/>
  <c r="S215"/>
  <c r="T215" s="1"/>
  <c r="U59"/>
  <c r="V59" s="1"/>
  <c r="T140" l="1"/>
  <c r="S143"/>
  <c r="T143" s="1"/>
  <c r="S141"/>
  <c r="S217"/>
  <c r="T217" s="1"/>
  <c r="T216"/>
  <c r="M234"/>
  <c r="M233"/>
  <c r="M232"/>
  <c r="M231"/>
  <c r="S142" l="1"/>
  <c r="T142" s="1"/>
  <c r="T141"/>
  <c r="AG53"/>
  <c r="U53"/>
  <c r="V53" l="1"/>
  <c r="W53" l="1"/>
  <c r="V238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<sst xmlns="http://schemas.openxmlformats.org/spreadsheetml/2006/main" count="698" uniqueCount="496">
  <si>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</si>
  <si>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</si>
  <si>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</si>
  <si>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</si>
  <si>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</si>
  <si>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</si>
  <si>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</si>
  <si>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</si>
  <si>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</si>
  <si>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</si>
  <si>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</si>
  <si>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</si>
  <si>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</si>
  <si>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</si>
  <si>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</si>
  <si>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</si>
  <si>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</si>
  <si>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</si>
  <si>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</si>
  <si>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</si>
  <si>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</si>
  <si>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</si>
  <si>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</si>
  <si>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</si>
  <si>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</si>
  <si>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</si>
  <si>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</si>
  <si>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</si>
  <si>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</si>
  <si>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</si>
  <si>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</si>
  <si>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</si>
  <si>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</si>
  <si>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</si>
  <si>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</si>
  <si>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</si>
  <si>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</si>
  <si>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</si>
  <si>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</si>
  <si>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</si>
  <si>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</si>
  <si>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</si>
  <si>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</si>
  <si>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</si>
  <si>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</si>
  <si>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</si>
  <si>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</si>
  <si>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</si>
  <si>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</si>
  <si>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</si>
  <si>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</si>
  <si>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</si>
  <si>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</si>
  <si>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</si>
  <si>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</si>
  <si>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</si>
  <si>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</si>
  <si>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</si>
  <si>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</si>
  <si>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</si>
  <si>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</si>
  <si>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</si>
  <si>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</si>
  <si>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</si>
  <si>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</si>
  <si>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</si>
  <si>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</si>
  <si>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</si>
  <si>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</si>
  <si>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</si>
  <si>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</si>
  <si>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</si>
  <si>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</si>
  <si>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</si>
  <si>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</si>
  <si>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</si>
  <si>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</si>
  <si>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</si>
  <si>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</si>
  <si>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</si>
  <si>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</si>
  <si>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</si>
  <si>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</si>
  <si>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</si>
  <si>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</si>
  <si>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</si>
  <si>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</si>
  <si>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</si>
  <si>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</si>
  <si>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</si>
  <si>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</si>
  <si>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</si>
  <si>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</si>
  <si>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</si>
  <si>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</si>
  <si>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</si>
  <si>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</si>
  <si>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</si>
  <si>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</si>
  <si>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</si>
  <si>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</si>
  <si>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</si>
  <si>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</si>
  <si>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</si>
  <si>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</si>
  <si>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</si>
  <si>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</si>
  <si>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</si>
  <si>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</si>
  <si>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</si>
  <si>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</si>
  <si>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</si>
  <si>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</si>
  <si>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</si>
  <si>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</si>
  <si>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</si>
  <si>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</si>
  <si>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</si>
  <si>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</si>
  <si>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</si>
  <si>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</si>
  <si>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</si>
  <si>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</si>
  <si>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</si>
  <si>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</si>
  <si>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</si>
  <si>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</si>
  <si>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</si>
  <si>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</si>
  <si>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</si>
  <si>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</si>
  <si>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</si>
  <si>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</si>
  <si>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</si>
  <si>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</si>
  <si>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</si>
  <si>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</si>
  <si>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</si>
  <si>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</si>
  <si>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</si>
  <si>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</si>
  <si>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</si>
  <si>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</si>
  <si>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</si>
  <si>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</si>
  <si>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</si>
  <si>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</si>
  <si>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</si>
  <si>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</si>
  <si>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</si>
  <si>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</si>
  <si>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</si>
  <si>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</si>
  <si>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</si>
  <si>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</si>
  <si>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</si>
  <si>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</si>
  <si>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</si>
  <si>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</si>
  <si>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</si>
  <si>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</si>
  <si>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</si>
  <si>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</si>
  <si>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</si>
  <si>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</si>
  <si>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</si>
  <si>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</si>
  <si>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</si>
  <si>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</si>
  <si>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</si>
  <si>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</si>
  <si>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</si>
  <si>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</si>
  <si>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</si>
  <si>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</si>
  <si>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</si>
  <si>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</si>
  <si>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</si>
  <si>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</si>
  <si>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</si>
  <si>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</si>
  <si>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</si>
  <si>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</si>
  <si>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</si>
  <si>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</si>
  <si>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</si>
  <si>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</si>
  <si>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</si>
  <si>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</si>
  <si>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</si>
  <si>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</si>
  <si>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</si>
  <si>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</si>
  <si>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</si>
  <si>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</si>
  <si>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</si>
  <si>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</si>
  <si>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</si>
  <si>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</si>
  <si>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</si>
  <si>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</si>
  <si>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</si>
  <si>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</si>
  <si>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</si>
  <si>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</si>
  <si>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</si>
  <si>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</si>
  <si>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</si>
  <si>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</si>
  <si>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</si>
  <si>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</si>
  <si>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</si>
  <si>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</si>
  <si>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</si>
  <si>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</si>
  <si>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</si>
  <si>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</si>
  <si>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</si>
  <si>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</si>
  <si>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</si>
  <si>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</si>
  <si>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</si>
  <si>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</si>
  <si>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</si>
  <si>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</si>
  <si>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</si>
  <si>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</si>
  <si>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</si>
  <si>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</si>
  <si>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</si>
  <si>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</si>
  <si>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</si>
  <si>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</si>
  <si>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</si>
  <si>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</si>
  <si>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</si>
  <si>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</si>
  <si>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</si>
  <si>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</si>
  <si>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</si>
  <si>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</si>
  <si>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</si>
  <si>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</si>
  <si>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</si>
  <si>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</si>
  <si>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</si>
  <si>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</si>
  <si>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</si>
  <si>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</si>
  <si>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</si>
  <si>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</si>
  <si>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</si>
  <si>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</si>
  <si>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</si>
  <si>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</si>
  <si>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</si>
  <si>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</si>
  <si>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</si>
  <si>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</si>
  <si>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</si>
  <si>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</si>
  <si>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</si>
  <si>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</si>
  <si>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</si>
  <si>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</si>
  <si>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</si>
  <si>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</si>
  <si>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</si>
  <si>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</si>
  <si>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</si>
  <si>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</si>
  <si>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</si>
  <si>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</si>
  <si>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</si>
  <si>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</si>
  <si>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</si>
  <si>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</si>
  <si>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</si>
  <si>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</si>
  <si>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</si>
  <si>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</si>
  <si>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</si>
  <si>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</si>
  <si>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</si>
  <si>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</si>
  <si>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</si>
  <si>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</si>
  <si>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</si>
  <si>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</si>
  <si>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</si>
  <si>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</si>
  <si>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</si>
  <si>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</si>
  <si>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</si>
  <si>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</si>
  <si>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</si>
  <si>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</si>
  <si>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</si>
  <si>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</si>
  <si>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</si>
  <si>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</si>
  <si>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</si>
  <si>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</si>
  <si>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</si>
  <si>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</si>
  <si>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</si>
  <si>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</si>
  <si>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</si>
  <si>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</si>
  <si>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</si>
  <si>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</si>
  <si>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</si>
  <si>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</si>
  <si>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</si>
  <si>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</si>
  <si>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</si>
  <si>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</si>
  <si>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</si>
  <si>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</si>
  <si>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</si>
  <si>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</si>
  <si>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</si>
  <si>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</si>
  <si>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</si>
  <si>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</si>
  <si>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</si>
  <si>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</si>
  <si>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</si>
  <si>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</si>
  <si>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</si>
  <si>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</si>
  <si>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</si>
  <si>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</si>
  <si>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</si>
  <si>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</si>
  <si>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</si>
  <si>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</si>
  <si>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</si>
  <si>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</si>
  <si>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</si>
  <si>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</si>
  <si>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</si>
  <si>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</si>
  <si>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</si>
  <si>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</si>
  <si>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</si>
  <si>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</si>
  <si>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</si>
  <si>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</si>
  <si>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</si>
  <si>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</si>
  <si>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</si>
  <si>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</si>
  <si>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</si>
  <si>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</si>
  <si>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</si>
  <si>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</si>
  <si>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</si>
  <si>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</si>
  <si>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</si>
  <si>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</si>
  <si>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</si>
  <si>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</si>
  <si>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</si>
  <si>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</si>
  <si>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</si>
  <si>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</si>
  <si>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</si>
  <si>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</si>
  <si>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</si>
  <si>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</si>
  <si>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</si>
  <si>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</si>
  <si>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</si>
  <si>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</si>
  <si>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</si>
  <si>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</si>
  <si>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</si>
  <si>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</si>
  <si>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</si>
  <si>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</si>
  <si>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</si>
  <si>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</si>
  <si>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</si>
  <si>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</si>
  <si>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</si>
  <si>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</si>
  <si>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</si>
  <si>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</si>
  <si>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</si>
  <si>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</si>
  <si>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</si>
  <si>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</si>
  <si>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</si>
  <si>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</si>
  <si>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</si>
  <si>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</si>
  <si>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</si>
  <si>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</si>
  <si>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</si>
  <si>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</si>
  <si>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</si>
  <si>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</si>
  <si>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</si>
  <si>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</si>
  <si>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</si>
  <si>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</si>
  <si>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</si>
  <si>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</si>
  <si>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</si>
  <si>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</si>
  <si>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</si>
  <si>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</si>
  <si>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</si>
  <si>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</si>
  <si>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</si>
  <si>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</si>
  <si>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</si>
  <si>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</si>
  <si>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</si>
  <si>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</si>
  <si>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</si>
  <si>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</si>
  <si>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</si>
  <si>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</si>
  <si>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</si>
  <si>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</si>
  <si>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</si>
  <si>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</si>
  <si>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</si>
  <si>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</si>
  <si>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</si>
  <si>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</si>
  <si>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</si>
  <si>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</si>
  <si>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</si>
  <si>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</si>
  <si>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</si>
  <si>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</si>
  <si>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</si>
  <si>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</si>
  <si>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</si>
  <si>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</si>
  <si>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</si>
  <si>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</si>
  <si>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</si>
  <si>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</si>
  <si>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</si>
  <si>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</si>
  <si>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</si>
  <si>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</si>
  <si>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</si>
  <si>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</si>
  <si>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</si>
  <si>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</si>
  <si>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</si>
  <si>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</si>
  <si>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</si>
  <si>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</si>
  <si>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</si>
  <si>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</si>
  <si>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</si>
  <si>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</si>
  <si>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</si>
  <si>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</si>
  <si>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</si>
  <si>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</si>
  <si>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</si>
  <si>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</si>
  <si>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</si>
  <si>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</si>
  <si>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</si>
  <si>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</si>
  <si>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</si>
  <si>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</si>
  <si>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</si>
  <si>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</si>
  <si>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</si>
  <si>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</si>
  <si>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</si>
  <si>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</si>
  <si>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</si>
  <si>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</si>
  <si>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</si>
  <si>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</si>
  <si>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</si>
  <si>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</si>
  <si>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</si>
  <si>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</si>
  <si>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</si>
  <si>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</si>
  <si>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</si>
  <si>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</si>
  <si>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</si>
  <si>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</si>
  <si>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Dummy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</si>
</sst>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22" fillId="13" borderId="1" xfId="0" applyFont="1" applyFill="1" applyBorder="1" applyAlignment="1">
      <alignment horizontal="center"/>
    </xf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8215808"/>
        <c:axId val="78217600"/>
      </c:lineChart>
      <c:catAx>
        <c:axId val="78215808"/>
        <c:scaling>
          <c:orientation val="minMax"/>
        </c:scaling>
        <c:axPos val="b"/>
        <c:tickLblPos val="nextTo"/>
        <c:crossAx val="78217600"/>
        <c:crosses val="autoZero"/>
        <c:auto val="1"/>
        <c:lblAlgn val="ctr"/>
        <c:lblOffset val="100"/>
      </c:catAx>
      <c:valAx>
        <c:axId val="78217600"/>
        <c:scaling>
          <c:orientation val="minMax"/>
        </c:scaling>
        <c:axPos val="l"/>
        <c:majorGridlines/>
        <c:numFmt formatCode="General" sourceLinked="1"/>
        <c:tickLblPos val="nextTo"/>
        <c:crossAx val="7821580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I197" activePane="bottomRight" state="frozen"/>
      <selection pane="topRight" activeCell="C1" sqref="C1"/>
      <selection pane="bottomLeft" activeCell="A5" sqref="A5"/>
      <selection pane="bottomRight" activeCell="S202" sqref="S202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2">
        <v>0.05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L2" s="104" t="s">
        <v>324</v>
      </c>
      <c r="N2" s="162">
        <v>0.12</v>
      </c>
      <c r="P2" s="104" t="s">
        <v>462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11" t="s">
        <v>290</v>
      </c>
      <c r="AH2" s="212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3" t="s">
        <v>291</v>
      </c>
      <c r="AH3" s="214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 ht="15.75">
      <c r="B5" s="108" t="s">
        <v>242</v>
      </c>
      <c r="C5" s="20"/>
      <c r="D5" s="20"/>
      <c r="E5" s="145"/>
      <c r="F5" s="145"/>
      <c r="G5" s="206" t="s">
        <v>495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202">
        <f>H6</f>
        <v>17</v>
      </c>
      <c r="H6" s="202">
        <v>17</v>
      </c>
      <c r="I6" s="202">
        <v>303</v>
      </c>
      <c r="J6" s="202">
        <v>507</v>
      </c>
      <c r="K6" s="202">
        <v>1023</v>
      </c>
      <c r="L6" s="202">
        <v>1327</v>
      </c>
      <c r="M6" s="202">
        <v>2749</v>
      </c>
      <c r="N6" s="202">
        <v>3446</v>
      </c>
      <c r="O6" s="202">
        <v>4323</v>
      </c>
      <c r="P6" s="202">
        <v>5449</v>
      </c>
      <c r="Q6" s="202">
        <v>6761</v>
      </c>
      <c r="R6" s="202">
        <v>11247</v>
      </c>
      <c r="S6" s="202">
        <v>13341</v>
      </c>
      <c r="T6" s="118">
        <f>((S6/G6)^(1/($J$2-$J$1) ))-1</f>
        <v>0.74272270156143216</v>
      </c>
      <c r="U6" s="31">
        <f>$N$2</f>
        <v>0.12</v>
      </c>
      <c r="V6" s="152">
        <f>S6*(1+$U6)</f>
        <v>14941.920000000002</v>
      </c>
      <c r="W6" s="152">
        <f>V6*(1+$U6)</f>
        <v>16734.950400000005</v>
      </c>
      <c r="X6" s="152">
        <f t="shared" ref="X6:AE6" si="0">W6*(1+$U6)</f>
        <v>18743.144448000006</v>
      </c>
      <c r="Y6" s="152">
        <f t="shared" si="0"/>
        <v>20992.321781760009</v>
      </c>
      <c r="Z6" s="152">
        <f t="shared" si="0"/>
        <v>23511.400395571211</v>
      </c>
      <c r="AA6" s="152">
        <f t="shared" si="0"/>
        <v>26332.768443039757</v>
      </c>
      <c r="AB6" s="152">
        <f t="shared" si="0"/>
        <v>29492.700656204532</v>
      </c>
      <c r="AC6" s="152">
        <f t="shared" si="0"/>
        <v>33031.824734949078</v>
      </c>
      <c r="AD6" s="152">
        <f t="shared" si="0"/>
        <v>36995.643703142967</v>
      </c>
      <c r="AE6" s="152">
        <f t="shared" si="0"/>
        <v>41435.120947520125</v>
      </c>
      <c r="AF6" s="137">
        <f>((AE6/I6)^(1/($AE$3-$J$1) ))-1</f>
        <v>0.2638943169556196</v>
      </c>
      <c r="AG6" s="31">
        <f>$N$1</f>
        <v>0.05</v>
      </c>
      <c r="AH6" s="145">
        <f t="shared" ref="AH6:AH59" si="1">(AE6*(1+AG6))/($C$1-AG6)</f>
        <v>255922.80585233023</v>
      </c>
    </row>
    <row r="7" spans="2:34">
      <c r="B7" s="20" t="s">
        <v>240</v>
      </c>
      <c r="C7" s="140"/>
      <c r="D7" s="140"/>
      <c r="E7" s="146"/>
      <c r="F7" s="146"/>
      <c r="G7" s="202">
        <f>H7</f>
        <v>217</v>
      </c>
      <c r="H7" s="202">
        <v>217</v>
      </c>
      <c r="I7" s="202">
        <v>572</v>
      </c>
      <c r="J7" s="202">
        <v>787</v>
      </c>
      <c r="K7" s="202">
        <v>1319</v>
      </c>
      <c r="L7" s="202">
        <v>1624</v>
      </c>
      <c r="M7" s="202">
        <v>3089</v>
      </c>
      <c r="N7" s="202">
        <v>3794</v>
      </c>
      <c r="O7" s="202">
        <v>4676</v>
      </c>
      <c r="P7" s="202">
        <v>5807</v>
      </c>
      <c r="Q7" s="202">
        <v>7115</v>
      </c>
      <c r="R7" s="202">
        <v>11665</v>
      </c>
      <c r="S7" s="202">
        <v>13762</v>
      </c>
      <c r="T7" s="118">
        <f>((S7/G7)^(1/($J$2-$J$1) ))-1</f>
        <v>0.41313987647156614</v>
      </c>
      <c r="U7" s="31">
        <f>$N$2</f>
        <v>0.12</v>
      </c>
      <c r="V7" s="152">
        <f t="shared" ref="V7:V59" si="2">S7*(1+$U7)</f>
        <v>15413.440000000002</v>
      </c>
      <c r="W7" s="152">
        <f t="shared" ref="W7:AE7" si="3">V7*(1+$U7)</f>
        <v>17263.052800000005</v>
      </c>
      <c r="X7" s="152">
        <f t="shared" si="3"/>
        <v>19334.619136000008</v>
      </c>
      <c r="Y7" s="152">
        <f t="shared" si="3"/>
        <v>21654.773432320013</v>
      </c>
      <c r="Z7" s="152">
        <f t="shared" si="3"/>
        <v>24253.346244198416</v>
      </c>
      <c r="AA7" s="152">
        <f t="shared" si="3"/>
        <v>27163.747793502229</v>
      </c>
      <c r="AB7" s="152">
        <f t="shared" si="3"/>
        <v>30423.3975287225</v>
      </c>
      <c r="AC7" s="152">
        <f t="shared" si="3"/>
        <v>34074.205232169203</v>
      </c>
      <c r="AD7" s="152">
        <f t="shared" si="3"/>
        <v>38163.109860029508</v>
      </c>
      <c r="AE7" s="152">
        <f t="shared" si="3"/>
        <v>42742.683043233053</v>
      </c>
      <c r="AF7" s="137">
        <f>((AE7/I7)^(1/($AE$3-$J$1) ))-1</f>
        <v>0.22804040111776525</v>
      </c>
      <c r="AG7" s="31">
        <f>$N$1</f>
        <v>0.05</v>
      </c>
      <c r="AH7" s="145">
        <f t="shared" si="1"/>
        <v>263998.92467879242</v>
      </c>
    </row>
    <row r="8" spans="2:34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</v>
      </c>
      <c r="I8" s="149">
        <f t="shared" si="4"/>
        <v>1.6359447004608294</v>
      </c>
      <c r="J8" s="149">
        <f t="shared" si="4"/>
        <v>0.37587412587412589</v>
      </c>
      <c r="K8" s="149">
        <f t="shared" si="4"/>
        <v>0.67598475222363408</v>
      </c>
      <c r="L8" s="149">
        <f t="shared" si="4"/>
        <v>0.23123578468536771</v>
      </c>
      <c r="M8" s="149">
        <f t="shared" si="4"/>
        <v>0.90209359605911332</v>
      </c>
      <c r="N8" s="149">
        <f t="shared" si="4"/>
        <v>0.22822920038847525</v>
      </c>
      <c r="O8" s="149">
        <f t="shared" si="4"/>
        <v>0.23247232472324722</v>
      </c>
      <c r="P8" s="149">
        <f t="shared" si="4"/>
        <v>0.24187339606501282</v>
      </c>
      <c r="Q8" s="149">
        <f t="shared" si="4"/>
        <v>0.22524539349061479</v>
      </c>
      <c r="R8" s="149">
        <f t="shared" ref="R8:S8" si="5">(R7-Q7)/Q7</f>
        <v>0.63949402670414612</v>
      </c>
      <c r="S8" s="149">
        <f t="shared" si="5"/>
        <v>0.17976853836262324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202">
        <f>H9</f>
        <v>0</v>
      </c>
      <c r="H9" s="202">
        <v>0</v>
      </c>
      <c r="I9" s="202">
        <v>0</v>
      </c>
      <c r="J9" s="202">
        <v>0</v>
      </c>
      <c r="K9" s="202">
        <v>0</v>
      </c>
      <c r="L9" s="202">
        <v>0</v>
      </c>
      <c r="M9" s="202">
        <v>0</v>
      </c>
      <c r="N9" s="202">
        <v>0</v>
      </c>
      <c r="O9" s="202">
        <v>0</v>
      </c>
      <c r="P9" s="202">
        <v>0</v>
      </c>
      <c r="Q9" s="202">
        <v>0</v>
      </c>
      <c r="R9" s="202">
        <v>0</v>
      </c>
      <c r="S9" s="202">
        <v>0</v>
      </c>
      <c r="T9" s="118" t="e">
        <f>((S9/G9)^(1/($J$2-$J$1) ))-1</f>
        <v>#DIV/0!</v>
      </c>
      <c r="U9" s="31">
        <f t="shared" ref="U9:U55" si="6">$N$2</f>
        <v>0.12</v>
      </c>
      <c r="V9" s="152">
        <f t="shared" si="2"/>
        <v>0</v>
      </c>
      <c r="W9" s="152">
        <f t="shared" ref="W9" si="7">V9*(1+$U9)</f>
        <v>0</v>
      </c>
      <c r="X9" s="152">
        <f t="shared" ref="X9" si="8">W9*(1+$U9)</f>
        <v>0</v>
      </c>
      <c r="Y9" s="152">
        <f t="shared" ref="Y9" si="9">X9*(1+$U9)</f>
        <v>0</v>
      </c>
      <c r="Z9" s="152">
        <f t="shared" ref="Z9" si="10">Y9*(1+$U9)</f>
        <v>0</v>
      </c>
      <c r="AA9" s="152">
        <f t="shared" ref="AA9" si="11">Z9*(1+$U9)</f>
        <v>0</v>
      </c>
      <c r="AB9" s="152">
        <f t="shared" ref="AB9" si="12">AA9*(1+$U9)</f>
        <v>0</v>
      </c>
      <c r="AC9" s="152">
        <f t="shared" ref="AC9" si="13">AB9*(1+$U9)</f>
        <v>0</v>
      </c>
      <c r="AD9" s="152">
        <f t="shared" ref="AD9" si="14">AC9*(1+$U9)</f>
        <v>0</v>
      </c>
      <c r="AE9" s="152">
        <f t="shared" ref="AE9" si="15">AD9*(1+$U9)</f>
        <v>0</v>
      </c>
      <c r="AF9" s="137" t="e">
        <f>((AE9/I9)^(1/($AE$3-$J$1) ))-1</f>
        <v>#DIV/0!</v>
      </c>
      <c r="AG9" s="31">
        <f t="shared" ref="AG9:AG99" si="16">$N$1</f>
        <v>0.05</v>
      </c>
      <c r="AH9" s="145">
        <f t="shared" si="1"/>
        <v>0</v>
      </c>
    </row>
    <row r="10" spans="2:34">
      <c r="B10" s="20" t="s">
        <v>4</v>
      </c>
      <c r="C10" s="140"/>
      <c r="D10" s="140"/>
      <c r="E10" s="146"/>
      <c r="F10" s="146"/>
      <c r="G10" s="202">
        <f>H10</f>
        <v>1032</v>
      </c>
      <c r="H10" s="202">
        <v>1032</v>
      </c>
      <c r="I10" s="202">
        <v>3375</v>
      </c>
      <c r="J10" s="202">
        <v>9087</v>
      </c>
      <c r="K10" s="202">
        <v>14259</v>
      </c>
      <c r="L10" s="202">
        <v>18358</v>
      </c>
      <c r="M10" s="202">
        <v>31547</v>
      </c>
      <c r="N10" s="202">
        <v>52629</v>
      </c>
      <c r="O10" s="202">
        <v>63308</v>
      </c>
      <c r="P10" s="202">
        <v>87877</v>
      </c>
      <c r="Q10" s="202">
        <v>95499</v>
      </c>
      <c r="R10" s="202">
        <v>117379</v>
      </c>
      <c r="S10" s="202">
        <v>143363</v>
      </c>
      <c r="T10" s="118">
        <f>((S10/G10)^(1/($J$2-$J$1) ))-1</f>
        <v>0.50856183127342591</v>
      </c>
      <c r="U10" s="31">
        <f t="shared" si="6"/>
        <v>0.12</v>
      </c>
      <c r="V10" s="152">
        <f t="shared" si="2"/>
        <v>160566.56000000003</v>
      </c>
      <c r="W10" s="152">
        <f t="shared" ref="W10:AE10" si="17">V10*(1+$U10)</f>
        <v>179834.54720000006</v>
      </c>
      <c r="X10" s="152">
        <f t="shared" si="17"/>
        <v>201414.6928640001</v>
      </c>
      <c r="Y10" s="152">
        <f t="shared" si="17"/>
        <v>225584.45600768013</v>
      </c>
      <c r="Z10" s="152">
        <f t="shared" si="17"/>
        <v>252654.59072860176</v>
      </c>
      <c r="AA10" s="152">
        <f t="shared" si="17"/>
        <v>282973.14161603397</v>
      </c>
      <c r="AB10" s="152">
        <f t="shared" si="17"/>
        <v>316929.91860995808</v>
      </c>
      <c r="AC10" s="152">
        <f t="shared" si="17"/>
        <v>354961.50884315307</v>
      </c>
      <c r="AD10" s="152">
        <f t="shared" si="17"/>
        <v>397556.88990433147</v>
      </c>
      <c r="AE10" s="152">
        <f t="shared" si="17"/>
        <v>445263.71669285127</v>
      </c>
      <c r="AF10" s="137">
        <f t="shared" ref="AF10:AF57" si="18">((AE10/I10)^(1/($AE$3-$J$1) ))-1</f>
        <v>0.26173671162477308</v>
      </c>
      <c r="AG10" s="31">
        <f t="shared" si="16"/>
        <v>0.05</v>
      </c>
      <c r="AH10" s="145">
        <f t="shared" si="1"/>
        <v>2750158.2501617288</v>
      </c>
    </row>
    <row r="11" spans="2:34">
      <c r="B11" s="20"/>
      <c r="C11" s="140"/>
      <c r="D11" s="140"/>
      <c r="E11" s="146"/>
      <c r="F11" s="146"/>
      <c r="G11" s="149" t="e">
        <f t="shared" ref="G11:Q11" si="19">(G10-F10)/F10</f>
        <v>#DIV/0!</v>
      </c>
      <c r="H11" s="149">
        <f t="shared" si="19"/>
        <v>0</v>
      </c>
      <c r="I11" s="149">
        <f t="shared" si="19"/>
        <v>2.2703488372093021</v>
      </c>
      <c r="J11" s="149">
        <f t="shared" si="19"/>
        <v>1.6924444444444444</v>
      </c>
      <c r="K11" s="149">
        <f t="shared" si="19"/>
        <v>0.56916474083856061</v>
      </c>
      <c r="L11" s="149">
        <f t="shared" si="19"/>
        <v>0.28746756434532578</v>
      </c>
      <c r="M11" s="149">
        <f t="shared" si="19"/>
        <v>0.7184333805425428</v>
      </c>
      <c r="N11" s="149">
        <f t="shared" si="19"/>
        <v>0.66827273591783687</v>
      </c>
      <c r="O11" s="149">
        <f t="shared" si="19"/>
        <v>0.20291094263618917</v>
      </c>
      <c r="P11" s="149">
        <f t="shared" si="19"/>
        <v>0.38808681367283754</v>
      </c>
      <c r="Q11" s="149">
        <f t="shared" si="19"/>
        <v>8.6734868054212141E-2</v>
      </c>
      <c r="R11" s="149">
        <f t="shared" ref="R11:S11" si="20">(R10-Q10)/Q10</f>
        <v>0.22911234672614372</v>
      </c>
      <c r="S11" s="149">
        <f t="shared" si="20"/>
        <v>0.22136838787176583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202">
        <f>H12</f>
        <v>0</v>
      </c>
      <c r="H12" s="202">
        <v>0</v>
      </c>
      <c r="I12" s="202">
        <v>0</v>
      </c>
      <c r="J12" s="202">
        <v>0</v>
      </c>
      <c r="K12" s="202">
        <v>0</v>
      </c>
      <c r="L12" s="202">
        <v>0</v>
      </c>
      <c r="M12" s="202">
        <v>0</v>
      </c>
      <c r="N12" s="202">
        <v>0</v>
      </c>
      <c r="O12" s="202">
        <v>0</v>
      </c>
      <c r="P12" s="202">
        <v>0</v>
      </c>
      <c r="Q12" s="202">
        <v>0</v>
      </c>
      <c r="R12" s="202">
        <v>0</v>
      </c>
      <c r="S12" s="202">
        <v>0</v>
      </c>
      <c r="T12" s="118" t="e">
        <f>((S12/G12)^(1/($J$2-$J$1) ))-1</f>
        <v>#DIV/0!</v>
      </c>
      <c r="U12" s="31">
        <f t="shared" si="6"/>
        <v>0.12</v>
      </c>
      <c r="V12" s="152">
        <f t="shared" si="2"/>
        <v>0</v>
      </c>
      <c r="W12" s="152">
        <f t="shared" ref="W12:AE12" si="21">V12*(1+$U12)</f>
        <v>0</v>
      </c>
      <c r="X12" s="152">
        <f t="shared" si="21"/>
        <v>0</v>
      </c>
      <c r="Y12" s="152">
        <f t="shared" si="21"/>
        <v>0</v>
      </c>
      <c r="Z12" s="152">
        <f t="shared" si="21"/>
        <v>0</v>
      </c>
      <c r="AA12" s="152">
        <f t="shared" si="21"/>
        <v>0</v>
      </c>
      <c r="AB12" s="152">
        <f t="shared" si="21"/>
        <v>0</v>
      </c>
      <c r="AC12" s="152">
        <f t="shared" si="21"/>
        <v>0</v>
      </c>
      <c r="AD12" s="152">
        <f t="shared" si="21"/>
        <v>0</v>
      </c>
      <c r="AE12" s="152">
        <f t="shared" si="21"/>
        <v>0</v>
      </c>
      <c r="AF12" s="137" t="e">
        <f t="shared" si="18"/>
        <v>#DIV/0!</v>
      </c>
      <c r="AG12" s="31">
        <f t="shared" si="16"/>
        <v>0.05</v>
      </c>
      <c r="AH12" s="145">
        <f t="shared" si="1"/>
        <v>0</v>
      </c>
    </row>
    <row r="13" spans="2:34">
      <c r="B13" s="20" t="s">
        <v>218</v>
      </c>
      <c r="C13" s="140"/>
      <c r="D13" s="140"/>
      <c r="E13" s="146"/>
      <c r="F13" s="146"/>
      <c r="G13" s="202">
        <f>H13</f>
        <v>395</v>
      </c>
      <c r="H13" s="202">
        <v>395</v>
      </c>
      <c r="I13" s="202">
        <v>1350</v>
      </c>
      <c r="J13" s="202">
        <v>3073</v>
      </c>
      <c r="K13" s="202">
        <v>5093</v>
      </c>
      <c r="L13" s="202">
        <v>7117</v>
      </c>
      <c r="M13" s="202">
        <v>10209</v>
      </c>
      <c r="N13" s="202">
        <v>18828</v>
      </c>
      <c r="O13" s="202">
        <v>27757</v>
      </c>
      <c r="P13" s="202">
        <v>42975</v>
      </c>
      <c r="Q13" s="202">
        <v>40932</v>
      </c>
      <c r="R13" s="202">
        <v>46570</v>
      </c>
      <c r="S13" s="202">
        <v>48788</v>
      </c>
      <c r="T13" s="118">
        <f t="shared" ref="T13:T59" si="22">((S13/G13)^(1/($J$2-$J$1) ))-1</f>
        <v>0.49385917902669152</v>
      </c>
      <c r="U13" s="31">
        <f t="shared" si="6"/>
        <v>0.12</v>
      </c>
      <c r="V13" s="152">
        <f t="shared" si="2"/>
        <v>54642.560000000005</v>
      </c>
      <c r="W13" s="152">
        <f t="shared" ref="W13:AE13" si="23">V13*(1+$U13)</f>
        <v>61199.667200000011</v>
      </c>
      <c r="X13" s="152">
        <f t="shared" si="23"/>
        <v>68543.627264000024</v>
      </c>
      <c r="Y13" s="152">
        <f t="shared" si="23"/>
        <v>76768.862535680033</v>
      </c>
      <c r="Z13" s="152">
        <f t="shared" si="23"/>
        <v>85981.126039961644</v>
      </c>
      <c r="AA13" s="152">
        <f t="shared" si="23"/>
        <v>96298.861164757051</v>
      </c>
      <c r="AB13" s="152">
        <f t="shared" si="23"/>
        <v>107854.72450452791</v>
      </c>
      <c r="AC13" s="152">
        <f t="shared" si="23"/>
        <v>120797.29144507127</v>
      </c>
      <c r="AD13" s="152">
        <f t="shared" si="23"/>
        <v>135292.96641847983</v>
      </c>
      <c r="AE13" s="152">
        <f t="shared" si="23"/>
        <v>151528.12238869743</v>
      </c>
      <c r="AF13" s="137">
        <f t="shared" si="18"/>
        <v>0.25206432555891212</v>
      </c>
      <c r="AG13" s="31">
        <f t="shared" si="16"/>
        <v>0.05</v>
      </c>
      <c r="AH13" s="145">
        <f t="shared" si="1"/>
        <v>935908.99122430792</v>
      </c>
    </row>
    <row r="14" spans="2:34">
      <c r="B14" s="20" t="s">
        <v>369</v>
      </c>
      <c r="C14" s="140"/>
      <c r="D14" s="140"/>
      <c r="E14" s="146"/>
      <c r="F14" s="146"/>
      <c r="G14" s="202">
        <f>H14</f>
        <v>0</v>
      </c>
      <c r="H14" s="202">
        <v>0</v>
      </c>
      <c r="I14" s="202">
        <v>0</v>
      </c>
      <c r="J14" s="202">
        <v>0</v>
      </c>
      <c r="K14" s="202">
        <v>0</v>
      </c>
      <c r="L14" s="202">
        <v>0</v>
      </c>
      <c r="M14" s="202">
        <v>0</v>
      </c>
      <c r="N14" s="202">
        <v>0</v>
      </c>
      <c r="O14" s="202">
        <v>0</v>
      </c>
      <c r="P14" s="202">
        <v>0</v>
      </c>
      <c r="Q14" s="202">
        <v>0</v>
      </c>
      <c r="R14" s="202">
        <v>0</v>
      </c>
      <c r="S14" s="202">
        <v>0</v>
      </c>
      <c r="T14" s="118" t="e">
        <f t="shared" si="22"/>
        <v>#DIV/0!</v>
      </c>
      <c r="U14" s="31">
        <f t="shared" si="6"/>
        <v>0.12</v>
      </c>
      <c r="V14" s="152">
        <f t="shared" si="2"/>
        <v>0</v>
      </c>
      <c r="W14" s="152">
        <f t="shared" ref="W14" si="24">V14*(1+$U14)</f>
        <v>0</v>
      </c>
      <c r="X14" s="152">
        <f t="shared" ref="X14" si="25">W14*(1+$U14)</f>
        <v>0</v>
      </c>
      <c r="Y14" s="152">
        <f t="shared" ref="Y14" si="26">X14*(1+$U14)</f>
        <v>0</v>
      </c>
      <c r="Z14" s="152">
        <f t="shared" ref="Z14" si="27">Y14*(1+$U14)</f>
        <v>0</v>
      </c>
      <c r="AA14" s="152">
        <f t="shared" ref="AA14" si="28">Z14*(1+$U14)</f>
        <v>0</v>
      </c>
      <c r="AB14" s="152">
        <f t="shared" ref="AB14" si="29">AA14*(1+$U14)</f>
        <v>0</v>
      </c>
      <c r="AC14" s="152">
        <f t="shared" ref="AC14" si="30">AB14*(1+$U14)</f>
        <v>0</v>
      </c>
      <c r="AD14" s="152">
        <f t="shared" ref="AD14" si="31">AC14*(1+$U14)</f>
        <v>0</v>
      </c>
      <c r="AE14" s="152">
        <f t="shared" ref="AE14" si="32">AD14*(1+$U14)</f>
        <v>0</v>
      </c>
      <c r="AF14" s="137" t="e">
        <f t="shared" ref="AF14" si="33">((AE14/I14)^(1/($AE$3-$J$1) ))-1</f>
        <v>#DIV/0!</v>
      </c>
      <c r="AG14" s="31">
        <f t="shared" si="16"/>
        <v>0.05</v>
      </c>
      <c r="AH14" s="145">
        <f t="shared" ref="AH14" si="34">(AE14*(1+AG14))/($C$1-AG14)</f>
        <v>0</v>
      </c>
    </row>
    <row r="15" spans="2:34">
      <c r="B15" s="20" t="s">
        <v>19</v>
      </c>
      <c r="C15" s="140"/>
      <c r="D15" s="140"/>
      <c r="E15" s="146"/>
      <c r="F15" s="146"/>
      <c r="G15" s="202">
        <f>H15</f>
        <v>0</v>
      </c>
      <c r="H15" s="202">
        <v>0</v>
      </c>
      <c r="I15" s="202">
        <v>0</v>
      </c>
      <c r="J15" s="202">
        <v>0</v>
      </c>
      <c r="K15" s="202">
        <v>0</v>
      </c>
      <c r="L15" s="202">
        <v>0</v>
      </c>
      <c r="M15" s="202">
        <v>0</v>
      </c>
      <c r="N15" s="202">
        <v>0</v>
      </c>
      <c r="O15" s="202">
        <v>0</v>
      </c>
      <c r="P15" s="202">
        <v>0</v>
      </c>
      <c r="Q15" s="202">
        <v>0</v>
      </c>
      <c r="R15" s="202">
        <v>0</v>
      </c>
      <c r="S15" s="202">
        <v>0</v>
      </c>
      <c r="T15" s="118" t="e">
        <f t="shared" si="22"/>
        <v>#DIV/0!</v>
      </c>
      <c r="U15" s="31">
        <f t="shared" si="6"/>
        <v>0.12</v>
      </c>
      <c r="V15" s="152">
        <f t="shared" si="2"/>
        <v>0</v>
      </c>
      <c r="W15" s="152">
        <f t="shared" ref="W15:AE15" si="35">V15*(1+$U15)</f>
        <v>0</v>
      </c>
      <c r="X15" s="152">
        <f t="shared" si="35"/>
        <v>0</v>
      </c>
      <c r="Y15" s="152">
        <f t="shared" si="35"/>
        <v>0</v>
      </c>
      <c r="Z15" s="152">
        <f t="shared" si="35"/>
        <v>0</v>
      </c>
      <c r="AA15" s="152">
        <f t="shared" si="35"/>
        <v>0</v>
      </c>
      <c r="AB15" s="152">
        <f t="shared" si="35"/>
        <v>0</v>
      </c>
      <c r="AC15" s="152">
        <f t="shared" si="35"/>
        <v>0</v>
      </c>
      <c r="AD15" s="152">
        <f t="shared" si="35"/>
        <v>0</v>
      </c>
      <c r="AE15" s="152">
        <f t="shared" si="35"/>
        <v>0</v>
      </c>
      <c r="AF15" s="137" t="e">
        <f t="shared" si="18"/>
        <v>#DIV/0!</v>
      </c>
      <c r="AG15" s="31">
        <f t="shared" si="16"/>
        <v>0.05</v>
      </c>
      <c r="AH15" s="145">
        <f t="shared" si="1"/>
        <v>0</v>
      </c>
    </row>
    <row r="16" spans="2:34">
      <c r="B16" s="20" t="s">
        <v>23</v>
      </c>
      <c r="C16" s="140"/>
      <c r="D16" s="140"/>
      <c r="E16" s="146"/>
      <c r="F16" s="146"/>
      <c r="G16" s="202">
        <f>H16</f>
        <v>0</v>
      </c>
      <c r="H16" s="202">
        <v>0</v>
      </c>
      <c r="I16" s="202">
        <v>0</v>
      </c>
      <c r="J16" s="202">
        <v>0</v>
      </c>
      <c r="K16" s="202">
        <v>0</v>
      </c>
      <c r="L16" s="202">
        <v>0</v>
      </c>
      <c r="M16" s="202">
        <v>0</v>
      </c>
      <c r="N16" s="202">
        <v>0</v>
      </c>
      <c r="O16" s="202">
        <v>0</v>
      </c>
      <c r="P16" s="202">
        <v>0</v>
      </c>
      <c r="Q16" s="202">
        <v>0</v>
      </c>
      <c r="R16" s="202">
        <v>0</v>
      </c>
      <c r="S16" s="202">
        <v>0</v>
      </c>
      <c r="T16" s="118" t="e">
        <f t="shared" si="22"/>
        <v>#DIV/0!</v>
      </c>
      <c r="U16" s="31">
        <f t="shared" si="6"/>
        <v>0.12</v>
      </c>
      <c r="V16" s="152">
        <f t="shared" si="2"/>
        <v>0</v>
      </c>
      <c r="W16" s="152">
        <f t="shared" ref="W16:AE16" si="36">V16*(1+$U16)</f>
        <v>0</v>
      </c>
      <c r="X16" s="152">
        <f t="shared" si="36"/>
        <v>0</v>
      </c>
      <c r="Y16" s="152">
        <f t="shared" si="36"/>
        <v>0</v>
      </c>
      <c r="Z16" s="152">
        <f t="shared" si="36"/>
        <v>0</v>
      </c>
      <c r="AA16" s="152">
        <f t="shared" si="36"/>
        <v>0</v>
      </c>
      <c r="AB16" s="152">
        <f t="shared" si="36"/>
        <v>0</v>
      </c>
      <c r="AC16" s="152">
        <f t="shared" si="36"/>
        <v>0</v>
      </c>
      <c r="AD16" s="152">
        <f t="shared" si="36"/>
        <v>0</v>
      </c>
      <c r="AE16" s="152">
        <f t="shared" si="36"/>
        <v>0</v>
      </c>
      <c r="AF16" s="137" t="e">
        <f t="shared" si="18"/>
        <v>#DIV/0!</v>
      </c>
      <c r="AG16" s="31">
        <f t="shared" si="16"/>
        <v>0.05</v>
      </c>
      <c r="AH16" s="145">
        <f t="shared" si="1"/>
        <v>0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202">
        <f>H18</f>
        <v>16</v>
      </c>
      <c r="H18" s="202">
        <v>16</v>
      </c>
      <c r="I18" s="202">
        <v>29</v>
      </c>
      <c r="J18" s="202">
        <v>69</v>
      </c>
      <c r="K18" s="202">
        <v>97</v>
      </c>
      <c r="L18" s="202">
        <v>130</v>
      </c>
      <c r="M18" s="202">
        <v>114</v>
      </c>
      <c r="N18" s="202">
        <v>129</v>
      </c>
      <c r="O18" s="202">
        <v>169</v>
      </c>
      <c r="P18" s="202">
        <v>218</v>
      </c>
      <c r="Q18" s="202">
        <v>277</v>
      </c>
      <c r="R18" s="202">
        <v>296</v>
      </c>
      <c r="S18" s="202">
        <v>414</v>
      </c>
      <c r="T18" s="118">
        <f t="shared" si="22"/>
        <v>0.31141464682610898</v>
      </c>
      <c r="U18" s="31">
        <f t="shared" si="6"/>
        <v>0.12</v>
      </c>
      <c r="V18" s="152">
        <f t="shared" si="2"/>
        <v>463.68000000000006</v>
      </c>
      <c r="W18" s="152">
        <f t="shared" ref="W18:W34" si="37">V18*(1+$U18)</f>
        <v>519.3216000000001</v>
      </c>
      <c r="X18" s="152">
        <f t="shared" ref="X18:X34" si="38">W18*(1+$U18)</f>
        <v>581.64019200000018</v>
      </c>
      <c r="Y18" s="152">
        <f t="shared" ref="Y18:Y34" si="39">X18*(1+$U18)</f>
        <v>651.43701504000023</v>
      </c>
      <c r="Z18" s="152">
        <f t="shared" ref="Z18:Z51" si="40">Y18*(1+$U18)</f>
        <v>729.60945684480032</v>
      </c>
      <c r="AA18" s="152">
        <f t="shared" ref="AA18:AA51" si="41">Z18*(1+$U18)</f>
        <v>817.16259166617647</v>
      </c>
      <c r="AB18" s="152">
        <f t="shared" ref="AB18:AB51" si="42">AA18*(1+$U18)</f>
        <v>915.22210266611773</v>
      </c>
      <c r="AC18" s="152">
        <f t="shared" ref="AC18:AC51" si="43">AB18*(1+$U18)</f>
        <v>1025.048754986052</v>
      </c>
      <c r="AD18" s="152">
        <f t="shared" ref="AD18:AD51" si="44">AC18*(1+$U18)</f>
        <v>1148.0546055843784</v>
      </c>
      <c r="AE18" s="152">
        <f t="shared" ref="AE18:AE51" si="45">AD18*(1+$U18)</f>
        <v>1285.8211582545039</v>
      </c>
      <c r="AF18" s="137">
        <f t="shared" si="18"/>
        <v>0.19789352554202067</v>
      </c>
      <c r="AG18" s="31">
        <f t="shared" si="16"/>
        <v>0.05</v>
      </c>
      <c r="AH18" s="145">
        <f t="shared" si="1"/>
        <v>7941.8365656895849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f>H20</f>
        <v>-55</v>
      </c>
      <c r="H20" s="146">
        <v>-55</v>
      </c>
      <c r="I20" s="146">
        <v>-166</v>
      </c>
      <c r="J20" s="146">
        <v>1801</v>
      </c>
      <c r="K20" s="146">
        <v>-196</v>
      </c>
      <c r="L20" s="146">
        <v>-365</v>
      </c>
      <c r="M20" s="146">
        <v>960</v>
      </c>
      <c r="N20" s="146">
        <v>3050</v>
      </c>
      <c r="O20" s="146">
        <v>3588</v>
      </c>
      <c r="P20" s="146">
        <v>540</v>
      </c>
      <c r="Q20" s="146">
        <v>4448</v>
      </c>
      <c r="R20" s="202">
        <v>-1449</v>
      </c>
      <c r="S20" s="202">
        <v>-363</v>
      </c>
      <c r="T20" s="118">
        <f t="shared" si="22"/>
        <v>0.17029494184261162</v>
      </c>
      <c r="U20" s="31">
        <f t="shared" si="6"/>
        <v>0.12</v>
      </c>
      <c r="V20" s="152">
        <f t="shared" si="2"/>
        <v>-406.56000000000006</v>
      </c>
      <c r="W20" s="152">
        <f t="shared" ref="W20:W22" si="46">V20*(1+$U20)</f>
        <v>-455.3472000000001</v>
      </c>
      <c r="X20" s="152">
        <f t="shared" ref="X20:X22" si="47">W20*(1+$U20)</f>
        <v>-509.98886400000015</v>
      </c>
      <c r="Y20" s="152">
        <f t="shared" ref="Y20:Y22" si="48">X20*(1+$U20)</f>
        <v>-571.18752768000024</v>
      </c>
      <c r="Z20" s="152">
        <f t="shared" ref="Z20:Z22" si="49">Y20*(1+$U20)</f>
        <v>-639.73003100160031</v>
      </c>
      <c r="AA20" s="152">
        <f t="shared" ref="AA20:AA22" si="50">Z20*(1+$U20)</f>
        <v>-716.49763472179245</v>
      </c>
      <c r="AB20" s="152">
        <f t="shared" ref="AB20:AB22" si="51">AA20*(1+$U20)</f>
        <v>-802.47735088840761</v>
      </c>
      <c r="AC20" s="152">
        <f t="shared" ref="AC20:AC22" si="52">AB20*(1+$U20)</f>
        <v>-898.77463299501665</v>
      </c>
      <c r="AD20" s="152">
        <f t="shared" ref="AD20:AD22" si="53">AC20*(1+$U20)</f>
        <v>-1006.6275889544187</v>
      </c>
      <c r="AE20" s="152">
        <f t="shared" ref="AE20:AE22" si="54">AD20*(1+$U20)</f>
        <v>-1127.4228996289489</v>
      </c>
      <c r="AF20" s="137">
        <f t="shared" ref="AF20:AF22" si="55">((AE20/I20)^(1/($AE$3-$J$1) ))-1</f>
        <v>9.5514263391074827E-2</v>
      </c>
      <c r="AG20" s="31">
        <f t="shared" si="16"/>
        <v>0.05</v>
      </c>
      <c r="AH20" s="145">
        <f t="shared" si="1"/>
        <v>-6963.4943800611563</v>
      </c>
    </row>
    <row r="21" spans="2:34">
      <c r="B21" s="20" t="s">
        <v>284</v>
      </c>
      <c r="C21" s="140"/>
      <c r="D21" s="140"/>
      <c r="E21" s="146"/>
      <c r="F21" s="146"/>
      <c r="G21" s="146">
        <f>H21</f>
        <v>-108</v>
      </c>
      <c r="H21" s="146">
        <v>-108</v>
      </c>
      <c r="I21" s="146">
        <v>-70</v>
      </c>
      <c r="J21" s="146">
        <v>-1222</v>
      </c>
      <c r="K21" s="146">
        <v>-49</v>
      </c>
      <c r="L21" s="146">
        <v>-60</v>
      </c>
      <c r="M21" s="146">
        <v>-2006</v>
      </c>
      <c r="N21" s="146">
        <v>-3423</v>
      </c>
      <c r="O21" s="146">
        <v>-4863</v>
      </c>
      <c r="P21" s="146">
        <v>-6741</v>
      </c>
      <c r="Q21" s="146">
        <v>-2798</v>
      </c>
      <c r="R21" s="202">
        <v>-4459</v>
      </c>
      <c r="S21" s="202">
        <v>-4035</v>
      </c>
      <c r="T21" s="118">
        <f t="shared" si="22"/>
        <v>0.35218147560513025</v>
      </c>
      <c r="U21" s="31">
        <f t="shared" si="6"/>
        <v>0.12</v>
      </c>
      <c r="V21" s="152">
        <f t="shared" si="2"/>
        <v>-4519.2000000000007</v>
      </c>
      <c r="W21" s="152">
        <f t="shared" si="46"/>
        <v>-5061.5040000000017</v>
      </c>
      <c r="X21" s="152">
        <f t="shared" si="47"/>
        <v>-5668.8844800000024</v>
      </c>
      <c r="Y21" s="152">
        <f t="shared" si="48"/>
        <v>-6349.150617600003</v>
      </c>
      <c r="Z21" s="152">
        <f t="shared" si="49"/>
        <v>-7111.0486917120043</v>
      </c>
      <c r="AA21" s="152">
        <f t="shared" si="50"/>
        <v>-7964.3745347174454</v>
      </c>
      <c r="AB21" s="152">
        <f t="shared" si="51"/>
        <v>-8920.0994788835396</v>
      </c>
      <c r="AC21" s="152">
        <f t="shared" si="52"/>
        <v>-9990.5114163495655</v>
      </c>
      <c r="AD21" s="152">
        <f t="shared" si="53"/>
        <v>-11189.372786311515</v>
      </c>
      <c r="AE21" s="152">
        <f t="shared" si="54"/>
        <v>-12532.097520668898</v>
      </c>
      <c r="AF21" s="137">
        <f t="shared" si="55"/>
        <v>0.28021283629346505</v>
      </c>
      <c r="AG21" s="31">
        <f t="shared" si="16"/>
        <v>0.05</v>
      </c>
      <c r="AH21" s="145">
        <f t="shared" si="1"/>
        <v>-77404.13174530791</v>
      </c>
    </row>
    <row r="22" spans="2:34">
      <c r="B22" s="20" t="s">
        <v>285</v>
      </c>
      <c r="C22" s="140"/>
      <c r="D22" s="140"/>
      <c r="E22" s="146"/>
      <c r="F22" s="146"/>
      <c r="G22" s="146">
        <f>H22</f>
        <v>217</v>
      </c>
      <c r="H22" s="146">
        <v>217</v>
      </c>
      <c r="I22" s="146">
        <v>398</v>
      </c>
      <c r="J22" s="146">
        <v>498</v>
      </c>
      <c r="K22" s="146">
        <v>580</v>
      </c>
      <c r="L22" s="146">
        <v>720</v>
      </c>
      <c r="M22" s="146">
        <v>1796</v>
      </c>
      <c r="N22" s="146">
        <v>1195</v>
      </c>
      <c r="O22" s="146">
        <v>1364</v>
      </c>
      <c r="P22" s="146">
        <v>6681</v>
      </c>
      <c r="Q22" s="146">
        <v>175</v>
      </c>
      <c r="R22" s="202">
        <v>7573</v>
      </c>
      <c r="S22" s="202">
        <v>5059</v>
      </c>
      <c r="T22" s="118">
        <f t="shared" si="22"/>
        <v>0.30007102388041829</v>
      </c>
      <c r="U22" s="31">
        <f t="shared" si="6"/>
        <v>0.12</v>
      </c>
      <c r="V22" s="152">
        <f t="shared" si="2"/>
        <v>5666.0800000000008</v>
      </c>
      <c r="W22" s="152">
        <f t="shared" si="46"/>
        <v>6346.0096000000012</v>
      </c>
      <c r="X22" s="152">
        <f t="shared" si="47"/>
        <v>7107.5307520000024</v>
      </c>
      <c r="Y22" s="152">
        <f t="shared" si="48"/>
        <v>7960.4344422400036</v>
      </c>
      <c r="Z22" s="152">
        <f t="shared" si="49"/>
        <v>8915.6865753088041</v>
      </c>
      <c r="AA22" s="152">
        <f t="shared" si="50"/>
        <v>9985.5689643458609</v>
      </c>
      <c r="AB22" s="152">
        <f t="shared" si="51"/>
        <v>11183.837240067365</v>
      </c>
      <c r="AC22" s="152">
        <f t="shared" si="52"/>
        <v>12525.897708875451</v>
      </c>
      <c r="AD22" s="152">
        <f t="shared" si="53"/>
        <v>14029.005433940507</v>
      </c>
      <c r="AE22" s="152">
        <f t="shared" si="54"/>
        <v>15712.486086013369</v>
      </c>
      <c r="AF22" s="137">
        <f t="shared" si="55"/>
        <v>0.19128927028099452</v>
      </c>
      <c r="AG22" s="31">
        <f t="shared" si="16"/>
        <v>0.05</v>
      </c>
      <c r="AH22" s="145">
        <f t="shared" si="1"/>
        <v>97047.708178317887</v>
      </c>
    </row>
    <row r="23" spans="2:34">
      <c r="B23" s="20" t="s">
        <v>294</v>
      </c>
      <c r="C23" s="140"/>
      <c r="D23" s="140"/>
      <c r="E23" s="146"/>
      <c r="F23" s="146"/>
      <c r="G23" s="146">
        <f>H23</f>
        <v>53</v>
      </c>
      <c r="H23" s="146">
        <v>53</v>
      </c>
      <c r="I23" s="146">
        <v>216</v>
      </c>
      <c r="J23" s="146">
        <v>1292</v>
      </c>
      <c r="K23" s="146">
        <v>1627</v>
      </c>
      <c r="L23" s="146">
        <v>1922</v>
      </c>
      <c r="M23" s="146">
        <v>2673</v>
      </c>
      <c r="N23" s="146">
        <v>3495</v>
      </c>
      <c r="O23" s="146">
        <v>3585</v>
      </c>
      <c r="P23" s="146">
        <v>4065</v>
      </c>
      <c r="Q23" s="146">
        <v>5891</v>
      </c>
      <c r="R23" s="202">
        <v>7557</v>
      </c>
      <c r="S23" s="202">
        <v>8218</v>
      </c>
      <c r="T23" s="118">
        <f t="shared" si="22"/>
        <v>0.52244234765386977</v>
      </c>
      <c r="U23" s="31">
        <f t="shared" si="6"/>
        <v>0.12</v>
      </c>
      <c r="V23" s="152">
        <f t="shared" si="2"/>
        <v>9204.1600000000017</v>
      </c>
      <c r="W23" s="152">
        <f t="shared" ref="W23" si="56">V23*(1+$U23)</f>
        <v>10308.659200000004</v>
      </c>
      <c r="X23" s="152">
        <f t="shared" ref="X23" si="57">W23*(1+$U23)</f>
        <v>11545.698304000005</v>
      </c>
      <c r="Y23" s="152">
        <f t="shared" ref="Y23" si="58">X23*(1+$U23)</f>
        <v>12931.182100480008</v>
      </c>
      <c r="Z23" s="152">
        <f t="shared" ref="Z23" si="59">Y23*(1+$U23)</f>
        <v>14482.923952537611</v>
      </c>
      <c r="AA23" s="152">
        <f t="shared" ref="AA23" si="60">Z23*(1+$U23)</f>
        <v>16220.874826842126</v>
      </c>
      <c r="AB23" s="152">
        <f t="shared" ref="AB23" si="61">AA23*(1+$U23)</f>
        <v>18167.379806063182</v>
      </c>
      <c r="AC23" s="152">
        <f t="shared" ref="AC23" si="62">AB23*(1+$U23)</f>
        <v>20347.465382790764</v>
      </c>
      <c r="AD23" s="152">
        <f t="shared" ref="AD23" si="63">AC23*(1+$U23)</f>
        <v>22789.161228725658</v>
      </c>
      <c r="AE23" s="152">
        <f t="shared" ref="AE23" si="64">AD23*(1+$U23)</f>
        <v>25523.860576172738</v>
      </c>
      <c r="AF23" s="137">
        <f t="shared" ref="AF23" si="65">((AE23/I23)^(1/($AE$3-$J$1) ))-1</f>
        <v>0.25513408721335251</v>
      </c>
      <c r="AG23" s="31">
        <f t="shared" si="16"/>
        <v>0.05</v>
      </c>
      <c r="AH23" s="145">
        <f t="shared" si="1"/>
        <v>157647.37414694927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2">
        <f>H25</f>
        <v>48</v>
      </c>
      <c r="H25" s="204">
        <v>48</v>
      </c>
      <c r="I25" s="204">
        <v>289</v>
      </c>
      <c r="J25" s="142">
        <v>788</v>
      </c>
      <c r="K25" s="142">
        <v>1671</v>
      </c>
      <c r="L25" s="205">
        <v>2438</v>
      </c>
      <c r="M25" s="205">
        <v>2945</v>
      </c>
      <c r="N25" s="205">
        <v>4665</v>
      </c>
      <c r="O25" s="205">
        <v>7164</v>
      </c>
      <c r="P25" s="205">
        <v>9551</v>
      </c>
      <c r="Q25" s="205">
        <v>11702</v>
      </c>
      <c r="R25" s="202">
        <v>13619</v>
      </c>
      <c r="S25" s="202">
        <v>16262</v>
      </c>
      <c r="T25" s="118">
        <f t="shared" si="22"/>
        <v>0.62490407047990471</v>
      </c>
      <c r="U25" s="31">
        <f t="shared" si="6"/>
        <v>0.12</v>
      </c>
      <c r="V25" s="152">
        <f t="shared" si="2"/>
        <v>18213.440000000002</v>
      </c>
      <c r="W25" s="152">
        <f t="shared" si="37"/>
        <v>20399.052800000005</v>
      </c>
      <c r="X25" s="152">
        <f t="shared" si="38"/>
        <v>22846.939136000008</v>
      </c>
      <c r="Y25" s="152">
        <f t="shared" si="39"/>
        <v>25588.571832320013</v>
      </c>
      <c r="Z25" s="152">
        <f t="shared" si="40"/>
        <v>28659.200452198416</v>
      </c>
      <c r="AA25" s="152">
        <f t="shared" si="41"/>
        <v>32098.304506462231</v>
      </c>
      <c r="AB25" s="152">
        <f t="shared" si="42"/>
        <v>35950.101047237702</v>
      </c>
      <c r="AC25" s="152">
        <f t="shared" si="43"/>
        <v>40264.113172906233</v>
      </c>
      <c r="AD25" s="152">
        <f t="shared" si="44"/>
        <v>45095.806753654986</v>
      </c>
      <c r="AE25" s="152">
        <f t="shared" si="45"/>
        <v>50507.303564093592</v>
      </c>
      <c r="AF25" s="137">
        <f t="shared" si="18"/>
        <v>0.27874407743849861</v>
      </c>
      <c r="AG25" s="31">
        <f t="shared" si="16"/>
        <v>0.05</v>
      </c>
      <c r="AH25" s="145">
        <f t="shared" si="1"/>
        <v>311956.87495469576</v>
      </c>
    </row>
    <row r="26" spans="2:34" s="123" customFormat="1">
      <c r="B26" s="23"/>
      <c r="C26" s="147"/>
      <c r="D26" s="147"/>
      <c r="E26" s="148"/>
      <c r="F26" s="148"/>
      <c r="G26" s="149" t="e">
        <f t="shared" ref="G26:Q26" si="66">(G25-F25)/F25</f>
        <v>#DIV/0!</v>
      </c>
      <c r="H26" s="149">
        <f t="shared" si="66"/>
        <v>0</v>
      </c>
      <c r="I26" s="149">
        <f t="shared" si="66"/>
        <v>5.020833333333333</v>
      </c>
      <c r="J26" s="149">
        <f t="shared" si="66"/>
        <v>1.726643598615917</v>
      </c>
      <c r="K26" s="149">
        <f t="shared" si="66"/>
        <v>1.1205583756345177</v>
      </c>
      <c r="L26" s="149">
        <f t="shared" si="66"/>
        <v>0.4590065828845003</v>
      </c>
      <c r="M26" s="149">
        <f t="shared" si="66"/>
        <v>0.20795734208367514</v>
      </c>
      <c r="N26" s="149">
        <f t="shared" si="66"/>
        <v>0.58404074702886244</v>
      </c>
      <c r="O26" s="149">
        <f t="shared" si="66"/>
        <v>0.53569131832797423</v>
      </c>
      <c r="P26" s="149">
        <f t="shared" si="66"/>
        <v>0.3331937465103294</v>
      </c>
      <c r="Q26" s="149">
        <f t="shared" si="66"/>
        <v>0.22521201968380275</v>
      </c>
      <c r="R26" s="149">
        <f t="shared" ref="R26:S26" si="67">(R25-Q25)/Q25</f>
        <v>0.16381815074346265</v>
      </c>
      <c r="S26" s="149">
        <f t="shared" si="67"/>
        <v>0.19406711212276967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2">
        <f>H27</f>
        <v>11.85</v>
      </c>
      <c r="H27" s="204">
        <v>11.85</v>
      </c>
      <c r="I27" s="204">
        <v>105</v>
      </c>
      <c r="J27" s="142">
        <v>416</v>
      </c>
      <c r="K27" s="142">
        <v>974</v>
      </c>
      <c r="L27" s="205">
        <v>1492</v>
      </c>
      <c r="M27" s="205">
        <v>2467</v>
      </c>
      <c r="N27" s="205">
        <v>3937</v>
      </c>
      <c r="O27" s="205">
        <v>6187</v>
      </c>
      <c r="P27" s="205">
        <v>8250</v>
      </c>
      <c r="Q27" s="205">
        <v>10091</v>
      </c>
      <c r="R27" s="202">
        <v>11622</v>
      </c>
      <c r="S27" s="202">
        <v>13733</v>
      </c>
      <c r="T27" s="118">
        <f t="shared" si="22"/>
        <v>0.80026838922567278</v>
      </c>
      <c r="U27" s="31">
        <f t="shared" si="6"/>
        <v>0.12</v>
      </c>
      <c r="V27" s="152">
        <f t="shared" si="2"/>
        <v>15380.960000000001</v>
      </c>
      <c r="W27" s="152">
        <f t="shared" si="37"/>
        <v>17226.675200000001</v>
      </c>
      <c r="X27" s="152">
        <f t="shared" si="38"/>
        <v>19293.876224000003</v>
      </c>
      <c r="Y27" s="152">
        <f t="shared" si="39"/>
        <v>21609.141370880006</v>
      </c>
      <c r="Z27" s="152">
        <f t="shared" si="40"/>
        <v>24202.238335385609</v>
      </c>
      <c r="AA27" s="152">
        <f t="shared" si="41"/>
        <v>27106.506935631885</v>
      </c>
      <c r="AB27" s="152">
        <f t="shared" si="42"/>
        <v>30359.287767907714</v>
      </c>
      <c r="AC27" s="152">
        <f t="shared" si="43"/>
        <v>34002.402300056645</v>
      </c>
      <c r="AD27" s="152">
        <f t="shared" si="44"/>
        <v>38082.690576063447</v>
      </c>
      <c r="AE27" s="152">
        <f t="shared" si="45"/>
        <v>42652.613445191062</v>
      </c>
      <c r="AF27" s="137">
        <f t="shared" si="18"/>
        <v>0.33114845596162468</v>
      </c>
      <c r="AG27" s="31">
        <f t="shared" si="16"/>
        <v>0.05</v>
      </c>
      <c r="AH27" s="145">
        <f t="shared" si="1"/>
        <v>263442.61245559191</v>
      </c>
    </row>
    <row r="28" spans="2:34" s="123" customFormat="1">
      <c r="B28" s="23"/>
      <c r="C28" s="147"/>
      <c r="D28" s="147"/>
      <c r="E28" s="148"/>
      <c r="F28" s="148"/>
      <c r="G28" s="149" t="e">
        <f t="shared" ref="G28:Q28" si="68">(G27-F27)/F27</f>
        <v>#DIV/0!</v>
      </c>
      <c r="H28" s="149">
        <f t="shared" si="68"/>
        <v>0</v>
      </c>
      <c r="I28" s="149">
        <f t="shared" si="68"/>
        <v>7.8607594936708871</v>
      </c>
      <c r="J28" s="149">
        <f t="shared" si="68"/>
        <v>2.961904761904762</v>
      </c>
      <c r="K28" s="149">
        <f t="shared" si="68"/>
        <v>1.3413461538461537</v>
      </c>
      <c r="L28" s="149">
        <f t="shared" si="68"/>
        <v>0.53182751540041073</v>
      </c>
      <c r="M28" s="149">
        <f t="shared" si="68"/>
        <v>0.65348525469168905</v>
      </c>
      <c r="N28" s="149">
        <f t="shared" si="68"/>
        <v>0.5958654235914066</v>
      </c>
      <c r="O28" s="149">
        <f t="shared" si="68"/>
        <v>0.57150114300228605</v>
      </c>
      <c r="P28" s="149">
        <f t="shared" si="68"/>
        <v>0.33344108614837564</v>
      </c>
      <c r="Q28" s="149">
        <f t="shared" si="68"/>
        <v>0.22315151515151516</v>
      </c>
      <c r="R28" s="149">
        <f t="shared" ref="R28:S28" si="69">(R27-Q27)/Q27</f>
        <v>0.15171935387969479</v>
      </c>
      <c r="S28" s="149">
        <f t="shared" si="69"/>
        <v>0.18163827224229909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f>H29</f>
        <v>12</v>
      </c>
      <c r="H29" s="146">
        <v>12</v>
      </c>
      <c r="I29" s="146">
        <v>105</v>
      </c>
      <c r="J29" s="146">
        <v>416</v>
      </c>
      <c r="K29" s="146">
        <v>974</v>
      </c>
      <c r="L29" s="146">
        <v>1492</v>
      </c>
      <c r="M29" s="146">
        <v>1581</v>
      </c>
      <c r="N29" s="146">
        <v>2794</v>
      </c>
      <c r="O29" s="146">
        <v>4691</v>
      </c>
      <c r="P29" s="146">
        <v>6075</v>
      </c>
      <c r="Q29" s="146">
        <v>7265</v>
      </c>
      <c r="R29" s="202">
        <v>8083</v>
      </c>
      <c r="S29" s="202">
        <v>8965</v>
      </c>
      <c r="T29" s="118">
        <f t="shared" si="22"/>
        <v>0.73559112487972489</v>
      </c>
      <c r="U29" s="31">
        <f t="shared" si="6"/>
        <v>0.12</v>
      </c>
      <c r="V29" s="152">
        <f t="shared" si="2"/>
        <v>10040.800000000001</v>
      </c>
      <c r="W29" s="152">
        <f t="shared" ref="W29" si="70">V29*(1+$U29)</f>
        <v>11245.696000000002</v>
      </c>
      <c r="X29" s="152">
        <f t="shared" ref="X29" si="71">W29*(1+$U29)</f>
        <v>12595.179520000003</v>
      </c>
      <c r="Y29" s="152">
        <f t="shared" ref="Y29" si="72">X29*(1+$U29)</f>
        <v>14106.601062400005</v>
      </c>
      <c r="Z29" s="152">
        <f t="shared" ref="Z29" si="73">Y29*(1+$U29)</f>
        <v>15799.393189888007</v>
      </c>
      <c r="AA29" s="152">
        <f t="shared" ref="AA29" si="74">Z29*(1+$U29)</f>
        <v>17695.320372674571</v>
      </c>
      <c r="AB29" s="152">
        <f t="shared" ref="AB29" si="75">AA29*(1+$U29)</f>
        <v>19818.758817395519</v>
      </c>
      <c r="AC29" s="152">
        <f t="shared" ref="AC29" si="76">AB29*(1+$U29)</f>
        <v>22197.009875482985</v>
      </c>
      <c r="AD29" s="152">
        <f t="shared" ref="AD29" si="77">AC29*(1+$U29)</f>
        <v>24860.651060540946</v>
      </c>
      <c r="AE29" s="152">
        <f t="shared" ref="AE29" si="78">AD29*(1+$U29)</f>
        <v>27843.929187805861</v>
      </c>
      <c r="AF29" s="137">
        <f t="shared" ref="AF29" si="79">((AE29/I29)^(1/($AE$3-$J$1) ))-1</f>
        <v>0.30438778996368088</v>
      </c>
      <c r="AG29" s="31">
        <f t="shared" si="16"/>
        <v>0.05</v>
      </c>
      <c r="AH29" s="145">
        <f t="shared" ref="AH29" si="80">(AE29*(1+AG29))/($C$1-AG29)</f>
        <v>171977.20968938919</v>
      </c>
    </row>
    <row r="30" spans="2:34" s="123" customFormat="1">
      <c r="B30" s="23"/>
      <c r="C30" s="147"/>
      <c r="D30" s="147"/>
      <c r="E30" s="148"/>
      <c r="F30" s="148"/>
      <c r="G30" s="149" t="e">
        <f t="shared" ref="G30:Q30" si="81">(G29-F29)/F29</f>
        <v>#DIV/0!</v>
      </c>
      <c r="H30" s="149">
        <f t="shared" si="81"/>
        <v>0</v>
      </c>
      <c r="I30" s="149">
        <f t="shared" si="81"/>
        <v>7.75</v>
      </c>
      <c r="J30" s="149">
        <f t="shared" si="81"/>
        <v>2.961904761904762</v>
      </c>
      <c r="K30" s="149">
        <f t="shared" si="81"/>
        <v>1.3413461538461537</v>
      </c>
      <c r="L30" s="149">
        <f t="shared" si="81"/>
        <v>0.53182751540041073</v>
      </c>
      <c r="M30" s="149">
        <f t="shared" si="81"/>
        <v>5.9651474530831097E-2</v>
      </c>
      <c r="N30" s="149">
        <f t="shared" si="81"/>
        <v>0.76723592662871598</v>
      </c>
      <c r="O30" s="149">
        <f t="shared" si="81"/>
        <v>0.67895490336435216</v>
      </c>
      <c r="P30" s="149">
        <f t="shared" si="81"/>
        <v>0.29503304199531016</v>
      </c>
      <c r="Q30" s="149">
        <f t="shared" si="81"/>
        <v>0.19588477366255144</v>
      </c>
      <c r="R30" s="149">
        <f t="shared" ref="R30:S30" si="82">(R29-Q29)/Q29</f>
        <v>0.11259463179628355</v>
      </c>
      <c r="S30" s="149">
        <f t="shared" si="82"/>
        <v>0.10911790176914513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202">
        <f>H31</f>
        <v>0</v>
      </c>
      <c r="H31" s="202">
        <v>0</v>
      </c>
      <c r="I31" s="202">
        <v>0</v>
      </c>
      <c r="J31" s="202">
        <v>0</v>
      </c>
      <c r="K31" s="202">
        <v>0</v>
      </c>
      <c r="L31" s="202">
        <v>0</v>
      </c>
      <c r="M31" s="202">
        <v>0</v>
      </c>
      <c r="N31" s="202">
        <v>0</v>
      </c>
      <c r="O31" s="202">
        <v>0</v>
      </c>
      <c r="P31" s="202">
        <v>0</v>
      </c>
      <c r="Q31" s="202">
        <v>0</v>
      </c>
      <c r="R31" s="202">
        <v>0</v>
      </c>
      <c r="S31" s="202">
        <v>0</v>
      </c>
      <c r="T31" s="118" t="e">
        <f t="shared" si="22"/>
        <v>#DIV/0!</v>
      </c>
      <c r="U31" s="31">
        <f t="shared" si="6"/>
        <v>0.12</v>
      </c>
      <c r="V31" s="152">
        <f t="shared" si="2"/>
        <v>0</v>
      </c>
      <c r="W31" s="152">
        <f>V31*(1+$U31)</f>
        <v>0</v>
      </c>
      <c r="X31" s="152">
        <f t="shared" ref="X31:AE32" si="83">W31*(1+$U31)</f>
        <v>0</v>
      </c>
      <c r="Y31" s="152">
        <f t="shared" si="83"/>
        <v>0</v>
      </c>
      <c r="Z31" s="152">
        <f t="shared" si="83"/>
        <v>0</v>
      </c>
      <c r="AA31" s="152">
        <f t="shared" si="83"/>
        <v>0</v>
      </c>
      <c r="AB31" s="152">
        <f t="shared" si="83"/>
        <v>0</v>
      </c>
      <c r="AC31" s="152">
        <f t="shared" si="83"/>
        <v>0</v>
      </c>
      <c r="AD31" s="152">
        <f t="shared" si="83"/>
        <v>0</v>
      </c>
      <c r="AE31" s="152">
        <f t="shared" si="83"/>
        <v>0</v>
      </c>
      <c r="AF31" s="137" t="e">
        <f t="shared" ref="AF31" si="84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327</v>
      </c>
      <c r="C32" s="140"/>
      <c r="D32" s="140"/>
      <c r="E32" s="146"/>
      <c r="F32" s="146"/>
      <c r="G32" s="202">
        <f>H32</f>
        <v>0</v>
      </c>
      <c r="H32" s="202">
        <v>0</v>
      </c>
      <c r="I32" s="202">
        <v>0</v>
      </c>
      <c r="J32" s="202">
        <v>0</v>
      </c>
      <c r="K32" s="202">
        <v>0</v>
      </c>
      <c r="L32" s="202">
        <v>0</v>
      </c>
      <c r="M32" s="202">
        <v>0</v>
      </c>
      <c r="N32" s="202">
        <v>0</v>
      </c>
      <c r="O32" s="202">
        <v>0</v>
      </c>
      <c r="P32" s="202">
        <v>0</v>
      </c>
      <c r="Q32" s="202">
        <v>0</v>
      </c>
      <c r="R32" s="202">
        <v>0</v>
      </c>
      <c r="S32" s="202">
        <v>0</v>
      </c>
      <c r="T32" s="118" t="e">
        <f t="shared" si="22"/>
        <v>#DIV/0!</v>
      </c>
      <c r="U32" s="31">
        <f t="shared" si="6"/>
        <v>0.12</v>
      </c>
      <c r="V32" s="152">
        <f t="shared" si="2"/>
        <v>0</v>
      </c>
      <c r="W32" s="152">
        <f>V32*(1+$U32)</f>
        <v>0</v>
      </c>
      <c r="X32" s="152">
        <f t="shared" si="83"/>
        <v>0</v>
      </c>
      <c r="Y32" s="152">
        <f t="shared" si="83"/>
        <v>0</v>
      </c>
      <c r="Z32" s="152">
        <f t="shared" si="83"/>
        <v>0</v>
      </c>
      <c r="AA32" s="152">
        <f t="shared" si="83"/>
        <v>0</v>
      </c>
      <c r="AB32" s="152">
        <f t="shared" si="83"/>
        <v>0</v>
      </c>
      <c r="AC32" s="152">
        <f t="shared" si="83"/>
        <v>0</v>
      </c>
      <c r="AD32" s="152">
        <f t="shared" si="83"/>
        <v>0</v>
      </c>
      <c r="AE32" s="152">
        <f t="shared" si="83"/>
        <v>0</v>
      </c>
      <c r="AF32" s="137" t="e">
        <f t="shared" ref="AF32" si="85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487</v>
      </c>
      <c r="C33" s="140"/>
      <c r="D33" s="140"/>
      <c r="E33" s="146"/>
      <c r="F33" s="146"/>
      <c r="G33" s="146">
        <f>H33</f>
        <v>12</v>
      </c>
      <c r="H33" s="146">
        <v>12</v>
      </c>
      <c r="I33" s="146">
        <v>105</v>
      </c>
      <c r="J33" s="146">
        <v>416</v>
      </c>
      <c r="K33" s="146">
        <v>974</v>
      </c>
      <c r="L33" s="205">
        <v>1492</v>
      </c>
      <c r="M33" s="146">
        <v>1581</v>
      </c>
      <c r="N33" s="146">
        <v>2794</v>
      </c>
      <c r="O33" s="146">
        <v>4691</v>
      </c>
      <c r="P33" s="146">
        <v>6075</v>
      </c>
      <c r="Q33" s="146">
        <v>7265</v>
      </c>
      <c r="R33" s="202">
        <v>8083</v>
      </c>
      <c r="S33" s="202">
        <v>8965</v>
      </c>
      <c r="T33" s="118">
        <f t="shared" si="22"/>
        <v>0.73559112487972489</v>
      </c>
      <c r="U33" s="31">
        <f t="shared" si="6"/>
        <v>0.12</v>
      </c>
      <c r="V33" s="152">
        <f t="shared" si="2"/>
        <v>10040.800000000001</v>
      </c>
      <c r="W33" s="152">
        <f t="shared" si="37"/>
        <v>11245.696000000002</v>
      </c>
      <c r="X33" s="152">
        <f t="shared" si="38"/>
        <v>12595.179520000003</v>
      </c>
      <c r="Y33" s="152">
        <f t="shared" si="39"/>
        <v>14106.601062400005</v>
      </c>
      <c r="Z33" s="152">
        <f t="shared" si="40"/>
        <v>15799.393189888007</v>
      </c>
      <c r="AA33" s="152">
        <f t="shared" si="41"/>
        <v>17695.320372674571</v>
      </c>
      <c r="AB33" s="152">
        <f t="shared" si="42"/>
        <v>19818.758817395519</v>
      </c>
      <c r="AC33" s="152">
        <f t="shared" si="43"/>
        <v>22197.009875482985</v>
      </c>
      <c r="AD33" s="152">
        <f t="shared" si="44"/>
        <v>24860.651060540946</v>
      </c>
      <c r="AE33" s="152">
        <f t="shared" si="45"/>
        <v>27843.929187805861</v>
      </c>
      <c r="AF33" s="137">
        <f t="shared" si="18"/>
        <v>0.30438778996368088</v>
      </c>
      <c r="AG33" s="31">
        <f t="shared" si="16"/>
        <v>0.05</v>
      </c>
      <c r="AH33" s="145">
        <f t="shared" si="1"/>
        <v>171977.20968938919</v>
      </c>
    </row>
    <row r="34" spans="1:34">
      <c r="B34" s="20" t="s">
        <v>307</v>
      </c>
      <c r="C34" s="140"/>
      <c r="D34" s="140"/>
      <c r="E34" s="146"/>
      <c r="F34" s="146"/>
      <c r="G34" s="204">
        <v>21</v>
      </c>
      <c r="H34" s="204">
        <v>21</v>
      </c>
      <c r="I34" s="204">
        <v>50</v>
      </c>
      <c r="J34" s="204">
        <v>118</v>
      </c>
      <c r="K34" s="142">
        <v>202</v>
      </c>
      <c r="L34" s="142">
        <v>218</v>
      </c>
      <c r="M34" s="205">
        <v>257</v>
      </c>
      <c r="N34" s="205">
        <v>362</v>
      </c>
      <c r="O34" s="205">
        <v>475</v>
      </c>
      <c r="P34" s="205">
        <v>655</v>
      </c>
      <c r="Q34" s="205">
        <v>786</v>
      </c>
      <c r="R34" s="202">
        <v>986</v>
      </c>
      <c r="S34" s="202">
        <v>1319</v>
      </c>
      <c r="T34" s="118">
        <f t="shared" si="22"/>
        <v>0.41200247643146315</v>
      </c>
      <c r="U34" s="31">
        <f t="shared" si="6"/>
        <v>0.12</v>
      </c>
      <c r="V34" s="152">
        <f t="shared" si="2"/>
        <v>1477.2800000000002</v>
      </c>
      <c r="W34" s="152">
        <f t="shared" si="37"/>
        <v>1654.5536000000004</v>
      </c>
      <c r="X34" s="152">
        <f t="shared" si="38"/>
        <v>1853.1000320000007</v>
      </c>
      <c r="Y34" s="152">
        <f t="shared" si="39"/>
        <v>2075.4720358400009</v>
      </c>
      <c r="Z34" s="152">
        <f t="shared" si="40"/>
        <v>2324.528680140801</v>
      </c>
      <c r="AA34" s="152">
        <f t="shared" si="41"/>
        <v>2603.4721217576976</v>
      </c>
      <c r="AB34" s="152">
        <f t="shared" si="42"/>
        <v>2915.8887763686216</v>
      </c>
      <c r="AC34" s="152">
        <f t="shared" si="43"/>
        <v>3265.7954295328564</v>
      </c>
      <c r="AD34" s="152">
        <f t="shared" si="44"/>
        <v>3657.6908810767995</v>
      </c>
      <c r="AE34" s="152">
        <f t="shared" si="45"/>
        <v>4096.6137868060159</v>
      </c>
      <c r="AF34" s="137">
        <f t="shared" si="18"/>
        <v>0.23343681138869243</v>
      </c>
      <c r="AG34" s="31">
        <f t="shared" si="16"/>
        <v>0.05</v>
      </c>
      <c r="AH34" s="145">
        <f t="shared" si="1"/>
        <v>25302.614565566571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7" t="s">
        <v>480</v>
      </c>
      <c r="B36" s="199" t="s">
        <v>474</v>
      </c>
      <c r="C36" s="140"/>
      <c r="D36" s="140"/>
      <c r="E36" s="146"/>
      <c r="F36" s="146"/>
      <c r="G36" s="142">
        <f>H36</f>
        <v>663</v>
      </c>
      <c r="H36" s="146">
        <v>663</v>
      </c>
      <c r="I36" s="146">
        <v>2910</v>
      </c>
      <c r="J36" s="146">
        <v>8220</v>
      </c>
      <c r="K36" s="146">
        <v>13273</v>
      </c>
      <c r="L36" s="146">
        <v>16169</v>
      </c>
      <c r="M36" s="146">
        <v>26798</v>
      </c>
      <c r="N36" s="146">
        <v>45938</v>
      </c>
      <c r="O36" s="146">
        <v>49151</v>
      </c>
      <c r="P36" s="146">
        <v>66955</v>
      </c>
      <c r="Q36" s="146">
        <v>74192</v>
      </c>
      <c r="R36" s="202">
        <v>91158</v>
      </c>
      <c r="S36" s="202">
        <v>111704</v>
      </c>
      <c r="T36" s="118">
        <f t="shared" si="22"/>
        <v>0.53301451320454474</v>
      </c>
      <c r="U36" s="31">
        <f t="shared" si="6"/>
        <v>0.12</v>
      </c>
      <c r="V36" s="152">
        <f t="shared" ref="V36:V49" si="86">S36*(1+$U36)</f>
        <v>125108.48000000001</v>
      </c>
      <c r="W36" s="152">
        <f t="shared" ref="W36:W49" si="87">V36*(1+$U36)</f>
        <v>140121.49760000003</v>
      </c>
      <c r="X36" s="152">
        <f t="shared" ref="X36:X49" si="88">W36*(1+$U36)</f>
        <v>156936.07731200004</v>
      </c>
      <c r="Y36" s="152">
        <f t="shared" ref="Y36:Y49" si="89">X36*(1+$U36)</f>
        <v>175768.40658944007</v>
      </c>
      <c r="Z36" s="152">
        <f t="shared" ref="Z36:Z49" si="90">Y36*(1+$U36)</f>
        <v>196860.61538017291</v>
      </c>
      <c r="AA36" s="152">
        <f t="shared" ref="AA36:AA49" si="91">Z36*(1+$U36)</f>
        <v>220483.88922579368</v>
      </c>
      <c r="AB36" s="152">
        <f t="shared" ref="AB36:AB49" si="92">AA36*(1+$U36)</f>
        <v>246941.95593288896</v>
      </c>
      <c r="AC36" s="152">
        <f t="shared" ref="AC36:AC49" si="93">AB36*(1+$U36)</f>
        <v>276574.99064483563</v>
      </c>
      <c r="AD36" s="152">
        <f t="shared" ref="AD36:AD49" si="94">AC36*(1+$U36)</f>
        <v>309763.98952221597</v>
      </c>
      <c r="AE36" s="152">
        <f t="shared" ref="AE36:AE49" si="95">AD36*(1+$U36)</f>
        <v>346935.66826488194</v>
      </c>
      <c r="AF36" s="137">
        <f t="shared" ref="AF36:AF49" si="96">((AE36/I36)^(1/($AE$3-$J$1) ))-1</f>
        <v>0.25566588018002712</v>
      </c>
      <c r="AG36" s="31">
        <f t="shared" si="16"/>
        <v>0.05</v>
      </c>
      <c r="AH36" s="145">
        <f t="shared" ref="AH36:AH49" si="97">(AE36*(1+AG36))/($C$1-AG36)</f>
        <v>2142837.9510478005</v>
      </c>
    </row>
    <row r="37" spans="1:34">
      <c r="A37" s="207"/>
      <c r="B37" s="199"/>
      <c r="C37" s="140"/>
      <c r="D37" s="140"/>
      <c r="E37" s="146"/>
      <c r="F37" s="146"/>
      <c r="G37" s="149" t="e">
        <f t="shared" ref="G37" si="98">(G36-F36)/F36</f>
        <v>#DIV/0!</v>
      </c>
      <c r="H37" s="149">
        <f t="shared" ref="H37" si="99">(H36-G36)/G36</f>
        <v>0</v>
      </c>
      <c r="I37" s="149">
        <f t="shared" ref="I37" si="100">(I36-H36)/H36</f>
        <v>3.3891402714932126</v>
      </c>
      <c r="J37" s="149">
        <f t="shared" ref="J37" si="101">(J36-I36)/I36</f>
        <v>1.8247422680412371</v>
      </c>
      <c r="K37" s="149">
        <f t="shared" ref="K37" si="102">(K36-J36)/J36</f>
        <v>0.61472019464720196</v>
      </c>
      <c r="L37" s="149">
        <f t="shared" ref="L37" si="103">(L36-K36)/K36</f>
        <v>0.2181872975212838</v>
      </c>
      <c r="M37" s="149">
        <f t="shared" ref="M37" si="104">(M36-L36)/L36</f>
        <v>0.65736903952006931</v>
      </c>
      <c r="N37" s="149">
        <f t="shared" ref="N37" si="105">(N36-M36)/M36</f>
        <v>0.71423240540338828</v>
      </c>
      <c r="O37" s="149">
        <f t="shared" ref="O37" si="106">(O36-N36)/N36</f>
        <v>6.9942095868344295E-2</v>
      </c>
      <c r="P37" s="149">
        <f t="shared" ref="P37" si="107">(P36-O36)/O36</f>
        <v>0.36223067689365424</v>
      </c>
      <c r="Q37" s="149">
        <f t="shared" ref="Q37" si="108">(Q36-P36)/P36</f>
        <v>0.10808752146964379</v>
      </c>
      <c r="R37" s="149">
        <f t="shared" ref="R37" si="109">(R36-Q36)/Q36</f>
        <v>0.22867694630148802</v>
      </c>
      <c r="S37" s="149">
        <f t="shared" ref="S37" si="110">(S36-R36)/R36</f>
        <v>0.22538888523223413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7"/>
      <c r="B38" s="199" t="s">
        <v>475</v>
      </c>
      <c r="C38" s="140"/>
      <c r="D38" s="140"/>
      <c r="E38" s="146"/>
      <c r="F38" s="146"/>
      <c r="G38" s="142">
        <f>H38</f>
        <v>4749</v>
      </c>
      <c r="H38" s="146">
        <v>4749</v>
      </c>
      <c r="I38" s="146">
        <v>6690</v>
      </c>
      <c r="J38" s="146">
        <v>14156</v>
      </c>
      <c r="K38" s="146">
        <v>20922</v>
      </c>
      <c r="L38" s="146">
        <v>21314</v>
      </c>
      <c r="M38" s="146">
        <v>4749</v>
      </c>
      <c r="N38" s="146">
        <v>6690</v>
      </c>
      <c r="O38" s="146">
        <v>14156</v>
      </c>
      <c r="P38" s="146">
        <v>20922</v>
      </c>
      <c r="Q38" s="146">
        <v>21314</v>
      </c>
      <c r="R38" s="202">
        <v>26220</v>
      </c>
      <c r="S38" s="202">
        <v>31658</v>
      </c>
      <c r="T38" s="118">
        <f t="shared" si="22"/>
        <v>0.1712693410939643</v>
      </c>
      <c r="U38" s="31">
        <f t="shared" si="6"/>
        <v>0.12</v>
      </c>
      <c r="V38" s="152">
        <f t="shared" si="86"/>
        <v>35456.960000000006</v>
      </c>
      <c r="W38" s="152">
        <f t="shared" si="87"/>
        <v>39711.795200000008</v>
      </c>
      <c r="X38" s="152">
        <f t="shared" si="88"/>
        <v>44477.210624000014</v>
      </c>
      <c r="Y38" s="152">
        <f t="shared" si="89"/>
        <v>49814.475898880017</v>
      </c>
      <c r="Z38" s="152">
        <f t="shared" si="90"/>
        <v>55792.213006745624</v>
      </c>
      <c r="AA38" s="152">
        <f t="shared" si="91"/>
        <v>62487.278567555106</v>
      </c>
      <c r="AB38" s="152">
        <f t="shared" si="92"/>
        <v>69985.751995661718</v>
      </c>
      <c r="AC38" s="152">
        <f t="shared" si="93"/>
        <v>78384.042235141125</v>
      </c>
      <c r="AD38" s="152">
        <f t="shared" si="94"/>
        <v>87790.127303358066</v>
      </c>
      <c r="AE38" s="152">
        <f t="shared" si="95"/>
        <v>98324.942579761046</v>
      </c>
      <c r="AF38" s="137">
        <f t="shared" si="96"/>
        <v>0.1365348104280657</v>
      </c>
      <c r="AG38" s="31">
        <f t="shared" si="16"/>
        <v>0.05</v>
      </c>
      <c r="AH38" s="145">
        <f t="shared" si="97"/>
        <v>607301.11593381839</v>
      </c>
    </row>
    <row r="39" spans="1:34">
      <c r="A39" s="207"/>
      <c r="B39" s="199"/>
      <c r="C39" s="140"/>
      <c r="D39" s="140"/>
      <c r="E39" s="146"/>
      <c r="F39" s="146"/>
      <c r="G39" s="149" t="e">
        <f t="shared" ref="G39:Q39" si="111">(G38-F38)/F38</f>
        <v>#DIV/0!</v>
      </c>
      <c r="H39" s="149">
        <f t="shared" si="111"/>
        <v>0</v>
      </c>
      <c r="I39" s="149">
        <f t="shared" si="111"/>
        <v>0.40871762476310802</v>
      </c>
      <c r="J39" s="149">
        <f t="shared" si="111"/>
        <v>1.1159940209267563</v>
      </c>
      <c r="K39" s="149">
        <f t="shared" si="111"/>
        <v>0.47795987567109355</v>
      </c>
      <c r="L39" s="149">
        <f t="shared" si="111"/>
        <v>1.8736258483892553E-2</v>
      </c>
      <c r="M39" s="149">
        <f t="shared" si="111"/>
        <v>-0.77718870226142445</v>
      </c>
      <c r="N39" s="149">
        <f t="shared" si="111"/>
        <v>0.40871762476310802</v>
      </c>
      <c r="O39" s="149">
        <f t="shared" si="111"/>
        <v>1.1159940209267563</v>
      </c>
      <c r="P39" s="149">
        <f t="shared" si="111"/>
        <v>0.47795987567109355</v>
      </c>
      <c r="Q39" s="149">
        <f t="shared" si="111"/>
        <v>1.8736258483892553E-2</v>
      </c>
      <c r="R39" s="149">
        <f t="shared" ref="R39" si="112">(R38-Q38)/Q38</f>
        <v>0.23017734822182603</v>
      </c>
      <c r="S39" s="149">
        <f t="shared" ref="S39" si="113">(S38-R38)/R38</f>
        <v>0.20739893211289093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7"/>
      <c r="B40" s="199" t="s">
        <v>479</v>
      </c>
      <c r="C40" s="140"/>
      <c r="D40" s="140"/>
      <c r="E40" s="146"/>
      <c r="F40" s="146"/>
      <c r="G40" s="142">
        <f>H40</f>
        <v>1745</v>
      </c>
      <c r="H40" s="146">
        <v>1745</v>
      </c>
      <c r="I40" s="146">
        <v>2583</v>
      </c>
      <c r="J40" s="146">
        <v>5677</v>
      </c>
      <c r="K40" s="146">
        <v>5418</v>
      </c>
      <c r="L40" s="146">
        <v>6387</v>
      </c>
      <c r="M40" s="146">
        <v>1745</v>
      </c>
      <c r="N40" s="146">
        <v>2583</v>
      </c>
      <c r="O40" s="146">
        <v>5677</v>
      </c>
      <c r="P40" s="146">
        <v>5418</v>
      </c>
      <c r="Q40" s="146">
        <v>6387</v>
      </c>
      <c r="R40" s="202">
        <v>7098</v>
      </c>
      <c r="S40" s="202">
        <v>8117</v>
      </c>
      <c r="T40" s="118">
        <f t="shared" si="22"/>
        <v>0.13666723884556875</v>
      </c>
      <c r="U40" s="31">
        <f t="shared" si="6"/>
        <v>0.12</v>
      </c>
      <c r="V40" s="152">
        <f t="shared" si="86"/>
        <v>9091.0400000000009</v>
      </c>
      <c r="W40" s="152">
        <f t="shared" si="87"/>
        <v>10181.964800000002</v>
      </c>
      <c r="X40" s="152">
        <f t="shared" si="88"/>
        <v>11403.800576000003</v>
      </c>
      <c r="Y40" s="152">
        <f t="shared" si="89"/>
        <v>12772.256645120005</v>
      </c>
      <c r="Z40" s="152">
        <f t="shared" si="90"/>
        <v>14304.927442534408</v>
      </c>
      <c r="AA40" s="152">
        <f t="shared" si="91"/>
        <v>16021.51873563854</v>
      </c>
      <c r="AB40" s="152">
        <f t="shared" si="92"/>
        <v>17944.100983915167</v>
      </c>
      <c r="AC40" s="152">
        <f t="shared" si="93"/>
        <v>20097.393101984988</v>
      </c>
      <c r="AD40" s="152">
        <f t="shared" si="94"/>
        <v>22509.08027422319</v>
      </c>
      <c r="AE40" s="152">
        <f t="shared" si="95"/>
        <v>25210.169907129974</v>
      </c>
      <c r="AF40" s="137">
        <f t="shared" si="96"/>
        <v>0.11459407923484166</v>
      </c>
      <c r="AG40" s="31">
        <f t="shared" si="16"/>
        <v>0.05</v>
      </c>
      <c r="AH40" s="145">
        <f t="shared" si="97"/>
        <v>155709.8729558028</v>
      </c>
    </row>
    <row r="41" spans="1:34">
      <c r="A41" s="207"/>
      <c r="B41" s="199" t="s">
        <v>476</v>
      </c>
      <c r="C41" s="140"/>
      <c r="D41" s="140"/>
      <c r="E41" s="146"/>
      <c r="F41" s="146"/>
      <c r="G41" s="202">
        <f>H41</f>
        <v>41</v>
      </c>
      <c r="H41" s="202">
        <v>41</v>
      </c>
      <c r="I41" s="202">
        <v>88</v>
      </c>
      <c r="J41" s="202">
        <v>390</v>
      </c>
      <c r="K41" s="202">
        <v>959</v>
      </c>
      <c r="L41" s="202">
        <v>1277</v>
      </c>
      <c r="M41" s="202">
        <v>1995</v>
      </c>
      <c r="N41" s="202">
        <v>3076</v>
      </c>
      <c r="O41" s="202">
        <v>2332</v>
      </c>
      <c r="P41" s="202">
        <v>3339</v>
      </c>
      <c r="Q41" s="202">
        <v>4541</v>
      </c>
      <c r="R41" s="202">
        <v>5240</v>
      </c>
      <c r="S41" s="202">
        <v>5776</v>
      </c>
      <c r="T41" s="118">
        <f t="shared" si="22"/>
        <v>0.51032453436660541</v>
      </c>
      <c r="U41" s="31">
        <f t="shared" si="6"/>
        <v>0.12</v>
      </c>
      <c r="V41" s="152">
        <f t="shared" si="86"/>
        <v>6469.1200000000008</v>
      </c>
      <c r="W41" s="152">
        <f t="shared" si="87"/>
        <v>7245.4144000000015</v>
      </c>
      <c r="X41" s="152">
        <f t="shared" si="88"/>
        <v>8114.864128000002</v>
      </c>
      <c r="Y41" s="152">
        <f t="shared" si="89"/>
        <v>9088.6478233600028</v>
      </c>
      <c r="Z41" s="152">
        <f t="shared" si="90"/>
        <v>10179.285562163204</v>
      </c>
      <c r="AA41" s="152">
        <f t="shared" si="91"/>
        <v>11400.799829622791</v>
      </c>
      <c r="AB41" s="152">
        <f t="shared" si="92"/>
        <v>12768.895809177528</v>
      </c>
      <c r="AC41" s="152">
        <f t="shared" si="93"/>
        <v>14301.163306278831</v>
      </c>
      <c r="AD41" s="152">
        <f t="shared" si="94"/>
        <v>16017.302903032292</v>
      </c>
      <c r="AE41" s="152">
        <f t="shared" si="95"/>
        <v>17939.379251396171</v>
      </c>
      <c r="AF41" s="137">
        <f t="shared" si="96"/>
        <v>0.2881541728805983</v>
      </c>
      <c r="AG41" s="31">
        <f t="shared" si="16"/>
        <v>0.05</v>
      </c>
      <c r="AH41" s="145">
        <f t="shared" si="97"/>
        <v>110802.04831744694</v>
      </c>
    </row>
    <row r="42" spans="1:34">
      <c r="A42" s="207"/>
      <c r="B42" s="199" t="s">
        <v>478</v>
      </c>
      <c r="C42" s="140"/>
      <c r="D42" s="140"/>
      <c r="E42" s="146"/>
      <c r="F42" s="146"/>
      <c r="G42" s="202">
        <f>H42</f>
        <v>12</v>
      </c>
      <c r="H42" s="202">
        <v>12</v>
      </c>
      <c r="I42" s="202">
        <v>128</v>
      </c>
      <c r="J42" s="202">
        <v>904</v>
      </c>
      <c r="K42" s="202">
        <v>668</v>
      </c>
      <c r="L42" s="202">
        <v>645</v>
      </c>
      <c r="M42" s="202">
        <v>677</v>
      </c>
      <c r="N42" s="202">
        <v>420</v>
      </c>
      <c r="O42" s="202">
        <v>1253</v>
      </c>
      <c r="P42" s="202">
        <v>727</v>
      </c>
      <c r="Q42" s="202">
        <v>1350</v>
      </c>
      <c r="R42" s="202">
        <v>2316</v>
      </c>
      <c r="S42" s="202">
        <v>2442</v>
      </c>
      <c r="T42" s="118">
        <f t="shared" si="22"/>
        <v>0.5573289887153694</v>
      </c>
      <c r="U42" s="31">
        <f t="shared" si="6"/>
        <v>0.12</v>
      </c>
      <c r="V42" s="152">
        <f t="shared" si="86"/>
        <v>2735.0400000000004</v>
      </c>
      <c r="W42" s="152">
        <f t="shared" si="87"/>
        <v>3063.2448000000009</v>
      </c>
      <c r="X42" s="152">
        <f t="shared" si="88"/>
        <v>3430.8341760000012</v>
      </c>
      <c r="Y42" s="152">
        <f t="shared" si="89"/>
        <v>3842.5342771200017</v>
      </c>
      <c r="Z42" s="152">
        <f t="shared" si="90"/>
        <v>4303.6383903744027</v>
      </c>
      <c r="AA42" s="152">
        <f t="shared" si="91"/>
        <v>4820.0749972193316</v>
      </c>
      <c r="AB42" s="152">
        <f t="shared" si="92"/>
        <v>5398.4839968856522</v>
      </c>
      <c r="AC42" s="152">
        <f t="shared" si="93"/>
        <v>6046.3020765119309</v>
      </c>
      <c r="AD42" s="152">
        <f t="shared" si="94"/>
        <v>6771.8583256933634</v>
      </c>
      <c r="AE42" s="152">
        <f t="shared" si="95"/>
        <v>7584.4813247765678</v>
      </c>
      <c r="AF42" s="137">
        <f t="shared" si="96"/>
        <v>0.21454900809714483</v>
      </c>
      <c r="AG42" s="31">
        <f t="shared" si="16"/>
        <v>0.05</v>
      </c>
      <c r="AH42" s="145">
        <f t="shared" si="97"/>
        <v>46845.325829502333</v>
      </c>
    </row>
    <row r="43" spans="1:34">
      <c r="A43" s="207"/>
      <c r="B43" s="199" t="s">
        <v>477</v>
      </c>
      <c r="C43" s="140"/>
      <c r="D43" s="140"/>
      <c r="E43" s="146"/>
      <c r="F43" s="146"/>
      <c r="G43" s="142">
        <f>H43</f>
        <v>22193</v>
      </c>
      <c r="H43" s="146">
        <v>22193</v>
      </c>
      <c r="I43" s="146">
        <v>34363</v>
      </c>
      <c r="J43" s="146">
        <v>37988</v>
      </c>
      <c r="K43" s="146">
        <v>46999</v>
      </c>
      <c r="L43" s="146">
        <v>55632</v>
      </c>
      <c r="M43" s="146">
        <v>22193</v>
      </c>
      <c r="N43" s="146">
        <v>34363</v>
      </c>
      <c r="O43" s="146">
        <v>37988</v>
      </c>
      <c r="P43" s="146">
        <v>46999</v>
      </c>
      <c r="Q43" s="146">
        <v>55632</v>
      </c>
      <c r="R43" s="202">
        <v>75549</v>
      </c>
      <c r="S43" s="202">
        <v>98209</v>
      </c>
      <c r="T43" s="118">
        <f t="shared" si="22"/>
        <v>0.13195181363859088</v>
      </c>
      <c r="U43" s="31">
        <f t="shared" si="6"/>
        <v>0.12</v>
      </c>
      <c r="V43" s="152">
        <f t="shared" si="86"/>
        <v>109994.08000000002</v>
      </c>
      <c r="W43" s="152">
        <f t="shared" si="87"/>
        <v>123193.36960000003</v>
      </c>
      <c r="X43" s="152">
        <f t="shared" si="88"/>
        <v>137976.57395200006</v>
      </c>
      <c r="Y43" s="152">
        <f t="shared" si="89"/>
        <v>154533.7628262401</v>
      </c>
      <c r="Z43" s="152">
        <f t="shared" si="90"/>
        <v>173077.81436538891</v>
      </c>
      <c r="AA43" s="152">
        <f t="shared" si="91"/>
        <v>193847.15208923561</v>
      </c>
      <c r="AB43" s="152">
        <f t="shared" si="92"/>
        <v>217108.81033994391</v>
      </c>
      <c r="AC43" s="152">
        <f t="shared" si="93"/>
        <v>243161.86758073722</v>
      </c>
      <c r="AD43" s="152">
        <f t="shared" si="94"/>
        <v>272341.29169042571</v>
      </c>
      <c r="AE43" s="152">
        <f t="shared" si="95"/>
        <v>305022.2466932768</v>
      </c>
      <c r="AF43" s="137">
        <f t="shared" si="96"/>
        <v>0.10956898021326</v>
      </c>
      <c r="AG43" s="31">
        <f t="shared" si="16"/>
        <v>0.05</v>
      </c>
      <c r="AH43" s="145">
        <f t="shared" si="97"/>
        <v>1883960.9354584746</v>
      </c>
    </row>
    <row r="44" spans="1:34">
      <c r="A44" s="207"/>
      <c r="B44" s="199"/>
      <c r="C44" s="140"/>
      <c r="D44" s="140"/>
      <c r="E44" s="146"/>
      <c r="F44" s="146"/>
      <c r="G44" s="149" t="e">
        <f t="shared" ref="G44:Q44" si="114">(G43-F43)/F43</f>
        <v>#DIV/0!</v>
      </c>
      <c r="H44" s="149">
        <f t="shared" si="114"/>
        <v>0</v>
      </c>
      <c r="I44" s="149">
        <f t="shared" si="114"/>
        <v>0.54837110800702926</v>
      </c>
      <c r="J44" s="149">
        <f t="shared" si="114"/>
        <v>0.10549137153333528</v>
      </c>
      <c r="K44" s="149">
        <f t="shared" si="114"/>
        <v>0.23720648625881857</v>
      </c>
      <c r="L44" s="149">
        <f t="shared" si="114"/>
        <v>0.18368475925019681</v>
      </c>
      <c r="M44" s="149">
        <f t="shared" si="114"/>
        <v>-0.60107492090882941</v>
      </c>
      <c r="N44" s="149">
        <f t="shared" si="114"/>
        <v>0.54837110800702926</v>
      </c>
      <c r="O44" s="149">
        <f t="shared" si="114"/>
        <v>0.10549137153333528</v>
      </c>
      <c r="P44" s="149">
        <f t="shared" si="114"/>
        <v>0.23720648625881857</v>
      </c>
      <c r="Q44" s="149">
        <f t="shared" si="114"/>
        <v>0.18368475925019681</v>
      </c>
      <c r="R44" s="149">
        <f t="shared" ref="R44" si="115">(R43-Q43)/Q43</f>
        <v>0.35801337359792923</v>
      </c>
      <c r="S44" s="149">
        <f t="shared" ref="S44" si="116">(S43-R43)/R43</f>
        <v>0.29993778871990362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7"/>
      <c r="B45" s="199" t="s">
        <v>218</v>
      </c>
      <c r="C45" s="140"/>
      <c r="D45" s="140"/>
      <c r="E45" s="146"/>
      <c r="F45" s="146"/>
      <c r="G45" s="202">
        <f>H45</f>
        <v>395</v>
      </c>
      <c r="H45" s="202">
        <v>395</v>
      </c>
      <c r="I45" s="202">
        <v>1350</v>
      </c>
      <c r="J45" s="202">
        <v>3073</v>
      </c>
      <c r="K45" s="202">
        <v>5093</v>
      </c>
      <c r="L45" s="202">
        <v>7117</v>
      </c>
      <c r="M45" s="202">
        <v>10209</v>
      </c>
      <c r="N45" s="202">
        <v>18828</v>
      </c>
      <c r="O45" s="202">
        <v>27757</v>
      </c>
      <c r="P45" s="202">
        <v>42975</v>
      </c>
      <c r="Q45" s="202">
        <v>40932</v>
      </c>
      <c r="R45" s="202">
        <v>46750</v>
      </c>
      <c r="S45" s="202">
        <v>48788</v>
      </c>
      <c r="T45" s="118">
        <f t="shared" si="22"/>
        <v>0.49385917902669152</v>
      </c>
      <c r="U45" s="31">
        <f t="shared" si="6"/>
        <v>0.12</v>
      </c>
      <c r="V45" s="152">
        <f t="shared" si="86"/>
        <v>54642.560000000005</v>
      </c>
      <c r="W45" s="152">
        <f t="shared" si="87"/>
        <v>61199.667200000011</v>
      </c>
      <c r="X45" s="152">
        <f t="shared" si="88"/>
        <v>68543.627264000024</v>
      </c>
      <c r="Y45" s="152">
        <f t="shared" si="89"/>
        <v>76768.862535680033</v>
      </c>
      <c r="Z45" s="152">
        <f t="shared" si="90"/>
        <v>85981.126039961644</v>
      </c>
      <c r="AA45" s="152">
        <f t="shared" si="91"/>
        <v>96298.861164757051</v>
      </c>
      <c r="AB45" s="152">
        <f t="shared" si="92"/>
        <v>107854.72450452791</v>
      </c>
      <c r="AC45" s="152">
        <f t="shared" si="93"/>
        <v>120797.29144507127</v>
      </c>
      <c r="AD45" s="152">
        <f t="shared" si="94"/>
        <v>135292.96641847983</v>
      </c>
      <c r="AE45" s="152">
        <f t="shared" si="95"/>
        <v>151528.12238869743</v>
      </c>
      <c r="AF45" s="137">
        <f t="shared" si="96"/>
        <v>0.25206432555891212</v>
      </c>
      <c r="AG45" s="31">
        <f t="shared" si="16"/>
        <v>0.05</v>
      </c>
      <c r="AH45" s="145">
        <f t="shared" si="97"/>
        <v>935908.99122430792</v>
      </c>
    </row>
    <row r="46" spans="1:34">
      <c r="A46" s="200"/>
      <c r="B46" s="199"/>
      <c r="C46" s="140"/>
      <c r="D46" s="140"/>
      <c r="E46" s="146"/>
      <c r="F46" s="146"/>
      <c r="G46" s="149" t="e">
        <f t="shared" ref="G46:Q46" si="117">(G45-F45)/F45</f>
        <v>#DIV/0!</v>
      </c>
      <c r="H46" s="149">
        <f t="shared" si="117"/>
        <v>0</v>
      </c>
      <c r="I46" s="149">
        <f t="shared" si="117"/>
        <v>2.4177215189873418</v>
      </c>
      <c r="J46" s="149">
        <f t="shared" si="117"/>
        <v>1.2762962962962963</v>
      </c>
      <c r="K46" s="149">
        <f t="shared" si="117"/>
        <v>0.65733810608525867</v>
      </c>
      <c r="L46" s="149">
        <f t="shared" si="117"/>
        <v>0.39740820734341253</v>
      </c>
      <c r="M46" s="149">
        <f t="shared" si="117"/>
        <v>0.43445271884220882</v>
      </c>
      <c r="N46" s="149">
        <f t="shared" si="117"/>
        <v>0.84425506905671466</v>
      </c>
      <c r="O46" s="149">
        <f t="shared" si="117"/>
        <v>0.47424049288294029</v>
      </c>
      <c r="P46" s="149">
        <f t="shared" si="117"/>
        <v>0.54825809705659834</v>
      </c>
      <c r="Q46" s="149">
        <f t="shared" si="117"/>
        <v>-4.7539267015706807E-2</v>
      </c>
      <c r="R46" s="149">
        <f t="shared" ref="R46" si="118">(R45-Q45)/Q45</f>
        <v>0.1421381803967556</v>
      </c>
      <c r="S46" s="149">
        <f t="shared" ref="S46" si="119">(S45-R45)/R45</f>
        <v>4.3593582887700537E-2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0"/>
      <c r="B47" s="199" t="s">
        <v>491</v>
      </c>
      <c r="C47" s="140"/>
      <c r="D47" s="140"/>
      <c r="E47" s="146"/>
      <c r="F47" s="146"/>
      <c r="G47" s="146">
        <v>18</v>
      </c>
      <c r="H47" s="146">
        <v>18</v>
      </c>
      <c r="I47" s="146">
        <v>100</v>
      </c>
      <c r="J47" s="146">
        <v>200</v>
      </c>
      <c r="K47" s="146">
        <v>360</v>
      </c>
      <c r="L47" s="146">
        <v>435</v>
      </c>
      <c r="M47" s="146">
        <v>575</v>
      </c>
      <c r="N47" s="146">
        <v>623</v>
      </c>
      <c r="O47" s="146">
        <v>857</v>
      </c>
      <c r="P47" s="146">
        <v>1257</v>
      </c>
      <c r="Q47" s="146">
        <v>1721</v>
      </c>
      <c r="R47" s="202">
        <v>2047</v>
      </c>
      <c r="S47" s="202">
        <v>2729</v>
      </c>
      <c r="T47" s="118">
        <f t="shared" si="22"/>
        <v>0.519594055189049</v>
      </c>
      <c r="U47" s="31">
        <f t="shared" si="6"/>
        <v>0.12</v>
      </c>
      <c r="V47" s="152">
        <f t="shared" ref="V47" si="120">S47*(1+$U47)</f>
        <v>3056.4800000000005</v>
      </c>
      <c r="W47" s="152">
        <f t="shared" ref="W47" si="121">V47*(1+$U47)</f>
        <v>3423.2576000000008</v>
      </c>
      <c r="X47" s="152">
        <f t="shared" ref="X47" si="122">W47*(1+$U47)</f>
        <v>3834.0485120000012</v>
      </c>
      <c r="Y47" s="152">
        <f t="shared" ref="Y47" si="123">X47*(1+$U47)</f>
        <v>4294.1343334400017</v>
      </c>
      <c r="Z47" s="152">
        <f t="shared" ref="Z47" si="124">Y47*(1+$U47)</f>
        <v>4809.4304534528028</v>
      </c>
      <c r="AA47" s="152">
        <f t="shared" ref="AA47" si="125">Z47*(1+$U47)</f>
        <v>5386.5621078671393</v>
      </c>
      <c r="AB47" s="152">
        <f t="shared" ref="AB47" si="126">AA47*(1+$U47)</f>
        <v>6032.9495608111965</v>
      </c>
      <c r="AC47" s="152">
        <f t="shared" ref="AC47" si="127">AB47*(1+$U47)</f>
        <v>6756.9035081085403</v>
      </c>
      <c r="AD47" s="152">
        <f t="shared" ref="AD47" si="128">AC47*(1+$U47)</f>
        <v>7567.7319290815658</v>
      </c>
      <c r="AE47" s="152">
        <f t="shared" ref="AE47" si="129">AD47*(1+$U47)</f>
        <v>8475.8597605713549</v>
      </c>
      <c r="AF47" s="137">
        <f t="shared" ref="AF47" si="130">((AE47/I47)^(1/($AE$3-$J$1) ))-1</f>
        <v>0.23543037344228446</v>
      </c>
      <c r="AG47" s="31">
        <f t="shared" si="16"/>
        <v>0.05</v>
      </c>
      <c r="AH47" s="145">
        <f t="shared" si="97"/>
        <v>52350.898521176023</v>
      </c>
    </row>
    <row r="48" spans="1:34">
      <c r="A48" s="200"/>
      <c r="B48" s="199"/>
      <c r="C48" s="140"/>
      <c r="D48" s="140"/>
      <c r="E48" s="146"/>
      <c r="F48" s="146"/>
      <c r="G48" s="149" t="e">
        <f t="shared" ref="G48:Q48" si="131">(G47-F47)/F47</f>
        <v>#DIV/0!</v>
      </c>
      <c r="H48" s="149">
        <f t="shared" si="131"/>
        <v>0</v>
      </c>
      <c r="I48" s="149">
        <f t="shared" si="131"/>
        <v>4.5555555555555554</v>
      </c>
      <c r="J48" s="149">
        <f t="shared" si="131"/>
        <v>1</v>
      </c>
      <c r="K48" s="149">
        <f t="shared" si="131"/>
        <v>0.8</v>
      </c>
      <c r="L48" s="149">
        <f t="shared" si="131"/>
        <v>0.20833333333333334</v>
      </c>
      <c r="M48" s="149">
        <f t="shared" si="131"/>
        <v>0.32183908045977011</v>
      </c>
      <c r="N48" s="149">
        <f t="shared" si="131"/>
        <v>8.3478260869565224E-2</v>
      </c>
      <c r="O48" s="149">
        <f t="shared" si="131"/>
        <v>0.3756019261637239</v>
      </c>
      <c r="P48" s="149">
        <f t="shared" si="131"/>
        <v>0.46674445740956827</v>
      </c>
      <c r="Q48" s="149">
        <f t="shared" si="131"/>
        <v>0.36913285600636436</v>
      </c>
      <c r="R48" s="149">
        <f t="shared" ref="R48" si="132">(R47-Q47)/Q47</f>
        <v>0.18942475305055201</v>
      </c>
      <c r="S48" s="149">
        <f t="shared" ref="S48" si="133">(S47-R47)/R47</f>
        <v>0.33317049340498289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0"/>
      <c r="B49" s="199" t="s">
        <v>481</v>
      </c>
      <c r="C49" s="140"/>
      <c r="D49" s="140"/>
      <c r="E49" s="146"/>
      <c r="F49" s="146"/>
      <c r="G49" s="202">
        <f>H49</f>
        <v>0</v>
      </c>
      <c r="H49" s="202">
        <v>0</v>
      </c>
      <c r="I49" s="202">
        <v>0</v>
      </c>
      <c r="J49" s="202">
        <v>0</v>
      </c>
      <c r="K49" s="202">
        <v>0</v>
      </c>
      <c r="L49" s="202">
        <v>0</v>
      </c>
      <c r="M49" s="202">
        <v>0</v>
      </c>
      <c r="N49" s="202">
        <v>0</v>
      </c>
      <c r="O49" s="202">
        <v>0</v>
      </c>
      <c r="P49" s="202">
        <v>0</v>
      </c>
      <c r="Q49" s="202">
        <v>0</v>
      </c>
      <c r="R49" s="202">
        <v>0</v>
      </c>
      <c r="S49" s="202">
        <v>0</v>
      </c>
      <c r="T49" s="118" t="e">
        <f t="shared" si="22"/>
        <v>#DIV/0!</v>
      </c>
      <c r="U49" s="31">
        <f t="shared" si="6"/>
        <v>0.12</v>
      </c>
      <c r="V49" s="152">
        <f t="shared" si="86"/>
        <v>0</v>
      </c>
      <c r="W49" s="152">
        <f t="shared" si="87"/>
        <v>0</v>
      </c>
      <c r="X49" s="152">
        <f t="shared" si="88"/>
        <v>0</v>
      </c>
      <c r="Y49" s="152">
        <f t="shared" si="89"/>
        <v>0</v>
      </c>
      <c r="Z49" s="152">
        <f t="shared" si="90"/>
        <v>0</v>
      </c>
      <c r="AA49" s="152">
        <f t="shared" si="91"/>
        <v>0</v>
      </c>
      <c r="AB49" s="152">
        <f t="shared" si="92"/>
        <v>0</v>
      </c>
      <c r="AC49" s="152">
        <f t="shared" si="93"/>
        <v>0</v>
      </c>
      <c r="AD49" s="152">
        <f t="shared" si="94"/>
        <v>0</v>
      </c>
      <c r="AE49" s="152">
        <f t="shared" si="95"/>
        <v>0</v>
      </c>
      <c r="AF49" s="137" t="e">
        <f t="shared" si="96"/>
        <v>#DIV/0!</v>
      </c>
      <c r="AG49" s="31">
        <f t="shared" si="16"/>
        <v>0.05</v>
      </c>
      <c r="AH49" s="145">
        <f t="shared" si="97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202">
        <f>H51</f>
        <v>0</v>
      </c>
      <c r="H51" s="202">
        <v>0</v>
      </c>
      <c r="I51" s="202">
        <v>0</v>
      </c>
      <c r="J51" s="202">
        <v>0</v>
      </c>
      <c r="K51" s="202">
        <v>0</v>
      </c>
      <c r="L51" s="202">
        <v>0</v>
      </c>
      <c r="M51" s="202">
        <v>0</v>
      </c>
      <c r="N51" s="202">
        <v>0</v>
      </c>
      <c r="O51" s="202">
        <v>0</v>
      </c>
      <c r="P51" s="202">
        <v>0</v>
      </c>
      <c r="Q51" s="202">
        <v>0</v>
      </c>
      <c r="R51" s="202">
        <v>0</v>
      </c>
      <c r="S51" s="202">
        <v>0</v>
      </c>
      <c r="T51" s="118" t="e">
        <f t="shared" si="22"/>
        <v>#DIV/0!</v>
      </c>
      <c r="U51" s="31">
        <f t="shared" si="6"/>
        <v>0.12</v>
      </c>
      <c r="V51" s="152">
        <f t="shared" si="2"/>
        <v>0</v>
      </c>
      <c r="W51" s="152">
        <f t="shared" ref="W51" si="134">V51*(1+$U51)</f>
        <v>0</v>
      </c>
      <c r="X51" s="152">
        <f t="shared" ref="X51" si="135">W51*(1+$U51)</f>
        <v>0</v>
      </c>
      <c r="Y51" s="152">
        <f t="shared" ref="Y51" si="136">X51*(1+$U51)</f>
        <v>0</v>
      </c>
      <c r="Z51" s="152">
        <f t="shared" si="40"/>
        <v>0</v>
      </c>
      <c r="AA51" s="152">
        <f t="shared" si="41"/>
        <v>0</v>
      </c>
      <c r="AB51" s="152">
        <f t="shared" si="42"/>
        <v>0</v>
      </c>
      <c r="AC51" s="152">
        <f t="shared" si="43"/>
        <v>0</v>
      </c>
      <c r="AD51" s="152">
        <f t="shared" si="44"/>
        <v>0</v>
      </c>
      <c r="AE51" s="152">
        <f t="shared" si="45"/>
        <v>0</v>
      </c>
      <c r="AF51" s="137" t="e">
        <f t="shared" si="18"/>
        <v>#DIV/0!</v>
      </c>
      <c r="AG51" s="31">
        <f t="shared" si="16"/>
        <v>0.05</v>
      </c>
      <c r="AH51" s="145">
        <f t="shared" si="1"/>
        <v>0</v>
      </c>
    </row>
    <row r="52" spans="1:34" s="123" customFormat="1">
      <c r="B52" s="23"/>
      <c r="C52" s="147"/>
      <c r="D52" s="147"/>
      <c r="E52" s="148"/>
      <c r="F52" s="148"/>
      <c r="G52" s="149" t="e">
        <f t="shared" ref="G52:Q52" si="137">(G51-F51)/F51</f>
        <v>#DIV/0!</v>
      </c>
      <c r="H52" s="149" t="e">
        <f t="shared" si="137"/>
        <v>#DIV/0!</v>
      </c>
      <c r="I52" s="149" t="e">
        <f t="shared" si="137"/>
        <v>#DIV/0!</v>
      </c>
      <c r="J52" s="149" t="e">
        <f t="shared" si="137"/>
        <v>#DIV/0!</v>
      </c>
      <c r="K52" s="149" t="e">
        <f t="shared" si="137"/>
        <v>#DIV/0!</v>
      </c>
      <c r="L52" s="149" t="e">
        <f t="shared" si="137"/>
        <v>#DIV/0!</v>
      </c>
      <c r="M52" s="149" t="e">
        <f t="shared" si="137"/>
        <v>#DIV/0!</v>
      </c>
      <c r="N52" s="149" t="e">
        <f t="shared" si="137"/>
        <v>#DIV/0!</v>
      </c>
      <c r="O52" s="149" t="e">
        <f t="shared" si="137"/>
        <v>#DIV/0!</v>
      </c>
      <c r="P52" s="149" t="e">
        <f t="shared" si="137"/>
        <v>#DIV/0!</v>
      </c>
      <c r="Q52" s="149" t="e">
        <f t="shared" si="137"/>
        <v>#DIV/0!</v>
      </c>
      <c r="R52" s="149" t="e">
        <f t="shared" ref="R52:S52" si="138">(R51-Q51)/Q51</f>
        <v>#DIV/0!</v>
      </c>
      <c r="S52" s="149" t="e">
        <f t="shared" si="138"/>
        <v>#DIV/0!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202">
        <f>H53</f>
        <v>0</v>
      </c>
      <c r="H53" s="202">
        <v>0</v>
      </c>
      <c r="I53" s="202">
        <v>0</v>
      </c>
      <c r="J53" s="202">
        <v>0</v>
      </c>
      <c r="K53" s="202">
        <v>0</v>
      </c>
      <c r="L53" s="202">
        <v>0</v>
      </c>
      <c r="M53" s="202">
        <v>0</v>
      </c>
      <c r="N53" s="202">
        <v>0</v>
      </c>
      <c r="O53" s="202">
        <v>0</v>
      </c>
      <c r="P53" s="202">
        <v>0</v>
      </c>
      <c r="Q53" s="202">
        <v>0</v>
      </c>
      <c r="R53" s="202">
        <v>0</v>
      </c>
      <c r="S53" s="202">
        <v>0</v>
      </c>
      <c r="T53" s="118" t="e">
        <f t="shared" si="22"/>
        <v>#DIV/0!</v>
      </c>
      <c r="U53" s="31">
        <f t="shared" si="6"/>
        <v>0.12</v>
      </c>
      <c r="V53" s="152">
        <f t="shared" si="2"/>
        <v>0</v>
      </c>
      <c r="W53" s="152">
        <f t="shared" ref="W53" si="139">V53*(1+$U53)</f>
        <v>0</v>
      </c>
      <c r="X53" s="152">
        <f t="shared" ref="X53" si="140">W53*(1+$U53)</f>
        <v>0</v>
      </c>
      <c r="Y53" s="152">
        <f t="shared" ref="Y53" si="141">X53*(1+$U53)</f>
        <v>0</v>
      </c>
      <c r="Z53" s="152">
        <f t="shared" ref="Z53" si="142">Y53*(1+$U53)</f>
        <v>0</v>
      </c>
      <c r="AA53" s="152">
        <f t="shared" ref="AA53" si="143">Z53*(1+$U53)</f>
        <v>0</v>
      </c>
      <c r="AB53" s="152">
        <f t="shared" ref="AB53" si="144">AA53*(1+$U53)</f>
        <v>0</v>
      </c>
      <c r="AC53" s="152">
        <f t="shared" ref="AC53" si="145">AB53*(1+$U53)</f>
        <v>0</v>
      </c>
      <c r="AD53" s="152">
        <f t="shared" ref="AD53" si="146">AC53*(1+$U53)</f>
        <v>0</v>
      </c>
      <c r="AE53" s="152">
        <f t="shared" ref="AE53" si="147">AD53*(1+$U53)</f>
        <v>0</v>
      </c>
      <c r="AF53" s="137" t="e">
        <f t="shared" ref="AF53" si="148">((AE53/I53)^(1/($AE$3-$J$1) ))-1</f>
        <v>#DIV/0!</v>
      </c>
      <c r="AG53" s="31">
        <f t="shared" si="16"/>
        <v>0.05</v>
      </c>
      <c r="AH53" s="145">
        <f t="shared" ref="AH53" si="149">(AE53*(1+AG53))/($C$1-AG53)</f>
        <v>0</v>
      </c>
    </row>
    <row r="54" spans="1:34" s="123" customFormat="1">
      <c r="B54" s="23"/>
      <c r="C54" s="147"/>
      <c r="D54" s="147"/>
      <c r="E54" s="148"/>
      <c r="F54" s="148"/>
      <c r="G54" s="149" t="e">
        <f t="shared" ref="G54:Q54" si="150">(G53-F53)/F53</f>
        <v>#DIV/0!</v>
      </c>
      <c r="H54" s="149" t="e">
        <f t="shared" si="150"/>
        <v>#DIV/0!</v>
      </c>
      <c r="I54" s="149" t="e">
        <f t="shared" si="150"/>
        <v>#DIV/0!</v>
      </c>
      <c r="J54" s="149" t="e">
        <f t="shared" si="150"/>
        <v>#DIV/0!</v>
      </c>
      <c r="K54" s="149" t="e">
        <f t="shared" si="150"/>
        <v>#DIV/0!</v>
      </c>
      <c r="L54" s="149" t="e">
        <f t="shared" si="150"/>
        <v>#DIV/0!</v>
      </c>
      <c r="M54" s="149" t="e">
        <f t="shared" si="150"/>
        <v>#DIV/0!</v>
      </c>
      <c r="N54" s="149" t="e">
        <f t="shared" si="150"/>
        <v>#DIV/0!</v>
      </c>
      <c r="O54" s="149" t="e">
        <f t="shared" si="150"/>
        <v>#DIV/0!</v>
      </c>
      <c r="P54" s="149" t="e">
        <f t="shared" si="150"/>
        <v>#DIV/0!</v>
      </c>
      <c r="Q54" s="149" t="e">
        <f t="shared" si="150"/>
        <v>#DIV/0!</v>
      </c>
      <c r="R54" s="149" t="e">
        <f t="shared" ref="R54:S54" si="151">(R53-Q53)/Q53</f>
        <v>#DIV/0!</v>
      </c>
      <c r="S54" s="149" t="e">
        <f t="shared" si="151"/>
        <v>#DIV/0!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204">
        <f>H55</f>
        <v>-4</v>
      </c>
      <c r="H55" s="204">
        <v>-4</v>
      </c>
      <c r="I55" s="204">
        <v>55</v>
      </c>
      <c r="J55" s="142">
        <v>94</v>
      </c>
      <c r="K55" s="142">
        <v>200</v>
      </c>
      <c r="L55" s="205">
        <v>304</v>
      </c>
      <c r="M55" s="205">
        <v>478</v>
      </c>
      <c r="N55" s="205">
        <v>727</v>
      </c>
      <c r="O55" s="205">
        <v>977</v>
      </c>
      <c r="P55" s="205">
        <v>1300</v>
      </c>
      <c r="Q55" s="205">
        <v>1611</v>
      </c>
      <c r="R55" s="202">
        <v>1997</v>
      </c>
      <c r="S55" s="202">
        <v>2529</v>
      </c>
      <c r="T55" s="118" t="e">
        <f t="shared" si="22"/>
        <v>#NUM!</v>
      </c>
      <c r="U55" s="31">
        <f t="shared" si="6"/>
        <v>0.12</v>
      </c>
      <c r="V55" s="152">
        <f t="shared" si="2"/>
        <v>2832.4800000000005</v>
      </c>
      <c r="W55" s="152">
        <f t="shared" ref="W55:AE55" si="152">V55*(1+$U55)</f>
        <v>3172.3776000000007</v>
      </c>
      <c r="X55" s="152">
        <f t="shared" si="152"/>
        <v>3553.0629120000012</v>
      </c>
      <c r="Y55" s="152">
        <f t="shared" si="152"/>
        <v>3979.4304614400016</v>
      </c>
      <c r="Z55" s="152">
        <f t="shared" si="152"/>
        <v>4456.9621168128024</v>
      </c>
      <c r="AA55" s="152">
        <f t="shared" si="152"/>
        <v>4991.7975708303393</v>
      </c>
      <c r="AB55" s="152">
        <f t="shared" si="152"/>
        <v>5590.8132793299801</v>
      </c>
      <c r="AC55" s="152">
        <f t="shared" si="152"/>
        <v>6261.7108728495787</v>
      </c>
      <c r="AD55" s="152">
        <f t="shared" si="152"/>
        <v>7013.1161775915289</v>
      </c>
      <c r="AE55" s="152">
        <f t="shared" si="152"/>
        <v>7854.6901189025129</v>
      </c>
      <c r="AF55" s="137">
        <f t="shared" si="18"/>
        <v>0.26650795574714103</v>
      </c>
      <c r="AG55" s="31">
        <f t="shared" si="16"/>
        <v>0.05</v>
      </c>
      <c r="AH55" s="145">
        <f t="shared" si="1"/>
        <v>48514.262499103766</v>
      </c>
    </row>
    <row r="56" spans="1:34" s="123" customFormat="1">
      <c r="B56" s="23"/>
      <c r="C56" s="147"/>
      <c r="D56" s="147"/>
      <c r="E56" s="148"/>
      <c r="F56" s="148"/>
      <c r="G56" s="149" t="e">
        <f t="shared" ref="G56:Q56" si="153">(G55-F55)/F55</f>
        <v>#DIV/0!</v>
      </c>
      <c r="H56" s="149">
        <f t="shared" si="153"/>
        <v>0</v>
      </c>
      <c r="I56" s="149">
        <f t="shared" si="153"/>
        <v>-14.75</v>
      </c>
      <c r="J56" s="149">
        <f t="shared" si="153"/>
        <v>0.70909090909090911</v>
      </c>
      <c r="K56" s="149">
        <f t="shared" si="153"/>
        <v>1.1276595744680851</v>
      </c>
      <c r="L56" s="149">
        <f t="shared" si="153"/>
        <v>0.52</v>
      </c>
      <c r="M56" s="149">
        <f t="shared" si="153"/>
        <v>0.57236842105263153</v>
      </c>
      <c r="N56" s="149">
        <f t="shared" si="153"/>
        <v>0.52092050209205021</v>
      </c>
      <c r="O56" s="149">
        <f t="shared" si="153"/>
        <v>0.34387895460797802</v>
      </c>
      <c r="P56" s="149">
        <f t="shared" si="153"/>
        <v>0.330603889457523</v>
      </c>
      <c r="Q56" s="149">
        <f t="shared" si="153"/>
        <v>0.23923076923076922</v>
      </c>
      <c r="R56" s="149">
        <f t="shared" ref="R56:S56" si="154">(R55-Q55)/Q55</f>
        <v>0.23960273122284295</v>
      </c>
      <c r="S56" s="149">
        <f t="shared" si="154"/>
        <v>0.26639959939909863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204">
        <v>20</v>
      </c>
      <c r="H57" s="204">
        <v>20</v>
      </c>
      <c r="I57" s="204">
        <v>27</v>
      </c>
      <c r="J57" s="142">
        <v>28</v>
      </c>
      <c r="K57" s="142">
        <v>29.7</v>
      </c>
      <c r="L57" s="205">
        <v>29.69</v>
      </c>
      <c r="M57" s="205">
        <v>33.96</v>
      </c>
      <c r="N57" s="205">
        <v>34.700000000000003</v>
      </c>
      <c r="O57" s="205">
        <v>35.29</v>
      </c>
      <c r="P57" s="205">
        <v>35.86</v>
      </c>
      <c r="Q57" s="205">
        <v>36.06</v>
      </c>
      <c r="R57" s="144">
        <v>41.77</v>
      </c>
      <c r="S57" s="202">
        <v>42.05</v>
      </c>
      <c r="T57" s="118">
        <f t="shared" si="22"/>
        <v>6.3884954289208151E-2</v>
      </c>
      <c r="U57" s="31">
        <v>0.05</v>
      </c>
      <c r="V57" s="152">
        <f t="shared" si="2"/>
        <v>44.152499999999996</v>
      </c>
      <c r="W57" s="152">
        <f>V57*(1+$U57)</f>
        <v>46.360124999999996</v>
      </c>
      <c r="X57" s="152">
        <f t="shared" ref="X57:AE57" si="155">W57*(1+$U57)</f>
        <v>48.67813125</v>
      </c>
      <c r="Y57" s="152">
        <f t="shared" si="155"/>
        <v>51.112037812499999</v>
      </c>
      <c r="Z57" s="152">
        <f t="shared" si="155"/>
        <v>53.667639703124998</v>
      </c>
      <c r="AA57" s="152">
        <f t="shared" si="155"/>
        <v>56.35102168828125</v>
      </c>
      <c r="AB57" s="152">
        <f t="shared" si="155"/>
        <v>59.168572772695313</v>
      </c>
      <c r="AC57" s="152">
        <f t="shared" si="155"/>
        <v>62.127001411330085</v>
      </c>
      <c r="AD57" s="152">
        <f t="shared" si="155"/>
        <v>65.233351481896591</v>
      </c>
      <c r="AE57" s="152">
        <f t="shared" si="155"/>
        <v>68.49501905599142</v>
      </c>
      <c r="AF57" s="137">
        <f t="shared" si="18"/>
        <v>4.532696537559211E-2</v>
      </c>
      <c r="AG57" s="31">
        <f t="shared" si="16"/>
        <v>0.05</v>
      </c>
      <c r="AH57" s="145">
        <f t="shared" si="1"/>
        <v>423.05747063994704</v>
      </c>
    </row>
    <row r="58" spans="1:34">
      <c r="B58" s="20"/>
      <c r="C58" s="141"/>
      <c r="D58" s="141"/>
      <c r="E58" s="142"/>
      <c r="F58" s="142"/>
      <c r="G58" s="149" t="e">
        <f t="shared" ref="G58:Q58" si="156">(G57-F57)/F57</f>
        <v>#DIV/0!</v>
      </c>
      <c r="H58" s="149">
        <f t="shared" si="156"/>
        <v>0</v>
      </c>
      <c r="I58" s="149">
        <f t="shared" si="156"/>
        <v>0.35</v>
      </c>
      <c r="J58" s="149">
        <f t="shared" si="156"/>
        <v>3.7037037037037035E-2</v>
      </c>
      <c r="K58" s="149">
        <f t="shared" si="156"/>
        <v>6.0714285714285686E-2</v>
      </c>
      <c r="L58" s="149">
        <f t="shared" si="156"/>
        <v>-3.3670033670026971E-4</v>
      </c>
      <c r="M58" s="149">
        <f t="shared" si="156"/>
        <v>0.14381946783428762</v>
      </c>
      <c r="N58" s="149">
        <f t="shared" si="156"/>
        <v>2.1790341578327502E-2</v>
      </c>
      <c r="O58" s="149">
        <f t="shared" si="156"/>
        <v>1.7002881844380296E-2</v>
      </c>
      <c r="P58" s="149">
        <f t="shared" si="156"/>
        <v>1.6151884386511769E-2</v>
      </c>
      <c r="Q58" s="149">
        <f t="shared" si="156"/>
        <v>5.5772448410486017E-3</v>
      </c>
      <c r="R58" s="149">
        <f t="shared" ref="R58:S58" si="157">(R57-Q57)/Q57</f>
        <v>0.15834719911259015</v>
      </c>
      <c r="S58" s="149">
        <f t="shared" si="157"/>
        <v>6.7033756284413217E-3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6">
        <v>0.1</v>
      </c>
      <c r="H59" s="146">
        <v>0</v>
      </c>
      <c r="I59" s="146">
        <v>0</v>
      </c>
      <c r="J59" s="146">
        <v>0</v>
      </c>
      <c r="K59" s="146">
        <v>0</v>
      </c>
      <c r="L59" s="146">
        <v>0</v>
      </c>
      <c r="M59" s="146">
        <v>1.5</v>
      </c>
      <c r="N59" s="146">
        <v>2.5</v>
      </c>
      <c r="O59" s="146">
        <v>4</v>
      </c>
      <c r="P59" s="146">
        <v>6</v>
      </c>
      <c r="Q59" s="146">
        <v>8</v>
      </c>
      <c r="R59" s="202">
        <v>9</v>
      </c>
      <c r="S59" s="202">
        <v>10</v>
      </c>
      <c r="T59" s="118">
        <f t="shared" si="22"/>
        <v>0.46779926762206969</v>
      </c>
      <c r="U59" s="31">
        <f>R1</f>
        <v>0.05</v>
      </c>
      <c r="V59" s="152">
        <f t="shared" si="2"/>
        <v>10.5</v>
      </c>
      <c r="W59" s="152">
        <f t="shared" ref="W59" si="158">V59*(1+$U59)</f>
        <v>11.025</v>
      </c>
      <c r="X59" s="152">
        <f t="shared" ref="X59" si="159">W59*(1+$U59)</f>
        <v>11.576250000000002</v>
      </c>
      <c r="Y59" s="152">
        <f t="shared" ref="Y59" si="160">X59*(1+$U59)</f>
        <v>12.155062500000001</v>
      </c>
      <c r="Z59" s="152">
        <f t="shared" ref="Z59" si="161">Y59*(1+$U59)</f>
        <v>12.762815625000002</v>
      </c>
      <c r="AA59" s="152">
        <f t="shared" ref="AA59" si="162">Z59*(1+$U59)</f>
        <v>13.400956406250003</v>
      </c>
      <c r="AB59" s="152">
        <f t="shared" ref="AB59" si="163">AA59*(1+$U59)</f>
        <v>14.071004226562504</v>
      </c>
      <c r="AC59" s="152">
        <f t="shared" ref="AC59" si="164">AB59*(1+$U59)</f>
        <v>14.774554437890631</v>
      </c>
      <c r="AD59" s="152">
        <f t="shared" ref="AD59" si="165">AC59*(1+$U59)</f>
        <v>15.513282159785163</v>
      </c>
      <c r="AE59" s="152">
        <f t="shared" ref="AE59" si="166">AD59*(1+$U59)</f>
        <v>16.288946267774421</v>
      </c>
      <c r="AF59" s="137" t="e">
        <f t="shared" ref="AF59" si="167">((AE59/I59)^(1/($AE$3-$J$1) ))-1</f>
        <v>#DIV/0!</v>
      </c>
      <c r="AG59" s="31">
        <f t="shared" si="16"/>
        <v>0.05</v>
      </c>
      <c r="AH59" s="145">
        <f t="shared" si="1"/>
        <v>100.6081975362538</v>
      </c>
    </row>
    <row r="60" spans="1:34">
      <c r="B60" s="20"/>
      <c r="C60" s="144"/>
      <c r="D60" s="144"/>
      <c r="E60" s="144"/>
      <c r="F60" s="144"/>
      <c r="G60" s="149" t="e">
        <f t="shared" ref="G60:Q60" si="168">(G59-F59)/F59</f>
        <v>#DIV/0!</v>
      </c>
      <c r="H60" s="149">
        <f t="shared" si="168"/>
        <v>-1</v>
      </c>
      <c r="I60" s="149" t="e">
        <f t="shared" si="168"/>
        <v>#DIV/0!</v>
      </c>
      <c r="J60" s="149" t="e">
        <f t="shared" si="168"/>
        <v>#DIV/0!</v>
      </c>
      <c r="K60" s="149" t="e">
        <f t="shared" si="168"/>
        <v>#DIV/0!</v>
      </c>
      <c r="L60" s="149" t="e">
        <f t="shared" si="168"/>
        <v>#DIV/0!</v>
      </c>
      <c r="M60" s="149" t="e">
        <f t="shared" si="168"/>
        <v>#DIV/0!</v>
      </c>
      <c r="N60" s="149">
        <f t="shared" si="168"/>
        <v>0.66666666666666663</v>
      </c>
      <c r="O60" s="149">
        <f t="shared" si="168"/>
        <v>0.6</v>
      </c>
      <c r="P60" s="149">
        <f t="shared" si="168"/>
        <v>0.5</v>
      </c>
      <c r="Q60" s="149">
        <f t="shared" si="168"/>
        <v>0.33333333333333331</v>
      </c>
      <c r="R60" s="149">
        <f t="shared" ref="R60:S60" si="169">(R59-Q59)/Q59</f>
        <v>0.125</v>
      </c>
      <c r="S60" s="149">
        <f t="shared" si="169"/>
        <v>0.1111111111111111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170">G25/G57</f>
        <v>2.4</v>
      </c>
      <c r="H66" s="133">
        <f t="shared" si="170"/>
        <v>2.4</v>
      </c>
      <c r="I66" s="133">
        <f t="shared" ref="I66:R66" si="171">I25/I57</f>
        <v>10.703703703703704</v>
      </c>
      <c r="J66" s="133">
        <f t="shared" si="171"/>
        <v>28.142857142857142</v>
      </c>
      <c r="K66" s="133">
        <f t="shared" si="171"/>
        <v>56.262626262626263</v>
      </c>
      <c r="L66" s="133">
        <f t="shared" si="171"/>
        <v>82.115190299764222</v>
      </c>
      <c r="M66" s="133">
        <f t="shared" si="171"/>
        <v>86.719670200235569</v>
      </c>
      <c r="N66" s="133">
        <f t="shared" si="171"/>
        <v>134.43804034582132</v>
      </c>
      <c r="O66" s="133">
        <f t="shared" si="171"/>
        <v>203.0036837631057</v>
      </c>
      <c r="P66" s="133">
        <f t="shared" si="171"/>
        <v>266.34132738427218</v>
      </c>
      <c r="Q66" s="133">
        <f t="shared" si="171"/>
        <v>324.51469772601217</v>
      </c>
      <c r="R66" s="133">
        <f t="shared" si="171"/>
        <v>326.04740244194397</v>
      </c>
      <c r="S66" s="133">
        <f t="shared" ref="S66" si="172">S25/S57</f>
        <v>386.730083234245</v>
      </c>
      <c r="T66" s="118">
        <f t="shared" ref="T66:T68" si="173">((S66/G66)^(1/($J$2-$J$1) ))-1</f>
        <v>0.52733062341831749</v>
      </c>
      <c r="U66" s="128"/>
      <c r="V66" s="156">
        <f t="shared" ref="V66:AE66" si="174">V25/V57</f>
        <v>412.51208878319471</v>
      </c>
      <c r="W66" s="156">
        <f t="shared" si="174"/>
        <v>440.01289470207439</v>
      </c>
      <c r="X66" s="156">
        <f t="shared" si="174"/>
        <v>469.3470876822127</v>
      </c>
      <c r="Y66" s="156">
        <f t="shared" si="174"/>
        <v>500.63689352769364</v>
      </c>
      <c r="Z66" s="156">
        <f t="shared" si="174"/>
        <v>534.01268642953994</v>
      </c>
      <c r="AA66" s="156">
        <f t="shared" si="174"/>
        <v>569.61353219150931</v>
      </c>
      <c r="AB66" s="156">
        <f t="shared" si="174"/>
        <v>607.58776767094332</v>
      </c>
      <c r="AC66" s="156">
        <f t="shared" si="174"/>
        <v>648.09361884900625</v>
      </c>
      <c r="AD66" s="156">
        <f t="shared" si="174"/>
        <v>691.29986010560674</v>
      </c>
      <c r="AE66" s="156">
        <f t="shared" si="174"/>
        <v>737.38651744598064</v>
      </c>
      <c r="AF66" s="137">
        <f t="shared" ref="AF66" si="175">((AE66/I66)^(1/($AE$3-$J$1) ))-1</f>
        <v>0.22329579145510547</v>
      </c>
      <c r="AG66" s="31">
        <f t="shared" si="16"/>
        <v>0.05</v>
      </c>
      <c r="AH66" s="145">
        <f t="shared" ref="AH66:AH67" si="176">(AE66*(1+AG66))/($C$1-AG66)</f>
        <v>4554.4461371663519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177">G27/G57</f>
        <v>0.59250000000000003</v>
      </c>
      <c r="H67" s="133">
        <f t="shared" si="177"/>
        <v>0.59250000000000003</v>
      </c>
      <c r="I67" s="133">
        <f t="shared" ref="I67:R67" si="178">I27/I57</f>
        <v>3.8888888888888888</v>
      </c>
      <c r="J67" s="133">
        <f t="shared" si="178"/>
        <v>14.857142857142858</v>
      </c>
      <c r="K67" s="133">
        <f t="shared" si="178"/>
        <v>32.794612794612796</v>
      </c>
      <c r="L67" s="133">
        <f t="shared" si="178"/>
        <v>50.2526103065005</v>
      </c>
      <c r="M67" s="133">
        <f t="shared" si="178"/>
        <v>72.644287396937571</v>
      </c>
      <c r="N67" s="133">
        <f t="shared" si="178"/>
        <v>113.45821325648414</v>
      </c>
      <c r="O67" s="133">
        <f t="shared" si="178"/>
        <v>175.31878719183905</v>
      </c>
      <c r="P67" s="133">
        <f t="shared" si="178"/>
        <v>230.06134969325154</v>
      </c>
      <c r="Q67" s="133">
        <f t="shared" si="178"/>
        <v>279.83915696062115</v>
      </c>
      <c r="R67" s="133">
        <f t="shared" si="178"/>
        <v>278.23796983480963</v>
      </c>
      <c r="S67" s="133">
        <f t="shared" ref="S67" si="179">S27/S57</f>
        <v>326.58739595719385</v>
      </c>
      <c r="T67" s="118">
        <f t="shared" si="173"/>
        <v>0.69216453524192323</v>
      </c>
      <c r="U67" s="128"/>
      <c r="V67" s="156">
        <f t="shared" ref="V67:AE67" si="180">V27/V57</f>
        <v>348.35988902100678</v>
      </c>
      <c r="W67" s="156">
        <f t="shared" si="180"/>
        <v>371.58388162240726</v>
      </c>
      <c r="X67" s="156">
        <f t="shared" si="180"/>
        <v>396.35614039723441</v>
      </c>
      <c r="Y67" s="156">
        <f t="shared" si="180"/>
        <v>422.77988309038341</v>
      </c>
      <c r="Z67" s="156">
        <f t="shared" si="180"/>
        <v>450.96520862974239</v>
      </c>
      <c r="AA67" s="156">
        <f t="shared" si="180"/>
        <v>481.02955587172522</v>
      </c>
      <c r="AB67" s="156">
        <f t="shared" si="180"/>
        <v>513.09819292984025</v>
      </c>
      <c r="AC67" s="156">
        <f t="shared" si="180"/>
        <v>547.304739125163</v>
      </c>
      <c r="AD67" s="156">
        <f t="shared" si="180"/>
        <v>583.7917217335073</v>
      </c>
      <c r="AE67" s="156">
        <f t="shared" si="180"/>
        <v>622.71116984907439</v>
      </c>
      <c r="AF67" s="137">
        <f t="shared" ref="AF67" si="181">((AE67/I67)^(1/($AE$3-$J$1) ))-1</f>
        <v>0.27342783650791525</v>
      </c>
      <c r="AG67" s="31">
        <f t="shared" si="16"/>
        <v>0.05</v>
      </c>
      <c r="AH67" s="145">
        <f t="shared" si="176"/>
        <v>3846.1572255384008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182">G53-G55</f>
        <v>4</v>
      </c>
      <c r="H68" s="133">
        <f t="shared" si="182"/>
        <v>4</v>
      </c>
      <c r="I68" s="133">
        <f>I53-I55</f>
        <v>-55</v>
      </c>
      <c r="J68" s="133">
        <f t="shared" ref="J68:R68" si="183">J53-J55</f>
        <v>-94</v>
      </c>
      <c r="K68" s="133">
        <f t="shared" si="183"/>
        <v>-200</v>
      </c>
      <c r="L68" s="133">
        <f t="shared" si="183"/>
        <v>-304</v>
      </c>
      <c r="M68" s="133">
        <f t="shared" si="183"/>
        <v>-478</v>
      </c>
      <c r="N68" s="133">
        <f t="shared" si="183"/>
        <v>-727</v>
      </c>
      <c r="O68" s="133">
        <f t="shared" si="183"/>
        <v>-977</v>
      </c>
      <c r="P68" s="133">
        <f t="shared" si="183"/>
        <v>-1300</v>
      </c>
      <c r="Q68" s="133">
        <f t="shared" si="183"/>
        <v>-1611</v>
      </c>
      <c r="R68" s="133">
        <f t="shared" si="183"/>
        <v>-1997</v>
      </c>
      <c r="S68" s="133">
        <f t="shared" ref="S68" si="184">S53-S55</f>
        <v>-2529</v>
      </c>
      <c r="T68" s="118" t="e">
        <f t="shared" si="173"/>
        <v>#NUM!</v>
      </c>
      <c r="U68" s="128"/>
      <c r="V68" s="133">
        <f t="shared" ref="V68:AE68" si="185">V53-V55</f>
        <v>-2832.4800000000005</v>
      </c>
      <c r="W68" s="133">
        <f t="shared" si="185"/>
        <v>-3172.3776000000007</v>
      </c>
      <c r="X68" s="133">
        <f t="shared" si="185"/>
        <v>-3553.0629120000012</v>
      </c>
      <c r="Y68" s="133">
        <f t="shared" si="185"/>
        <v>-3979.4304614400016</v>
      </c>
      <c r="Z68" s="133">
        <f t="shared" si="185"/>
        <v>-4456.9621168128024</v>
      </c>
      <c r="AA68" s="133">
        <f t="shared" si="185"/>
        <v>-4991.7975708303393</v>
      </c>
      <c r="AB68" s="133">
        <f t="shared" si="185"/>
        <v>-5590.8132793299801</v>
      </c>
      <c r="AC68" s="133">
        <f t="shared" si="185"/>
        <v>-6261.7108728495787</v>
      </c>
      <c r="AD68" s="133">
        <f t="shared" si="185"/>
        <v>-7013.1161775915289</v>
      </c>
      <c r="AE68" s="133">
        <f t="shared" si="185"/>
        <v>-7854.6901189025129</v>
      </c>
      <c r="AF68" s="137">
        <f t="shared" ref="AF68" si="186">((AE68/I68)^(1/($AE$3-$J$1) ))-1</f>
        <v>0.26650795574714103</v>
      </c>
      <c r="AG68" s="31">
        <f t="shared" si="16"/>
        <v>0.05</v>
      </c>
      <c r="AH68" s="145">
        <f t="shared" ref="AH68" si="187">(AE68*(1+AG68))/($C$1-AG68)</f>
        <v>-48514.262499103766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458</v>
      </c>
      <c r="C70" s="133"/>
      <c r="D70" s="133"/>
      <c r="E70" s="133"/>
      <c r="F70" s="133"/>
      <c r="G70" s="25">
        <f t="shared" ref="G70:H70" si="188">G51/G57</f>
        <v>0</v>
      </c>
      <c r="H70" s="25">
        <f t="shared" si="188"/>
        <v>0</v>
      </c>
      <c r="I70" s="25">
        <f t="shared" ref="I70:R70" si="189">I51/I57</f>
        <v>0</v>
      </c>
      <c r="J70" s="25">
        <f t="shared" si="189"/>
        <v>0</v>
      </c>
      <c r="K70" s="25">
        <f t="shared" si="189"/>
        <v>0</v>
      </c>
      <c r="L70" s="25">
        <f t="shared" si="189"/>
        <v>0</v>
      </c>
      <c r="M70" s="25">
        <f t="shared" si="189"/>
        <v>0</v>
      </c>
      <c r="N70" s="25">
        <f t="shared" si="189"/>
        <v>0</v>
      </c>
      <c r="O70" s="25">
        <f t="shared" si="189"/>
        <v>0</v>
      </c>
      <c r="P70" s="25">
        <f t="shared" si="189"/>
        <v>0</v>
      </c>
      <c r="Q70" s="25">
        <f t="shared" si="189"/>
        <v>0</v>
      </c>
      <c r="R70" s="25">
        <f t="shared" si="189"/>
        <v>0</v>
      </c>
      <c r="S70" s="25">
        <f>S51/S57</f>
        <v>0</v>
      </c>
      <c r="T70" s="118" t="e">
        <f t="shared" ref="T70:T134" si="190">((S70/G70)^(1/($J$2-$J$1) ))-1</f>
        <v>#DIV/0!</v>
      </c>
      <c r="U70" s="128"/>
      <c r="V70" s="112">
        <f>V51/V57</f>
        <v>0</v>
      </c>
      <c r="W70" s="112">
        <f t="shared" ref="W70:AE70" si="191">W51/W57</f>
        <v>0</v>
      </c>
      <c r="X70" s="112">
        <f t="shared" si="191"/>
        <v>0</v>
      </c>
      <c r="Y70" s="112">
        <f t="shared" si="191"/>
        <v>0</v>
      </c>
      <c r="Z70" s="112">
        <f t="shared" si="191"/>
        <v>0</v>
      </c>
      <c r="AA70" s="112">
        <f t="shared" si="191"/>
        <v>0</v>
      </c>
      <c r="AB70" s="112">
        <f t="shared" si="191"/>
        <v>0</v>
      </c>
      <c r="AC70" s="112">
        <f t="shared" si="191"/>
        <v>0</v>
      </c>
      <c r="AD70" s="112">
        <f t="shared" si="191"/>
        <v>0</v>
      </c>
      <c r="AE70" s="112">
        <f t="shared" si="191"/>
        <v>0</v>
      </c>
      <c r="AF70" s="137" t="e">
        <f t="shared" ref="AF70:AF71" si="192">((AE70/I70)^(1/($AE$3-$J$1) ))-1</f>
        <v>#DIV/0!</v>
      </c>
      <c r="AG70" s="31">
        <f t="shared" si="16"/>
        <v>0.05</v>
      </c>
      <c r="AH70" s="145">
        <f t="shared" ref="AH70:AH71" si="193">(AE70*(1+AG70))/($C$1-AG70)</f>
        <v>0</v>
      </c>
    </row>
    <row r="71" spans="2:34">
      <c r="B71" s="20" t="s">
        <v>459</v>
      </c>
      <c r="C71" s="133"/>
      <c r="D71" s="133"/>
      <c r="E71" s="133"/>
      <c r="F71" s="133"/>
      <c r="G71" s="25">
        <f t="shared" ref="G71:H71" si="194">G53/G57</f>
        <v>0</v>
      </c>
      <c r="H71" s="25">
        <f t="shared" si="194"/>
        <v>0</v>
      </c>
      <c r="I71" s="25">
        <f t="shared" ref="I71:R71" si="195">I53/I57</f>
        <v>0</v>
      </c>
      <c r="J71" s="25">
        <f t="shared" si="195"/>
        <v>0</v>
      </c>
      <c r="K71" s="25">
        <f t="shared" si="195"/>
        <v>0</v>
      </c>
      <c r="L71" s="25">
        <f t="shared" si="195"/>
        <v>0</v>
      </c>
      <c r="M71" s="25">
        <f t="shared" si="195"/>
        <v>0</v>
      </c>
      <c r="N71" s="25">
        <f t="shared" si="195"/>
        <v>0</v>
      </c>
      <c r="O71" s="25">
        <f t="shared" si="195"/>
        <v>0</v>
      </c>
      <c r="P71" s="25">
        <f t="shared" si="195"/>
        <v>0</v>
      </c>
      <c r="Q71" s="25">
        <f t="shared" si="195"/>
        <v>0</v>
      </c>
      <c r="R71" s="25">
        <f t="shared" si="195"/>
        <v>0</v>
      </c>
      <c r="S71" s="25">
        <f>S53/S57</f>
        <v>0</v>
      </c>
      <c r="T71" s="118" t="e">
        <f t="shared" si="190"/>
        <v>#DIV/0!</v>
      </c>
      <c r="U71" s="128"/>
      <c r="V71" s="112">
        <f>V53/V57</f>
        <v>0</v>
      </c>
      <c r="W71" s="112">
        <f t="shared" ref="W71:AE71" si="196">W53/W57</f>
        <v>0</v>
      </c>
      <c r="X71" s="112">
        <f t="shared" si="196"/>
        <v>0</v>
      </c>
      <c r="Y71" s="112">
        <f t="shared" si="196"/>
        <v>0</v>
      </c>
      <c r="Z71" s="112">
        <f t="shared" si="196"/>
        <v>0</v>
      </c>
      <c r="AA71" s="112">
        <f t="shared" si="196"/>
        <v>0</v>
      </c>
      <c r="AB71" s="112">
        <f t="shared" si="196"/>
        <v>0</v>
      </c>
      <c r="AC71" s="112">
        <f t="shared" si="196"/>
        <v>0</v>
      </c>
      <c r="AD71" s="112">
        <f t="shared" si="196"/>
        <v>0</v>
      </c>
      <c r="AE71" s="112">
        <f t="shared" si="196"/>
        <v>0</v>
      </c>
      <c r="AF71" s="137" t="e">
        <f t="shared" si="192"/>
        <v>#DIV/0!</v>
      </c>
      <c r="AG71" s="31">
        <f t="shared" si="16"/>
        <v>0.05</v>
      </c>
      <c r="AH71" s="145">
        <f t="shared" si="193"/>
        <v>0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197">G55/G57</f>
        <v>-0.2</v>
      </c>
      <c r="H72" s="133">
        <f t="shared" si="197"/>
        <v>-0.2</v>
      </c>
      <c r="I72" s="133">
        <f t="shared" ref="I72:R72" si="198">I55/I57</f>
        <v>2.0370370370370372</v>
      </c>
      <c r="J72" s="133">
        <f t="shared" si="198"/>
        <v>3.3571428571428572</v>
      </c>
      <c r="K72" s="133">
        <f t="shared" si="198"/>
        <v>6.7340067340067344</v>
      </c>
      <c r="L72" s="133">
        <f t="shared" si="198"/>
        <v>10.239137756820478</v>
      </c>
      <c r="M72" s="133">
        <f t="shared" si="198"/>
        <v>14.075382803297996</v>
      </c>
      <c r="N72" s="133">
        <f t="shared" si="198"/>
        <v>20.95100864553314</v>
      </c>
      <c r="O72" s="133">
        <f t="shared" si="198"/>
        <v>27.684896571266648</v>
      </c>
      <c r="P72" s="133">
        <f t="shared" si="198"/>
        <v>36.252091466815394</v>
      </c>
      <c r="Q72" s="133">
        <f t="shared" si="198"/>
        <v>44.675540765391013</v>
      </c>
      <c r="R72" s="133">
        <f t="shared" si="198"/>
        <v>47.809432607134305</v>
      </c>
      <c r="S72" s="133">
        <f t="shared" ref="S72" si="199">S55/S57</f>
        <v>60.142687277051131</v>
      </c>
      <c r="T72" s="118" t="e">
        <f t="shared" si="190"/>
        <v>#NUM!</v>
      </c>
      <c r="U72" s="128"/>
      <c r="V72" s="156">
        <f t="shared" ref="V72:AE72" si="200">V55/V57</f>
        <v>64.152199762187891</v>
      </c>
      <c r="W72" s="156">
        <f t="shared" si="200"/>
        <v>68.429013079667087</v>
      </c>
      <c r="X72" s="156">
        <f t="shared" si="200"/>
        <v>72.990947284978219</v>
      </c>
      <c r="Y72" s="156">
        <f t="shared" si="200"/>
        <v>77.857010437310109</v>
      </c>
      <c r="Z72" s="156">
        <f t="shared" si="200"/>
        <v>83.047477799797463</v>
      </c>
      <c r="AA72" s="156">
        <f t="shared" si="200"/>
        <v>88.583976319783972</v>
      </c>
      <c r="AB72" s="156">
        <f t="shared" si="200"/>
        <v>94.489574741102899</v>
      </c>
      <c r="AC72" s="156">
        <f t="shared" si="200"/>
        <v>100.78887972384311</v>
      </c>
      <c r="AD72" s="156">
        <f t="shared" si="200"/>
        <v>107.50813837209932</v>
      </c>
      <c r="AE72" s="156">
        <f t="shared" si="200"/>
        <v>114.67534759690595</v>
      </c>
      <c r="AF72" s="137">
        <f t="shared" ref="AF72:AF86" si="201">((AE72/I72)^(1/($AE$3-$J$1) ))-1</f>
        <v>0.21159024659052728</v>
      </c>
      <c r="AG72" s="31">
        <f t="shared" si="16"/>
        <v>0.05</v>
      </c>
      <c r="AH72" s="145">
        <f t="shared" ref="AH72:AH100" si="202">(AE72*(1+AG72))/($C$1-AG72)</f>
        <v>708.28891162794866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203">G20/G57</f>
        <v>-2.75</v>
      </c>
      <c r="H73" s="133">
        <f t="shared" si="203"/>
        <v>-2.75</v>
      </c>
      <c r="I73" s="133">
        <f>I20/I57</f>
        <v>-6.1481481481481479</v>
      </c>
      <c r="J73" s="133">
        <f t="shared" ref="J73:R73" si="204">J20/J57</f>
        <v>64.321428571428569</v>
      </c>
      <c r="K73" s="133">
        <f t="shared" si="204"/>
        <v>-6.5993265993265995</v>
      </c>
      <c r="L73" s="133">
        <f t="shared" si="204"/>
        <v>-12.293701583024587</v>
      </c>
      <c r="M73" s="133">
        <f t="shared" si="204"/>
        <v>28.268551236749115</v>
      </c>
      <c r="N73" s="133">
        <f t="shared" si="204"/>
        <v>87.896253602305464</v>
      </c>
      <c r="O73" s="133">
        <f t="shared" si="204"/>
        <v>101.67186171720034</v>
      </c>
      <c r="P73" s="133">
        <f t="shared" si="204"/>
        <v>15.05856107083101</v>
      </c>
      <c r="Q73" s="133">
        <f t="shared" si="204"/>
        <v>123.34997226844148</v>
      </c>
      <c r="R73" s="133">
        <f t="shared" si="204"/>
        <v>-34.689968877184583</v>
      </c>
      <c r="S73" s="133">
        <f t="shared" ref="S73" si="205">S20/S57</f>
        <v>-8.6325802615933416</v>
      </c>
      <c r="T73" s="118">
        <f t="shared" si="190"/>
        <v>0.10002020154942115</v>
      </c>
      <c r="U73" s="128"/>
      <c r="V73" s="133">
        <f t="shared" ref="V73:AE73" si="206">V20/V57</f>
        <v>-9.2080856123662329</v>
      </c>
      <c r="W73" s="133">
        <f t="shared" si="206"/>
        <v>-9.8219579865239819</v>
      </c>
      <c r="X73" s="133">
        <f t="shared" si="206"/>
        <v>-10.476755185625581</v>
      </c>
      <c r="Y73" s="133">
        <f t="shared" si="206"/>
        <v>-11.175205531333955</v>
      </c>
      <c r="Z73" s="133">
        <f t="shared" si="206"/>
        <v>-11.920219233422886</v>
      </c>
      <c r="AA73" s="133">
        <f t="shared" si="206"/>
        <v>-12.714900515651079</v>
      </c>
      <c r="AB73" s="133">
        <f t="shared" si="206"/>
        <v>-13.56256055002782</v>
      </c>
      <c r="AC73" s="133">
        <f t="shared" si="206"/>
        <v>-14.466731253363008</v>
      </c>
      <c r="AD73" s="133">
        <f t="shared" si="206"/>
        <v>-15.431180003587208</v>
      </c>
      <c r="AE73" s="133">
        <f t="shared" si="206"/>
        <v>-16.459925337159689</v>
      </c>
      <c r="AF73" s="137">
        <f t="shared" ref="AF73" si="207">((AE73/I73)^(1/($AE$3-$J$1) ))-1</f>
        <v>4.8011100524370631E-2</v>
      </c>
      <c r="AG73" s="31">
        <f t="shared" si="16"/>
        <v>0.05</v>
      </c>
      <c r="AH73" s="145">
        <f t="shared" si="202"/>
        <v>-101.66424472951573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08">G7/G57</f>
        <v>10.85</v>
      </c>
      <c r="H74" s="133">
        <f t="shared" si="208"/>
        <v>10.85</v>
      </c>
      <c r="I74" s="133">
        <f t="shared" ref="I74:R74" si="209">I7/I57</f>
        <v>21.185185185185187</v>
      </c>
      <c r="J74" s="133">
        <f t="shared" si="209"/>
        <v>28.107142857142858</v>
      </c>
      <c r="K74" s="133">
        <f t="shared" si="209"/>
        <v>44.410774410774415</v>
      </c>
      <c r="L74" s="133">
        <f t="shared" si="209"/>
        <v>54.698551700909398</v>
      </c>
      <c r="M74" s="133">
        <f t="shared" si="209"/>
        <v>90.959952885747938</v>
      </c>
      <c r="N74" s="133">
        <f t="shared" si="209"/>
        <v>109.3371757925072</v>
      </c>
      <c r="O74" s="133">
        <f t="shared" si="209"/>
        <v>132.5021252479456</v>
      </c>
      <c r="P74" s="133">
        <f t="shared" si="209"/>
        <v>161.93530395984385</v>
      </c>
      <c r="Q74" s="133">
        <f t="shared" si="209"/>
        <v>197.3100388241819</v>
      </c>
      <c r="R74" s="133">
        <f t="shared" si="209"/>
        <v>279.26741680632028</v>
      </c>
      <c r="S74" s="133">
        <f t="shared" ref="S74" si="210">S7/S57</f>
        <v>327.27705112960763</v>
      </c>
      <c r="T74" s="118">
        <f t="shared" si="190"/>
        <v>0.32828260309001034</v>
      </c>
      <c r="U74" s="128"/>
      <c r="V74" s="156">
        <f t="shared" ref="V74:AE74" si="211">V7/V57</f>
        <v>349.09552120491486</v>
      </c>
      <c r="W74" s="156">
        <f t="shared" si="211"/>
        <v>372.36855595190923</v>
      </c>
      <c r="X74" s="156">
        <f t="shared" si="211"/>
        <v>397.19312634870323</v>
      </c>
      <c r="Y74" s="156">
        <f t="shared" si="211"/>
        <v>423.67266810528349</v>
      </c>
      <c r="Z74" s="156">
        <f t="shared" si="211"/>
        <v>451.91751264563578</v>
      </c>
      <c r="AA74" s="156">
        <f t="shared" si="211"/>
        <v>482.04534682201154</v>
      </c>
      <c r="AB74" s="156">
        <f t="shared" si="211"/>
        <v>514.18170327681241</v>
      </c>
      <c r="AC74" s="156">
        <f t="shared" si="211"/>
        <v>548.46048349526654</v>
      </c>
      <c r="AD74" s="156">
        <f t="shared" si="211"/>
        <v>585.02451572828431</v>
      </c>
      <c r="AE74" s="156">
        <f t="shared" si="211"/>
        <v>624.02615011016997</v>
      </c>
      <c r="AF74" s="137">
        <f t="shared" si="201"/>
        <v>0.17479070357332938</v>
      </c>
      <c r="AG74" s="31">
        <f t="shared" si="16"/>
        <v>0.05</v>
      </c>
      <c r="AH74" s="145">
        <f t="shared" si="202"/>
        <v>3854.2791624451684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12">G6/G57</f>
        <v>0.85</v>
      </c>
      <c r="H75" s="143">
        <f t="shared" si="212"/>
        <v>0.85</v>
      </c>
      <c r="I75" s="143">
        <f t="shared" ref="I75:R75" si="213">I6/I57</f>
        <v>11.222222222222221</v>
      </c>
      <c r="J75" s="143">
        <f t="shared" si="213"/>
        <v>18.107142857142858</v>
      </c>
      <c r="K75" s="143">
        <f t="shared" si="213"/>
        <v>34.444444444444443</v>
      </c>
      <c r="L75" s="143">
        <f t="shared" si="213"/>
        <v>44.695183563489387</v>
      </c>
      <c r="M75" s="143">
        <f t="shared" si="213"/>
        <v>80.948174322732626</v>
      </c>
      <c r="N75" s="143">
        <f t="shared" si="213"/>
        <v>99.308357348703169</v>
      </c>
      <c r="O75" s="143">
        <f t="shared" si="213"/>
        <v>122.49929158401814</v>
      </c>
      <c r="P75" s="143">
        <f t="shared" si="213"/>
        <v>151.952035694367</v>
      </c>
      <c r="Q75" s="143">
        <f t="shared" si="213"/>
        <v>187.49306711037158</v>
      </c>
      <c r="R75" s="143">
        <f t="shared" si="213"/>
        <v>269.26023461814697</v>
      </c>
      <c r="S75" s="143">
        <f t="shared" ref="S75" si="214">S6/S57</f>
        <v>317.26516052318669</v>
      </c>
      <c r="T75" s="118">
        <f t="shared" si="190"/>
        <v>0.63807439379172526</v>
      </c>
      <c r="U75" s="128"/>
      <c r="V75" s="155">
        <f t="shared" ref="V75:AE75" si="215">V6/V57</f>
        <v>338.41617122473252</v>
      </c>
      <c r="W75" s="155">
        <f t="shared" si="215"/>
        <v>360.97724930638145</v>
      </c>
      <c r="X75" s="155">
        <f t="shared" si="215"/>
        <v>385.0423992601402</v>
      </c>
      <c r="Y75" s="155">
        <f t="shared" si="215"/>
        <v>410.71189254414958</v>
      </c>
      <c r="Z75" s="155">
        <f t="shared" si="215"/>
        <v>438.09268538042625</v>
      </c>
      <c r="AA75" s="155">
        <f t="shared" si="215"/>
        <v>467.29886440578798</v>
      </c>
      <c r="AB75" s="155">
        <f t="shared" si="215"/>
        <v>498.45212203284058</v>
      </c>
      <c r="AC75" s="155">
        <f t="shared" si="215"/>
        <v>531.68226350169664</v>
      </c>
      <c r="AD75" s="155">
        <f t="shared" si="215"/>
        <v>567.12774773514298</v>
      </c>
      <c r="AE75" s="155">
        <f t="shared" si="215"/>
        <v>604.93626425081925</v>
      </c>
      <c r="AF75" s="137">
        <f t="shared" si="201"/>
        <v>0.20908993914788665</v>
      </c>
      <c r="AG75" s="31">
        <f t="shared" si="16"/>
        <v>0.05</v>
      </c>
      <c r="AH75" s="145">
        <f t="shared" si="202"/>
        <v>3736.3710439021197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16">G10/G57</f>
        <v>51.6</v>
      </c>
      <c r="H76" s="143">
        <f t="shared" si="216"/>
        <v>51.6</v>
      </c>
      <c r="I76" s="143">
        <f t="shared" ref="I76:R76" si="217">I10/I57</f>
        <v>125</v>
      </c>
      <c r="J76" s="143">
        <f t="shared" si="217"/>
        <v>324.53571428571428</v>
      </c>
      <c r="K76" s="143">
        <f t="shared" si="217"/>
        <v>480.1010101010101</v>
      </c>
      <c r="L76" s="143">
        <f t="shared" si="217"/>
        <v>618.32266756483659</v>
      </c>
      <c r="M76" s="143">
        <f t="shared" si="217"/>
        <v>928.94581861012955</v>
      </c>
      <c r="N76" s="143">
        <f t="shared" si="217"/>
        <v>1516.685878962536</v>
      </c>
      <c r="O76" s="143">
        <f t="shared" si="217"/>
        <v>1793.9359591952395</v>
      </c>
      <c r="P76" s="143">
        <f t="shared" si="217"/>
        <v>2450.5577244841047</v>
      </c>
      <c r="Q76" s="143">
        <f t="shared" si="217"/>
        <v>2648.3361064891847</v>
      </c>
      <c r="R76" s="143">
        <f t="shared" si="217"/>
        <v>2810.1268853243951</v>
      </c>
      <c r="S76" s="143">
        <f t="shared" ref="S76" si="218">S10/S57</f>
        <v>3409.3460166468494</v>
      </c>
      <c r="T76" s="118">
        <f t="shared" si="190"/>
        <v>0.41797458944356491</v>
      </c>
      <c r="U76" s="128"/>
      <c r="V76" s="155">
        <f t="shared" ref="V76:AE76" si="219">V10/V57</f>
        <v>3636.6357510899734</v>
      </c>
      <c r="W76" s="155">
        <f t="shared" si="219"/>
        <v>3879.0781344959719</v>
      </c>
      <c r="X76" s="155">
        <f t="shared" si="219"/>
        <v>4137.6833434623704</v>
      </c>
      <c r="Y76" s="155">
        <f t="shared" si="219"/>
        <v>4413.5288996931959</v>
      </c>
      <c r="Z76" s="155">
        <f t="shared" si="219"/>
        <v>4707.7641596727426</v>
      </c>
      <c r="AA76" s="155">
        <f t="shared" si="219"/>
        <v>5021.6151036509254</v>
      </c>
      <c r="AB76" s="155">
        <f t="shared" si="219"/>
        <v>5356.3894438943207</v>
      </c>
      <c r="AC76" s="155">
        <f t="shared" si="219"/>
        <v>5713.4820734872746</v>
      </c>
      <c r="AD76" s="155">
        <f t="shared" si="219"/>
        <v>6094.380878386427</v>
      </c>
      <c r="AE76" s="155">
        <f t="shared" si="219"/>
        <v>6500.6729369455225</v>
      </c>
      <c r="AF76" s="137">
        <f t="shared" si="201"/>
        <v>0.20702589086221823</v>
      </c>
      <c r="AG76" s="31">
        <f t="shared" si="16"/>
        <v>0.05</v>
      </c>
      <c r="AH76" s="145">
        <f t="shared" si="202"/>
        <v>40151.215198781174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20">(G7-G10)/G57</f>
        <v>-40.75</v>
      </c>
      <c r="H78" s="143">
        <f t="shared" si="220"/>
        <v>-40.75</v>
      </c>
      <c r="I78" s="143">
        <f t="shared" ref="I78:R78" si="221">(I7-I10)/I57</f>
        <v>-103.81481481481481</v>
      </c>
      <c r="J78" s="143">
        <f t="shared" si="221"/>
        <v>-296.42857142857144</v>
      </c>
      <c r="K78" s="143">
        <f t="shared" si="221"/>
        <v>-435.69023569023568</v>
      </c>
      <c r="L78" s="143">
        <f t="shared" si="221"/>
        <v>-563.62411586392727</v>
      </c>
      <c r="M78" s="143">
        <f t="shared" si="221"/>
        <v>-837.9858657243816</v>
      </c>
      <c r="N78" s="143">
        <f t="shared" si="221"/>
        <v>-1407.3487031700288</v>
      </c>
      <c r="O78" s="143">
        <f t="shared" si="221"/>
        <v>-1661.4338339472938</v>
      </c>
      <c r="P78" s="143">
        <f t="shared" si="221"/>
        <v>-2288.6224205242611</v>
      </c>
      <c r="Q78" s="143">
        <f t="shared" si="221"/>
        <v>-2451.0260676650028</v>
      </c>
      <c r="R78" s="143">
        <f t="shared" si="221"/>
        <v>-2530.8594685180751</v>
      </c>
      <c r="S78" s="143">
        <f t="shared" ref="S78" si="222">(S7-S10)/S57</f>
        <v>-3082.0689655172414</v>
      </c>
      <c r="T78" s="118">
        <f t="shared" si="190"/>
        <v>0.43403437419083457</v>
      </c>
      <c r="U78" s="128"/>
      <c r="V78" s="155">
        <f t="shared" ref="V78:AE78" si="223">(V7-V10)/V57</f>
        <v>-3287.5402298850581</v>
      </c>
      <c r="W78" s="155">
        <f t="shared" si="223"/>
        <v>-3506.7095785440629</v>
      </c>
      <c r="X78" s="155">
        <f t="shared" si="223"/>
        <v>-3740.4902171136678</v>
      </c>
      <c r="Y78" s="155">
        <f t="shared" si="223"/>
        <v>-3989.8562315879121</v>
      </c>
      <c r="Z78" s="155">
        <f t="shared" si="223"/>
        <v>-4255.8466470271069</v>
      </c>
      <c r="AA78" s="155">
        <f t="shared" si="223"/>
        <v>-4539.5697568289133</v>
      </c>
      <c r="AB78" s="155">
        <f t="shared" si="223"/>
        <v>-4842.2077406175085</v>
      </c>
      <c r="AC78" s="155">
        <f t="shared" si="223"/>
        <v>-5165.0215899920086</v>
      </c>
      <c r="AD78" s="155">
        <f t="shared" si="223"/>
        <v>-5509.3563626581436</v>
      </c>
      <c r="AE78" s="155">
        <f t="shared" si="223"/>
        <v>-5876.646786835352</v>
      </c>
      <c r="AF78" s="137">
        <f t="shared" si="201"/>
        <v>0.21190900403943091</v>
      </c>
      <c r="AG78" s="31">
        <f t="shared" si="16"/>
        <v>0.05</v>
      </c>
      <c r="AH78" s="145">
        <f t="shared" si="202"/>
        <v>-36296.936036336003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24">(G7-G10-G9)/G57</f>
        <v>-40.75</v>
      </c>
      <c r="H79" s="143">
        <f t="shared" si="224"/>
        <v>-40.75</v>
      </c>
      <c r="I79" s="143">
        <f t="shared" ref="I79:R79" si="225">(I7-I10-I9)/I57</f>
        <v>-103.81481481481481</v>
      </c>
      <c r="J79" s="143">
        <f t="shared" si="225"/>
        <v>-296.42857142857144</v>
      </c>
      <c r="K79" s="143">
        <f t="shared" si="225"/>
        <v>-435.69023569023568</v>
      </c>
      <c r="L79" s="143">
        <f t="shared" si="225"/>
        <v>-563.62411586392727</v>
      </c>
      <c r="M79" s="143">
        <f t="shared" si="225"/>
        <v>-837.9858657243816</v>
      </c>
      <c r="N79" s="143">
        <f t="shared" si="225"/>
        <v>-1407.3487031700288</v>
      </c>
      <c r="O79" s="143">
        <f t="shared" si="225"/>
        <v>-1661.4338339472938</v>
      </c>
      <c r="P79" s="143">
        <f t="shared" si="225"/>
        <v>-2288.6224205242611</v>
      </c>
      <c r="Q79" s="143">
        <f t="shared" si="225"/>
        <v>-2451.0260676650028</v>
      </c>
      <c r="R79" s="143">
        <f t="shared" si="225"/>
        <v>-2530.8594685180751</v>
      </c>
      <c r="S79" s="143">
        <f t="shared" ref="S79" si="226">(S7-S10-S9)/S57</f>
        <v>-3082.0689655172414</v>
      </c>
      <c r="T79" s="118">
        <f t="shared" si="190"/>
        <v>0.43403437419083457</v>
      </c>
      <c r="U79" s="128"/>
      <c r="V79" s="155">
        <f t="shared" ref="V79:AE79" si="227">(V7-V10-V9)/V57</f>
        <v>-3287.5402298850581</v>
      </c>
      <c r="W79" s="155">
        <f t="shared" si="227"/>
        <v>-3506.7095785440629</v>
      </c>
      <c r="X79" s="155">
        <f t="shared" si="227"/>
        <v>-3740.4902171136678</v>
      </c>
      <c r="Y79" s="155">
        <f t="shared" si="227"/>
        <v>-3989.8562315879121</v>
      </c>
      <c r="Z79" s="155">
        <f t="shared" si="227"/>
        <v>-4255.8466470271069</v>
      </c>
      <c r="AA79" s="155">
        <f t="shared" si="227"/>
        <v>-4539.5697568289133</v>
      </c>
      <c r="AB79" s="155">
        <f t="shared" si="227"/>
        <v>-4842.2077406175085</v>
      </c>
      <c r="AC79" s="155">
        <f t="shared" si="227"/>
        <v>-5165.0215899920086</v>
      </c>
      <c r="AD79" s="155">
        <f t="shared" si="227"/>
        <v>-5509.3563626581436</v>
      </c>
      <c r="AE79" s="155">
        <f t="shared" si="227"/>
        <v>-5876.646786835352</v>
      </c>
      <c r="AF79" s="137">
        <f t="shared" si="201"/>
        <v>0.21190900403943091</v>
      </c>
      <c r="AG79" s="31">
        <f t="shared" si="16"/>
        <v>0.05</v>
      </c>
      <c r="AH79" s="145">
        <f t="shared" si="202"/>
        <v>-36296.936036336003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28">(G7+G15-G10-G9)/G57</f>
        <v>-40.75</v>
      </c>
      <c r="H80" s="143">
        <f t="shared" si="228"/>
        <v>-40.75</v>
      </c>
      <c r="I80" s="143">
        <f t="shared" ref="I80:R80" si="229">(I7+I15-I10-I9)/I57</f>
        <v>-103.81481481481481</v>
      </c>
      <c r="J80" s="143">
        <f t="shared" si="229"/>
        <v>-296.42857142857144</v>
      </c>
      <c r="K80" s="143">
        <f t="shared" si="229"/>
        <v>-435.69023569023568</v>
      </c>
      <c r="L80" s="143">
        <f t="shared" si="229"/>
        <v>-563.62411586392727</v>
      </c>
      <c r="M80" s="143">
        <f t="shared" si="229"/>
        <v>-837.9858657243816</v>
      </c>
      <c r="N80" s="143">
        <f t="shared" si="229"/>
        <v>-1407.3487031700288</v>
      </c>
      <c r="O80" s="143">
        <f t="shared" si="229"/>
        <v>-1661.4338339472938</v>
      </c>
      <c r="P80" s="143">
        <f t="shared" si="229"/>
        <v>-2288.6224205242611</v>
      </c>
      <c r="Q80" s="143">
        <f t="shared" si="229"/>
        <v>-2451.0260676650028</v>
      </c>
      <c r="R80" s="143">
        <f t="shared" si="229"/>
        <v>-2530.8594685180751</v>
      </c>
      <c r="S80" s="143">
        <f t="shared" ref="S80" si="230">(S7+S15-S10-S9)/S57</f>
        <v>-3082.0689655172414</v>
      </c>
      <c r="T80" s="118">
        <f t="shared" si="190"/>
        <v>0.43403437419083457</v>
      </c>
      <c r="U80" s="128"/>
      <c r="V80" s="155">
        <f t="shared" ref="V80:AE80" si="231">(V7+V15-V10-V9)/V57</f>
        <v>-3287.5402298850581</v>
      </c>
      <c r="W80" s="155">
        <f t="shared" si="231"/>
        <v>-3506.7095785440629</v>
      </c>
      <c r="X80" s="155">
        <f t="shared" si="231"/>
        <v>-3740.4902171136678</v>
      </c>
      <c r="Y80" s="155">
        <f t="shared" si="231"/>
        <v>-3989.8562315879121</v>
      </c>
      <c r="Z80" s="155">
        <f t="shared" si="231"/>
        <v>-4255.8466470271069</v>
      </c>
      <c r="AA80" s="155">
        <f t="shared" si="231"/>
        <v>-4539.5697568289133</v>
      </c>
      <c r="AB80" s="155">
        <f t="shared" si="231"/>
        <v>-4842.2077406175085</v>
      </c>
      <c r="AC80" s="155">
        <f t="shared" si="231"/>
        <v>-5165.0215899920086</v>
      </c>
      <c r="AD80" s="155">
        <f t="shared" si="231"/>
        <v>-5509.3563626581436</v>
      </c>
      <c r="AE80" s="155">
        <f t="shared" si="231"/>
        <v>-5876.646786835352</v>
      </c>
      <c r="AF80" s="137">
        <f t="shared" si="201"/>
        <v>0.21190900403943091</v>
      </c>
      <c r="AG80" s="31">
        <f t="shared" si="16"/>
        <v>0.05</v>
      </c>
      <c r="AH80" s="145">
        <f t="shared" si="202"/>
        <v>-36296.936036336003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32">G12/G57</f>
        <v>0</v>
      </c>
      <c r="H82" s="143">
        <f t="shared" si="232"/>
        <v>0</v>
      </c>
      <c r="I82" s="143">
        <f t="shared" ref="I82:R82" si="233">I12/I57</f>
        <v>0</v>
      </c>
      <c r="J82" s="143">
        <f t="shared" si="233"/>
        <v>0</v>
      </c>
      <c r="K82" s="143">
        <f t="shared" si="233"/>
        <v>0</v>
      </c>
      <c r="L82" s="143">
        <f t="shared" si="233"/>
        <v>0</v>
      </c>
      <c r="M82" s="143">
        <f t="shared" si="233"/>
        <v>0</v>
      </c>
      <c r="N82" s="143">
        <f t="shared" si="233"/>
        <v>0</v>
      </c>
      <c r="O82" s="143">
        <f t="shared" si="233"/>
        <v>0</v>
      </c>
      <c r="P82" s="143">
        <f t="shared" si="233"/>
        <v>0</v>
      </c>
      <c r="Q82" s="143">
        <f t="shared" si="233"/>
        <v>0</v>
      </c>
      <c r="R82" s="143">
        <f t="shared" si="233"/>
        <v>0</v>
      </c>
      <c r="S82" s="143">
        <f t="shared" ref="S82" si="234">S12/S57</f>
        <v>0</v>
      </c>
      <c r="T82" s="118" t="e">
        <f t="shared" si="190"/>
        <v>#DIV/0!</v>
      </c>
      <c r="U82" s="128"/>
      <c r="V82" s="155">
        <f t="shared" ref="V82:AE82" si="235">V12/V57</f>
        <v>0</v>
      </c>
      <c r="W82" s="155">
        <f t="shared" si="235"/>
        <v>0</v>
      </c>
      <c r="X82" s="155">
        <f t="shared" si="235"/>
        <v>0</v>
      </c>
      <c r="Y82" s="155">
        <f t="shared" si="235"/>
        <v>0</v>
      </c>
      <c r="Z82" s="155">
        <f t="shared" si="235"/>
        <v>0</v>
      </c>
      <c r="AA82" s="155">
        <f t="shared" si="235"/>
        <v>0</v>
      </c>
      <c r="AB82" s="155">
        <f t="shared" si="235"/>
        <v>0</v>
      </c>
      <c r="AC82" s="155">
        <f t="shared" si="235"/>
        <v>0</v>
      </c>
      <c r="AD82" s="155">
        <f t="shared" si="235"/>
        <v>0</v>
      </c>
      <c r="AE82" s="155">
        <f t="shared" si="235"/>
        <v>0</v>
      </c>
      <c r="AF82" s="137" t="e">
        <f t="shared" si="201"/>
        <v>#DIV/0!</v>
      </c>
      <c r="AG82" s="31">
        <f t="shared" si="16"/>
        <v>0.05</v>
      </c>
      <c r="AH82" s="145">
        <f t="shared" si="202"/>
        <v>0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36">G13/G57</f>
        <v>19.75</v>
      </c>
      <c r="H83" s="143">
        <f t="shared" si="236"/>
        <v>19.75</v>
      </c>
      <c r="I83" s="143">
        <f t="shared" ref="I83:R83" si="237">I13/I57</f>
        <v>50</v>
      </c>
      <c r="J83" s="143">
        <f t="shared" si="237"/>
        <v>109.75</v>
      </c>
      <c r="K83" s="143">
        <f t="shared" si="237"/>
        <v>171.4814814814815</v>
      </c>
      <c r="L83" s="143">
        <f t="shared" si="237"/>
        <v>239.71034018187942</v>
      </c>
      <c r="M83" s="143">
        <f t="shared" si="237"/>
        <v>300.61837455830386</v>
      </c>
      <c r="N83" s="143">
        <f t="shared" si="237"/>
        <v>542.59365994236305</v>
      </c>
      <c r="O83" s="143">
        <f t="shared" si="237"/>
        <v>786.5400963445735</v>
      </c>
      <c r="P83" s="143">
        <f t="shared" si="237"/>
        <v>1198.4104852203011</v>
      </c>
      <c r="Q83" s="143">
        <f t="shared" si="237"/>
        <v>1135.108153078203</v>
      </c>
      <c r="R83" s="143">
        <f t="shared" si="237"/>
        <v>1114.9150107732821</v>
      </c>
      <c r="S83" s="143">
        <f t="shared" ref="S83" si="238">S13/S57</f>
        <v>1160.2378121284187</v>
      </c>
      <c r="T83" s="118">
        <f t="shared" si="190"/>
        <v>0.40415481298422273</v>
      </c>
      <c r="U83" s="128"/>
      <c r="V83" s="155">
        <f t="shared" ref="V83:AE83" si="239">V13/V57</f>
        <v>1237.5869996036467</v>
      </c>
      <c r="W83" s="155">
        <f t="shared" si="239"/>
        <v>1320.0927995772231</v>
      </c>
      <c r="X83" s="155">
        <f t="shared" si="239"/>
        <v>1408.0989862157048</v>
      </c>
      <c r="Y83" s="155">
        <f t="shared" si="239"/>
        <v>1501.9722519634188</v>
      </c>
      <c r="Z83" s="155">
        <f t="shared" si="239"/>
        <v>1602.1037354276468</v>
      </c>
      <c r="AA83" s="155">
        <f t="shared" si="239"/>
        <v>1708.9106511228233</v>
      </c>
      <c r="AB83" s="155">
        <f t="shared" si="239"/>
        <v>1822.8380278643451</v>
      </c>
      <c r="AC83" s="155">
        <f t="shared" si="239"/>
        <v>1944.3605630553016</v>
      </c>
      <c r="AD83" s="155">
        <f t="shared" si="239"/>
        <v>2073.9846005923214</v>
      </c>
      <c r="AE83" s="155">
        <f t="shared" si="239"/>
        <v>2212.2502406318099</v>
      </c>
      <c r="AF83" s="137">
        <f t="shared" si="201"/>
        <v>0.19777291415135179</v>
      </c>
      <c r="AG83" s="31">
        <f t="shared" si="16"/>
        <v>0.05</v>
      </c>
      <c r="AH83" s="145">
        <f t="shared" si="202"/>
        <v>13663.898545078828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40">(G82+G83)</f>
        <v>19.75</v>
      </c>
      <c r="H84" s="143">
        <f t="shared" si="240"/>
        <v>19.75</v>
      </c>
      <c r="I84" s="143">
        <f t="shared" ref="I84:R84" si="241">(I82+I83)</f>
        <v>50</v>
      </c>
      <c r="J84" s="143">
        <f t="shared" si="241"/>
        <v>109.75</v>
      </c>
      <c r="K84" s="143">
        <f t="shared" si="241"/>
        <v>171.4814814814815</v>
      </c>
      <c r="L84" s="143">
        <f t="shared" si="241"/>
        <v>239.71034018187942</v>
      </c>
      <c r="M84" s="143">
        <f t="shared" si="241"/>
        <v>300.61837455830386</v>
      </c>
      <c r="N84" s="143">
        <f t="shared" si="241"/>
        <v>542.59365994236305</v>
      </c>
      <c r="O84" s="143">
        <f t="shared" si="241"/>
        <v>786.5400963445735</v>
      </c>
      <c r="P84" s="143">
        <f t="shared" si="241"/>
        <v>1198.4104852203011</v>
      </c>
      <c r="Q84" s="143">
        <f t="shared" ref="Q84" si="242">(Q82+Q83)</f>
        <v>1135.108153078203</v>
      </c>
      <c r="R84" s="143">
        <f t="shared" si="241"/>
        <v>1114.9150107732821</v>
      </c>
      <c r="S84" s="143">
        <f t="shared" ref="S84" si="243">(S82+S83)</f>
        <v>1160.2378121284187</v>
      </c>
      <c r="T84" s="118">
        <f t="shared" si="190"/>
        <v>0.40415481298422273</v>
      </c>
      <c r="U84" s="128"/>
      <c r="V84" s="155">
        <f t="shared" ref="V84:AE84" si="244">(V82+V83)</f>
        <v>1237.5869996036467</v>
      </c>
      <c r="W84" s="155">
        <f t="shared" si="244"/>
        <v>1320.0927995772231</v>
      </c>
      <c r="X84" s="155">
        <f t="shared" si="244"/>
        <v>1408.0989862157048</v>
      </c>
      <c r="Y84" s="155">
        <f t="shared" si="244"/>
        <v>1501.9722519634188</v>
      </c>
      <c r="Z84" s="155">
        <f t="shared" si="244"/>
        <v>1602.1037354276468</v>
      </c>
      <c r="AA84" s="155">
        <f t="shared" si="244"/>
        <v>1708.9106511228233</v>
      </c>
      <c r="AB84" s="155">
        <f t="shared" si="244"/>
        <v>1822.8380278643451</v>
      </c>
      <c r="AC84" s="155">
        <f t="shared" si="244"/>
        <v>1944.3605630553016</v>
      </c>
      <c r="AD84" s="155">
        <f t="shared" si="244"/>
        <v>2073.9846005923214</v>
      </c>
      <c r="AE84" s="155">
        <f t="shared" si="244"/>
        <v>2212.2502406318099</v>
      </c>
      <c r="AF84" s="137">
        <f t="shared" si="201"/>
        <v>0.19777291415135179</v>
      </c>
      <c r="AG84" s="31">
        <f t="shared" si="16"/>
        <v>0.05</v>
      </c>
      <c r="AH84" s="145">
        <f t="shared" si="202"/>
        <v>13663.898545078828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45">G15/G57</f>
        <v>0</v>
      </c>
      <c r="H85" s="143">
        <f t="shared" si="245"/>
        <v>0</v>
      </c>
      <c r="I85" s="143">
        <f t="shared" ref="I85:R85" si="246">I15/I57</f>
        <v>0</v>
      </c>
      <c r="J85" s="143">
        <f t="shared" si="246"/>
        <v>0</v>
      </c>
      <c r="K85" s="143">
        <f t="shared" si="246"/>
        <v>0</v>
      </c>
      <c r="L85" s="143">
        <f t="shared" si="246"/>
        <v>0</v>
      </c>
      <c r="M85" s="143">
        <f t="shared" si="246"/>
        <v>0</v>
      </c>
      <c r="N85" s="143">
        <f t="shared" si="246"/>
        <v>0</v>
      </c>
      <c r="O85" s="143">
        <f t="shared" si="246"/>
        <v>0</v>
      </c>
      <c r="P85" s="143">
        <f t="shared" si="246"/>
        <v>0</v>
      </c>
      <c r="Q85" s="143">
        <f t="shared" si="246"/>
        <v>0</v>
      </c>
      <c r="R85" s="143">
        <f t="shared" si="246"/>
        <v>0</v>
      </c>
      <c r="S85" s="143">
        <f t="shared" ref="S85" si="247">S15/S57</f>
        <v>0</v>
      </c>
      <c r="T85" s="118" t="e">
        <f t="shared" si="190"/>
        <v>#DIV/0!</v>
      </c>
      <c r="U85" s="128"/>
      <c r="V85" s="155">
        <f t="shared" ref="V85:AE85" si="248">V15/V57</f>
        <v>0</v>
      </c>
      <c r="W85" s="155">
        <f t="shared" si="248"/>
        <v>0</v>
      </c>
      <c r="X85" s="155">
        <f t="shared" si="248"/>
        <v>0</v>
      </c>
      <c r="Y85" s="155">
        <f t="shared" si="248"/>
        <v>0</v>
      </c>
      <c r="Z85" s="155">
        <f t="shared" si="248"/>
        <v>0</v>
      </c>
      <c r="AA85" s="155">
        <f t="shared" si="248"/>
        <v>0</v>
      </c>
      <c r="AB85" s="155">
        <f t="shared" si="248"/>
        <v>0</v>
      </c>
      <c r="AC85" s="155">
        <f t="shared" si="248"/>
        <v>0</v>
      </c>
      <c r="AD85" s="155">
        <f t="shared" si="248"/>
        <v>0</v>
      </c>
      <c r="AE85" s="155">
        <f t="shared" si="248"/>
        <v>0</v>
      </c>
      <c r="AF85" s="137" t="e">
        <f t="shared" si="201"/>
        <v>#DIV/0!</v>
      </c>
      <c r="AG85" s="31">
        <f t="shared" si="16"/>
        <v>0.05</v>
      </c>
      <c r="AH85" s="145">
        <f t="shared" si="202"/>
        <v>0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249">G16/G57</f>
        <v>0</v>
      </c>
      <c r="H86" s="143">
        <f t="shared" si="249"/>
        <v>0</v>
      </c>
      <c r="I86" s="143">
        <f t="shared" ref="I86:R86" si="250">I16/I57</f>
        <v>0</v>
      </c>
      <c r="J86" s="143">
        <f t="shared" si="250"/>
        <v>0</v>
      </c>
      <c r="K86" s="143">
        <f t="shared" si="250"/>
        <v>0</v>
      </c>
      <c r="L86" s="143">
        <f t="shared" si="250"/>
        <v>0</v>
      </c>
      <c r="M86" s="143">
        <f t="shared" si="250"/>
        <v>0</v>
      </c>
      <c r="N86" s="143">
        <f t="shared" si="250"/>
        <v>0</v>
      </c>
      <c r="O86" s="143">
        <f t="shared" si="250"/>
        <v>0</v>
      </c>
      <c r="P86" s="143">
        <f t="shared" si="250"/>
        <v>0</v>
      </c>
      <c r="Q86" s="143">
        <f t="shared" si="250"/>
        <v>0</v>
      </c>
      <c r="R86" s="143">
        <f t="shared" si="250"/>
        <v>0</v>
      </c>
      <c r="S86" s="143">
        <f t="shared" ref="S86" si="251">S16/S57</f>
        <v>0</v>
      </c>
      <c r="T86" s="118" t="e">
        <f t="shared" si="190"/>
        <v>#DIV/0!</v>
      </c>
      <c r="U86" s="128"/>
      <c r="V86" s="155">
        <f t="shared" ref="V86:AE86" si="252">V16/V57</f>
        <v>0</v>
      </c>
      <c r="W86" s="155">
        <f t="shared" si="252"/>
        <v>0</v>
      </c>
      <c r="X86" s="155">
        <f t="shared" si="252"/>
        <v>0</v>
      </c>
      <c r="Y86" s="155">
        <f t="shared" si="252"/>
        <v>0</v>
      </c>
      <c r="Z86" s="155">
        <f t="shared" si="252"/>
        <v>0</v>
      </c>
      <c r="AA86" s="155">
        <f t="shared" si="252"/>
        <v>0</v>
      </c>
      <c r="AB86" s="155">
        <f t="shared" si="252"/>
        <v>0</v>
      </c>
      <c r="AC86" s="155">
        <f t="shared" si="252"/>
        <v>0</v>
      </c>
      <c r="AD86" s="155">
        <f t="shared" si="252"/>
        <v>0</v>
      </c>
      <c r="AE86" s="155">
        <f t="shared" si="252"/>
        <v>0</v>
      </c>
      <c r="AF86" s="137" t="e">
        <f t="shared" si="201"/>
        <v>#DIV/0!</v>
      </c>
      <c r="AG86" s="136"/>
      <c r="AH86" s="145">
        <f t="shared" si="202"/>
        <v>0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02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253">G59</f>
        <v>0.1</v>
      </c>
      <c r="H88" s="157">
        <f t="shared" si="253"/>
        <v>0</v>
      </c>
      <c r="I88" s="157">
        <f t="shared" ref="I88:R88" si="254">I59</f>
        <v>0</v>
      </c>
      <c r="J88" s="157">
        <f t="shared" si="254"/>
        <v>0</v>
      </c>
      <c r="K88" s="157">
        <f t="shared" si="254"/>
        <v>0</v>
      </c>
      <c r="L88" s="157">
        <f t="shared" si="254"/>
        <v>0</v>
      </c>
      <c r="M88" s="157">
        <f t="shared" si="254"/>
        <v>1.5</v>
      </c>
      <c r="N88" s="157">
        <f t="shared" si="254"/>
        <v>2.5</v>
      </c>
      <c r="O88" s="157">
        <f t="shared" si="254"/>
        <v>4</v>
      </c>
      <c r="P88" s="157">
        <f t="shared" si="254"/>
        <v>6</v>
      </c>
      <c r="Q88" s="157">
        <f t="shared" si="254"/>
        <v>8</v>
      </c>
      <c r="R88" s="157">
        <f t="shared" si="254"/>
        <v>9</v>
      </c>
      <c r="S88" s="157">
        <f t="shared" ref="S88" si="255">S59</f>
        <v>10</v>
      </c>
      <c r="T88" s="118">
        <f t="shared" si="190"/>
        <v>0.46779926762206969</v>
      </c>
      <c r="U88" s="128"/>
      <c r="V88" s="157">
        <f t="shared" ref="V88:AE88" si="256">V59</f>
        <v>10.5</v>
      </c>
      <c r="W88" s="157">
        <f t="shared" si="256"/>
        <v>11.025</v>
      </c>
      <c r="X88" s="157">
        <f t="shared" si="256"/>
        <v>11.576250000000002</v>
      </c>
      <c r="Y88" s="157">
        <f t="shared" si="256"/>
        <v>12.155062500000001</v>
      </c>
      <c r="Z88" s="157">
        <f t="shared" si="256"/>
        <v>12.762815625000002</v>
      </c>
      <c r="AA88" s="157">
        <f t="shared" si="256"/>
        <v>13.400956406250003</v>
      </c>
      <c r="AB88" s="157">
        <f t="shared" si="256"/>
        <v>14.071004226562504</v>
      </c>
      <c r="AC88" s="157">
        <f t="shared" si="256"/>
        <v>14.774554437890631</v>
      </c>
      <c r="AD88" s="157">
        <f t="shared" si="256"/>
        <v>15.513282159785163</v>
      </c>
      <c r="AE88" s="157">
        <f t="shared" si="256"/>
        <v>16.288946267774421</v>
      </c>
      <c r="AF88" s="137" t="e">
        <f t="shared" ref="AF88" si="257">((AE88/I88)^(1/($AE$3-$J$1) ))-1</f>
        <v>#DIV/0!</v>
      </c>
      <c r="AG88" s="31">
        <f t="shared" si="16"/>
        <v>0.05</v>
      </c>
      <c r="AH88" s="145">
        <f t="shared" si="202"/>
        <v>100.6081975362538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258">G20+G21</f>
        <v>-163</v>
      </c>
      <c r="H90" s="143">
        <f t="shared" si="258"/>
        <v>-163</v>
      </c>
      <c r="I90" s="143">
        <f t="shared" ref="I90:R90" si="259">I20+I21</f>
        <v>-236</v>
      </c>
      <c r="J90" s="143">
        <f t="shared" si="259"/>
        <v>579</v>
      </c>
      <c r="K90" s="143">
        <f t="shared" si="259"/>
        <v>-245</v>
      </c>
      <c r="L90" s="143">
        <f t="shared" si="259"/>
        <v>-425</v>
      </c>
      <c r="M90" s="143">
        <f t="shared" si="259"/>
        <v>-1046</v>
      </c>
      <c r="N90" s="143">
        <f t="shared" si="259"/>
        <v>-373</v>
      </c>
      <c r="O90" s="143">
        <f t="shared" si="259"/>
        <v>-1275</v>
      </c>
      <c r="P90" s="143">
        <f t="shared" si="259"/>
        <v>-6201</v>
      </c>
      <c r="Q90" s="143">
        <f t="shared" si="259"/>
        <v>1650</v>
      </c>
      <c r="R90" s="143">
        <f t="shared" si="259"/>
        <v>-5908</v>
      </c>
      <c r="S90" s="143">
        <f t="shared" ref="S90" si="260">S20+S21</f>
        <v>-4398</v>
      </c>
      <c r="T90" s="118">
        <f t="shared" si="190"/>
        <v>0.3159992296434837</v>
      </c>
      <c r="U90" s="128"/>
      <c r="V90" s="143">
        <f t="shared" ref="V90:AE90" si="261">V20+V21</f>
        <v>-4925.7600000000011</v>
      </c>
      <c r="W90" s="143">
        <f t="shared" si="261"/>
        <v>-5516.8512000000019</v>
      </c>
      <c r="X90" s="143">
        <f t="shared" si="261"/>
        <v>-6178.8733440000024</v>
      </c>
      <c r="Y90" s="143">
        <f t="shared" si="261"/>
        <v>-6920.3381452800031</v>
      </c>
      <c r="Z90" s="143">
        <f t="shared" si="261"/>
        <v>-7750.778722713605</v>
      </c>
      <c r="AA90" s="143">
        <f t="shared" si="261"/>
        <v>-8680.872169439237</v>
      </c>
      <c r="AB90" s="143">
        <f t="shared" si="261"/>
        <v>-9722.5768297719478</v>
      </c>
      <c r="AC90" s="143">
        <f t="shared" si="261"/>
        <v>-10889.286049344582</v>
      </c>
      <c r="AD90" s="143">
        <f t="shared" si="261"/>
        <v>-12196.000375265934</v>
      </c>
      <c r="AE90" s="143">
        <f t="shared" si="261"/>
        <v>-13659.520420297848</v>
      </c>
      <c r="AF90" s="137">
        <f t="shared" ref="AF90:AF95" si="262">((AE90/I90)^(1/($AE$3-$J$1) ))-1</f>
        <v>0.21319241958502833</v>
      </c>
      <c r="AG90" s="31">
        <f t="shared" si="16"/>
        <v>0.05</v>
      </c>
      <c r="AH90" s="145">
        <f t="shared" si="202"/>
        <v>-84367.626125369061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263">G90/G57</f>
        <v>-8.15</v>
      </c>
      <c r="H92" s="143">
        <f t="shared" si="263"/>
        <v>-8.15</v>
      </c>
      <c r="I92" s="143">
        <f t="shared" ref="I92:R92" si="264">I90/I57</f>
        <v>-8.7407407407407405</v>
      </c>
      <c r="J92" s="143">
        <f t="shared" si="264"/>
        <v>20.678571428571427</v>
      </c>
      <c r="K92" s="143">
        <f t="shared" si="264"/>
        <v>-8.2491582491582491</v>
      </c>
      <c r="L92" s="143">
        <f t="shared" si="264"/>
        <v>-14.314584035028629</v>
      </c>
      <c r="M92" s="143">
        <f t="shared" si="264"/>
        <v>-30.800942285041224</v>
      </c>
      <c r="N92" s="143">
        <f t="shared" si="264"/>
        <v>-10.749279538904899</v>
      </c>
      <c r="O92" s="143">
        <f t="shared" si="264"/>
        <v>-36.129215075092098</v>
      </c>
      <c r="P92" s="143">
        <f t="shared" si="264"/>
        <v>-172.92247629670942</v>
      </c>
      <c r="Q92" s="143">
        <f t="shared" si="264"/>
        <v>45.757071547420963</v>
      </c>
      <c r="R92" s="143">
        <f t="shared" si="264"/>
        <v>-141.44122576011492</v>
      </c>
      <c r="S92" s="143">
        <f t="shared" ref="S92" si="265">S90/S57</f>
        <v>-104.58977407847802</v>
      </c>
      <c r="T92" s="118">
        <f t="shared" si="190"/>
        <v>0.23697513000615311</v>
      </c>
      <c r="U92" s="128"/>
      <c r="V92" s="145">
        <f t="shared" ref="V92:AE92" si="266">V90/V57</f>
        <v>-111.5624256837099</v>
      </c>
      <c r="W92" s="145">
        <f t="shared" si="266"/>
        <v>-118.99992072929058</v>
      </c>
      <c r="X92" s="145">
        <f t="shared" si="266"/>
        <v>-126.93324877790994</v>
      </c>
      <c r="Y92" s="145">
        <f t="shared" si="266"/>
        <v>-135.39546536310397</v>
      </c>
      <c r="Z92" s="145">
        <f t="shared" si="266"/>
        <v>-144.42182972064424</v>
      </c>
      <c r="AA92" s="145">
        <f t="shared" si="266"/>
        <v>-154.04995170202051</v>
      </c>
      <c r="AB92" s="145">
        <f t="shared" si="266"/>
        <v>-164.31994848215524</v>
      </c>
      <c r="AC92" s="145">
        <f t="shared" si="266"/>
        <v>-175.27461171429894</v>
      </c>
      <c r="AD92" s="145">
        <f t="shared" si="266"/>
        <v>-186.95958582858555</v>
      </c>
      <c r="AE92" s="145">
        <f t="shared" si="266"/>
        <v>-199.42355821715793</v>
      </c>
      <c r="AF92" s="137">
        <f t="shared" si="262"/>
        <v>0.16058655307827174</v>
      </c>
      <c r="AG92" s="31">
        <f t="shared" si="16"/>
        <v>0.05</v>
      </c>
      <c r="AH92" s="145">
        <f t="shared" si="202"/>
        <v>-1231.733741929505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267">G20/G57</f>
        <v>-2.75</v>
      </c>
      <c r="H93" s="143">
        <f t="shared" si="267"/>
        <v>-2.75</v>
      </c>
      <c r="I93" s="143">
        <f t="shared" ref="I93:R93" si="268">I20/I57</f>
        <v>-6.1481481481481479</v>
      </c>
      <c r="J93" s="143">
        <f t="shared" si="268"/>
        <v>64.321428571428569</v>
      </c>
      <c r="K93" s="143">
        <f t="shared" si="268"/>
        <v>-6.5993265993265995</v>
      </c>
      <c r="L93" s="143">
        <f t="shared" si="268"/>
        <v>-12.293701583024587</v>
      </c>
      <c r="M93" s="143">
        <f t="shared" si="268"/>
        <v>28.268551236749115</v>
      </c>
      <c r="N93" s="143">
        <f t="shared" si="268"/>
        <v>87.896253602305464</v>
      </c>
      <c r="O93" s="143">
        <f t="shared" si="268"/>
        <v>101.67186171720034</v>
      </c>
      <c r="P93" s="143">
        <f t="shared" si="268"/>
        <v>15.05856107083101</v>
      </c>
      <c r="Q93" s="143">
        <f t="shared" si="268"/>
        <v>123.34997226844148</v>
      </c>
      <c r="R93" s="143">
        <f t="shared" si="268"/>
        <v>-34.689968877184583</v>
      </c>
      <c r="S93" s="143">
        <f t="shared" ref="S93" si="269">S20/S57</f>
        <v>-8.6325802615933416</v>
      </c>
      <c r="T93" s="118">
        <f t="shared" si="190"/>
        <v>0.10002020154942115</v>
      </c>
      <c r="U93" s="128"/>
      <c r="V93" s="145">
        <f t="shared" ref="V93:AE93" si="270">V20/V57</f>
        <v>-9.2080856123662329</v>
      </c>
      <c r="W93" s="145">
        <f t="shared" si="270"/>
        <v>-9.8219579865239819</v>
      </c>
      <c r="X93" s="145">
        <f t="shared" si="270"/>
        <v>-10.476755185625581</v>
      </c>
      <c r="Y93" s="145">
        <f t="shared" si="270"/>
        <v>-11.175205531333955</v>
      </c>
      <c r="Z93" s="145">
        <f t="shared" si="270"/>
        <v>-11.920219233422886</v>
      </c>
      <c r="AA93" s="145">
        <f t="shared" si="270"/>
        <v>-12.714900515651079</v>
      </c>
      <c r="AB93" s="145">
        <f t="shared" si="270"/>
        <v>-13.56256055002782</v>
      </c>
      <c r="AC93" s="145">
        <f t="shared" si="270"/>
        <v>-14.466731253363008</v>
      </c>
      <c r="AD93" s="145">
        <f t="shared" si="270"/>
        <v>-15.431180003587208</v>
      </c>
      <c r="AE93" s="145">
        <f t="shared" si="270"/>
        <v>-16.459925337159689</v>
      </c>
      <c r="AF93" s="137">
        <f t="shared" si="262"/>
        <v>4.8011100524370631E-2</v>
      </c>
      <c r="AG93" s="31">
        <f t="shared" si="16"/>
        <v>0.05</v>
      </c>
      <c r="AH93" s="145">
        <f t="shared" si="202"/>
        <v>-101.66424472951573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271">G21/G57</f>
        <v>-5.4</v>
      </c>
      <c r="H94" s="143">
        <f t="shared" si="271"/>
        <v>-5.4</v>
      </c>
      <c r="I94" s="143">
        <f t="shared" ref="I94:R94" si="272">I21/I57</f>
        <v>-2.5925925925925926</v>
      </c>
      <c r="J94" s="143">
        <f t="shared" si="272"/>
        <v>-43.642857142857146</v>
      </c>
      <c r="K94" s="143">
        <f t="shared" si="272"/>
        <v>-1.6498316498316499</v>
      </c>
      <c r="L94" s="143">
        <f t="shared" si="272"/>
        <v>-2.0208824520040416</v>
      </c>
      <c r="M94" s="143">
        <f t="shared" si="272"/>
        <v>-59.069493521790342</v>
      </c>
      <c r="N94" s="143">
        <f t="shared" si="272"/>
        <v>-98.645533141210365</v>
      </c>
      <c r="O94" s="143">
        <f t="shared" si="272"/>
        <v>-137.80107679229243</v>
      </c>
      <c r="P94" s="143">
        <f t="shared" si="272"/>
        <v>-187.98103736754044</v>
      </c>
      <c r="Q94" s="143">
        <f t="shared" si="272"/>
        <v>-77.592900721020513</v>
      </c>
      <c r="R94" s="143">
        <f t="shared" si="272"/>
        <v>-106.75125688293032</v>
      </c>
      <c r="S94" s="143">
        <f t="shared" ref="S94" si="273">S21/S57</f>
        <v>-95.957193816884669</v>
      </c>
      <c r="T94" s="118">
        <f t="shared" si="190"/>
        <v>0.27098467757590905</v>
      </c>
      <c r="U94" s="128"/>
      <c r="V94" s="145">
        <f t="shared" ref="V94:AE94" si="274">V21/V57</f>
        <v>-102.35434007134366</v>
      </c>
      <c r="W94" s="145">
        <f t="shared" si="274"/>
        <v>-109.1779627427666</v>
      </c>
      <c r="X94" s="145">
        <f t="shared" si="274"/>
        <v>-116.45649359228437</v>
      </c>
      <c r="Y94" s="145">
        <f t="shared" si="274"/>
        <v>-124.22025983176999</v>
      </c>
      <c r="Z94" s="145">
        <f t="shared" si="274"/>
        <v>-132.50161048722134</v>
      </c>
      <c r="AA94" s="145">
        <f t="shared" si="274"/>
        <v>-141.33505118636944</v>
      </c>
      <c r="AB94" s="145">
        <f t="shared" si="274"/>
        <v>-150.75738793212741</v>
      </c>
      <c r="AC94" s="145">
        <f t="shared" si="274"/>
        <v>-160.80788046093593</v>
      </c>
      <c r="AD94" s="145">
        <f t="shared" si="274"/>
        <v>-171.52840582499832</v>
      </c>
      <c r="AE94" s="145">
        <f t="shared" si="274"/>
        <v>-182.96363287999824</v>
      </c>
      <c r="AF94" s="137">
        <f t="shared" si="262"/>
        <v>0.22470086269464695</v>
      </c>
      <c r="AG94" s="31">
        <f t="shared" si="16"/>
        <v>0.05</v>
      </c>
      <c r="AH94" s="145">
        <f t="shared" si="202"/>
        <v>-1130.0694971999892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275">G22/G57</f>
        <v>10.85</v>
      </c>
      <c r="H95" s="143">
        <f t="shared" si="275"/>
        <v>10.85</v>
      </c>
      <c r="I95" s="143">
        <f t="shared" ref="I95:R95" si="276">I22/I57</f>
        <v>14.74074074074074</v>
      </c>
      <c r="J95" s="143">
        <f t="shared" si="276"/>
        <v>17.785714285714285</v>
      </c>
      <c r="K95" s="143">
        <f t="shared" si="276"/>
        <v>19.528619528619529</v>
      </c>
      <c r="L95" s="143">
        <f t="shared" si="276"/>
        <v>24.250589424048499</v>
      </c>
      <c r="M95" s="143">
        <f t="shared" si="276"/>
        <v>52.885747938751472</v>
      </c>
      <c r="N95" s="143">
        <f t="shared" si="276"/>
        <v>34.438040345821321</v>
      </c>
      <c r="O95" s="143">
        <f t="shared" si="276"/>
        <v>38.651175970529899</v>
      </c>
      <c r="P95" s="143">
        <f t="shared" si="276"/>
        <v>186.30786391522588</v>
      </c>
      <c r="Q95" s="143">
        <f t="shared" si="276"/>
        <v>4.8530227398779813</v>
      </c>
      <c r="R95" s="143">
        <f t="shared" si="276"/>
        <v>181.30237012209719</v>
      </c>
      <c r="S95" s="143">
        <f t="shared" ref="S95" si="277">S22/S57</f>
        <v>120.30915576694412</v>
      </c>
      <c r="T95" s="118">
        <f t="shared" si="190"/>
        <v>0.22200339297871552</v>
      </c>
      <c r="U95" s="128"/>
      <c r="V95" s="145">
        <f t="shared" ref="V95:AE95" si="278">V22/V57</f>
        <v>128.32976615140709</v>
      </c>
      <c r="W95" s="145">
        <f t="shared" si="278"/>
        <v>136.88508389483422</v>
      </c>
      <c r="X95" s="145">
        <f t="shared" si="278"/>
        <v>146.01075615448985</v>
      </c>
      <c r="Y95" s="145">
        <f t="shared" si="278"/>
        <v>155.7448065647892</v>
      </c>
      <c r="Z95" s="145">
        <f t="shared" si="278"/>
        <v>166.12779366910848</v>
      </c>
      <c r="AA95" s="145">
        <f t="shared" si="278"/>
        <v>177.20297991371572</v>
      </c>
      <c r="AB95" s="145">
        <f t="shared" si="278"/>
        <v>189.01651190796343</v>
      </c>
      <c r="AC95" s="145">
        <f t="shared" si="278"/>
        <v>201.61761270182768</v>
      </c>
      <c r="AD95" s="145">
        <f t="shared" si="278"/>
        <v>215.05878688194954</v>
      </c>
      <c r="AE95" s="145">
        <f t="shared" si="278"/>
        <v>229.3960393407462</v>
      </c>
      <c r="AF95" s="137">
        <f t="shared" si="262"/>
        <v>0.13963315760534067</v>
      </c>
      <c r="AG95" s="31">
        <f t="shared" si="16"/>
        <v>0.05</v>
      </c>
      <c r="AH95" s="145">
        <f t="shared" si="202"/>
        <v>1416.8578900457856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279">G23/G57</f>
        <v>2.65</v>
      </c>
      <c r="H96" s="143">
        <f t="shared" si="279"/>
        <v>2.65</v>
      </c>
      <c r="I96" s="143">
        <f t="shared" ref="I96:R96" si="280">I23/I57</f>
        <v>8</v>
      </c>
      <c r="J96" s="143">
        <f t="shared" si="280"/>
        <v>46.142857142857146</v>
      </c>
      <c r="K96" s="143">
        <f t="shared" si="280"/>
        <v>54.781144781144782</v>
      </c>
      <c r="L96" s="143">
        <f t="shared" si="280"/>
        <v>64.735601212529474</v>
      </c>
      <c r="M96" s="143">
        <f t="shared" si="280"/>
        <v>78.710247349823319</v>
      </c>
      <c r="N96" s="143">
        <f t="shared" si="280"/>
        <v>100.72046109510086</v>
      </c>
      <c r="O96" s="143">
        <f t="shared" si="280"/>
        <v>101.5868517993766</v>
      </c>
      <c r="P96" s="143">
        <f t="shared" si="280"/>
        <v>113.35750139431121</v>
      </c>
      <c r="Q96" s="143">
        <f t="shared" si="280"/>
        <v>163.36661120354964</v>
      </c>
      <c r="R96" s="143">
        <f t="shared" si="280"/>
        <v>180.91932008618625</v>
      </c>
      <c r="S96" s="143">
        <f t="shared" ref="S96" si="281">S23/S57</f>
        <v>195.43400713436387</v>
      </c>
      <c r="T96" s="118">
        <f t="shared" si="190"/>
        <v>0.43102159826203024</v>
      </c>
      <c r="U96" s="128"/>
      <c r="V96" s="145">
        <f t="shared" ref="V96:AE96" si="282">V23/V57</f>
        <v>208.46294094332148</v>
      </c>
      <c r="W96" s="145">
        <f t="shared" si="282"/>
        <v>222.36047033954296</v>
      </c>
      <c r="X96" s="145">
        <f t="shared" si="282"/>
        <v>237.18450169551249</v>
      </c>
      <c r="Y96" s="145">
        <f t="shared" si="282"/>
        <v>252.99680180854671</v>
      </c>
      <c r="Z96" s="145">
        <f t="shared" si="282"/>
        <v>269.86325526244985</v>
      </c>
      <c r="AA96" s="145">
        <f t="shared" si="282"/>
        <v>287.8541389466132</v>
      </c>
      <c r="AB96" s="145">
        <f t="shared" si="282"/>
        <v>307.04441487638746</v>
      </c>
      <c r="AC96" s="145">
        <f t="shared" si="282"/>
        <v>327.51404253481326</v>
      </c>
      <c r="AD96" s="145">
        <f t="shared" si="282"/>
        <v>349.34831203713412</v>
      </c>
      <c r="AE96" s="145">
        <f t="shared" si="282"/>
        <v>372.63819950627646</v>
      </c>
      <c r="AF96" s="137">
        <f t="shared" ref="AF96" si="283">((AE96/I96)^(1/($AE$3-$J$1) ))-1</f>
        <v>0.2007095662765912</v>
      </c>
      <c r="AG96" s="31">
        <f t="shared" si="16"/>
        <v>0.05</v>
      </c>
      <c r="AH96" s="145">
        <f t="shared" si="202"/>
        <v>2301.5888793034724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493</v>
      </c>
      <c r="C98" s="143"/>
      <c r="D98" s="143"/>
      <c r="E98" s="143"/>
      <c r="F98" s="143"/>
      <c r="G98" s="143">
        <f t="shared" ref="G98:H98" si="284">G51/G57</f>
        <v>0</v>
      </c>
      <c r="H98" s="143">
        <f t="shared" si="284"/>
        <v>0</v>
      </c>
      <c r="I98" s="143">
        <f t="shared" ref="I98:R98" si="285">I51/I57</f>
        <v>0</v>
      </c>
      <c r="J98" s="143">
        <f t="shared" si="285"/>
        <v>0</v>
      </c>
      <c r="K98" s="143">
        <f t="shared" si="285"/>
        <v>0</v>
      </c>
      <c r="L98" s="143">
        <f t="shared" si="285"/>
        <v>0</v>
      </c>
      <c r="M98" s="143">
        <f t="shared" si="285"/>
        <v>0</v>
      </c>
      <c r="N98" s="143">
        <f t="shared" si="285"/>
        <v>0</v>
      </c>
      <c r="O98" s="143">
        <f t="shared" si="285"/>
        <v>0</v>
      </c>
      <c r="P98" s="143">
        <f t="shared" si="285"/>
        <v>0</v>
      </c>
      <c r="Q98" s="143">
        <f t="shared" si="285"/>
        <v>0</v>
      </c>
      <c r="R98" s="143">
        <f t="shared" si="285"/>
        <v>0</v>
      </c>
      <c r="S98" s="143">
        <f t="shared" ref="S98" si="286">S51/S57</f>
        <v>0</v>
      </c>
      <c r="T98" s="118" t="e">
        <f t="shared" si="190"/>
        <v>#DIV/0!</v>
      </c>
      <c r="U98" s="128"/>
      <c r="V98" s="143">
        <f t="shared" ref="V98:AE98" si="287">V51/V57</f>
        <v>0</v>
      </c>
      <c r="W98" s="143">
        <f t="shared" si="287"/>
        <v>0</v>
      </c>
      <c r="X98" s="143">
        <f t="shared" si="287"/>
        <v>0</v>
      </c>
      <c r="Y98" s="143">
        <f t="shared" si="287"/>
        <v>0</v>
      </c>
      <c r="Z98" s="143">
        <f t="shared" si="287"/>
        <v>0</v>
      </c>
      <c r="AA98" s="143">
        <f t="shared" si="287"/>
        <v>0</v>
      </c>
      <c r="AB98" s="143">
        <f t="shared" si="287"/>
        <v>0</v>
      </c>
      <c r="AC98" s="143">
        <f t="shared" si="287"/>
        <v>0</v>
      </c>
      <c r="AD98" s="143">
        <f t="shared" si="287"/>
        <v>0</v>
      </c>
      <c r="AE98" s="143">
        <f t="shared" si="287"/>
        <v>0</v>
      </c>
      <c r="AF98" s="137" t="e">
        <f t="shared" ref="AF98:AF100" si="288">((AE98/I98)^(1/($AE$3-$J$1) ))-1</f>
        <v>#DIV/0!</v>
      </c>
      <c r="AG98" s="31">
        <f t="shared" si="16"/>
        <v>0.05</v>
      </c>
      <c r="AH98" s="145">
        <f t="shared" si="202"/>
        <v>0</v>
      </c>
    </row>
    <row r="99" spans="2:34">
      <c r="B99" s="20" t="s">
        <v>494</v>
      </c>
      <c r="C99" s="143"/>
      <c r="D99" s="143"/>
      <c r="E99" s="143"/>
      <c r="F99" s="143"/>
      <c r="G99" s="143">
        <f t="shared" ref="G99:H99" si="289">G55/G57</f>
        <v>-0.2</v>
      </c>
      <c r="H99" s="143">
        <f t="shared" si="289"/>
        <v>-0.2</v>
      </c>
      <c r="I99" s="143">
        <f t="shared" ref="I99:R99" si="290">I55/I57</f>
        <v>2.0370370370370372</v>
      </c>
      <c r="J99" s="143">
        <f t="shared" si="290"/>
        <v>3.3571428571428572</v>
      </c>
      <c r="K99" s="143">
        <f t="shared" si="290"/>
        <v>6.7340067340067344</v>
      </c>
      <c r="L99" s="143">
        <f t="shared" si="290"/>
        <v>10.239137756820478</v>
      </c>
      <c r="M99" s="143">
        <f t="shared" si="290"/>
        <v>14.075382803297996</v>
      </c>
      <c r="N99" s="143">
        <f t="shared" si="290"/>
        <v>20.95100864553314</v>
      </c>
      <c r="O99" s="143">
        <f t="shared" si="290"/>
        <v>27.684896571266648</v>
      </c>
      <c r="P99" s="143">
        <f t="shared" si="290"/>
        <v>36.252091466815394</v>
      </c>
      <c r="Q99" s="143">
        <f t="shared" si="290"/>
        <v>44.675540765391013</v>
      </c>
      <c r="R99" s="143">
        <f t="shared" si="290"/>
        <v>47.809432607134305</v>
      </c>
      <c r="S99" s="143">
        <f t="shared" ref="S99" si="291">S55/S57</f>
        <v>60.142687277051131</v>
      </c>
      <c r="T99" s="118" t="e">
        <f t="shared" si="190"/>
        <v>#NUM!</v>
      </c>
      <c r="U99" s="128"/>
      <c r="V99" s="143">
        <f t="shared" ref="V99:AE99" si="292">V55/V57</f>
        <v>64.152199762187891</v>
      </c>
      <c r="W99" s="143">
        <f t="shared" si="292"/>
        <v>68.429013079667087</v>
      </c>
      <c r="X99" s="143">
        <f t="shared" si="292"/>
        <v>72.990947284978219</v>
      </c>
      <c r="Y99" s="143">
        <f t="shared" si="292"/>
        <v>77.857010437310109</v>
      </c>
      <c r="Z99" s="143">
        <f t="shared" si="292"/>
        <v>83.047477799797463</v>
      </c>
      <c r="AA99" s="143">
        <f t="shared" si="292"/>
        <v>88.583976319783972</v>
      </c>
      <c r="AB99" s="143">
        <f t="shared" si="292"/>
        <v>94.489574741102899</v>
      </c>
      <c r="AC99" s="143">
        <f t="shared" si="292"/>
        <v>100.78887972384311</v>
      </c>
      <c r="AD99" s="143">
        <f t="shared" si="292"/>
        <v>107.50813837209932</v>
      </c>
      <c r="AE99" s="143">
        <f t="shared" si="292"/>
        <v>114.67534759690595</v>
      </c>
      <c r="AF99" s="137">
        <f t="shared" si="288"/>
        <v>0.21159024659052728</v>
      </c>
      <c r="AG99" s="31">
        <f t="shared" si="16"/>
        <v>0.05</v>
      </c>
      <c r="AH99" s="145">
        <f t="shared" si="202"/>
        <v>708.28891162794866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293">G6/G57</f>
        <v>0.85</v>
      </c>
      <c r="H100" s="143">
        <f t="shared" si="293"/>
        <v>0.85</v>
      </c>
      <c r="I100" s="143">
        <f t="shared" ref="I100:R100" si="294">I6/I57</f>
        <v>11.222222222222221</v>
      </c>
      <c r="J100" s="143">
        <f t="shared" si="294"/>
        <v>18.107142857142858</v>
      </c>
      <c r="K100" s="143">
        <f t="shared" si="294"/>
        <v>34.444444444444443</v>
      </c>
      <c r="L100" s="143">
        <f t="shared" si="294"/>
        <v>44.695183563489387</v>
      </c>
      <c r="M100" s="143">
        <f t="shared" si="294"/>
        <v>80.948174322732626</v>
      </c>
      <c r="N100" s="143">
        <f t="shared" si="294"/>
        <v>99.308357348703169</v>
      </c>
      <c r="O100" s="143">
        <f t="shared" si="294"/>
        <v>122.49929158401814</v>
      </c>
      <c r="P100" s="143">
        <f t="shared" si="294"/>
        <v>151.952035694367</v>
      </c>
      <c r="Q100" s="143">
        <f t="shared" si="294"/>
        <v>187.49306711037158</v>
      </c>
      <c r="R100" s="143">
        <f t="shared" si="294"/>
        <v>269.26023461814697</v>
      </c>
      <c r="S100" s="143">
        <f t="shared" ref="S100" si="295">S6/S57</f>
        <v>317.26516052318669</v>
      </c>
      <c r="T100" s="118">
        <f t="shared" si="190"/>
        <v>0.63807439379172526</v>
      </c>
      <c r="U100" s="128"/>
      <c r="V100" s="143">
        <f t="shared" ref="V100:AE100" si="296">V6/V57</f>
        <v>338.41617122473252</v>
      </c>
      <c r="W100" s="143">
        <f t="shared" si="296"/>
        <v>360.97724930638145</v>
      </c>
      <c r="X100" s="143">
        <f t="shared" si="296"/>
        <v>385.0423992601402</v>
      </c>
      <c r="Y100" s="143">
        <f t="shared" si="296"/>
        <v>410.71189254414958</v>
      </c>
      <c r="Z100" s="143">
        <f t="shared" si="296"/>
        <v>438.09268538042625</v>
      </c>
      <c r="AA100" s="143">
        <f t="shared" si="296"/>
        <v>467.29886440578798</v>
      </c>
      <c r="AB100" s="143">
        <f t="shared" si="296"/>
        <v>498.45212203284058</v>
      </c>
      <c r="AC100" s="143">
        <f t="shared" si="296"/>
        <v>531.68226350169664</v>
      </c>
      <c r="AD100" s="143">
        <f t="shared" si="296"/>
        <v>567.12774773514298</v>
      </c>
      <c r="AE100" s="143">
        <f t="shared" si="296"/>
        <v>604.93626425081925</v>
      </c>
      <c r="AF100" s="137">
        <f t="shared" si="288"/>
        <v>0.20908993914788665</v>
      </c>
      <c r="AG100" s="31">
        <f t="shared" ref="AG100" si="297">$N$1</f>
        <v>0.05</v>
      </c>
      <c r="AH100" s="145">
        <f t="shared" si="202"/>
        <v>3736.3710439021197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463</v>
      </c>
      <c r="C102" s="127"/>
      <c r="D102" s="127"/>
      <c r="E102" s="127"/>
      <c r="F102" s="127"/>
      <c r="G102" s="143">
        <f t="shared" ref="G102:H102" si="298">G55/$S$57</f>
        <v>-9.5124851367419744E-2</v>
      </c>
      <c r="H102" s="143">
        <f t="shared" si="298"/>
        <v>-9.5124851367419744E-2</v>
      </c>
      <c r="I102" s="143">
        <f t="shared" ref="I102:S102" si="299">I55/$S$57</f>
        <v>1.3079667063020215</v>
      </c>
      <c r="J102" s="143">
        <f t="shared" si="299"/>
        <v>2.2354340071343639</v>
      </c>
      <c r="K102" s="143">
        <f t="shared" si="299"/>
        <v>4.756242568370987</v>
      </c>
      <c r="L102" s="143">
        <f t="shared" si="299"/>
        <v>7.2294887039239004</v>
      </c>
      <c r="M102" s="143">
        <f t="shared" si="299"/>
        <v>11.36741973840666</v>
      </c>
      <c r="N102" s="143">
        <f t="shared" si="299"/>
        <v>17.288941736028537</v>
      </c>
      <c r="O102" s="143">
        <f t="shared" si="299"/>
        <v>23.234244946492272</v>
      </c>
      <c r="P102" s="143">
        <f t="shared" si="299"/>
        <v>30.915576694411417</v>
      </c>
      <c r="Q102" s="143">
        <f t="shared" si="299"/>
        <v>38.311533888228304</v>
      </c>
      <c r="R102" s="143">
        <f t="shared" si="299"/>
        <v>47.491082045184307</v>
      </c>
      <c r="S102" s="143">
        <f t="shared" si="299"/>
        <v>60.142687277051131</v>
      </c>
      <c r="T102" s="118" t="e">
        <f t="shared" si="190"/>
        <v>#NUM!</v>
      </c>
      <c r="U102" s="128"/>
      <c r="V102" s="143">
        <f t="shared" ref="V102:AE102" si="300">V55/V57</f>
        <v>64.152199762187891</v>
      </c>
      <c r="W102" s="143">
        <f t="shared" si="300"/>
        <v>68.429013079667087</v>
      </c>
      <c r="X102" s="143">
        <f t="shared" si="300"/>
        <v>72.990947284978219</v>
      </c>
      <c r="Y102" s="143">
        <f t="shared" si="300"/>
        <v>77.857010437310109</v>
      </c>
      <c r="Z102" s="143">
        <f t="shared" si="300"/>
        <v>83.047477799797463</v>
      </c>
      <c r="AA102" s="143">
        <f t="shared" si="300"/>
        <v>88.583976319783972</v>
      </c>
      <c r="AB102" s="143">
        <f t="shared" si="300"/>
        <v>94.489574741102899</v>
      </c>
      <c r="AC102" s="143">
        <f t="shared" si="300"/>
        <v>100.78887972384311</v>
      </c>
      <c r="AD102" s="143">
        <f t="shared" si="300"/>
        <v>107.50813837209932</v>
      </c>
      <c r="AE102" s="143">
        <f t="shared" si="300"/>
        <v>114.67534759690595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01">G51/G25</f>
        <v>0</v>
      </c>
      <c r="H105" s="150">
        <f t="shared" si="301"/>
        <v>0</v>
      </c>
      <c r="I105" s="150">
        <f t="shared" ref="I105:R105" si="302">I51/I25</f>
        <v>0</v>
      </c>
      <c r="J105" s="150">
        <f t="shared" si="302"/>
        <v>0</v>
      </c>
      <c r="K105" s="150">
        <f t="shared" si="302"/>
        <v>0</v>
      </c>
      <c r="L105" s="150">
        <f t="shared" si="302"/>
        <v>0</v>
      </c>
      <c r="M105" s="150">
        <f t="shared" si="302"/>
        <v>0</v>
      </c>
      <c r="N105" s="150">
        <f t="shared" si="302"/>
        <v>0</v>
      </c>
      <c r="O105" s="150">
        <f t="shared" si="302"/>
        <v>0</v>
      </c>
      <c r="P105" s="150">
        <f t="shared" si="302"/>
        <v>0</v>
      </c>
      <c r="Q105" s="150">
        <f t="shared" si="302"/>
        <v>0</v>
      </c>
      <c r="R105" s="150">
        <f t="shared" si="302"/>
        <v>0</v>
      </c>
      <c r="S105" s="150">
        <f t="shared" ref="S105" si="303">S51/S25</f>
        <v>0</v>
      </c>
      <c r="T105" s="118" t="e">
        <f t="shared" si="190"/>
        <v>#DIV/0!</v>
      </c>
      <c r="U105" s="150"/>
      <c r="V105" s="150">
        <f t="shared" ref="V105:AE105" si="304">V51/V25</f>
        <v>0</v>
      </c>
      <c r="W105" s="150">
        <f t="shared" si="304"/>
        <v>0</v>
      </c>
      <c r="X105" s="150">
        <f t="shared" si="304"/>
        <v>0</v>
      </c>
      <c r="Y105" s="150">
        <f t="shared" si="304"/>
        <v>0</v>
      </c>
      <c r="Z105" s="150">
        <f t="shared" si="304"/>
        <v>0</v>
      </c>
      <c r="AA105" s="150">
        <f t="shared" si="304"/>
        <v>0</v>
      </c>
      <c r="AB105" s="150">
        <f t="shared" si="304"/>
        <v>0</v>
      </c>
      <c r="AC105" s="150">
        <f t="shared" si="304"/>
        <v>0</v>
      </c>
      <c r="AD105" s="150">
        <f t="shared" si="304"/>
        <v>0</v>
      </c>
      <c r="AE105" s="150">
        <f t="shared" si="304"/>
        <v>0</v>
      </c>
      <c r="AF105" s="137" t="e">
        <f t="shared" ref="AF105:AF154" si="305">((AE105/I105)^(1/($AE$3-$J$1) ))-1</f>
        <v>#DIV/0!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06">G55/G25</f>
        <v>-8.3333333333333329E-2</v>
      </c>
      <c r="H106" s="150">
        <f t="shared" si="306"/>
        <v>-8.3333333333333329E-2</v>
      </c>
      <c r="I106" s="150">
        <f t="shared" ref="I106:R106" si="307">I55/I25</f>
        <v>0.19031141868512111</v>
      </c>
      <c r="J106" s="150">
        <f t="shared" si="307"/>
        <v>0.11928934010152284</v>
      </c>
      <c r="K106" s="150">
        <f t="shared" si="307"/>
        <v>0.11968880909634949</v>
      </c>
      <c r="L106" s="150">
        <f t="shared" si="307"/>
        <v>0.12469237079573421</v>
      </c>
      <c r="M106" s="150">
        <f t="shared" si="307"/>
        <v>0.16230899830220713</v>
      </c>
      <c r="N106" s="150">
        <f t="shared" si="307"/>
        <v>0.15584137191854233</v>
      </c>
      <c r="O106" s="150">
        <f t="shared" si="307"/>
        <v>0.13637632607481853</v>
      </c>
      <c r="P106" s="150">
        <f t="shared" si="307"/>
        <v>0.13611140194744006</v>
      </c>
      <c r="Q106" s="150">
        <f t="shared" si="307"/>
        <v>0.13766877456844984</v>
      </c>
      <c r="R106" s="150">
        <f t="shared" si="307"/>
        <v>0.14663337983699243</v>
      </c>
      <c r="S106" s="150">
        <f t="shared" ref="S106" si="308">S55/S25</f>
        <v>0.15551592670028286</v>
      </c>
      <c r="T106" s="118" t="e">
        <f t="shared" si="190"/>
        <v>#NUM!</v>
      </c>
      <c r="U106" s="150"/>
      <c r="V106" s="150">
        <f t="shared" ref="V106:AE106" si="309">V55/V25</f>
        <v>0.15551592670028289</v>
      </c>
      <c r="W106" s="150">
        <f t="shared" si="309"/>
        <v>0.15551592670028286</v>
      </c>
      <c r="X106" s="150">
        <f t="shared" si="309"/>
        <v>0.15551592670028286</v>
      </c>
      <c r="Y106" s="150">
        <f t="shared" si="309"/>
        <v>0.15551592670028286</v>
      </c>
      <c r="Z106" s="150">
        <f t="shared" si="309"/>
        <v>0.15551592670028286</v>
      </c>
      <c r="AA106" s="150">
        <f t="shared" si="309"/>
        <v>0.15551592670028286</v>
      </c>
      <c r="AB106" s="150">
        <f t="shared" si="309"/>
        <v>0.15551592670028286</v>
      </c>
      <c r="AC106" s="150">
        <f t="shared" si="309"/>
        <v>0.15551592670028286</v>
      </c>
      <c r="AD106" s="150">
        <f t="shared" si="309"/>
        <v>0.15551592670028283</v>
      </c>
      <c r="AE106" s="150">
        <f t="shared" si="309"/>
        <v>0.15551592670028283</v>
      </c>
      <c r="AF106" s="137">
        <f t="shared" si="305"/>
        <v>-9.5688589352985742E-3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10">G55/G7</f>
        <v>-1.8433179723502304E-2</v>
      </c>
      <c r="H107" s="150">
        <f t="shared" si="310"/>
        <v>-1.8433179723502304E-2</v>
      </c>
      <c r="I107" s="150">
        <f>I55/I7</f>
        <v>9.6153846153846159E-2</v>
      </c>
      <c r="J107" s="150">
        <f t="shared" ref="J107:Q107" si="311">J55/J7</f>
        <v>0.11944091486658195</v>
      </c>
      <c r="K107" s="150">
        <f t="shared" si="311"/>
        <v>0.15163002274450341</v>
      </c>
      <c r="L107" s="150">
        <f t="shared" si="311"/>
        <v>0.18719211822660098</v>
      </c>
      <c r="M107" s="150">
        <f t="shared" si="311"/>
        <v>0.15474263515700873</v>
      </c>
      <c r="N107" s="150">
        <f t="shared" si="311"/>
        <v>0.19161834475487613</v>
      </c>
      <c r="O107" s="150">
        <f t="shared" si="311"/>
        <v>0.20893926432848589</v>
      </c>
      <c r="P107" s="150">
        <f t="shared" si="311"/>
        <v>0.22386774582400551</v>
      </c>
      <c r="Q107" s="150">
        <f t="shared" si="311"/>
        <v>0.22642304989458889</v>
      </c>
      <c r="R107" s="150">
        <f t="shared" ref="R107:S107" si="312">R55/R7</f>
        <v>0.17119588512644662</v>
      </c>
      <c r="S107" s="150">
        <f t="shared" si="312"/>
        <v>0.18376689434675192</v>
      </c>
      <c r="T107" s="118" t="e">
        <f t="shared" si="190"/>
        <v>#NUM!</v>
      </c>
      <c r="U107" s="20"/>
      <c r="V107" s="150">
        <f t="shared" ref="V107" si="313">V55/V7</f>
        <v>0.18376689434675192</v>
      </c>
      <c r="W107" s="150">
        <f t="shared" ref="W107:AE107" si="314">W55/W7</f>
        <v>0.18376689434675192</v>
      </c>
      <c r="X107" s="150">
        <f t="shared" si="314"/>
        <v>0.18376689434675192</v>
      </c>
      <c r="Y107" s="150">
        <f t="shared" si="314"/>
        <v>0.18376689434675189</v>
      </c>
      <c r="Z107" s="150">
        <f t="shared" si="314"/>
        <v>0.18376689434675189</v>
      </c>
      <c r="AA107" s="150">
        <f t="shared" si="314"/>
        <v>0.18376689434675192</v>
      </c>
      <c r="AB107" s="150">
        <f t="shared" si="314"/>
        <v>0.18376689434675189</v>
      </c>
      <c r="AC107" s="150">
        <f t="shared" si="314"/>
        <v>0.18376689434675189</v>
      </c>
      <c r="AD107" s="150">
        <f t="shared" si="314"/>
        <v>0.18376689434675192</v>
      </c>
      <c r="AE107" s="150">
        <f t="shared" si="314"/>
        <v>0.18376689434675192</v>
      </c>
      <c r="AF107" s="137">
        <f t="shared" si="305"/>
        <v>3.1324339650684596E-2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15">(G55)/(G7+G10)</f>
        <v>-3.2025620496397116E-3</v>
      </c>
      <c r="H108" s="150">
        <f t="shared" si="315"/>
        <v>-3.2025620496397116E-3</v>
      </c>
      <c r="I108" s="150">
        <f>(I55)/(I7+I10)</f>
        <v>1.3934633899163922E-2</v>
      </c>
      <c r="J108" s="150">
        <f t="shared" ref="J108:Q108" si="316">(J55)/(J7+J10)</f>
        <v>9.5199513874822759E-3</v>
      </c>
      <c r="K108" s="150">
        <f t="shared" si="316"/>
        <v>1.2838618564642445E-2</v>
      </c>
      <c r="L108" s="150">
        <f t="shared" si="316"/>
        <v>1.5213692323090782E-2</v>
      </c>
      <c r="M108" s="150">
        <f t="shared" si="316"/>
        <v>1.3800669823305231E-2</v>
      </c>
      <c r="N108" s="150">
        <f t="shared" si="316"/>
        <v>1.288481647555075E-2</v>
      </c>
      <c r="O108" s="150">
        <f t="shared" si="316"/>
        <v>1.4371028477288774E-2</v>
      </c>
      <c r="P108" s="150">
        <f t="shared" si="316"/>
        <v>1.3876435677383545E-2</v>
      </c>
      <c r="Q108" s="150">
        <f t="shared" si="316"/>
        <v>1.5699612138694526E-2</v>
      </c>
      <c r="R108" s="150">
        <f t="shared" ref="R108:S108" si="317">(R55)/(R7+R10)</f>
        <v>1.5475341743901305E-2</v>
      </c>
      <c r="S108" s="150">
        <f t="shared" si="317"/>
        <v>1.609546539379475E-2</v>
      </c>
      <c r="T108" s="118" t="e">
        <f t="shared" si="190"/>
        <v>#NUM!</v>
      </c>
      <c r="U108" s="20"/>
      <c r="V108" s="150">
        <f t="shared" ref="V108:AE108" si="318">(V55)/(V7+V10)</f>
        <v>1.609546539379475E-2</v>
      </c>
      <c r="W108" s="150">
        <f t="shared" si="318"/>
        <v>1.6095465393794747E-2</v>
      </c>
      <c r="X108" s="150">
        <f t="shared" si="318"/>
        <v>1.6095465393794747E-2</v>
      </c>
      <c r="Y108" s="150">
        <f t="shared" si="318"/>
        <v>1.6095465393794747E-2</v>
      </c>
      <c r="Z108" s="150">
        <f t="shared" si="318"/>
        <v>1.6095465393794747E-2</v>
      </c>
      <c r="AA108" s="150">
        <f t="shared" si="318"/>
        <v>1.609546539379475E-2</v>
      </c>
      <c r="AB108" s="150">
        <f t="shared" si="318"/>
        <v>1.609546539379475E-2</v>
      </c>
      <c r="AC108" s="150">
        <f t="shared" si="318"/>
        <v>1.609546539379475E-2</v>
      </c>
      <c r="AD108" s="150">
        <f t="shared" si="318"/>
        <v>1.609546539379475E-2</v>
      </c>
      <c r="AE108" s="150">
        <f t="shared" si="318"/>
        <v>1.609546539379475E-2</v>
      </c>
      <c r="AF108" s="137">
        <f t="shared" si="305"/>
        <v>6.8883875602117062E-3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>
        <f t="shared" ref="G109:H109" si="319">G20/G25</f>
        <v>-1.1458333333333333</v>
      </c>
      <c r="H109" s="150">
        <f t="shared" si="319"/>
        <v>-1.1458333333333333</v>
      </c>
      <c r="I109" s="150">
        <f>I20/I25</f>
        <v>-0.5743944636678201</v>
      </c>
      <c r="J109" s="150">
        <f t="shared" ref="J109:R109" si="320">J20/J25</f>
        <v>2.2855329949238579</v>
      </c>
      <c r="K109" s="150">
        <f t="shared" si="320"/>
        <v>-0.1172950329144225</v>
      </c>
      <c r="L109" s="150">
        <f t="shared" si="320"/>
        <v>-0.14971287940935193</v>
      </c>
      <c r="M109" s="150">
        <f t="shared" si="320"/>
        <v>0.32597623089983024</v>
      </c>
      <c r="N109" s="150">
        <f t="shared" si="320"/>
        <v>0.6538049303322615</v>
      </c>
      <c r="O109" s="150">
        <f t="shared" si="320"/>
        <v>0.50083752093802347</v>
      </c>
      <c r="P109" s="150">
        <f t="shared" si="320"/>
        <v>5.6538582347398177E-2</v>
      </c>
      <c r="Q109" s="150">
        <f t="shared" si="320"/>
        <v>0.38010596479234321</v>
      </c>
      <c r="R109" s="150">
        <f t="shared" si="320"/>
        <v>-0.10639547690726191</v>
      </c>
      <c r="S109" s="150">
        <f t="shared" ref="S109" si="321">S20/S25</f>
        <v>-2.2321977616529331E-2</v>
      </c>
      <c r="T109" s="118">
        <f t="shared" si="190"/>
        <v>-0.2797759799463283</v>
      </c>
      <c r="U109" s="20"/>
      <c r="V109" s="150">
        <f t="shared" ref="V109:AE109" si="322">V20/V25</f>
        <v>-2.2321977616529331E-2</v>
      </c>
      <c r="W109" s="150">
        <f t="shared" si="322"/>
        <v>-2.2321977616529331E-2</v>
      </c>
      <c r="X109" s="150">
        <f t="shared" si="322"/>
        <v>-2.2321977616529331E-2</v>
      </c>
      <c r="Y109" s="150">
        <f t="shared" si="322"/>
        <v>-2.2321977616529331E-2</v>
      </c>
      <c r="Z109" s="150">
        <f t="shared" si="322"/>
        <v>-2.2321977616529331E-2</v>
      </c>
      <c r="AA109" s="150">
        <f t="shared" si="322"/>
        <v>-2.2321977616529331E-2</v>
      </c>
      <c r="AB109" s="150">
        <f t="shared" si="322"/>
        <v>-2.2321977616529331E-2</v>
      </c>
      <c r="AC109" s="150">
        <f t="shared" si="322"/>
        <v>-2.2321977616529331E-2</v>
      </c>
      <c r="AD109" s="150">
        <f t="shared" si="322"/>
        <v>-2.2321977616529327E-2</v>
      </c>
      <c r="AE109" s="150">
        <f t="shared" si="322"/>
        <v>-2.2321977616529324E-2</v>
      </c>
      <c r="AF109" s="137">
        <f t="shared" si="305"/>
        <v>-0.14328888577490684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>
        <f t="shared" ref="G110:H110" si="323">G68/G25</f>
        <v>8.3333333333333329E-2</v>
      </c>
      <c r="H110" s="150">
        <f t="shared" si="323"/>
        <v>8.3333333333333329E-2</v>
      </c>
      <c r="I110" s="150">
        <f>I68/I25</f>
        <v>-0.19031141868512111</v>
      </c>
      <c r="J110" s="150">
        <f t="shared" ref="J110:R110" si="324">J68/J25</f>
        <v>-0.11928934010152284</v>
      </c>
      <c r="K110" s="150">
        <f t="shared" si="324"/>
        <v>-0.11968880909634949</v>
      </c>
      <c r="L110" s="150">
        <f t="shared" si="324"/>
        <v>-0.12469237079573421</v>
      </c>
      <c r="M110" s="150">
        <f t="shared" si="324"/>
        <v>-0.16230899830220713</v>
      </c>
      <c r="N110" s="150">
        <f t="shared" si="324"/>
        <v>-0.15584137191854233</v>
      </c>
      <c r="O110" s="150">
        <f t="shared" si="324"/>
        <v>-0.13637632607481853</v>
      </c>
      <c r="P110" s="150">
        <f t="shared" si="324"/>
        <v>-0.13611140194744006</v>
      </c>
      <c r="Q110" s="150">
        <f t="shared" si="324"/>
        <v>-0.13766877456844984</v>
      </c>
      <c r="R110" s="150">
        <f t="shared" si="324"/>
        <v>-0.14663337983699243</v>
      </c>
      <c r="S110" s="150">
        <f t="shared" ref="S110" si="325">S68/S25</f>
        <v>-0.15551592670028286</v>
      </c>
      <c r="T110" s="118" t="e">
        <f t="shared" si="190"/>
        <v>#NUM!</v>
      </c>
      <c r="U110" s="20"/>
      <c r="V110" s="150">
        <f t="shared" ref="V110:AE110" si="326">V68/V25</f>
        <v>-0.15551592670028289</v>
      </c>
      <c r="W110" s="150">
        <f t="shared" si="326"/>
        <v>-0.15551592670028286</v>
      </c>
      <c r="X110" s="150">
        <f t="shared" si="326"/>
        <v>-0.15551592670028286</v>
      </c>
      <c r="Y110" s="150">
        <f t="shared" si="326"/>
        <v>-0.15551592670028286</v>
      </c>
      <c r="Z110" s="150">
        <f t="shared" si="326"/>
        <v>-0.15551592670028286</v>
      </c>
      <c r="AA110" s="150">
        <f t="shared" si="326"/>
        <v>-0.15551592670028286</v>
      </c>
      <c r="AB110" s="150">
        <f t="shared" si="326"/>
        <v>-0.15551592670028286</v>
      </c>
      <c r="AC110" s="150">
        <f t="shared" si="326"/>
        <v>-0.15551592670028286</v>
      </c>
      <c r="AD110" s="150">
        <f t="shared" si="326"/>
        <v>-0.15551592670028283</v>
      </c>
      <c r="AE110" s="150">
        <f t="shared" si="326"/>
        <v>-0.15551592670028283</v>
      </c>
      <c r="AF110" s="137">
        <f t="shared" si="305"/>
        <v>-9.5688589352985742E-3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>
        <f t="shared" ref="G112:H112" si="327">G29/G25</f>
        <v>0.25</v>
      </c>
      <c r="H112" s="150">
        <f t="shared" si="327"/>
        <v>0.25</v>
      </c>
      <c r="I112" s="150">
        <f>I29/I25</f>
        <v>0.36332179930795849</v>
      </c>
      <c r="J112" s="150">
        <f t="shared" ref="J112:R112" si="328">J29/J25</f>
        <v>0.52791878172588835</v>
      </c>
      <c r="K112" s="150">
        <f t="shared" si="328"/>
        <v>0.58288450029922201</v>
      </c>
      <c r="L112" s="150">
        <f t="shared" si="328"/>
        <v>0.6119770303527482</v>
      </c>
      <c r="M112" s="150">
        <f t="shared" si="328"/>
        <v>0.5368421052631579</v>
      </c>
      <c r="N112" s="150">
        <f t="shared" si="328"/>
        <v>0.5989281886387996</v>
      </c>
      <c r="O112" s="150">
        <f t="shared" si="328"/>
        <v>0.65480178671133449</v>
      </c>
      <c r="P112" s="150">
        <f t="shared" si="328"/>
        <v>0.63605905140822949</v>
      </c>
      <c r="Q112" s="150">
        <f t="shared" si="328"/>
        <v>0.62083404546231413</v>
      </c>
      <c r="R112" s="150">
        <f t="shared" si="328"/>
        <v>0.59350906821352523</v>
      </c>
      <c r="S112" s="150">
        <f t="shared" ref="S112" si="329">S29/S25</f>
        <v>0.55128520477186083</v>
      </c>
      <c r="T112" s="118">
        <f t="shared" si="190"/>
        <v>6.8119131714113657E-2</v>
      </c>
      <c r="U112" s="20"/>
      <c r="V112" s="150">
        <f t="shared" ref="V112:AE112" si="330">V29/V25</f>
        <v>0.55128520477186072</v>
      </c>
      <c r="W112" s="150">
        <f t="shared" si="330"/>
        <v>0.55128520477186072</v>
      </c>
      <c r="X112" s="150">
        <f t="shared" si="330"/>
        <v>0.55128520477186072</v>
      </c>
      <c r="Y112" s="150">
        <f t="shared" si="330"/>
        <v>0.55128520477186072</v>
      </c>
      <c r="Z112" s="150">
        <f t="shared" si="330"/>
        <v>0.55128520477186072</v>
      </c>
      <c r="AA112" s="150">
        <f t="shared" si="330"/>
        <v>0.55128520477186072</v>
      </c>
      <c r="AB112" s="150">
        <f t="shared" si="330"/>
        <v>0.55128520477186072</v>
      </c>
      <c r="AC112" s="150">
        <f t="shared" si="330"/>
        <v>0.55128520477186072</v>
      </c>
      <c r="AD112" s="150">
        <f t="shared" si="330"/>
        <v>0.5512852047718606</v>
      </c>
      <c r="AE112" s="150">
        <f t="shared" si="330"/>
        <v>0.5512852047718606</v>
      </c>
      <c r="AF112" s="137">
        <f t="shared" si="305"/>
        <v>2.0053827014824055E-2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 t="e">
        <f t="shared" ref="G113:H113" si="331">G29/G51</f>
        <v>#DIV/0!</v>
      </c>
      <c r="H113" s="150" t="e">
        <f t="shared" si="331"/>
        <v>#DIV/0!</v>
      </c>
      <c r="I113" s="150" t="e">
        <f>I29/I51</f>
        <v>#DIV/0!</v>
      </c>
      <c r="J113" s="150" t="e">
        <f t="shared" ref="J113:R113" si="332">J29/J51</f>
        <v>#DIV/0!</v>
      </c>
      <c r="K113" s="150" t="e">
        <f t="shared" si="332"/>
        <v>#DIV/0!</v>
      </c>
      <c r="L113" s="150" t="e">
        <f t="shared" si="332"/>
        <v>#DIV/0!</v>
      </c>
      <c r="M113" s="150" t="e">
        <f t="shared" si="332"/>
        <v>#DIV/0!</v>
      </c>
      <c r="N113" s="150" t="e">
        <f t="shared" si="332"/>
        <v>#DIV/0!</v>
      </c>
      <c r="O113" s="150" t="e">
        <f t="shared" si="332"/>
        <v>#DIV/0!</v>
      </c>
      <c r="P113" s="150" t="e">
        <f t="shared" si="332"/>
        <v>#DIV/0!</v>
      </c>
      <c r="Q113" s="150" t="e">
        <f t="shared" si="332"/>
        <v>#DIV/0!</v>
      </c>
      <c r="R113" s="150" t="e">
        <f t="shared" si="332"/>
        <v>#DIV/0!</v>
      </c>
      <c r="S113" s="150" t="e">
        <f t="shared" ref="S113" si="333">S29/S51</f>
        <v>#DIV/0!</v>
      </c>
      <c r="T113" s="118" t="e">
        <f t="shared" si="190"/>
        <v>#DIV/0!</v>
      </c>
      <c r="U113" s="20"/>
      <c r="V113" s="150" t="e">
        <f t="shared" ref="V113:AE113" si="334">V29/V51</f>
        <v>#DIV/0!</v>
      </c>
      <c r="W113" s="150" t="e">
        <f t="shared" si="334"/>
        <v>#DIV/0!</v>
      </c>
      <c r="X113" s="150" t="e">
        <f t="shared" si="334"/>
        <v>#DIV/0!</v>
      </c>
      <c r="Y113" s="150" t="e">
        <f t="shared" si="334"/>
        <v>#DIV/0!</v>
      </c>
      <c r="Z113" s="150" t="e">
        <f t="shared" si="334"/>
        <v>#DIV/0!</v>
      </c>
      <c r="AA113" s="150" t="e">
        <f t="shared" si="334"/>
        <v>#DIV/0!</v>
      </c>
      <c r="AB113" s="150" t="e">
        <f t="shared" si="334"/>
        <v>#DIV/0!</v>
      </c>
      <c r="AC113" s="150" t="e">
        <f t="shared" si="334"/>
        <v>#DIV/0!</v>
      </c>
      <c r="AD113" s="150" t="e">
        <f t="shared" si="334"/>
        <v>#DIV/0!</v>
      </c>
      <c r="AE113" s="150" t="e">
        <f t="shared" si="334"/>
        <v>#DIV/0!</v>
      </c>
      <c r="AF113" s="137" t="e">
        <f t="shared" ref="AF113" si="335">((AE113/I113)^(1/($AE$3-$J$1) ))-1</f>
        <v>#DIV/0!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36">G29/G55</f>
        <v>-3</v>
      </c>
      <c r="H114" s="169">
        <f t="shared" si="336"/>
        <v>-3</v>
      </c>
      <c r="I114" s="169">
        <f t="shared" ref="I114:R114" si="337">I29/I55</f>
        <v>1.9090909090909092</v>
      </c>
      <c r="J114" s="169">
        <f t="shared" si="337"/>
        <v>4.4255319148936172</v>
      </c>
      <c r="K114" s="169">
        <f t="shared" si="337"/>
        <v>4.87</v>
      </c>
      <c r="L114" s="169">
        <f t="shared" si="337"/>
        <v>4.9078947368421053</v>
      </c>
      <c r="M114" s="169">
        <f t="shared" si="337"/>
        <v>3.3075313807531379</v>
      </c>
      <c r="N114" s="169">
        <f t="shared" si="337"/>
        <v>3.8431911966987622</v>
      </c>
      <c r="O114" s="169">
        <f t="shared" si="337"/>
        <v>4.8014329580348001</v>
      </c>
      <c r="P114" s="169">
        <f t="shared" si="337"/>
        <v>4.6730769230769234</v>
      </c>
      <c r="Q114" s="169">
        <f t="shared" si="337"/>
        <v>4.5096213531967724</v>
      </c>
      <c r="R114" s="169">
        <f t="shared" si="337"/>
        <v>4.0475713570355536</v>
      </c>
      <c r="S114" s="169">
        <f t="shared" ref="S114" si="338">S29/S55</f>
        <v>3.5448793989719256</v>
      </c>
      <c r="T114" s="118" t="e">
        <f t="shared" si="190"/>
        <v>#NUM!</v>
      </c>
      <c r="U114" s="20"/>
      <c r="V114" s="169">
        <f t="shared" ref="V114:AE114" si="339">V29/V55</f>
        <v>3.5448793989719256</v>
      </c>
      <c r="W114" s="169">
        <f t="shared" si="339"/>
        <v>3.5448793989719256</v>
      </c>
      <c r="X114" s="169">
        <f t="shared" si="339"/>
        <v>3.5448793989719252</v>
      </c>
      <c r="Y114" s="169">
        <f t="shared" si="339"/>
        <v>3.5448793989719252</v>
      </c>
      <c r="Z114" s="169">
        <f t="shared" si="339"/>
        <v>3.5448793989719256</v>
      </c>
      <c r="AA114" s="169">
        <f t="shared" si="339"/>
        <v>3.5448793989719256</v>
      </c>
      <c r="AB114" s="169">
        <f t="shared" si="339"/>
        <v>3.5448793989719256</v>
      </c>
      <c r="AC114" s="169">
        <f t="shared" si="339"/>
        <v>3.5448793989719256</v>
      </c>
      <c r="AD114" s="169">
        <f t="shared" si="339"/>
        <v>3.5448793989719256</v>
      </c>
      <c r="AE114" s="169">
        <f t="shared" si="339"/>
        <v>3.5448793989719252</v>
      </c>
      <c r="AF114" s="137">
        <f t="shared" ref="AF114" si="340">((AE114/I114)^(1/($AE$3-$J$1) ))-1</f>
        <v>2.9908879801859412E-2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 t="e">
        <f t="shared" ref="G115:H115" si="341">G29/G12</f>
        <v>#DIV/0!</v>
      </c>
      <c r="H115" s="169" t="e">
        <f t="shared" si="341"/>
        <v>#DIV/0!</v>
      </c>
      <c r="I115" s="169" t="e">
        <f t="shared" ref="I115:R115" si="342">I29/I12</f>
        <v>#DIV/0!</v>
      </c>
      <c r="J115" s="169" t="e">
        <f t="shared" si="342"/>
        <v>#DIV/0!</v>
      </c>
      <c r="K115" s="169" t="e">
        <f t="shared" si="342"/>
        <v>#DIV/0!</v>
      </c>
      <c r="L115" s="169" t="e">
        <f t="shared" si="342"/>
        <v>#DIV/0!</v>
      </c>
      <c r="M115" s="169" t="e">
        <f t="shared" si="342"/>
        <v>#DIV/0!</v>
      </c>
      <c r="N115" s="169" t="e">
        <f t="shared" si="342"/>
        <v>#DIV/0!</v>
      </c>
      <c r="O115" s="169" t="e">
        <f t="shared" si="342"/>
        <v>#DIV/0!</v>
      </c>
      <c r="P115" s="169" t="e">
        <f t="shared" si="342"/>
        <v>#DIV/0!</v>
      </c>
      <c r="Q115" s="169" t="e">
        <f t="shared" si="342"/>
        <v>#DIV/0!</v>
      </c>
      <c r="R115" s="169" t="e">
        <f t="shared" si="342"/>
        <v>#DIV/0!</v>
      </c>
      <c r="S115" s="169" t="e">
        <f t="shared" ref="S115" si="343">S29/S12</f>
        <v>#DIV/0!</v>
      </c>
      <c r="T115" s="118" t="e">
        <f t="shared" si="190"/>
        <v>#DIV/0!</v>
      </c>
      <c r="U115" s="20"/>
      <c r="V115" s="150" t="e">
        <f t="shared" ref="V115:AE115" si="344">V29/V12</f>
        <v>#DIV/0!</v>
      </c>
      <c r="W115" s="150" t="e">
        <f t="shared" si="344"/>
        <v>#DIV/0!</v>
      </c>
      <c r="X115" s="150" t="e">
        <f t="shared" si="344"/>
        <v>#DIV/0!</v>
      </c>
      <c r="Y115" s="150" t="e">
        <f t="shared" si="344"/>
        <v>#DIV/0!</v>
      </c>
      <c r="Z115" s="150" t="e">
        <f t="shared" si="344"/>
        <v>#DIV/0!</v>
      </c>
      <c r="AA115" s="150" t="e">
        <f t="shared" si="344"/>
        <v>#DIV/0!</v>
      </c>
      <c r="AB115" s="150" t="e">
        <f t="shared" si="344"/>
        <v>#DIV/0!</v>
      </c>
      <c r="AC115" s="150" t="e">
        <f t="shared" si="344"/>
        <v>#DIV/0!</v>
      </c>
      <c r="AD115" s="150" t="e">
        <f t="shared" si="344"/>
        <v>#DIV/0!</v>
      </c>
      <c r="AE115" s="150" t="e">
        <f t="shared" si="344"/>
        <v>#DIV/0!</v>
      </c>
      <c r="AF115" s="137" t="e">
        <f t="shared" si="305"/>
        <v>#DIV/0!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>
        <f t="shared" ref="G116:H116" si="345">G29/G23</f>
        <v>0.22641509433962265</v>
      </c>
      <c r="H116" s="169">
        <f t="shared" si="345"/>
        <v>0.22641509433962265</v>
      </c>
      <c r="I116" s="169">
        <f>I29/I23</f>
        <v>0.4861111111111111</v>
      </c>
      <c r="J116" s="169">
        <f t="shared" ref="J116:R116" si="346">J29/J23</f>
        <v>0.32198142414860681</v>
      </c>
      <c r="K116" s="169">
        <f t="shared" si="346"/>
        <v>0.59864781807006762</v>
      </c>
      <c r="L116" s="169">
        <f t="shared" si="346"/>
        <v>0.77627471383975022</v>
      </c>
      <c r="M116" s="169">
        <f t="shared" si="346"/>
        <v>0.59147025813692478</v>
      </c>
      <c r="N116" s="169">
        <f t="shared" si="346"/>
        <v>0.79942775393419174</v>
      </c>
      <c r="O116" s="169">
        <f t="shared" si="346"/>
        <v>1.308507670850767</v>
      </c>
      <c r="P116" s="169">
        <f t="shared" si="346"/>
        <v>1.4944649446494465</v>
      </c>
      <c r="Q116" s="169">
        <f t="shared" si="346"/>
        <v>1.2332371414021388</v>
      </c>
      <c r="R116" s="169">
        <f t="shared" si="346"/>
        <v>1.0696043403466984</v>
      </c>
      <c r="S116" s="169">
        <f t="shared" ref="S116" si="347">S29/S23</f>
        <v>1.0908980287174495</v>
      </c>
      <c r="T116" s="118">
        <f t="shared" si="190"/>
        <v>0.14000449839977458</v>
      </c>
      <c r="U116" s="20"/>
      <c r="V116" s="169">
        <f t="shared" ref="V116:AE116" si="348">V29/V23</f>
        <v>1.0908980287174495</v>
      </c>
      <c r="W116" s="169">
        <f t="shared" si="348"/>
        <v>1.0908980287174492</v>
      </c>
      <c r="X116" s="169">
        <f t="shared" si="348"/>
        <v>1.0908980287174492</v>
      </c>
      <c r="Y116" s="169">
        <f t="shared" si="348"/>
        <v>1.0908980287174492</v>
      </c>
      <c r="Z116" s="169">
        <f t="shared" si="348"/>
        <v>1.0908980287174492</v>
      </c>
      <c r="AA116" s="169">
        <f t="shared" si="348"/>
        <v>1.0908980287174492</v>
      </c>
      <c r="AB116" s="169">
        <f t="shared" si="348"/>
        <v>1.0908980287174492</v>
      </c>
      <c r="AC116" s="169">
        <f t="shared" si="348"/>
        <v>1.0908980287174492</v>
      </c>
      <c r="AD116" s="169">
        <f t="shared" si="348"/>
        <v>1.0908980287174495</v>
      </c>
      <c r="AE116" s="169">
        <f t="shared" si="348"/>
        <v>1.0908980287174495</v>
      </c>
      <c r="AF116" s="137">
        <f t="shared" ref="AF116" si="349">((AE116/I116)^(1/($AE$3-$J$1) ))-1</f>
        <v>3.9241785600518053E-2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>
        <f t="shared" ref="G118:H118" si="350">1/G112</f>
        <v>4</v>
      </c>
      <c r="H118" s="127">
        <f t="shared" si="350"/>
        <v>4</v>
      </c>
      <c r="I118" s="127">
        <f>1/I112</f>
        <v>2.7523809523809524</v>
      </c>
      <c r="J118" s="127">
        <f t="shared" ref="J118:R118" si="351">1/J112</f>
        <v>1.8942307692307692</v>
      </c>
      <c r="K118" s="127">
        <f t="shared" si="351"/>
        <v>1.715605749486653</v>
      </c>
      <c r="L118" s="127">
        <f t="shared" si="351"/>
        <v>1.634048257372654</v>
      </c>
      <c r="M118" s="127">
        <f t="shared" si="351"/>
        <v>1.8627450980392157</v>
      </c>
      <c r="N118" s="127">
        <f t="shared" si="351"/>
        <v>1.6696492483894059</v>
      </c>
      <c r="O118" s="127">
        <f t="shared" si="351"/>
        <v>1.5271797058196546</v>
      </c>
      <c r="P118" s="127">
        <f t="shared" si="351"/>
        <v>1.5721810699588479</v>
      </c>
      <c r="Q118" s="127">
        <f t="shared" si="351"/>
        <v>1.6107364074328974</v>
      </c>
      <c r="R118" s="127">
        <f t="shared" si="351"/>
        <v>1.6848942224421626</v>
      </c>
      <c r="S118" s="127">
        <f t="shared" ref="S118" si="352">1/S112</f>
        <v>1.813943112102621</v>
      </c>
      <c r="T118" s="118">
        <f t="shared" si="190"/>
        <v>-6.3774844669991504E-2</v>
      </c>
      <c r="U118" s="20"/>
      <c r="V118" s="127">
        <f t="shared" ref="V118:AE118" si="353">1/V112</f>
        <v>1.8139431121026215</v>
      </c>
      <c r="W118" s="127">
        <f t="shared" si="353"/>
        <v>1.8139431121026215</v>
      </c>
      <c r="X118" s="127">
        <f t="shared" si="353"/>
        <v>1.8139431121026215</v>
      </c>
      <c r="Y118" s="127">
        <f t="shared" si="353"/>
        <v>1.8139431121026215</v>
      </c>
      <c r="Z118" s="127">
        <f t="shared" si="353"/>
        <v>1.8139431121026215</v>
      </c>
      <c r="AA118" s="127">
        <f t="shared" si="353"/>
        <v>1.8139431121026215</v>
      </c>
      <c r="AB118" s="127">
        <f t="shared" si="353"/>
        <v>1.8139431121026215</v>
      </c>
      <c r="AC118" s="127">
        <f t="shared" si="353"/>
        <v>1.8139431121026215</v>
      </c>
      <c r="AD118" s="127">
        <f t="shared" si="353"/>
        <v>1.8139431121026219</v>
      </c>
      <c r="AE118" s="127">
        <f t="shared" si="353"/>
        <v>1.8139431121026219</v>
      </c>
      <c r="AF118" s="137">
        <f t="shared" si="305"/>
        <v>-1.9659577253399729E-2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 t="e">
        <f t="shared" ref="G119:H119" si="354">1/G113</f>
        <v>#DIV/0!</v>
      </c>
      <c r="H119" s="127" t="e">
        <f t="shared" si="354"/>
        <v>#DIV/0!</v>
      </c>
      <c r="I119" s="127" t="e">
        <f t="shared" ref="I119:R122" si="355">1/I113</f>
        <v>#DIV/0!</v>
      </c>
      <c r="J119" s="127" t="e">
        <f t="shared" si="355"/>
        <v>#DIV/0!</v>
      </c>
      <c r="K119" s="127" t="e">
        <f t="shared" si="355"/>
        <v>#DIV/0!</v>
      </c>
      <c r="L119" s="127" t="e">
        <f t="shared" si="355"/>
        <v>#DIV/0!</v>
      </c>
      <c r="M119" s="127" t="e">
        <f t="shared" si="355"/>
        <v>#DIV/0!</v>
      </c>
      <c r="N119" s="127" t="e">
        <f t="shared" si="355"/>
        <v>#DIV/0!</v>
      </c>
      <c r="O119" s="127" t="e">
        <f t="shared" si="355"/>
        <v>#DIV/0!</v>
      </c>
      <c r="P119" s="127" t="e">
        <f t="shared" si="355"/>
        <v>#DIV/0!</v>
      </c>
      <c r="Q119" s="127" t="e">
        <f t="shared" si="355"/>
        <v>#DIV/0!</v>
      </c>
      <c r="R119" s="127" t="e">
        <f t="shared" si="355"/>
        <v>#DIV/0!</v>
      </c>
      <c r="S119" s="127" t="e">
        <f t="shared" ref="S119" si="356">1/S113</f>
        <v>#DIV/0!</v>
      </c>
      <c r="T119" s="118" t="e">
        <f t="shared" si="190"/>
        <v>#DIV/0!</v>
      </c>
      <c r="U119" s="20"/>
      <c r="V119" s="127" t="e">
        <f t="shared" ref="V119:AE119" si="357">1/V113</f>
        <v>#DIV/0!</v>
      </c>
      <c r="W119" s="127" t="e">
        <f t="shared" si="357"/>
        <v>#DIV/0!</v>
      </c>
      <c r="X119" s="127" t="e">
        <f t="shared" si="357"/>
        <v>#DIV/0!</v>
      </c>
      <c r="Y119" s="127" t="e">
        <f t="shared" si="357"/>
        <v>#DIV/0!</v>
      </c>
      <c r="Z119" s="127" t="e">
        <f t="shared" si="357"/>
        <v>#DIV/0!</v>
      </c>
      <c r="AA119" s="127" t="e">
        <f t="shared" si="357"/>
        <v>#DIV/0!</v>
      </c>
      <c r="AB119" s="127" t="e">
        <f t="shared" si="357"/>
        <v>#DIV/0!</v>
      </c>
      <c r="AC119" s="127" t="e">
        <f t="shared" si="357"/>
        <v>#DIV/0!</v>
      </c>
      <c r="AD119" s="127" t="e">
        <f t="shared" si="357"/>
        <v>#DIV/0!</v>
      </c>
      <c r="AE119" s="127" t="e">
        <f t="shared" si="357"/>
        <v>#DIV/0!</v>
      </c>
      <c r="AF119" s="137" t="e">
        <f t="shared" si="305"/>
        <v>#DIV/0!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358">1/G114</f>
        <v>-0.33333333333333331</v>
      </c>
      <c r="H120" s="127">
        <f t="shared" si="358"/>
        <v>-0.33333333333333331</v>
      </c>
      <c r="I120" s="127">
        <f t="shared" si="355"/>
        <v>0.52380952380952384</v>
      </c>
      <c r="J120" s="127">
        <f t="shared" si="355"/>
        <v>0.22596153846153846</v>
      </c>
      <c r="K120" s="127">
        <f t="shared" si="355"/>
        <v>0.20533880903490759</v>
      </c>
      <c r="L120" s="127">
        <f t="shared" si="355"/>
        <v>0.20375335120643431</v>
      </c>
      <c r="M120" s="127">
        <f t="shared" si="355"/>
        <v>0.30234029095509174</v>
      </c>
      <c r="N120" s="127">
        <f t="shared" si="355"/>
        <v>0.26020042949176808</v>
      </c>
      <c r="O120" s="127">
        <f t="shared" si="355"/>
        <v>0.20827115753570669</v>
      </c>
      <c r="P120" s="127">
        <f t="shared" si="355"/>
        <v>0.2139917695473251</v>
      </c>
      <c r="Q120" s="127">
        <f t="shared" si="355"/>
        <v>0.22174810736407433</v>
      </c>
      <c r="R120" s="127">
        <f t="shared" si="355"/>
        <v>0.24706173450451563</v>
      </c>
      <c r="S120" s="127">
        <f t="shared" ref="S120" si="359">1/S114</f>
        <v>0.28209704406023423</v>
      </c>
      <c r="T120" s="118" t="e">
        <f t="shared" si="190"/>
        <v>#NUM!</v>
      </c>
      <c r="U120" s="20"/>
      <c r="V120" s="127">
        <f t="shared" ref="V120:AE120" si="360">1/V114</f>
        <v>0.28209704406023423</v>
      </c>
      <c r="W120" s="127">
        <f t="shared" si="360"/>
        <v>0.28209704406023423</v>
      </c>
      <c r="X120" s="127">
        <f t="shared" si="360"/>
        <v>0.28209704406023428</v>
      </c>
      <c r="Y120" s="127">
        <f t="shared" si="360"/>
        <v>0.28209704406023428</v>
      </c>
      <c r="Z120" s="127">
        <f t="shared" si="360"/>
        <v>0.28209704406023423</v>
      </c>
      <c r="AA120" s="127">
        <f t="shared" si="360"/>
        <v>0.28209704406023423</v>
      </c>
      <c r="AB120" s="127">
        <f t="shared" si="360"/>
        <v>0.28209704406023423</v>
      </c>
      <c r="AC120" s="127">
        <f t="shared" si="360"/>
        <v>0.28209704406023423</v>
      </c>
      <c r="AD120" s="127">
        <f t="shared" si="360"/>
        <v>0.28209704406023423</v>
      </c>
      <c r="AE120" s="127">
        <f t="shared" si="360"/>
        <v>0.28209704406023428</v>
      </c>
      <c r="AF120" s="137">
        <f t="shared" si="305"/>
        <v>-2.9040316467232929E-2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 t="e">
        <f t="shared" ref="G121:H121" si="361">1/G115</f>
        <v>#DIV/0!</v>
      </c>
      <c r="H121" s="127" t="e">
        <f t="shared" si="361"/>
        <v>#DIV/0!</v>
      </c>
      <c r="I121" s="127" t="e">
        <f t="shared" si="355"/>
        <v>#DIV/0!</v>
      </c>
      <c r="J121" s="127" t="e">
        <f t="shared" si="355"/>
        <v>#DIV/0!</v>
      </c>
      <c r="K121" s="127" t="e">
        <f t="shared" si="355"/>
        <v>#DIV/0!</v>
      </c>
      <c r="L121" s="127" t="e">
        <f t="shared" si="355"/>
        <v>#DIV/0!</v>
      </c>
      <c r="M121" s="127" t="e">
        <f t="shared" si="355"/>
        <v>#DIV/0!</v>
      </c>
      <c r="N121" s="127" t="e">
        <f t="shared" si="355"/>
        <v>#DIV/0!</v>
      </c>
      <c r="O121" s="127" t="e">
        <f t="shared" si="355"/>
        <v>#DIV/0!</v>
      </c>
      <c r="P121" s="127" t="e">
        <f t="shared" si="355"/>
        <v>#DIV/0!</v>
      </c>
      <c r="Q121" s="127" t="e">
        <f t="shared" si="355"/>
        <v>#DIV/0!</v>
      </c>
      <c r="R121" s="127" t="e">
        <f t="shared" si="355"/>
        <v>#DIV/0!</v>
      </c>
      <c r="S121" s="127" t="e">
        <f t="shared" ref="S121" si="362">1/S115</f>
        <v>#DIV/0!</v>
      </c>
      <c r="T121" s="118" t="e">
        <f t="shared" si="190"/>
        <v>#DIV/0!</v>
      </c>
      <c r="U121" s="20"/>
      <c r="V121" s="127" t="e">
        <f t="shared" ref="V121:AE121" si="363">1/V115</f>
        <v>#DIV/0!</v>
      </c>
      <c r="W121" s="127" t="e">
        <f t="shared" si="363"/>
        <v>#DIV/0!</v>
      </c>
      <c r="X121" s="127" t="e">
        <f t="shared" si="363"/>
        <v>#DIV/0!</v>
      </c>
      <c r="Y121" s="127" t="e">
        <f t="shared" si="363"/>
        <v>#DIV/0!</v>
      </c>
      <c r="Z121" s="127" t="e">
        <f t="shared" si="363"/>
        <v>#DIV/0!</v>
      </c>
      <c r="AA121" s="127" t="e">
        <f t="shared" si="363"/>
        <v>#DIV/0!</v>
      </c>
      <c r="AB121" s="127" t="e">
        <f t="shared" si="363"/>
        <v>#DIV/0!</v>
      </c>
      <c r="AC121" s="127" t="e">
        <f t="shared" si="363"/>
        <v>#DIV/0!</v>
      </c>
      <c r="AD121" s="127" t="e">
        <f t="shared" si="363"/>
        <v>#DIV/0!</v>
      </c>
      <c r="AE121" s="127" t="e">
        <f t="shared" si="363"/>
        <v>#DIV/0!</v>
      </c>
      <c r="AF121" s="137" t="e">
        <f t="shared" si="305"/>
        <v>#DIV/0!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>
        <f t="shared" ref="G122:H122" si="364">1/G116</f>
        <v>4.416666666666667</v>
      </c>
      <c r="H122" s="127">
        <f t="shared" si="364"/>
        <v>4.416666666666667</v>
      </c>
      <c r="I122" s="127">
        <f t="shared" si="355"/>
        <v>2.0571428571428574</v>
      </c>
      <c r="J122" s="127">
        <f t="shared" si="355"/>
        <v>3.1057692307692308</v>
      </c>
      <c r="K122" s="127">
        <f t="shared" si="355"/>
        <v>1.6704312114989732</v>
      </c>
      <c r="L122" s="127">
        <f t="shared" si="355"/>
        <v>1.2882037533512065</v>
      </c>
      <c r="M122" s="127">
        <f t="shared" si="355"/>
        <v>1.6907020872865275</v>
      </c>
      <c r="N122" s="127">
        <f t="shared" si="355"/>
        <v>1.2508947745168217</v>
      </c>
      <c r="O122" s="127">
        <f t="shared" si="355"/>
        <v>0.76422937539970159</v>
      </c>
      <c r="P122" s="127">
        <f t="shared" si="355"/>
        <v>0.66913580246913584</v>
      </c>
      <c r="Q122" s="127">
        <f t="shared" si="355"/>
        <v>0.81087405368203724</v>
      </c>
      <c r="R122" s="127">
        <f t="shared" si="355"/>
        <v>0.93492515155264133</v>
      </c>
      <c r="S122" s="127">
        <f t="shared" ref="S122" si="365">1/S116</f>
        <v>0.91667596207473512</v>
      </c>
      <c r="T122" s="118">
        <f t="shared" si="190"/>
        <v>-0.12281047890275787</v>
      </c>
      <c r="U122" s="20"/>
      <c r="V122" s="127">
        <f t="shared" ref="V122:AE122" si="366">1/V116</f>
        <v>0.91667596207473512</v>
      </c>
      <c r="W122" s="127">
        <f t="shared" si="366"/>
        <v>0.91667596207473534</v>
      </c>
      <c r="X122" s="127">
        <f t="shared" si="366"/>
        <v>0.91667596207473534</v>
      </c>
      <c r="Y122" s="127">
        <f t="shared" si="366"/>
        <v>0.91667596207473534</v>
      </c>
      <c r="Z122" s="127">
        <f t="shared" si="366"/>
        <v>0.91667596207473534</v>
      </c>
      <c r="AA122" s="127">
        <f t="shared" si="366"/>
        <v>0.91667596207473534</v>
      </c>
      <c r="AB122" s="127">
        <f t="shared" si="366"/>
        <v>0.91667596207473534</v>
      </c>
      <c r="AC122" s="127">
        <f t="shared" si="366"/>
        <v>0.91667596207473534</v>
      </c>
      <c r="AD122" s="127">
        <f t="shared" si="366"/>
        <v>0.91667596207473512</v>
      </c>
      <c r="AE122" s="127">
        <f t="shared" si="366"/>
        <v>0.91667596207473512</v>
      </c>
      <c r="AF122" s="137">
        <f t="shared" si="305"/>
        <v>-3.7760015180531403E-2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7" t="s">
        <v>480</v>
      </c>
      <c r="B124" s="199" t="s">
        <v>488</v>
      </c>
      <c r="C124" s="150"/>
      <c r="D124" s="150"/>
      <c r="E124" s="150"/>
      <c r="F124" s="150"/>
      <c r="G124" s="169">
        <f t="shared" ref="G124:H124" si="367">G25/(G36+G38)</f>
        <v>8.869179600886918E-3</v>
      </c>
      <c r="H124" s="169">
        <f t="shared" si="367"/>
        <v>8.869179600886918E-3</v>
      </c>
      <c r="I124" s="169">
        <f t="shared" ref="I124:S124" si="368">I25/(I36+I38)</f>
        <v>3.0104166666666668E-2</v>
      </c>
      <c r="J124" s="169">
        <f t="shared" si="368"/>
        <v>3.5216303181980692E-2</v>
      </c>
      <c r="K124" s="169">
        <f t="shared" si="368"/>
        <v>4.8866793390846618E-2</v>
      </c>
      <c r="L124" s="169">
        <f t="shared" si="368"/>
        <v>6.5042819411466529E-2</v>
      </c>
      <c r="M124" s="169">
        <f t="shared" si="368"/>
        <v>9.3352775224268547E-2</v>
      </c>
      <c r="N124" s="169">
        <f t="shared" si="368"/>
        <v>8.8641027589876117E-2</v>
      </c>
      <c r="O124" s="169">
        <f t="shared" si="368"/>
        <v>0.11316284139194718</v>
      </c>
      <c r="P124" s="169">
        <f t="shared" si="368"/>
        <v>0.10868600430146683</v>
      </c>
      <c r="Q124" s="169">
        <f t="shared" si="368"/>
        <v>0.12252633342407807</v>
      </c>
      <c r="R124" s="169">
        <f t="shared" si="368"/>
        <v>0.11602685341375726</v>
      </c>
      <c r="S124" s="169">
        <f t="shared" si="368"/>
        <v>0.11343312732802277</v>
      </c>
      <c r="T124" s="118">
        <f t="shared" si="190"/>
        <v>0.23662504536468965</v>
      </c>
      <c r="U124" s="20"/>
      <c r="V124" s="169">
        <f t="shared" ref="V124:AE124" si="369">V25/(V36+V38)</f>
        <v>0.11343312732802278</v>
      </c>
      <c r="W124" s="169">
        <f t="shared" si="369"/>
        <v>0.11343312732802276</v>
      </c>
      <c r="X124" s="169">
        <f t="shared" si="369"/>
        <v>0.11343312732802278</v>
      </c>
      <c r="Y124" s="169">
        <f t="shared" si="369"/>
        <v>0.11343312732802278</v>
      </c>
      <c r="Z124" s="169">
        <f t="shared" si="369"/>
        <v>0.11343312732802277</v>
      </c>
      <c r="AA124" s="169">
        <f t="shared" si="369"/>
        <v>0.11343312732802278</v>
      </c>
      <c r="AB124" s="169">
        <f t="shared" si="369"/>
        <v>0.11343312732802278</v>
      </c>
      <c r="AC124" s="169">
        <f t="shared" si="369"/>
        <v>0.11343312732802278</v>
      </c>
      <c r="AD124" s="169">
        <f t="shared" si="369"/>
        <v>0.1134331273280228</v>
      </c>
      <c r="AE124" s="169">
        <f t="shared" si="369"/>
        <v>0.1134331273280228</v>
      </c>
      <c r="AF124" s="137">
        <f t="shared" ref="AF124:AF132" si="370">((AE124/I124)^(1/($AE$3-$J$1) ))-1</f>
        <v>6.5206888974843613E-2</v>
      </c>
      <c r="AG124" s="145"/>
      <c r="AH124" s="145"/>
    </row>
    <row r="125" spans="1:34" ht="12" customHeight="1">
      <c r="A125" s="207"/>
      <c r="B125" s="199" t="s">
        <v>482</v>
      </c>
      <c r="C125" s="150"/>
      <c r="D125" s="150"/>
      <c r="E125" s="150"/>
      <c r="F125" s="150"/>
      <c r="G125" s="169">
        <f t="shared" ref="G125:H125" si="371">G25/G43</f>
        <v>2.1628441400441583E-3</v>
      </c>
      <c r="H125" s="169">
        <f t="shared" si="371"/>
        <v>2.1628441400441583E-3</v>
      </c>
      <c r="I125" s="169">
        <f t="shared" ref="I125:S125" si="372">I25/I43</f>
        <v>8.4102086546576256E-3</v>
      </c>
      <c r="J125" s="169">
        <f t="shared" si="372"/>
        <v>2.0743392650310624E-2</v>
      </c>
      <c r="K125" s="169">
        <f t="shared" si="372"/>
        <v>3.5553947956339496E-2</v>
      </c>
      <c r="L125" s="169">
        <f t="shared" si="372"/>
        <v>4.3823698590739146E-2</v>
      </c>
      <c r="M125" s="169">
        <f t="shared" si="372"/>
        <v>0.13269949984229262</v>
      </c>
      <c r="N125" s="169">
        <f t="shared" si="372"/>
        <v>0.13575648226289905</v>
      </c>
      <c r="O125" s="169">
        <f t="shared" si="372"/>
        <v>0.18858586922185955</v>
      </c>
      <c r="P125" s="169">
        <f t="shared" si="372"/>
        <v>0.2032170897253133</v>
      </c>
      <c r="Q125" s="169">
        <f t="shared" si="372"/>
        <v>0.2103465631291343</v>
      </c>
      <c r="R125" s="169">
        <f t="shared" si="372"/>
        <v>0.18026711141113713</v>
      </c>
      <c r="S125" s="169">
        <f t="shared" si="372"/>
        <v>0.1655856387907422</v>
      </c>
      <c r="T125" s="118">
        <f t="shared" si="190"/>
        <v>0.43548872920371817</v>
      </c>
      <c r="U125" s="20"/>
      <c r="V125" s="169">
        <f t="shared" ref="V125:AE125" si="373">V25/V43</f>
        <v>0.1655856387907422</v>
      </c>
      <c r="W125" s="169">
        <f t="shared" si="373"/>
        <v>0.16558563879074217</v>
      </c>
      <c r="X125" s="169">
        <f t="shared" si="373"/>
        <v>0.16558563879074217</v>
      </c>
      <c r="Y125" s="169">
        <f t="shared" si="373"/>
        <v>0.16558563879074217</v>
      </c>
      <c r="Z125" s="169">
        <f t="shared" si="373"/>
        <v>0.16558563879074217</v>
      </c>
      <c r="AA125" s="169">
        <f t="shared" si="373"/>
        <v>0.16558563879074217</v>
      </c>
      <c r="AB125" s="169">
        <f t="shared" si="373"/>
        <v>0.16558563879074217</v>
      </c>
      <c r="AC125" s="169">
        <f t="shared" si="373"/>
        <v>0.16558563879074217</v>
      </c>
      <c r="AD125" s="169">
        <f t="shared" si="373"/>
        <v>0.16558563879074217</v>
      </c>
      <c r="AE125" s="169">
        <f t="shared" si="373"/>
        <v>0.1655856387907422</v>
      </c>
      <c r="AF125" s="137">
        <f t="shared" si="370"/>
        <v>0.15246920222366245</v>
      </c>
      <c r="AG125" s="145"/>
      <c r="AH125" s="145"/>
    </row>
    <row r="126" spans="1:34" ht="12" customHeight="1">
      <c r="A126" s="207"/>
      <c r="B126" s="199" t="s">
        <v>489</v>
      </c>
      <c r="C126" s="150"/>
      <c r="D126" s="150"/>
      <c r="E126" s="150"/>
      <c r="F126" s="150"/>
      <c r="G126" s="169">
        <f t="shared" ref="G126:H126" si="374">G43/(G36)</f>
        <v>33.473604826546001</v>
      </c>
      <c r="H126" s="169">
        <f t="shared" si="374"/>
        <v>33.473604826546001</v>
      </c>
      <c r="I126" s="169">
        <f t="shared" ref="I126:S126" si="375">I43/(I36)</f>
        <v>11.808591065292097</v>
      </c>
      <c r="J126" s="169">
        <f t="shared" si="375"/>
        <v>4.6214111922141123</v>
      </c>
      <c r="K126" s="169">
        <f t="shared" si="375"/>
        <v>3.540947788744067</v>
      </c>
      <c r="L126" s="169">
        <f t="shared" si="375"/>
        <v>3.4406580493537016</v>
      </c>
      <c r="M126" s="169">
        <f t="shared" si="375"/>
        <v>0.82815881782222556</v>
      </c>
      <c r="N126" s="169">
        <f t="shared" si="375"/>
        <v>0.74802995341547307</v>
      </c>
      <c r="O126" s="169">
        <f t="shared" si="375"/>
        <v>0.77288356289800819</v>
      </c>
      <c r="P126" s="169">
        <f t="shared" si="375"/>
        <v>0.70194907027107756</v>
      </c>
      <c r="Q126" s="169">
        <f t="shared" si="375"/>
        <v>0.7498382574940694</v>
      </c>
      <c r="R126" s="169">
        <f t="shared" si="375"/>
        <v>0.82876982821036005</v>
      </c>
      <c r="S126" s="169">
        <f t="shared" si="375"/>
        <v>0.87918964405929956</v>
      </c>
      <c r="T126" s="118">
        <f t="shared" si="190"/>
        <v>-0.26161702717842528</v>
      </c>
      <c r="U126" s="20"/>
      <c r="V126" s="169">
        <f t="shared" ref="V126:AE126" si="376">V43/(V36+V38)</f>
        <v>0.68504206135517087</v>
      </c>
      <c r="W126" s="169">
        <f t="shared" si="376"/>
        <v>0.68504206135517076</v>
      </c>
      <c r="X126" s="169">
        <f t="shared" si="376"/>
        <v>0.68504206135517098</v>
      </c>
      <c r="Y126" s="169">
        <f t="shared" si="376"/>
        <v>0.68504206135517098</v>
      </c>
      <c r="Z126" s="169">
        <f t="shared" si="376"/>
        <v>0.68504206135517098</v>
      </c>
      <c r="AA126" s="169">
        <f t="shared" si="376"/>
        <v>0.68504206135517098</v>
      </c>
      <c r="AB126" s="169">
        <f t="shared" si="376"/>
        <v>0.68504206135517098</v>
      </c>
      <c r="AC126" s="169">
        <f t="shared" si="376"/>
        <v>0.68504206135517098</v>
      </c>
      <c r="AD126" s="169">
        <f t="shared" si="376"/>
        <v>0.68504206135517109</v>
      </c>
      <c r="AE126" s="169">
        <f t="shared" si="376"/>
        <v>0.68504206135517098</v>
      </c>
      <c r="AF126" s="137">
        <f t="shared" si="370"/>
        <v>-0.12678746831255983</v>
      </c>
      <c r="AG126" s="145"/>
      <c r="AH126" s="145"/>
    </row>
    <row r="127" spans="1:34" ht="12" customHeight="1">
      <c r="A127" s="207"/>
      <c r="B127" s="199" t="s">
        <v>486</v>
      </c>
      <c r="C127" s="150"/>
      <c r="D127" s="150"/>
      <c r="E127" s="150"/>
      <c r="F127" s="150"/>
      <c r="G127" s="169">
        <f t="shared" ref="G127:H127" si="377">G43/G38</f>
        <v>4.6731943567066754</v>
      </c>
      <c r="H127" s="169">
        <f t="shared" si="377"/>
        <v>4.6731943567066754</v>
      </c>
      <c r="I127" s="169">
        <f t="shared" ref="I127:S127" si="378">I43/I38</f>
        <v>5.1364723467862481</v>
      </c>
      <c r="J127" s="169">
        <f t="shared" si="378"/>
        <v>2.6835264198926252</v>
      </c>
      <c r="K127" s="169">
        <f t="shared" si="378"/>
        <v>2.24639135837874</v>
      </c>
      <c r="L127" s="169">
        <f t="shared" si="378"/>
        <v>2.6101154170967438</v>
      </c>
      <c r="M127" s="169">
        <f t="shared" si="378"/>
        <v>4.6731943567066754</v>
      </c>
      <c r="N127" s="169">
        <f t="shared" si="378"/>
        <v>5.1364723467862481</v>
      </c>
      <c r="O127" s="169">
        <f t="shared" si="378"/>
        <v>2.6835264198926252</v>
      </c>
      <c r="P127" s="169">
        <f t="shared" si="378"/>
        <v>2.24639135837874</v>
      </c>
      <c r="Q127" s="169">
        <f t="shared" si="378"/>
        <v>2.6101154170967438</v>
      </c>
      <c r="R127" s="169">
        <f t="shared" si="378"/>
        <v>2.8813501144164761</v>
      </c>
      <c r="S127" s="169">
        <f t="shared" si="378"/>
        <v>3.1021858613936444</v>
      </c>
      <c r="T127" s="118">
        <f t="shared" si="190"/>
        <v>-3.3568305833610368E-2</v>
      </c>
      <c r="U127" s="20"/>
      <c r="V127" s="169">
        <f t="shared" ref="V127:AE127" si="379">V43/V38</f>
        <v>3.1021858613936444</v>
      </c>
      <c r="W127" s="169">
        <f t="shared" si="379"/>
        <v>3.1021858613936448</v>
      </c>
      <c r="X127" s="169">
        <f t="shared" si="379"/>
        <v>3.1021858613936453</v>
      </c>
      <c r="Y127" s="169">
        <f t="shared" si="379"/>
        <v>3.1021858613936453</v>
      </c>
      <c r="Z127" s="169">
        <f t="shared" si="379"/>
        <v>3.1021858613936453</v>
      </c>
      <c r="AA127" s="169">
        <f t="shared" si="379"/>
        <v>3.1021858613936453</v>
      </c>
      <c r="AB127" s="169">
        <f t="shared" si="379"/>
        <v>3.1021858613936457</v>
      </c>
      <c r="AC127" s="169">
        <f t="shared" si="379"/>
        <v>3.1021858613936462</v>
      </c>
      <c r="AD127" s="169">
        <f t="shared" si="379"/>
        <v>3.1021858613936462</v>
      </c>
      <c r="AE127" s="169">
        <f t="shared" si="379"/>
        <v>3.1021858613936462</v>
      </c>
      <c r="AF127" s="137">
        <f t="shared" si="370"/>
        <v>-2.3726356612560839E-2</v>
      </c>
      <c r="AG127" s="145"/>
      <c r="AH127" s="145"/>
    </row>
    <row r="128" spans="1:34" ht="12" customHeight="1">
      <c r="A128" s="207"/>
      <c r="B128" s="199" t="s">
        <v>485</v>
      </c>
      <c r="C128" s="150"/>
      <c r="D128" s="150"/>
      <c r="E128" s="150"/>
      <c r="F128" s="150"/>
      <c r="G128" s="169">
        <f t="shared" ref="G128:H128" si="380">G43/(G36+G38)</f>
        <v>4.1007021433850701</v>
      </c>
      <c r="H128" s="169">
        <f t="shared" si="380"/>
        <v>4.1007021433850701</v>
      </c>
      <c r="I128" s="169">
        <f t="shared" ref="I128:S128" si="381">I43/(I36+I38)</f>
        <v>3.5794791666666668</v>
      </c>
      <c r="J128" s="169">
        <f t="shared" si="381"/>
        <v>1.6977118341079729</v>
      </c>
      <c r="K128" s="169">
        <f t="shared" si="381"/>
        <v>1.374440707705805</v>
      </c>
      <c r="L128" s="169">
        <f t="shared" si="381"/>
        <v>1.4841928340847852</v>
      </c>
      <c r="M128" s="169">
        <f t="shared" si="381"/>
        <v>0.70349003074777317</v>
      </c>
      <c r="N128" s="169">
        <f t="shared" si="381"/>
        <v>0.65294140001520107</v>
      </c>
      <c r="O128" s="169">
        <f t="shared" si="381"/>
        <v>0.60006002495774557</v>
      </c>
      <c r="P128" s="169">
        <f t="shared" si="381"/>
        <v>0.53482708786144273</v>
      </c>
      <c r="Q128" s="169">
        <f t="shared" si="381"/>
        <v>0.58249743471614346</v>
      </c>
      <c r="R128" s="169">
        <f t="shared" si="381"/>
        <v>0.6436385012523641</v>
      </c>
      <c r="S128" s="169">
        <f t="shared" si="381"/>
        <v>0.68504206135517087</v>
      </c>
      <c r="T128" s="118">
        <f t="shared" si="190"/>
        <v>-0.13853378281091788</v>
      </c>
      <c r="U128" s="20"/>
      <c r="V128" s="169">
        <f t="shared" ref="V128:AE128" si="382">V43/(V36+V38)</f>
        <v>0.68504206135517087</v>
      </c>
      <c r="W128" s="169">
        <f t="shared" si="382"/>
        <v>0.68504206135517076</v>
      </c>
      <c r="X128" s="169">
        <f t="shared" si="382"/>
        <v>0.68504206135517098</v>
      </c>
      <c r="Y128" s="169">
        <f t="shared" si="382"/>
        <v>0.68504206135517098</v>
      </c>
      <c r="Z128" s="169">
        <f t="shared" si="382"/>
        <v>0.68504206135517098</v>
      </c>
      <c r="AA128" s="169">
        <f t="shared" si="382"/>
        <v>0.68504206135517098</v>
      </c>
      <c r="AB128" s="169">
        <f t="shared" si="382"/>
        <v>0.68504206135517098</v>
      </c>
      <c r="AC128" s="169">
        <f t="shared" si="382"/>
        <v>0.68504206135517098</v>
      </c>
      <c r="AD128" s="169">
        <f t="shared" si="382"/>
        <v>0.68504206135517109</v>
      </c>
      <c r="AE128" s="169">
        <f t="shared" si="382"/>
        <v>0.68504206135517098</v>
      </c>
      <c r="AF128" s="137">
        <f>((AE128/I128)^(1/($AE$3-$J$1) ))-1</f>
        <v>-7.5717696473318497E-2</v>
      </c>
      <c r="AG128" s="145"/>
      <c r="AH128" s="145"/>
    </row>
    <row r="129" spans="1:34" ht="12" customHeight="1">
      <c r="A129" s="207"/>
      <c r="B129" s="199" t="s">
        <v>492</v>
      </c>
      <c r="C129" s="150"/>
      <c r="D129" s="150"/>
      <c r="E129" s="150"/>
      <c r="F129" s="150"/>
      <c r="G129" s="169">
        <f t="shared" ref="G129:H129" si="383">G47/G25</f>
        <v>0.375</v>
      </c>
      <c r="H129" s="169">
        <f t="shared" si="383"/>
        <v>0.375</v>
      </c>
      <c r="I129" s="169">
        <f t="shared" ref="I129:S129" si="384">I47/I25</f>
        <v>0.34602076124567471</v>
      </c>
      <c r="J129" s="169">
        <f t="shared" si="384"/>
        <v>0.25380710659898476</v>
      </c>
      <c r="K129" s="169">
        <f t="shared" si="384"/>
        <v>0.21543985637342908</v>
      </c>
      <c r="L129" s="169">
        <f t="shared" si="384"/>
        <v>0.17842493847415913</v>
      </c>
      <c r="M129" s="169">
        <f t="shared" si="384"/>
        <v>0.19524617996604415</v>
      </c>
      <c r="N129" s="169">
        <f t="shared" si="384"/>
        <v>0.13354769560557342</v>
      </c>
      <c r="O129" s="169">
        <f t="shared" si="384"/>
        <v>0.11962590731434952</v>
      </c>
      <c r="P129" s="169">
        <f t="shared" si="384"/>
        <v>0.13160925557533243</v>
      </c>
      <c r="Q129" s="169">
        <f t="shared" si="384"/>
        <v>0.14706887711502306</v>
      </c>
      <c r="R129" s="169">
        <f t="shared" si="384"/>
        <v>0.15030472134517953</v>
      </c>
      <c r="S129" s="169">
        <f t="shared" si="384"/>
        <v>0.16781453695732382</v>
      </c>
      <c r="T129" s="118">
        <f t="shared" si="190"/>
        <v>-6.4809989219704045E-2</v>
      </c>
      <c r="U129" s="20"/>
      <c r="V129" s="169">
        <f t="shared" ref="V129:AE129" si="385">V47/V25</f>
        <v>0.16781453695732382</v>
      </c>
      <c r="W129" s="169">
        <f t="shared" si="385"/>
        <v>0.16781453695732382</v>
      </c>
      <c r="X129" s="169">
        <f t="shared" si="385"/>
        <v>0.16781453695732382</v>
      </c>
      <c r="Y129" s="169">
        <f t="shared" si="385"/>
        <v>0.16781453695732382</v>
      </c>
      <c r="Z129" s="169">
        <f t="shared" si="385"/>
        <v>0.16781453695732382</v>
      </c>
      <c r="AA129" s="169">
        <f t="shared" si="385"/>
        <v>0.16781453695732379</v>
      </c>
      <c r="AB129" s="169">
        <f t="shared" si="385"/>
        <v>0.16781453695732382</v>
      </c>
      <c r="AC129" s="169">
        <f t="shared" si="385"/>
        <v>0.16781453695732379</v>
      </c>
      <c r="AD129" s="169">
        <f t="shared" si="385"/>
        <v>0.16781453695732376</v>
      </c>
      <c r="AE129" s="169">
        <f t="shared" si="385"/>
        <v>0.16781453695732376</v>
      </c>
      <c r="AF129" s="137">
        <f>((AE129/I129)^(1/($AE$3-$J$1) ))-1</f>
        <v>-3.3872066162744074E-2</v>
      </c>
      <c r="AG129" s="145"/>
      <c r="AH129" s="145"/>
    </row>
    <row r="130" spans="1:34" ht="12" customHeight="1">
      <c r="A130" s="207"/>
      <c r="B130" s="199" t="s">
        <v>490</v>
      </c>
      <c r="C130" s="150"/>
      <c r="D130" s="150"/>
      <c r="E130" s="150"/>
      <c r="F130" s="150"/>
      <c r="G130" s="203" t="e">
        <f t="shared" ref="G130:H130" si="386">G55/G49</f>
        <v>#DIV/0!</v>
      </c>
      <c r="H130" s="203" t="e">
        <f t="shared" si="386"/>
        <v>#DIV/0!</v>
      </c>
      <c r="I130" s="203" t="e">
        <f t="shared" ref="I130:S130" si="387">I55/I49</f>
        <v>#DIV/0!</v>
      </c>
      <c r="J130" s="203" t="e">
        <f t="shared" si="387"/>
        <v>#DIV/0!</v>
      </c>
      <c r="K130" s="203" t="e">
        <f t="shared" si="387"/>
        <v>#DIV/0!</v>
      </c>
      <c r="L130" s="203" t="e">
        <f t="shared" si="387"/>
        <v>#DIV/0!</v>
      </c>
      <c r="M130" s="203" t="e">
        <f t="shared" si="387"/>
        <v>#DIV/0!</v>
      </c>
      <c r="N130" s="203" t="e">
        <f t="shared" si="387"/>
        <v>#DIV/0!</v>
      </c>
      <c r="O130" s="203" t="e">
        <f t="shared" si="387"/>
        <v>#DIV/0!</v>
      </c>
      <c r="P130" s="203" t="e">
        <f t="shared" si="387"/>
        <v>#DIV/0!</v>
      </c>
      <c r="Q130" s="203" t="e">
        <f t="shared" si="387"/>
        <v>#DIV/0!</v>
      </c>
      <c r="R130" s="203" t="e">
        <f t="shared" si="387"/>
        <v>#DIV/0!</v>
      </c>
      <c r="S130" s="203" t="e">
        <f t="shared" si="387"/>
        <v>#DIV/0!</v>
      </c>
      <c r="T130" s="118" t="e">
        <f t="shared" si="190"/>
        <v>#DIV/0!</v>
      </c>
      <c r="U130" s="20"/>
      <c r="V130" s="203" t="e">
        <f t="shared" ref="V130:AE130" si="388">V55/V49</f>
        <v>#DIV/0!</v>
      </c>
      <c r="W130" s="203" t="e">
        <f t="shared" si="388"/>
        <v>#DIV/0!</v>
      </c>
      <c r="X130" s="203" t="e">
        <f t="shared" si="388"/>
        <v>#DIV/0!</v>
      </c>
      <c r="Y130" s="203" t="e">
        <f t="shared" si="388"/>
        <v>#DIV/0!</v>
      </c>
      <c r="Z130" s="203" t="e">
        <f t="shared" si="388"/>
        <v>#DIV/0!</v>
      </c>
      <c r="AA130" s="203" t="e">
        <f t="shared" si="388"/>
        <v>#DIV/0!</v>
      </c>
      <c r="AB130" s="203" t="e">
        <f t="shared" si="388"/>
        <v>#DIV/0!</v>
      </c>
      <c r="AC130" s="203" t="e">
        <f t="shared" si="388"/>
        <v>#DIV/0!</v>
      </c>
      <c r="AD130" s="203" t="e">
        <f t="shared" si="388"/>
        <v>#DIV/0!</v>
      </c>
      <c r="AE130" s="203" t="e">
        <f t="shared" si="388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7"/>
      <c r="B131" s="199" t="s">
        <v>483</v>
      </c>
      <c r="C131" s="150"/>
      <c r="D131" s="150"/>
      <c r="E131" s="150"/>
      <c r="F131" s="150"/>
      <c r="G131" s="169">
        <f t="shared" ref="G131:H131" si="389">G55/G43</f>
        <v>-1.802370116703465E-4</v>
      </c>
      <c r="H131" s="169">
        <f t="shared" si="389"/>
        <v>-1.802370116703465E-4</v>
      </c>
      <c r="I131" s="169">
        <f t="shared" ref="I131:S131" si="390">I55/I43</f>
        <v>1.6005587405057765E-3</v>
      </c>
      <c r="J131" s="169">
        <f t="shared" si="390"/>
        <v>2.4744656207223333E-3</v>
      </c>
      <c r="K131" s="169">
        <f t="shared" si="390"/>
        <v>4.2554096895678628E-3</v>
      </c>
      <c r="L131" s="169">
        <f t="shared" si="390"/>
        <v>5.4644808743169399E-3</v>
      </c>
      <c r="M131" s="169">
        <f t="shared" si="390"/>
        <v>2.1538322894606408E-2</v>
      </c>
      <c r="N131" s="169">
        <f t="shared" si="390"/>
        <v>2.1156476442685448E-2</v>
      </c>
      <c r="O131" s="169">
        <f t="shared" si="390"/>
        <v>2.5718647994103401E-2</v>
      </c>
      <c r="P131" s="169">
        <f t="shared" si="390"/>
        <v>2.7660162982191112E-2</v>
      </c>
      <c r="Q131" s="169">
        <f t="shared" si="390"/>
        <v>2.8958153580672993E-2</v>
      </c>
      <c r="R131" s="169">
        <f t="shared" si="390"/>
        <v>2.6433175819666706E-2</v>
      </c>
      <c r="S131" s="169">
        <f t="shared" si="390"/>
        <v>2.5751204064800578E-2</v>
      </c>
      <c r="T131" s="118" t="e">
        <f t="shared" si="190"/>
        <v>#NUM!</v>
      </c>
      <c r="U131" s="20"/>
      <c r="V131" s="169">
        <f t="shared" ref="V131:AE131" si="391">V55/V43</f>
        <v>2.5751204064800578E-2</v>
      </c>
      <c r="W131" s="169">
        <f t="shared" si="391"/>
        <v>2.5751204064800578E-2</v>
      </c>
      <c r="X131" s="169">
        <f t="shared" si="391"/>
        <v>2.5751204064800574E-2</v>
      </c>
      <c r="Y131" s="169">
        <f t="shared" si="391"/>
        <v>2.5751204064800574E-2</v>
      </c>
      <c r="Z131" s="169">
        <f t="shared" si="391"/>
        <v>2.5751204064800574E-2</v>
      </c>
      <c r="AA131" s="169">
        <f t="shared" si="391"/>
        <v>2.5751204064800574E-2</v>
      </c>
      <c r="AB131" s="169">
        <f t="shared" si="391"/>
        <v>2.5751204064800571E-2</v>
      </c>
      <c r="AC131" s="169">
        <f t="shared" si="391"/>
        <v>2.5751204064800571E-2</v>
      </c>
      <c r="AD131" s="169">
        <f t="shared" si="391"/>
        <v>2.5751204064800571E-2</v>
      </c>
      <c r="AE131" s="169">
        <f t="shared" si="391"/>
        <v>2.5751204064800574E-2</v>
      </c>
      <c r="AF131" s="137">
        <f t="shared" si="370"/>
        <v>0.14144138700030817</v>
      </c>
      <c r="AG131" s="145"/>
      <c r="AH131" s="145"/>
    </row>
    <row r="132" spans="1:34" ht="12" customHeight="1">
      <c r="A132" s="207"/>
      <c r="B132" s="199" t="s">
        <v>484</v>
      </c>
      <c r="C132" s="150"/>
      <c r="D132" s="150"/>
      <c r="E132" s="150"/>
      <c r="F132" s="150"/>
      <c r="G132" s="169">
        <f t="shared" ref="G132:H132" si="392">G55/(G36+G38)</f>
        <v>-7.3909830007390983E-4</v>
      </c>
      <c r="H132" s="169">
        <f t="shared" si="392"/>
        <v>-7.3909830007390983E-4</v>
      </c>
      <c r="I132" s="169">
        <f t="shared" ref="I132:S132" si="393">I55/(I36+I38)</f>
        <v>5.7291666666666663E-3</v>
      </c>
      <c r="J132" s="169">
        <f t="shared" si="393"/>
        <v>4.2009295673936364E-3</v>
      </c>
      <c r="K132" s="169">
        <f t="shared" si="393"/>
        <v>5.8488083053077934E-3</v>
      </c>
      <c r="L132" s="128">
        <f t="shared" si="393"/>
        <v>8.1103433556545639E-3</v>
      </c>
      <c r="M132" s="128">
        <f t="shared" si="393"/>
        <v>1.5151995435382128E-2</v>
      </c>
      <c r="N132" s="128">
        <f t="shared" si="393"/>
        <v>1.3813939347875656E-2</v>
      </c>
      <c r="O132" s="128">
        <f t="shared" si="393"/>
        <v>1.5432732557221161E-2</v>
      </c>
      <c r="P132" s="128">
        <f t="shared" si="393"/>
        <v>1.4793404417538149E-2</v>
      </c>
      <c r="Q132" s="128">
        <f t="shared" si="393"/>
        <v>1.6868050174858124E-2</v>
      </c>
      <c r="R132" s="128">
        <f t="shared" si="393"/>
        <v>1.7013409667910512E-2</v>
      </c>
      <c r="S132" s="128">
        <f t="shared" si="393"/>
        <v>1.7640657914928644E-2</v>
      </c>
      <c r="T132" s="118" t="e">
        <f t="shared" si="190"/>
        <v>#NUM!</v>
      </c>
      <c r="U132" s="20"/>
      <c r="V132" s="169">
        <f t="shared" ref="V132:AE132" si="394">V55/(V36+V38)</f>
        <v>1.7640657914928644E-2</v>
      </c>
      <c r="W132" s="169">
        <f t="shared" si="394"/>
        <v>1.764065791492864E-2</v>
      </c>
      <c r="X132" s="169">
        <f t="shared" si="394"/>
        <v>1.7640657914928644E-2</v>
      </c>
      <c r="Y132" s="169">
        <f t="shared" si="394"/>
        <v>1.7640657914928644E-2</v>
      </c>
      <c r="Z132" s="169">
        <f t="shared" si="394"/>
        <v>1.7640657914928644E-2</v>
      </c>
      <c r="AA132" s="169">
        <f t="shared" si="394"/>
        <v>1.7640657914928644E-2</v>
      </c>
      <c r="AB132" s="169">
        <f t="shared" si="394"/>
        <v>1.764065791492864E-2</v>
      </c>
      <c r="AC132" s="169">
        <f t="shared" si="394"/>
        <v>1.7640657914928644E-2</v>
      </c>
      <c r="AD132" s="169">
        <f t="shared" si="394"/>
        <v>1.7640657914928644E-2</v>
      </c>
      <c r="AE132" s="169">
        <f t="shared" si="394"/>
        <v>1.764065791492864E-2</v>
      </c>
      <c r="AF132" s="137">
        <f t="shared" si="370"/>
        <v>5.5014074517335088E-2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1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395">G10-(G12+G13)</f>
        <v>637</v>
      </c>
      <c r="H134" s="161">
        <f t="shared" si="395"/>
        <v>637</v>
      </c>
      <c r="I134" s="161">
        <f t="shared" ref="I134:S134" si="396">I10-(I12+I13)</f>
        <v>2025</v>
      </c>
      <c r="J134" s="161">
        <f t="shared" si="396"/>
        <v>6014</v>
      </c>
      <c r="K134" s="161">
        <f t="shared" si="396"/>
        <v>9166</v>
      </c>
      <c r="L134" s="161">
        <f t="shared" si="396"/>
        <v>11241</v>
      </c>
      <c r="M134" s="161">
        <f t="shared" si="396"/>
        <v>21338</v>
      </c>
      <c r="N134" s="161">
        <f t="shared" si="396"/>
        <v>33801</v>
      </c>
      <c r="O134" s="161">
        <f t="shared" si="396"/>
        <v>35551</v>
      </c>
      <c r="P134" s="161">
        <f t="shared" si="396"/>
        <v>44902</v>
      </c>
      <c r="Q134" s="161">
        <f t="shared" si="396"/>
        <v>54567</v>
      </c>
      <c r="R134" s="161">
        <f t="shared" si="396"/>
        <v>70809</v>
      </c>
      <c r="S134" s="161">
        <f t="shared" si="396"/>
        <v>94575</v>
      </c>
      <c r="T134" s="118">
        <f t="shared" si="190"/>
        <v>0.51694467975208092</v>
      </c>
      <c r="U134" s="20"/>
      <c r="V134" s="161">
        <f t="shared" ref="V134:AE134" si="397">V10-(V12+V13)</f>
        <v>105924.00000000003</v>
      </c>
      <c r="W134" s="161">
        <f t="shared" si="397"/>
        <v>118634.88000000005</v>
      </c>
      <c r="X134" s="161">
        <f t="shared" si="397"/>
        <v>132871.06560000009</v>
      </c>
      <c r="Y134" s="161">
        <f t="shared" si="397"/>
        <v>148815.5934720001</v>
      </c>
      <c r="Z134" s="161">
        <f t="shared" si="397"/>
        <v>166673.46468864012</v>
      </c>
      <c r="AA134" s="161">
        <f t="shared" si="397"/>
        <v>186674.28045127692</v>
      </c>
      <c r="AB134" s="161">
        <f t="shared" si="397"/>
        <v>209075.19410543016</v>
      </c>
      <c r="AC134" s="161">
        <f t="shared" si="397"/>
        <v>234164.21739808179</v>
      </c>
      <c r="AD134" s="161">
        <f t="shared" si="397"/>
        <v>262263.92348585161</v>
      </c>
      <c r="AE134" s="161">
        <f t="shared" si="397"/>
        <v>293735.59430415381</v>
      </c>
      <c r="AF134" s="137">
        <f t="shared" si="305"/>
        <v>0.26744777626635696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398">G55/G18</f>
        <v>-0.25</v>
      </c>
      <c r="H135" s="150">
        <f t="shared" si="398"/>
        <v>-0.25</v>
      </c>
      <c r="I135" s="150">
        <f t="shared" ref="I135:S135" si="399">I55/I18</f>
        <v>1.896551724137931</v>
      </c>
      <c r="J135" s="150">
        <f t="shared" si="399"/>
        <v>1.3623188405797102</v>
      </c>
      <c r="K135" s="150">
        <f t="shared" si="399"/>
        <v>2.0618556701030926</v>
      </c>
      <c r="L135" s="150">
        <f t="shared" si="399"/>
        <v>2.3384615384615386</v>
      </c>
      <c r="M135" s="150">
        <f t="shared" si="399"/>
        <v>4.192982456140351</v>
      </c>
      <c r="N135" s="150">
        <f t="shared" si="399"/>
        <v>5.6356589147286824</v>
      </c>
      <c r="O135" s="150">
        <f t="shared" si="399"/>
        <v>5.7810650887573969</v>
      </c>
      <c r="P135" s="150">
        <f t="shared" si="399"/>
        <v>5.9633027522935782</v>
      </c>
      <c r="Q135" s="150">
        <f t="shared" si="399"/>
        <v>5.8158844765342961</v>
      </c>
      <c r="R135" s="150">
        <f t="shared" si="399"/>
        <v>6.7466216216216219</v>
      </c>
      <c r="S135" s="150">
        <f t="shared" si="399"/>
        <v>6.1086956521739131</v>
      </c>
      <c r="T135" s="118" t="e">
        <f t="shared" ref="T135:T167" si="400">((S135/G135)^(1/($J$2-$J$1) ))-1</f>
        <v>#NUM!</v>
      </c>
      <c r="U135" s="20"/>
      <c r="V135" s="150">
        <f t="shared" ref="V135:AE135" si="401">V55/V18</f>
        <v>6.1086956521739131</v>
      </c>
      <c r="W135" s="150">
        <f t="shared" si="401"/>
        <v>6.1086956521739131</v>
      </c>
      <c r="X135" s="150">
        <f t="shared" si="401"/>
        <v>6.1086956521739131</v>
      </c>
      <c r="Y135" s="150">
        <f t="shared" si="401"/>
        <v>6.1086956521739131</v>
      </c>
      <c r="Z135" s="150">
        <f t="shared" si="401"/>
        <v>6.108695652173914</v>
      </c>
      <c r="AA135" s="150">
        <f t="shared" si="401"/>
        <v>6.108695652173914</v>
      </c>
      <c r="AB135" s="150">
        <f t="shared" si="401"/>
        <v>6.1086956521739131</v>
      </c>
      <c r="AC135" s="150">
        <f t="shared" si="401"/>
        <v>6.1086956521739131</v>
      </c>
      <c r="AD135" s="150">
        <f t="shared" si="401"/>
        <v>6.1086956521739131</v>
      </c>
      <c r="AE135" s="150">
        <f t="shared" si="401"/>
        <v>6.1086956521739131</v>
      </c>
      <c r="AF135" s="137">
        <f t="shared" si="305"/>
        <v>5.7279239550170891E-2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>
        <f t="shared" ref="G136:H136" si="402">G55/G25</f>
        <v>-8.3333333333333329E-2</v>
      </c>
      <c r="H136" s="150">
        <f t="shared" si="402"/>
        <v>-8.3333333333333329E-2</v>
      </c>
      <c r="I136" s="150">
        <f t="shared" ref="I136:S136" si="403">I55/I25</f>
        <v>0.19031141868512111</v>
      </c>
      <c r="J136" s="150">
        <f t="shared" si="403"/>
        <v>0.11928934010152284</v>
      </c>
      <c r="K136" s="150">
        <f t="shared" si="403"/>
        <v>0.11968880909634949</v>
      </c>
      <c r="L136" s="150">
        <f t="shared" si="403"/>
        <v>0.12469237079573421</v>
      </c>
      <c r="M136" s="150">
        <f t="shared" si="403"/>
        <v>0.16230899830220713</v>
      </c>
      <c r="N136" s="150">
        <f t="shared" si="403"/>
        <v>0.15584137191854233</v>
      </c>
      <c r="O136" s="150">
        <f t="shared" si="403"/>
        <v>0.13637632607481853</v>
      </c>
      <c r="P136" s="150">
        <f t="shared" si="403"/>
        <v>0.13611140194744006</v>
      </c>
      <c r="Q136" s="150">
        <f t="shared" si="403"/>
        <v>0.13766877456844984</v>
      </c>
      <c r="R136" s="150">
        <f t="shared" si="403"/>
        <v>0.14663337983699243</v>
      </c>
      <c r="S136" s="150">
        <f t="shared" si="403"/>
        <v>0.15551592670028286</v>
      </c>
      <c r="T136" s="118" t="e">
        <f t="shared" si="400"/>
        <v>#NUM!</v>
      </c>
      <c r="U136" s="20"/>
      <c r="V136" s="150">
        <f t="shared" ref="V136:AE136" si="404">V55/V25</f>
        <v>0.15551592670028289</v>
      </c>
      <c r="W136" s="150">
        <f t="shared" si="404"/>
        <v>0.15551592670028286</v>
      </c>
      <c r="X136" s="150">
        <f t="shared" si="404"/>
        <v>0.15551592670028286</v>
      </c>
      <c r="Y136" s="150">
        <f t="shared" si="404"/>
        <v>0.15551592670028286</v>
      </c>
      <c r="Z136" s="150">
        <f t="shared" si="404"/>
        <v>0.15551592670028286</v>
      </c>
      <c r="AA136" s="150">
        <f t="shared" si="404"/>
        <v>0.15551592670028286</v>
      </c>
      <c r="AB136" s="150">
        <f t="shared" si="404"/>
        <v>0.15551592670028286</v>
      </c>
      <c r="AC136" s="150">
        <f t="shared" si="404"/>
        <v>0.15551592670028286</v>
      </c>
      <c r="AD136" s="150">
        <f t="shared" si="404"/>
        <v>0.15551592670028283</v>
      </c>
      <c r="AE136" s="150">
        <f t="shared" si="404"/>
        <v>0.15551592670028283</v>
      </c>
      <c r="AF136" s="137">
        <f t="shared" si="305"/>
        <v>-9.5688589352985742E-3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405">G25/G18</f>
        <v>3</v>
      </c>
      <c r="H137" s="150">
        <f t="shared" si="405"/>
        <v>3</v>
      </c>
      <c r="I137" s="150">
        <f t="shared" ref="I137:S137" si="406">I25/I18</f>
        <v>9.9655172413793096</v>
      </c>
      <c r="J137" s="150">
        <f t="shared" si="406"/>
        <v>11.420289855072463</v>
      </c>
      <c r="K137" s="150">
        <f t="shared" si="406"/>
        <v>17.226804123711339</v>
      </c>
      <c r="L137" s="150">
        <f t="shared" si="406"/>
        <v>18.753846153846155</v>
      </c>
      <c r="M137" s="150">
        <f t="shared" si="406"/>
        <v>25.833333333333332</v>
      </c>
      <c r="N137" s="150">
        <f t="shared" si="406"/>
        <v>36.162790697674417</v>
      </c>
      <c r="O137" s="150">
        <f t="shared" si="406"/>
        <v>42.390532544378701</v>
      </c>
      <c r="P137" s="150">
        <f t="shared" si="406"/>
        <v>43.811926605504588</v>
      </c>
      <c r="Q137" s="150">
        <f t="shared" si="406"/>
        <v>42.245487364620942</v>
      </c>
      <c r="R137" s="150">
        <f t="shared" si="406"/>
        <v>46.010135135135137</v>
      </c>
      <c r="S137" s="150">
        <f t="shared" si="406"/>
        <v>39.280193236714979</v>
      </c>
      <c r="T137" s="118">
        <f t="shared" si="400"/>
        <v>0.23904676100156741</v>
      </c>
      <c r="U137" s="20"/>
      <c r="V137" s="150">
        <f t="shared" ref="V137:AE137" si="407">V25/V18</f>
        <v>39.280193236714979</v>
      </c>
      <c r="W137" s="150">
        <f t="shared" si="407"/>
        <v>39.280193236714979</v>
      </c>
      <c r="X137" s="150">
        <f t="shared" si="407"/>
        <v>39.280193236714979</v>
      </c>
      <c r="Y137" s="150">
        <f t="shared" si="407"/>
        <v>39.280193236714979</v>
      </c>
      <c r="Z137" s="150">
        <f t="shared" si="407"/>
        <v>39.280193236714979</v>
      </c>
      <c r="AA137" s="150">
        <f t="shared" si="407"/>
        <v>39.280193236714979</v>
      </c>
      <c r="AB137" s="150">
        <f t="shared" si="407"/>
        <v>39.280193236714979</v>
      </c>
      <c r="AC137" s="150">
        <f t="shared" si="407"/>
        <v>39.280193236714979</v>
      </c>
      <c r="AD137" s="150">
        <f t="shared" si="407"/>
        <v>39.280193236714986</v>
      </c>
      <c r="AE137" s="150">
        <f t="shared" si="407"/>
        <v>39.280193236714986</v>
      </c>
      <c r="AF137" s="137">
        <f t="shared" si="305"/>
        <v>6.7493938461596237E-2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408">G88*G57</f>
        <v>2</v>
      </c>
      <c r="H139" s="163">
        <f t="shared" si="408"/>
        <v>0</v>
      </c>
      <c r="I139" s="163">
        <f t="shared" ref="I139:S139" si="409">I88*I57</f>
        <v>0</v>
      </c>
      <c r="J139" s="163">
        <f t="shared" si="409"/>
        <v>0</v>
      </c>
      <c r="K139" s="163">
        <f t="shared" si="409"/>
        <v>0</v>
      </c>
      <c r="L139" s="163">
        <f t="shared" si="409"/>
        <v>0</v>
      </c>
      <c r="M139" s="163">
        <f t="shared" si="409"/>
        <v>50.94</v>
      </c>
      <c r="N139" s="163">
        <f t="shared" si="409"/>
        <v>86.75</v>
      </c>
      <c r="O139" s="163">
        <f t="shared" si="409"/>
        <v>141.16</v>
      </c>
      <c r="P139" s="163">
        <f t="shared" si="409"/>
        <v>215.16</v>
      </c>
      <c r="Q139" s="163">
        <f t="shared" si="409"/>
        <v>288.48</v>
      </c>
      <c r="R139" s="163">
        <f t="shared" si="409"/>
        <v>375.93</v>
      </c>
      <c r="S139" s="163">
        <f t="shared" si="409"/>
        <v>420.5</v>
      </c>
      <c r="T139" s="118">
        <f t="shared" si="400"/>
        <v>0.56156955673983866</v>
      </c>
      <c r="U139" s="20"/>
      <c r="V139" s="163">
        <f t="shared" ref="V139:AE139" si="410">V88*V57</f>
        <v>463.60124999999994</v>
      </c>
      <c r="W139" s="163">
        <f t="shared" si="410"/>
        <v>511.120378125</v>
      </c>
      <c r="X139" s="163">
        <f t="shared" si="410"/>
        <v>563.51021688281253</v>
      </c>
      <c r="Y139" s="163">
        <f t="shared" si="410"/>
        <v>621.27001411330082</v>
      </c>
      <c r="Z139" s="163">
        <f t="shared" si="410"/>
        <v>684.95019055991418</v>
      </c>
      <c r="AA139" s="163">
        <f t="shared" si="410"/>
        <v>755.15758509230545</v>
      </c>
      <c r="AB139" s="163">
        <f t="shared" si="410"/>
        <v>832.56123756426689</v>
      </c>
      <c r="AC139" s="163">
        <f t="shared" si="410"/>
        <v>917.89876441460433</v>
      </c>
      <c r="AD139" s="163">
        <f t="shared" si="410"/>
        <v>1011.9833877671014</v>
      </c>
      <c r="AE139" s="163">
        <f t="shared" si="410"/>
        <v>1115.7116850132293</v>
      </c>
      <c r="AF139" s="137" t="e">
        <f t="shared" si="305"/>
        <v>#DIV/0!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11">(G139*0.17)+G139</f>
        <v>2.34</v>
      </c>
      <c r="H140" s="163">
        <f t="shared" si="411"/>
        <v>0</v>
      </c>
      <c r="I140" s="163">
        <f t="shared" ref="I140:R140" si="412">(I139*0.17)+I139</f>
        <v>0</v>
      </c>
      <c r="J140" s="163">
        <f t="shared" si="412"/>
        <v>0</v>
      </c>
      <c r="K140" s="163">
        <f t="shared" si="412"/>
        <v>0</v>
      </c>
      <c r="L140" s="163">
        <f t="shared" si="412"/>
        <v>0</v>
      </c>
      <c r="M140" s="163">
        <f t="shared" si="412"/>
        <v>59.599800000000002</v>
      </c>
      <c r="N140" s="163">
        <f t="shared" si="412"/>
        <v>101.4975</v>
      </c>
      <c r="O140" s="163">
        <f t="shared" si="412"/>
        <v>165.15719999999999</v>
      </c>
      <c r="P140" s="163">
        <f t="shared" si="412"/>
        <v>251.7372</v>
      </c>
      <c r="Q140" s="163">
        <f t="shared" si="412"/>
        <v>337.52160000000003</v>
      </c>
      <c r="R140" s="163">
        <f t="shared" si="412"/>
        <v>439.8381</v>
      </c>
      <c r="S140" s="163">
        <f t="shared" ref="S140" si="413">(S139*0.17)+S139</f>
        <v>491.98500000000001</v>
      </c>
      <c r="T140" s="118">
        <f t="shared" si="400"/>
        <v>0.56156955673983866</v>
      </c>
      <c r="U140" s="20"/>
      <c r="V140" s="163">
        <f t="shared" ref="V140:AE140" si="414">(V139*0.17)+V139</f>
        <v>542.41346249999992</v>
      </c>
      <c r="W140" s="163">
        <f t="shared" si="414"/>
        <v>598.01084240625005</v>
      </c>
      <c r="X140" s="163">
        <f t="shared" si="414"/>
        <v>659.30695375289065</v>
      </c>
      <c r="Y140" s="163">
        <f t="shared" si="414"/>
        <v>726.88591651256195</v>
      </c>
      <c r="Z140" s="163">
        <f t="shared" si="414"/>
        <v>801.39172295509957</v>
      </c>
      <c r="AA140" s="163">
        <f t="shared" si="414"/>
        <v>883.53437455799735</v>
      </c>
      <c r="AB140" s="163">
        <f t="shared" si="414"/>
        <v>974.09664795019228</v>
      </c>
      <c r="AC140" s="163">
        <f t="shared" si="414"/>
        <v>1073.9415543650871</v>
      </c>
      <c r="AD140" s="163">
        <f t="shared" si="414"/>
        <v>1184.0205636875087</v>
      </c>
      <c r="AE140" s="163">
        <f t="shared" si="414"/>
        <v>1305.3826714654783</v>
      </c>
      <c r="AF140" s="137" t="e">
        <f t="shared" si="305"/>
        <v>#DIV/0!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15">G140/G55</f>
        <v>-0.58499999999999996</v>
      </c>
      <c r="H141" s="150">
        <f t="shared" si="415"/>
        <v>0</v>
      </c>
      <c r="I141" s="150">
        <f t="shared" ref="I141:S141" si="416">I140/I55</f>
        <v>0</v>
      </c>
      <c r="J141" s="150">
        <f t="shared" si="416"/>
        <v>0</v>
      </c>
      <c r="K141" s="150">
        <f t="shared" si="416"/>
        <v>0</v>
      </c>
      <c r="L141" s="150">
        <f t="shared" si="416"/>
        <v>0</v>
      </c>
      <c r="M141" s="150">
        <f t="shared" si="416"/>
        <v>0.12468577405857741</v>
      </c>
      <c r="N141" s="150">
        <f t="shared" si="416"/>
        <v>0.13961141678129299</v>
      </c>
      <c r="O141" s="150">
        <f t="shared" si="416"/>
        <v>0.16904524053224154</v>
      </c>
      <c r="P141" s="150">
        <f t="shared" si="416"/>
        <v>0.19364400000000001</v>
      </c>
      <c r="Q141" s="150">
        <f t="shared" si="416"/>
        <v>0.20951061452513969</v>
      </c>
      <c r="R141" s="150">
        <f t="shared" si="416"/>
        <v>0.2202494241362043</v>
      </c>
      <c r="S141" s="150">
        <f t="shared" si="416"/>
        <v>0.19453736654804271</v>
      </c>
      <c r="T141" s="118" t="e">
        <f t="shared" si="400"/>
        <v>#NUM!</v>
      </c>
      <c r="U141" s="20"/>
      <c r="V141" s="150">
        <f t="shared" ref="V141:AE141" si="417">V140/V55</f>
        <v>0.19149772019572947</v>
      </c>
      <c r="W141" s="150">
        <f t="shared" si="417"/>
        <v>0.18850556831767123</v>
      </c>
      <c r="X141" s="150">
        <f t="shared" si="417"/>
        <v>0.18556016881270759</v>
      </c>
      <c r="Y141" s="150">
        <f t="shared" si="417"/>
        <v>0.18266079117500902</v>
      </c>
      <c r="Z141" s="150">
        <f t="shared" si="417"/>
        <v>0.17980671631289949</v>
      </c>
      <c r="AA141" s="150">
        <f t="shared" si="417"/>
        <v>0.17699723637051043</v>
      </c>
      <c r="AB141" s="150">
        <f t="shared" si="417"/>
        <v>0.17423165455222123</v>
      </c>
      <c r="AC141" s="150">
        <f t="shared" si="417"/>
        <v>0.17150928494984277</v>
      </c>
      <c r="AD141" s="150">
        <f t="shared" si="417"/>
        <v>0.16882945237250149</v>
      </c>
      <c r="AE141" s="150">
        <f t="shared" si="417"/>
        <v>0.16619149217918114</v>
      </c>
      <c r="AF141" s="137" t="e">
        <f t="shared" si="305"/>
        <v>#DIV/0!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18">1-G141</f>
        <v>1.585</v>
      </c>
      <c r="H142" s="150">
        <f t="shared" si="418"/>
        <v>1</v>
      </c>
      <c r="I142" s="150">
        <f>1-I141</f>
        <v>1</v>
      </c>
      <c r="J142" s="150">
        <f t="shared" ref="J142:R142" si="419">1-J141</f>
        <v>1</v>
      </c>
      <c r="K142" s="150">
        <f t="shared" si="419"/>
        <v>1</v>
      </c>
      <c r="L142" s="150">
        <f t="shared" si="419"/>
        <v>1</v>
      </c>
      <c r="M142" s="150">
        <f t="shared" si="419"/>
        <v>0.87531422594142261</v>
      </c>
      <c r="N142" s="150">
        <f t="shared" si="419"/>
        <v>0.86038858321870704</v>
      </c>
      <c r="O142" s="150">
        <f t="shared" si="419"/>
        <v>0.83095475946775843</v>
      </c>
      <c r="P142" s="150">
        <f t="shared" si="419"/>
        <v>0.80635599999999996</v>
      </c>
      <c r="Q142" s="150">
        <f t="shared" si="419"/>
        <v>0.79048938547486025</v>
      </c>
      <c r="R142" s="150">
        <f t="shared" si="419"/>
        <v>0.7797505758637957</v>
      </c>
      <c r="S142" s="150">
        <f t="shared" ref="S142" si="420">1-S141</f>
        <v>0.80546263345195723</v>
      </c>
      <c r="T142" s="118">
        <f t="shared" si="400"/>
        <v>-5.4848682059687293E-2</v>
      </c>
      <c r="U142" s="20"/>
      <c r="V142" s="150">
        <f t="shared" ref="V142:AE142" si="421">1-V141</f>
        <v>0.80850227980427047</v>
      </c>
      <c r="W142" s="150">
        <f t="shared" si="421"/>
        <v>0.81149443168232871</v>
      </c>
      <c r="X142" s="150">
        <f t="shared" si="421"/>
        <v>0.81443983118729246</v>
      </c>
      <c r="Y142" s="150">
        <f t="shared" si="421"/>
        <v>0.817339208824991</v>
      </c>
      <c r="Z142" s="150">
        <f t="shared" si="421"/>
        <v>0.82019328368710054</v>
      </c>
      <c r="AA142" s="150">
        <f t="shared" si="421"/>
        <v>0.82300276362948954</v>
      </c>
      <c r="AB142" s="150">
        <f t="shared" si="421"/>
        <v>0.82576834544777877</v>
      </c>
      <c r="AC142" s="150">
        <f t="shared" si="421"/>
        <v>0.82849071505015726</v>
      </c>
      <c r="AD142" s="150">
        <f t="shared" si="421"/>
        <v>0.83117054762749853</v>
      </c>
      <c r="AE142" s="150">
        <f t="shared" si="421"/>
        <v>0.83380850782081883</v>
      </c>
      <c r="AF142" s="137">
        <f t="shared" si="305"/>
        <v>-8.6174885481093977E-3</v>
      </c>
      <c r="AG142" s="20"/>
      <c r="AH142" s="20"/>
    </row>
    <row r="143" spans="1:34">
      <c r="B143" s="20" t="s">
        <v>448</v>
      </c>
      <c r="C143" s="20"/>
      <c r="D143" s="20"/>
      <c r="E143" s="20"/>
      <c r="F143" s="20"/>
      <c r="G143" s="150">
        <f t="shared" ref="G143:H143" si="422">G140/G20</f>
        <v>-4.2545454545454546E-2</v>
      </c>
      <c r="H143" s="150">
        <f t="shared" si="422"/>
        <v>0</v>
      </c>
      <c r="I143" s="150">
        <f t="shared" ref="I143:S143" si="423">I140/I20</f>
        <v>0</v>
      </c>
      <c r="J143" s="150">
        <f t="shared" si="423"/>
        <v>0</v>
      </c>
      <c r="K143" s="150">
        <f t="shared" si="423"/>
        <v>0</v>
      </c>
      <c r="L143" s="150">
        <f t="shared" si="423"/>
        <v>0</v>
      </c>
      <c r="M143" s="150">
        <f t="shared" si="423"/>
        <v>6.2083125000000003E-2</v>
      </c>
      <c r="N143" s="150">
        <f t="shared" si="423"/>
        <v>3.3277868852459015E-2</v>
      </c>
      <c r="O143" s="150">
        <f t="shared" si="423"/>
        <v>4.6030434782608695E-2</v>
      </c>
      <c r="P143" s="150">
        <f t="shared" si="423"/>
        <v>0.46617999999999998</v>
      </c>
      <c r="Q143" s="150">
        <f t="shared" si="423"/>
        <v>7.5881654676259E-2</v>
      </c>
      <c r="R143" s="150">
        <f t="shared" si="423"/>
        <v>-0.30354596273291923</v>
      </c>
      <c r="S143" s="150">
        <f t="shared" si="423"/>
        <v>-1.3553305785123968</v>
      </c>
      <c r="T143" s="118">
        <f t="shared" si="400"/>
        <v>0.33433846537965151</v>
      </c>
      <c r="U143" s="20"/>
      <c r="V143" s="150">
        <f t="shared" ref="V143:AE143" si="424">V140/V20</f>
        <v>-1.3341535382231402</v>
      </c>
      <c r="W143" s="150">
        <f t="shared" si="424"/>
        <v>-1.3133073891884037</v>
      </c>
      <c r="X143" s="150">
        <f t="shared" si="424"/>
        <v>-1.2927869612323348</v>
      </c>
      <c r="Y143" s="150">
        <f t="shared" si="424"/>
        <v>-1.2725871649630793</v>
      </c>
      <c r="Z143" s="150">
        <f t="shared" si="424"/>
        <v>-1.2527029905105311</v>
      </c>
      <c r="AA143" s="150">
        <f t="shared" si="424"/>
        <v>-1.2331295062838041</v>
      </c>
      <c r="AB143" s="150">
        <f t="shared" si="424"/>
        <v>-1.2138618577481197</v>
      </c>
      <c r="AC143" s="150">
        <f t="shared" si="424"/>
        <v>-1.1948952662208054</v>
      </c>
      <c r="AD143" s="150">
        <f t="shared" si="424"/>
        <v>-1.1762250276861055</v>
      </c>
      <c r="AE143" s="150">
        <f t="shared" si="424"/>
        <v>-1.1578465116285099</v>
      </c>
      <c r="AF143" s="137" t="s">
        <v>449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>
        <f t="shared" ref="G145:H145" si="425">G31/G25</f>
        <v>0</v>
      </c>
      <c r="H145" s="150">
        <f t="shared" si="425"/>
        <v>0</v>
      </c>
      <c r="I145" s="150">
        <f t="shared" ref="I145:S145" si="426">I31/I25</f>
        <v>0</v>
      </c>
      <c r="J145" s="150">
        <f t="shared" si="426"/>
        <v>0</v>
      </c>
      <c r="K145" s="150">
        <f t="shared" si="426"/>
        <v>0</v>
      </c>
      <c r="L145" s="150">
        <f t="shared" si="426"/>
        <v>0</v>
      </c>
      <c r="M145" s="150">
        <f t="shared" si="426"/>
        <v>0</v>
      </c>
      <c r="N145" s="150">
        <f t="shared" si="426"/>
        <v>0</v>
      </c>
      <c r="O145" s="150">
        <f t="shared" si="426"/>
        <v>0</v>
      </c>
      <c r="P145" s="150">
        <f t="shared" si="426"/>
        <v>0</v>
      </c>
      <c r="Q145" s="150">
        <f t="shared" si="426"/>
        <v>0</v>
      </c>
      <c r="R145" s="150">
        <f t="shared" si="426"/>
        <v>0</v>
      </c>
      <c r="S145" s="150">
        <f t="shared" si="426"/>
        <v>0</v>
      </c>
      <c r="T145" s="118" t="e">
        <f t="shared" si="400"/>
        <v>#DIV/0!</v>
      </c>
      <c r="U145" s="20"/>
      <c r="V145" s="150">
        <f t="shared" ref="V145:AE145" si="427">V31/V25</f>
        <v>0</v>
      </c>
      <c r="W145" s="150">
        <f t="shared" si="427"/>
        <v>0</v>
      </c>
      <c r="X145" s="150">
        <f t="shared" si="427"/>
        <v>0</v>
      </c>
      <c r="Y145" s="150">
        <f t="shared" si="427"/>
        <v>0</v>
      </c>
      <c r="Z145" s="150">
        <f t="shared" si="427"/>
        <v>0</v>
      </c>
      <c r="AA145" s="150">
        <f t="shared" si="427"/>
        <v>0</v>
      </c>
      <c r="AB145" s="150">
        <f t="shared" si="427"/>
        <v>0</v>
      </c>
      <c r="AC145" s="150">
        <f t="shared" si="427"/>
        <v>0</v>
      </c>
      <c r="AD145" s="150">
        <f t="shared" si="427"/>
        <v>0</v>
      </c>
      <c r="AE145" s="150">
        <f t="shared" si="427"/>
        <v>0</v>
      </c>
      <c r="AF145" s="137" t="e">
        <f t="shared" si="305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>
        <f t="shared" ref="G146:H146" si="428">G32/G25</f>
        <v>0</v>
      </c>
      <c r="H146" s="150">
        <f t="shared" si="428"/>
        <v>0</v>
      </c>
      <c r="I146" s="150">
        <f t="shared" ref="I146:S146" si="429">I32/I25</f>
        <v>0</v>
      </c>
      <c r="J146" s="150">
        <f t="shared" si="429"/>
        <v>0</v>
      </c>
      <c r="K146" s="150">
        <f t="shared" si="429"/>
        <v>0</v>
      </c>
      <c r="L146" s="150">
        <f t="shared" si="429"/>
        <v>0</v>
      </c>
      <c r="M146" s="150">
        <f t="shared" si="429"/>
        <v>0</v>
      </c>
      <c r="N146" s="150">
        <f t="shared" si="429"/>
        <v>0</v>
      </c>
      <c r="O146" s="150">
        <f t="shared" si="429"/>
        <v>0</v>
      </c>
      <c r="P146" s="150">
        <f t="shared" si="429"/>
        <v>0</v>
      </c>
      <c r="Q146" s="150">
        <f t="shared" si="429"/>
        <v>0</v>
      </c>
      <c r="R146" s="150">
        <f t="shared" si="429"/>
        <v>0</v>
      </c>
      <c r="S146" s="150">
        <f t="shared" si="429"/>
        <v>0</v>
      </c>
      <c r="T146" s="118" t="e">
        <f t="shared" si="400"/>
        <v>#DIV/0!</v>
      </c>
      <c r="U146" s="20"/>
      <c r="V146" s="150">
        <f t="shared" ref="V146:AE146" si="430">V32/V25</f>
        <v>0</v>
      </c>
      <c r="W146" s="150">
        <f t="shared" si="430"/>
        <v>0</v>
      </c>
      <c r="X146" s="150">
        <f t="shared" si="430"/>
        <v>0</v>
      </c>
      <c r="Y146" s="150">
        <f t="shared" si="430"/>
        <v>0</v>
      </c>
      <c r="Z146" s="150">
        <f t="shared" si="430"/>
        <v>0</v>
      </c>
      <c r="AA146" s="150">
        <f t="shared" si="430"/>
        <v>0</v>
      </c>
      <c r="AB146" s="150">
        <f t="shared" si="430"/>
        <v>0</v>
      </c>
      <c r="AC146" s="150">
        <f t="shared" si="430"/>
        <v>0</v>
      </c>
      <c r="AD146" s="150">
        <f t="shared" si="430"/>
        <v>0</v>
      </c>
      <c r="AE146" s="150">
        <f t="shared" si="430"/>
        <v>0</v>
      </c>
      <c r="AF146" s="137" t="e">
        <f t="shared" si="305"/>
        <v>#DIV/0!</v>
      </c>
      <c r="AG146" s="20"/>
      <c r="AH146" s="20"/>
    </row>
    <row r="147" spans="2:34">
      <c r="B147" s="20" t="s">
        <v>456</v>
      </c>
      <c r="C147" s="150"/>
      <c r="D147" s="150"/>
      <c r="E147" s="150"/>
      <c r="F147" s="150"/>
      <c r="G147" s="150">
        <f t="shared" ref="G147:H147" si="431">(G31+G32)/G25</f>
        <v>0</v>
      </c>
      <c r="H147" s="150">
        <f t="shared" si="431"/>
        <v>0</v>
      </c>
      <c r="I147" s="150">
        <f t="shared" ref="I147:S147" si="432">(I31+I32)/I25</f>
        <v>0</v>
      </c>
      <c r="J147" s="150">
        <f t="shared" si="432"/>
        <v>0</v>
      </c>
      <c r="K147" s="150">
        <f t="shared" si="432"/>
        <v>0</v>
      </c>
      <c r="L147" s="150">
        <f t="shared" si="432"/>
        <v>0</v>
      </c>
      <c r="M147" s="150">
        <f t="shared" si="432"/>
        <v>0</v>
      </c>
      <c r="N147" s="150">
        <f t="shared" si="432"/>
        <v>0</v>
      </c>
      <c r="O147" s="150">
        <f t="shared" si="432"/>
        <v>0</v>
      </c>
      <c r="P147" s="150">
        <f t="shared" si="432"/>
        <v>0</v>
      </c>
      <c r="Q147" s="150">
        <f t="shared" si="432"/>
        <v>0</v>
      </c>
      <c r="R147" s="150">
        <f t="shared" si="432"/>
        <v>0</v>
      </c>
      <c r="S147" s="150">
        <f t="shared" si="432"/>
        <v>0</v>
      </c>
      <c r="T147" s="118" t="e">
        <f t="shared" si="400"/>
        <v>#DIV/0!</v>
      </c>
      <c r="U147" s="20"/>
      <c r="V147" s="150">
        <f t="shared" ref="V147:AE147" si="433">(V31+V32)/V25</f>
        <v>0</v>
      </c>
      <c r="W147" s="150">
        <f t="shared" si="433"/>
        <v>0</v>
      </c>
      <c r="X147" s="150">
        <f t="shared" si="433"/>
        <v>0</v>
      </c>
      <c r="Y147" s="150">
        <f t="shared" si="433"/>
        <v>0</v>
      </c>
      <c r="Z147" s="150">
        <f t="shared" si="433"/>
        <v>0</v>
      </c>
      <c r="AA147" s="150">
        <f t="shared" si="433"/>
        <v>0</v>
      </c>
      <c r="AB147" s="150">
        <f t="shared" si="433"/>
        <v>0</v>
      </c>
      <c r="AC147" s="150">
        <f t="shared" si="433"/>
        <v>0</v>
      </c>
      <c r="AD147" s="150">
        <f t="shared" si="433"/>
        <v>0</v>
      </c>
      <c r="AE147" s="150">
        <f t="shared" si="433"/>
        <v>0</v>
      </c>
      <c r="AF147" s="137" t="e">
        <f t="shared" si="305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>
        <f t="shared" ref="G149:H149" si="434">G27/G25</f>
        <v>0.24687499999999998</v>
      </c>
      <c r="H149" s="150">
        <f t="shared" si="434"/>
        <v>0.24687499999999998</v>
      </c>
      <c r="I149" s="150">
        <f t="shared" ref="I149:S149" si="435">I27/I25</f>
        <v>0.36332179930795849</v>
      </c>
      <c r="J149" s="150">
        <f t="shared" si="435"/>
        <v>0.52791878172588835</v>
      </c>
      <c r="K149" s="150">
        <f t="shared" si="435"/>
        <v>0.58288450029922201</v>
      </c>
      <c r="L149" s="150">
        <f t="shared" si="435"/>
        <v>0.6119770303527482</v>
      </c>
      <c r="M149" s="150">
        <f t="shared" si="435"/>
        <v>0.83769100169779287</v>
      </c>
      <c r="N149" s="150">
        <f t="shared" si="435"/>
        <v>0.84394426580921755</v>
      </c>
      <c r="O149" s="150">
        <f t="shared" si="435"/>
        <v>0.86362367392518147</v>
      </c>
      <c r="P149" s="150">
        <f t="shared" si="435"/>
        <v>0.86378389697413882</v>
      </c>
      <c r="Q149" s="150">
        <f t="shared" si="435"/>
        <v>0.86233122543155016</v>
      </c>
      <c r="R149" s="150">
        <f t="shared" si="435"/>
        <v>0.85336662016300757</v>
      </c>
      <c r="S149" s="150">
        <f t="shared" si="435"/>
        <v>0.84448407329971709</v>
      </c>
      <c r="T149" s="118">
        <f t="shared" si="400"/>
        <v>0.10792287491407127</v>
      </c>
      <c r="U149" s="20"/>
      <c r="V149" s="150">
        <f t="shared" ref="V149:AE149" si="436">V27/V25</f>
        <v>0.84448407329971709</v>
      </c>
      <c r="W149" s="150">
        <f t="shared" si="436"/>
        <v>0.84448407329971698</v>
      </c>
      <c r="X149" s="150">
        <f t="shared" si="436"/>
        <v>0.84448407329971698</v>
      </c>
      <c r="Y149" s="150">
        <f t="shared" si="436"/>
        <v>0.84448407329971698</v>
      </c>
      <c r="Z149" s="150">
        <f t="shared" si="436"/>
        <v>0.84448407329971698</v>
      </c>
      <c r="AA149" s="150">
        <f t="shared" si="436"/>
        <v>0.84448407329971698</v>
      </c>
      <c r="AB149" s="150">
        <f t="shared" si="436"/>
        <v>0.84448407329971698</v>
      </c>
      <c r="AC149" s="150">
        <f t="shared" si="436"/>
        <v>0.84448407329971698</v>
      </c>
      <c r="AD149" s="150">
        <f t="shared" si="436"/>
        <v>0.84448407329971698</v>
      </c>
      <c r="AE149" s="150">
        <f t="shared" si="436"/>
        <v>0.84448407329971686</v>
      </c>
      <c r="AF149" s="137">
        <f t="shared" si="305"/>
        <v>4.0981130976652791E-2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37">G33/G25</f>
        <v>0.25</v>
      </c>
      <c r="H150" s="150">
        <f t="shared" si="437"/>
        <v>0.25</v>
      </c>
      <c r="I150" s="150">
        <f t="shared" ref="I150:S150" si="438">I33/I25</f>
        <v>0.36332179930795849</v>
      </c>
      <c r="J150" s="150">
        <f t="shared" si="438"/>
        <v>0.52791878172588835</v>
      </c>
      <c r="K150" s="150">
        <f t="shared" si="438"/>
        <v>0.58288450029922201</v>
      </c>
      <c r="L150" s="150">
        <f t="shared" si="438"/>
        <v>0.6119770303527482</v>
      </c>
      <c r="M150" s="150">
        <f t="shared" si="438"/>
        <v>0.5368421052631579</v>
      </c>
      <c r="N150" s="150">
        <f t="shared" si="438"/>
        <v>0.5989281886387996</v>
      </c>
      <c r="O150" s="150">
        <f t="shared" si="438"/>
        <v>0.65480178671133449</v>
      </c>
      <c r="P150" s="150">
        <f t="shared" si="438"/>
        <v>0.63605905140822949</v>
      </c>
      <c r="Q150" s="150">
        <f t="shared" si="438"/>
        <v>0.62083404546231413</v>
      </c>
      <c r="R150" s="150">
        <f t="shared" si="438"/>
        <v>0.59350906821352523</v>
      </c>
      <c r="S150" s="150">
        <f t="shared" si="438"/>
        <v>0.55128520477186083</v>
      </c>
      <c r="T150" s="118">
        <f t="shared" si="400"/>
        <v>6.8119131714113657E-2</v>
      </c>
      <c r="U150" s="20"/>
      <c r="V150" s="150">
        <f t="shared" ref="V150:AE150" si="439">V33/V25</f>
        <v>0.55128520477186072</v>
      </c>
      <c r="W150" s="150">
        <f t="shared" si="439"/>
        <v>0.55128520477186072</v>
      </c>
      <c r="X150" s="150">
        <f t="shared" si="439"/>
        <v>0.55128520477186072</v>
      </c>
      <c r="Y150" s="150">
        <f t="shared" si="439"/>
        <v>0.55128520477186072</v>
      </c>
      <c r="Z150" s="150">
        <f t="shared" si="439"/>
        <v>0.55128520477186072</v>
      </c>
      <c r="AA150" s="150">
        <f t="shared" si="439"/>
        <v>0.55128520477186072</v>
      </c>
      <c r="AB150" s="150">
        <f t="shared" si="439"/>
        <v>0.55128520477186072</v>
      </c>
      <c r="AC150" s="150">
        <f t="shared" si="439"/>
        <v>0.55128520477186072</v>
      </c>
      <c r="AD150" s="150">
        <f t="shared" si="439"/>
        <v>0.5512852047718606</v>
      </c>
      <c r="AE150" s="150">
        <f t="shared" si="439"/>
        <v>0.5512852047718606</v>
      </c>
      <c r="AF150" s="137">
        <f t="shared" si="305"/>
        <v>2.0053827014824055E-2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40">G34/G25</f>
        <v>0.4375</v>
      </c>
      <c r="H151" s="150">
        <f t="shared" si="440"/>
        <v>0.4375</v>
      </c>
      <c r="I151" s="150">
        <f t="shared" ref="I151:S151" si="441">I34/I25</f>
        <v>0.17301038062283736</v>
      </c>
      <c r="J151" s="150">
        <f t="shared" si="441"/>
        <v>0.14974619289340102</v>
      </c>
      <c r="K151" s="150">
        <f t="shared" si="441"/>
        <v>0.12088569718731298</v>
      </c>
      <c r="L151" s="150">
        <f t="shared" si="441"/>
        <v>8.9417555373256769E-2</v>
      </c>
      <c r="M151" s="150">
        <f t="shared" si="441"/>
        <v>8.7266553480475378E-2</v>
      </c>
      <c r="N151" s="150">
        <f t="shared" si="441"/>
        <v>7.7599142550911035E-2</v>
      </c>
      <c r="O151" s="150">
        <f t="shared" si="441"/>
        <v>6.6303740926856508E-2</v>
      </c>
      <c r="P151" s="150">
        <f t="shared" si="441"/>
        <v>6.8579206365825568E-2</v>
      </c>
      <c r="Q151" s="150">
        <f t="shared" si="441"/>
        <v>6.7168005469150568E-2</v>
      </c>
      <c r="R151" s="150">
        <f t="shared" si="441"/>
        <v>7.2398854541449439E-2</v>
      </c>
      <c r="S151" s="150">
        <f t="shared" si="441"/>
        <v>8.1109334645185091E-2</v>
      </c>
      <c r="T151" s="118">
        <f t="shared" si="400"/>
        <v>-0.13102410038616152</v>
      </c>
      <c r="U151" s="20"/>
      <c r="V151" s="150">
        <f t="shared" ref="V151:AE151" si="442">V34/V25</f>
        <v>8.1109334645185091E-2</v>
      </c>
      <c r="W151" s="150">
        <f t="shared" si="442"/>
        <v>8.1109334645185091E-2</v>
      </c>
      <c r="X151" s="150">
        <f t="shared" si="442"/>
        <v>8.1109334645185091E-2</v>
      </c>
      <c r="Y151" s="150">
        <f t="shared" si="442"/>
        <v>8.1109334645185091E-2</v>
      </c>
      <c r="Z151" s="150">
        <f t="shared" si="442"/>
        <v>8.1109334645185091E-2</v>
      </c>
      <c r="AA151" s="150">
        <f t="shared" si="442"/>
        <v>8.1109334645185077E-2</v>
      </c>
      <c r="AB151" s="150">
        <f t="shared" si="442"/>
        <v>8.1109334645185091E-2</v>
      </c>
      <c r="AC151" s="150">
        <f t="shared" si="442"/>
        <v>8.1109334645185077E-2</v>
      </c>
      <c r="AD151" s="150">
        <f t="shared" si="442"/>
        <v>8.1109334645185077E-2</v>
      </c>
      <c r="AE151" s="150">
        <f t="shared" si="442"/>
        <v>8.1109334645185077E-2</v>
      </c>
      <c r="AF151" s="137">
        <f t="shared" si="305"/>
        <v>-3.5431066191573435E-2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 t="e">
        <f t="shared" ref="G154:H154" si="443">G15/G9</f>
        <v>#DIV/0!</v>
      </c>
      <c r="H154" s="25" t="e">
        <f t="shared" si="443"/>
        <v>#DIV/0!</v>
      </c>
      <c r="I154" s="25" t="e">
        <f t="shared" ref="I154:S154" si="444">I15/I9</f>
        <v>#DIV/0!</v>
      </c>
      <c r="J154" s="25" t="e">
        <f t="shared" si="444"/>
        <v>#DIV/0!</v>
      </c>
      <c r="K154" s="25" t="e">
        <f t="shared" si="444"/>
        <v>#DIV/0!</v>
      </c>
      <c r="L154" s="25" t="e">
        <f t="shared" si="444"/>
        <v>#DIV/0!</v>
      </c>
      <c r="M154" s="25" t="e">
        <f t="shared" si="444"/>
        <v>#DIV/0!</v>
      </c>
      <c r="N154" s="25" t="e">
        <f t="shared" si="444"/>
        <v>#DIV/0!</v>
      </c>
      <c r="O154" s="25" t="e">
        <f t="shared" si="444"/>
        <v>#DIV/0!</v>
      </c>
      <c r="P154" s="25" t="e">
        <f t="shared" si="444"/>
        <v>#DIV/0!</v>
      </c>
      <c r="Q154" s="25" t="e">
        <f t="shared" si="444"/>
        <v>#DIV/0!</v>
      </c>
      <c r="R154" s="25" t="e">
        <f t="shared" si="444"/>
        <v>#DIV/0!</v>
      </c>
      <c r="S154" s="25" t="e">
        <f t="shared" si="444"/>
        <v>#DIV/0!</v>
      </c>
      <c r="T154" s="118" t="e">
        <f t="shared" si="400"/>
        <v>#DIV/0!</v>
      </c>
      <c r="U154" s="20"/>
      <c r="V154" s="20" t="e">
        <f t="shared" ref="V154:AE154" si="445">V15/V9</f>
        <v>#DIV/0!</v>
      </c>
      <c r="W154" s="20" t="e">
        <f t="shared" si="445"/>
        <v>#DIV/0!</v>
      </c>
      <c r="X154" s="20" t="e">
        <f t="shared" si="445"/>
        <v>#DIV/0!</v>
      </c>
      <c r="Y154" s="20" t="e">
        <f t="shared" si="445"/>
        <v>#DIV/0!</v>
      </c>
      <c r="Z154" s="20" t="e">
        <f t="shared" si="445"/>
        <v>#DIV/0!</v>
      </c>
      <c r="AA154" s="20" t="e">
        <f t="shared" si="445"/>
        <v>#DIV/0!</v>
      </c>
      <c r="AB154" s="20" t="e">
        <f t="shared" si="445"/>
        <v>#DIV/0!</v>
      </c>
      <c r="AC154" s="20" t="e">
        <f t="shared" si="445"/>
        <v>#DIV/0!</v>
      </c>
      <c r="AD154" s="20" t="e">
        <f t="shared" si="445"/>
        <v>#DIV/0!</v>
      </c>
      <c r="AE154" s="20" t="e">
        <f t="shared" si="445"/>
        <v>#DIV/0!</v>
      </c>
      <c r="AF154" s="137" t="e">
        <f t="shared" si="305"/>
        <v>#DIV/0!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 t="e">
        <f t="shared" ref="G155:H155" si="446">G12/G9</f>
        <v>#DIV/0!</v>
      </c>
      <c r="H155" s="25" t="e">
        <f t="shared" si="446"/>
        <v>#DIV/0!</v>
      </c>
      <c r="I155" s="25" t="e">
        <f t="shared" ref="I155:S155" si="447">I12/I9</f>
        <v>#DIV/0!</v>
      </c>
      <c r="J155" s="25" t="e">
        <f t="shared" si="447"/>
        <v>#DIV/0!</v>
      </c>
      <c r="K155" s="25" t="e">
        <f t="shared" si="447"/>
        <v>#DIV/0!</v>
      </c>
      <c r="L155" s="25" t="e">
        <f t="shared" si="447"/>
        <v>#DIV/0!</v>
      </c>
      <c r="M155" s="25" t="e">
        <f t="shared" si="447"/>
        <v>#DIV/0!</v>
      </c>
      <c r="N155" s="25" t="e">
        <f t="shared" si="447"/>
        <v>#DIV/0!</v>
      </c>
      <c r="O155" s="25" t="e">
        <f t="shared" si="447"/>
        <v>#DIV/0!</v>
      </c>
      <c r="P155" s="25" t="e">
        <f t="shared" si="447"/>
        <v>#DIV/0!</v>
      </c>
      <c r="Q155" s="25" t="e">
        <f t="shared" si="447"/>
        <v>#DIV/0!</v>
      </c>
      <c r="R155" s="25" t="e">
        <f t="shared" si="447"/>
        <v>#DIV/0!</v>
      </c>
      <c r="S155" s="25" t="e">
        <f t="shared" si="447"/>
        <v>#DIV/0!</v>
      </c>
      <c r="T155" s="118" t="e">
        <f t="shared" si="400"/>
        <v>#DIV/0!</v>
      </c>
      <c r="U155" s="128"/>
      <c r="V155" s="20" t="e">
        <f t="shared" ref="V155:AE155" si="448">V12/V9</f>
        <v>#DIV/0!</v>
      </c>
      <c r="W155" s="20" t="e">
        <f t="shared" si="448"/>
        <v>#DIV/0!</v>
      </c>
      <c r="X155" s="20" t="e">
        <f t="shared" si="448"/>
        <v>#DIV/0!</v>
      </c>
      <c r="Y155" s="20" t="e">
        <f t="shared" si="448"/>
        <v>#DIV/0!</v>
      </c>
      <c r="Z155" s="20" t="e">
        <f t="shared" si="448"/>
        <v>#DIV/0!</v>
      </c>
      <c r="AA155" s="20" t="e">
        <f t="shared" si="448"/>
        <v>#DIV/0!</v>
      </c>
      <c r="AB155" s="20" t="e">
        <f t="shared" si="448"/>
        <v>#DIV/0!</v>
      </c>
      <c r="AC155" s="20" t="e">
        <f t="shared" si="448"/>
        <v>#DIV/0!</v>
      </c>
      <c r="AD155" s="20" t="e">
        <f t="shared" si="448"/>
        <v>#DIV/0!</v>
      </c>
      <c r="AE155" s="20" t="e">
        <f t="shared" si="448"/>
        <v>#DIV/0!</v>
      </c>
      <c r="AF155" s="118" t="e">
        <f t="shared" ref="AF155" si="449">((AE155/V155)^(1/($J$2-$J$1) ))-1</f>
        <v>#DIV/0!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450">G25/360</f>
        <v>0.13333333333333333</v>
      </c>
      <c r="H156" s="25">
        <f t="shared" si="450"/>
        <v>0.13333333333333333</v>
      </c>
      <c r="I156" s="25">
        <f t="shared" ref="I156:S156" si="451">I25/360</f>
        <v>0.80277777777777781</v>
      </c>
      <c r="J156" s="25">
        <f t="shared" si="451"/>
        <v>2.1888888888888891</v>
      </c>
      <c r="K156" s="25">
        <f t="shared" si="451"/>
        <v>4.6416666666666666</v>
      </c>
      <c r="L156" s="25">
        <f t="shared" si="451"/>
        <v>6.7722222222222221</v>
      </c>
      <c r="M156" s="25">
        <f t="shared" si="451"/>
        <v>8.1805555555555554</v>
      </c>
      <c r="N156" s="25">
        <f t="shared" si="451"/>
        <v>12.958333333333334</v>
      </c>
      <c r="O156" s="25">
        <f t="shared" si="451"/>
        <v>19.899999999999999</v>
      </c>
      <c r="P156" s="25">
        <f t="shared" si="451"/>
        <v>26.530555555555555</v>
      </c>
      <c r="Q156" s="25">
        <f t="shared" si="451"/>
        <v>32.505555555555553</v>
      </c>
      <c r="R156" s="25">
        <f t="shared" si="451"/>
        <v>37.830555555555556</v>
      </c>
      <c r="S156" s="25">
        <f t="shared" si="451"/>
        <v>45.172222222222224</v>
      </c>
      <c r="T156" s="118">
        <f t="shared" si="400"/>
        <v>0.62490407047990471</v>
      </c>
      <c r="U156" s="128"/>
      <c r="V156" s="25">
        <f t="shared" ref="V156:AE156" si="452">V25/360</f>
        <v>50.592888888888893</v>
      </c>
      <c r="W156" s="25">
        <f t="shared" si="452"/>
        <v>56.664035555555571</v>
      </c>
      <c r="X156" s="25">
        <f t="shared" si="452"/>
        <v>63.463719822222245</v>
      </c>
      <c r="Y156" s="25">
        <f t="shared" si="452"/>
        <v>71.079366200888927</v>
      </c>
      <c r="Z156" s="25">
        <f t="shared" si="452"/>
        <v>79.608890144995598</v>
      </c>
      <c r="AA156" s="25">
        <f t="shared" si="452"/>
        <v>89.161956962395081</v>
      </c>
      <c r="AB156" s="25">
        <f t="shared" si="452"/>
        <v>99.861391797882504</v>
      </c>
      <c r="AC156" s="25">
        <f t="shared" si="452"/>
        <v>111.84475881362843</v>
      </c>
      <c r="AD156" s="25">
        <f t="shared" si="452"/>
        <v>125.26612987126386</v>
      </c>
      <c r="AE156" s="25">
        <f t="shared" si="452"/>
        <v>140.29806545581553</v>
      </c>
      <c r="AF156" s="118">
        <f t="shared" ref="AF156:AF167" si="453">((AE156/V156)^(1/($J$2-$J$1) ))-1</f>
        <v>8.8713271415819861E-2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454">G27/360</f>
        <v>3.2916666666666664E-2</v>
      </c>
      <c r="H157" s="25">
        <f t="shared" si="454"/>
        <v>3.2916666666666664E-2</v>
      </c>
      <c r="I157" s="25">
        <f t="shared" ref="I157:S157" si="455">I27/360</f>
        <v>0.29166666666666669</v>
      </c>
      <c r="J157" s="25">
        <f t="shared" si="455"/>
        <v>1.1555555555555554</v>
      </c>
      <c r="K157" s="25">
        <f t="shared" si="455"/>
        <v>2.7055555555555557</v>
      </c>
      <c r="L157" s="25">
        <f t="shared" si="455"/>
        <v>4.1444444444444448</v>
      </c>
      <c r="M157" s="25">
        <f t="shared" si="455"/>
        <v>6.8527777777777779</v>
      </c>
      <c r="N157" s="25">
        <f t="shared" si="455"/>
        <v>10.936111111111112</v>
      </c>
      <c r="O157" s="25">
        <f t="shared" si="455"/>
        <v>17.18611111111111</v>
      </c>
      <c r="P157" s="25">
        <f t="shared" si="455"/>
        <v>22.916666666666668</v>
      </c>
      <c r="Q157" s="25">
        <f t="shared" si="455"/>
        <v>28.030555555555555</v>
      </c>
      <c r="R157" s="25">
        <f t="shared" si="455"/>
        <v>32.283333333333331</v>
      </c>
      <c r="S157" s="25">
        <f t="shared" si="455"/>
        <v>38.147222222222226</v>
      </c>
      <c r="T157" s="118">
        <f t="shared" si="400"/>
        <v>0.80026838922567278</v>
      </c>
      <c r="U157" s="128"/>
      <c r="V157" s="25">
        <f t="shared" ref="V157:AE157" si="456">V27/360</f>
        <v>42.724888888888891</v>
      </c>
      <c r="W157" s="25">
        <f t="shared" si="456"/>
        <v>47.851875555555559</v>
      </c>
      <c r="X157" s="25">
        <f t="shared" si="456"/>
        <v>53.594100622222228</v>
      </c>
      <c r="Y157" s="25">
        <f t="shared" si="456"/>
        <v>60.025392696888908</v>
      </c>
      <c r="Z157" s="25">
        <f t="shared" si="456"/>
        <v>67.228439820515575</v>
      </c>
      <c r="AA157" s="25">
        <f t="shared" si="456"/>
        <v>75.295852598977461</v>
      </c>
      <c r="AB157" s="25">
        <f t="shared" si="456"/>
        <v>84.331354910854756</v>
      </c>
      <c r="AC157" s="25">
        <f t="shared" si="456"/>
        <v>94.451117500157352</v>
      </c>
      <c r="AD157" s="25">
        <f t="shared" si="456"/>
        <v>105.78525160017624</v>
      </c>
      <c r="AE157" s="25">
        <f t="shared" si="456"/>
        <v>118.47948179219739</v>
      </c>
      <c r="AF157" s="118">
        <f t="shared" si="453"/>
        <v>8.8713271415819861E-2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457">G10/G7</f>
        <v>4.7557603686635943</v>
      </c>
      <c r="H159" s="25">
        <f t="shared" si="457"/>
        <v>4.7557603686635943</v>
      </c>
      <c r="I159" s="25">
        <f t="shared" ref="I159:S159" si="458">I10/I7</f>
        <v>5.90034965034965</v>
      </c>
      <c r="J159" s="25">
        <f t="shared" si="458"/>
        <v>11.546378653113088</v>
      </c>
      <c r="K159" s="25">
        <f t="shared" si="458"/>
        <v>10.810462471569371</v>
      </c>
      <c r="L159" s="25">
        <f t="shared" si="458"/>
        <v>11.304187192118226</v>
      </c>
      <c r="M159" s="25">
        <f t="shared" si="458"/>
        <v>10.212690191000323</v>
      </c>
      <c r="N159" s="25">
        <f t="shared" si="458"/>
        <v>13.871639430680021</v>
      </c>
      <c r="O159" s="25">
        <f t="shared" si="458"/>
        <v>13.538922155688622</v>
      </c>
      <c r="P159" s="25">
        <f t="shared" si="458"/>
        <v>15.132942999827794</v>
      </c>
      <c r="Q159" s="25">
        <f t="shared" si="458"/>
        <v>13.422206605762474</v>
      </c>
      <c r="R159" s="25">
        <f t="shared" si="458"/>
        <v>10.062494642091727</v>
      </c>
      <c r="S159" s="25">
        <f t="shared" si="458"/>
        <v>10.417308530736811</v>
      </c>
      <c r="T159" s="118">
        <f t="shared" si="400"/>
        <v>6.7524776839583911E-2</v>
      </c>
      <c r="U159" s="128"/>
      <c r="V159" s="25">
        <f t="shared" ref="V159:AE159" si="459">V10/V7</f>
        <v>10.417308530736811</v>
      </c>
      <c r="W159" s="25">
        <f t="shared" si="459"/>
        <v>10.417308530736811</v>
      </c>
      <c r="X159" s="25">
        <f t="shared" si="459"/>
        <v>10.417308530736813</v>
      </c>
      <c r="Y159" s="25">
        <f t="shared" si="459"/>
        <v>10.417308530736811</v>
      </c>
      <c r="Z159" s="25">
        <f t="shared" si="459"/>
        <v>10.417308530736811</v>
      </c>
      <c r="AA159" s="25">
        <f t="shared" si="459"/>
        <v>10.417308530736809</v>
      </c>
      <c r="AB159" s="25">
        <f t="shared" si="459"/>
        <v>10.417308530736809</v>
      </c>
      <c r="AC159" s="25">
        <f t="shared" si="459"/>
        <v>10.417308530736809</v>
      </c>
      <c r="AD159" s="25">
        <f t="shared" si="459"/>
        <v>10.417308530736811</v>
      </c>
      <c r="AE159" s="25">
        <f t="shared" si="459"/>
        <v>10.417308530736809</v>
      </c>
      <c r="AF159" s="118">
        <f t="shared" si="453"/>
        <v>0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460">G10/(G10+G7)</f>
        <v>0.82626100880704567</v>
      </c>
      <c r="H160" s="25">
        <f t="shared" si="460"/>
        <v>0.82626100880704567</v>
      </c>
      <c r="I160" s="25">
        <f t="shared" ref="I160:S160" si="461">I10/(I10+I7)</f>
        <v>0.85507980744869516</v>
      </c>
      <c r="J160" s="25">
        <f t="shared" si="461"/>
        <v>0.92029572614948352</v>
      </c>
      <c r="K160" s="25">
        <f t="shared" si="461"/>
        <v>0.91532931056618305</v>
      </c>
      <c r="L160" s="25">
        <f t="shared" si="461"/>
        <v>0.91872685416875188</v>
      </c>
      <c r="M160" s="25">
        <f t="shared" si="461"/>
        <v>0.91081533664395431</v>
      </c>
      <c r="N160" s="25">
        <f t="shared" si="461"/>
        <v>0.93275791787037199</v>
      </c>
      <c r="O160" s="25">
        <f t="shared" si="461"/>
        <v>0.9312191103789127</v>
      </c>
      <c r="P160" s="25">
        <f t="shared" si="461"/>
        <v>0.93801502924725677</v>
      </c>
      <c r="Q160" s="25">
        <f t="shared" si="461"/>
        <v>0.93066248270216545</v>
      </c>
      <c r="R160" s="25">
        <f t="shared" si="461"/>
        <v>0.90960447599268468</v>
      </c>
      <c r="S160" s="25">
        <f t="shared" si="461"/>
        <v>0.91241368337311057</v>
      </c>
      <c r="T160" s="118">
        <f t="shared" si="400"/>
        <v>8.2994823654831684E-3</v>
      </c>
      <c r="U160" s="128"/>
      <c r="V160" s="25">
        <f t="shared" ref="V160:AE160" si="462">V10/(V10+V7)</f>
        <v>0.91241368337311057</v>
      </c>
      <c r="W160" s="25">
        <f t="shared" si="462"/>
        <v>0.91241368337311057</v>
      </c>
      <c r="X160" s="25">
        <f t="shared" si="462"/>
        <v>0.91241368337311068</v>
      </c>
      <c r="Y160" s="25">
        <f t="shared" si="462"/>
        <v>0.91241368337311057</v>
      </c>
      <c r="Z160" s="25">
        <f t="shared" si="462"/>
        <v>0.91241368337311057</v>
      </c>
      <c r="AA160" s="25">
        <f t="shared" si="462"/>
        <v>0.91241368337311057</v>
      </c>
      <c r="AB160" s="25">
        <f t="shared" si="462"/>
        <v>0.91241368337311068</v>
      </c>
      <c r="AC160" s="25">
        <f t="shared" si="462"/>
        <v>0.91241368337311057</v>
      </c>
      <c r="AD160" s="25">
        <f t="shared" si="462"/>
        <v>0.91241368337311068</v>
      </c>
      <c r="AE160" s="25">
        <f t="shared" si="462"/>
        <v>0.91241368337311057</v>
      </c>
      <c r="AF160" s="118">
        <f t="shared" si="453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463">G16</f>
        <v>0</v>
      </c>
      <c r="H162" s="25">
        <f t="shared" si="463"/>
        <v>0</v>
      </c>
      <c r="I162" s="25">
        <f t="shared" ref="I162:S162" si="464">I16</f>
        <v>0</v>
      </c>
      <c r="J162" s="25">
        <f t="shared" si="464"/>
        <v>0</v>
      </c>
      <c r="K162" s="25">
        <f t="shared" si="464"/>
        <v>0</v>
      </c>
      <c r="L162" s="25">
        <f t="shared" si="464"/>
        <v>0</v>
      </c>
      <c r="M162" s="25">
        <f t="shared" si="464"/>
        <v>0</v>
      </c>
      <c r="N162" s="25">
        <f t="shared" si="464"/>
        <v>0</v>
      </c>
      <c r="O162" s="25">
        <f t="shared" si="464"/>
        <v>0</v>
      </c>
      <c r="P162" s="25">
        <f t="shared" si="464"/>
        <v>0</v>
      </c>
      <c r="Q162" s="25">
        <f t="shared" si="464"/>
        <v>0</v>
      </c>
      <c r="R162" s="25">
        <f t="shared" si="464"/>
        <v>0</v>
      </c>
      <c r="S162" s="25">
        <f t="shared" si="464"/>
        <v>0</v>
      </c>
      <c r="T162" s="118" t="e">
        <f t="shared" si="400"/>
        <v>#DIV/0!</v>
      </c>
      <c r="U162" s="128"/>
      <c r="V162" s="25">
        <f t="shared" ref="V162:AE162" si="465">V16</f>
        <v>0</v>
      </c>
      <c r="W162" s="25">
        <f t="shared" si="465"/>
        <v>0</v>
      </c>
      <c r="X162" s="25">
        <f t="shared" si="465"/>
        <v>0</v>
      </c>
      <c r="Y162" s="25">
        <f t="shared" si="465"/>
        <v>0</v>
      </c>
      <c r="Z162" s="25">
        <f t="shared" si="465"/>
        <v>0</v>
      </c>
      <c r="AA162" s="25">
        <f t="shared" si="465"/>
        <v>0</v>
      </c>
      <c r="AB162" s="25">
        <f t="shared" si="465"/>
        <v>0</v>
      </c>
      <c r="AC162" s="25">
        <f t="shared" si="465"/>
        <v>0</v>
      </c>
      <c r="AD162" s="25">
        <f t="shared" si="465"/>
        <v>0</v>
      </c>
      <c r="AE162" s="25">
        <f t="shared" si="465"/>
        <v>0</v>
      </c>
      <c r="AF162" s="118" t="e">
        <f t="shared" si="453"/>
        <v>#DIV/0!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>
        <f t="shared" ref="G163:H163" si="466">G162*365/G25</f>
        <v>0</v>
      </c>
      <c r="H163" s="119">
        <f t="shared" si="466"/>
        <v>0</v>
      </c>
      <c r="I163" s="119">
        <f t="shared" ref="I163:S163" si="467">I162*365/I25</f>
        <v>0</v>
      </c>
      <c r="J163" s="119">
        <f t="shared" si="467"/>
        <v>0</v>
      </c>
      <c r="K163" s="119">
        <f t="shared" si="467"/>
        <v>0</v>
      </c>
      <c r="L163" s="119">
        <f t="shared" si="467"/>
        <v>0</v>
      </c>
      <c r="M163" s="119">
        <f t="shared" si="467"/>
        <v>0</v>
      </c>
      <c r="N163" s="119">
        <f t="shared" si="467"/>
        <v>0</v>
      </c>
      <c r="O163" s="119">
        <f t="shared" si="467"/>
        <v>0</v>
      </c>
      <c r="P163" s="119">
        <f t="shared" si="467"/>
        <v>0</v>
      </c>
      <c r="Q163" s="119">
        <f t="shared" si="467"/>
        <v>0</v>
      </c>
      <c r="R163" s="119">
        <f t="shared" si="467"/>
        <v>0</v>
      </c>
      <c r="S163" s="119">
        <f t="shared" si="467"/>
        <v>0</v>
      </c>
      <c r="T163" s="118" t="e">
        <f t="shared" si="400"/>
        <v>#DIV/0!</v>
      </c>
      <c r="U163" s="128"/>
      <c r="V163" s="119">
        <f t="shared" ref="V163:AE163" si="468">V162*365/V25</f>
        <v>0</v>
      </c>
      <c r="W163" s="119">
        <f t="shared" si="468"/>
        <v>0</v>
      </c>
      <c r="X163" s="119">
        <f t="shared" si="468"/>
        <v>0</v>
      </c>
      <c r="Y163" s="119">
        <f t="shared" si="468"/>
        <v>0</v>
      </c>
      <c r="Z163" s="119">
        <f t="shared" si="468"/>
        <v>0</v>
      </c>
      <c r="AA163" s="119">
        <f t="shared" si="468"/>
        <v>0</v>
      </c>
      <c r="AB163" s="119">
        <f t="shared" si="468"/>
        <v>0</v>
      </c>
      <c r="AC163" s="119">
        <f t="shared" si="468"/>
        <v>0</v>
      </c>
      <c r="AD163" s="119">
        <f t="shared" si="468"/>
        <v>0</v>
      </c>
      <c r="AE163" s="119">
        <f t="shared" si="468"/>
        <v>0</v>
      </c>
      <c r="AF163" s="118" t="e">
        <f t="shared" si="453"/>
        <v>#DIV/0!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469">G98/G29</f>
        <v>0</v>
      </c>
      <c r="H164" s="133">
        <f t="shared" si="469"/>
        <v>0</v>
      </c>
      <c r="I164" s="133">
        <f t="shared" ref="I164:S164" si="470">I98/I29</f>
        <v>0</v>
      </c>
      <c r="J164" s="133">
        <f t="shared" si="470"/>
        <v>0</v>
      </c>
      <c r="K164" s="133">
        <f t="shared" si="470"/>
        <v>0</v>
      </c>
      <c r="L164" s="133">
        <f t="shared" si="470"/>
        <v>0</v>
      </c>
      <c r="M164" s="133">
        <f t="shared" si="470"/>
        <v>0</v>
      </c>
      <c r="N164" s="133">
        <f t="shared" si="470"/>
        <v>0</v>
      </c>
      <c r="O164" s="133">
        <f t="shared" si="470"/>
        <v>0</v>
      </c>
      <c r="P164" s="133">
        <f t="shared" si="470"/>
        <v>0</v>
      </c>
      <c r="Q164" s="133">
        <f t="shared" si="470"/>
        <v>0</v>
      </c>
      <c r="R164" s="133">
        <f t="shared" si="470"/>
        <v>0</v>
      </c>
      <c r="S164" s="133">
        <f t="shared" si="470"/>
        <v>0</v>
      </c>
      <c r="T164" s="118" t="e">
        <f t="shared" si="400"/>
        <v>#DIV/0!</v>
      </c>
      <c r="U164" s="128"/>
      <c r="V164" s="133">
        <f t="shared" ref="V164:AE164" si="471">V98/V29</f>
        <v>0</v>
      </c>
      <c r="W164" s="133">
        <f t="shared" si="471"/>
        <v>0</v>
      </c>
      <c r="X164" s="133">
        <f t="shared" si="471"/>
        <v>0</v>
      </c>
      <c r="Y164" s="133">
        <f t="shared" si="471"/>
        <v>0</v>
      </c>
      <c r="Z164" s="133">
        <f t="shared" si="471"/>
        <v>0</v>
      </c>
      <c r="AA164" s="133">
        <f t="shared" si="471"/>
        <v>0</v>
      </c>
      <c r="AB164" s="133">
        <f t="shared" si="471"/>
        <v>0</v>
      </c>
      <c r="AC164" s="133">
        <f t="shared" si="471"/>
        <v>0</v>
      </c>
      <c r="AD164" s="133">
        <f t="shared" si="471"/>
        <v>0</v>
      </c>
      <c r="AE164" s="133">
        <f t="shared" si="471"/>
        <v>0</v>
      </c>
      <c r="AF164" s="118" t="e">
        <f t="shared" si="453"/>
        <v>#DIV/0!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 t="e">
        <f t="shared" ref="G166:H166" si="472">G25/G14</f>
        <v>#DIV/0!</v>
      </c>
      <c r="H166" s="178" t="e">
        <f t="shared" si="472"/>
        <v>#DIV/0!</v>
      </c>
      <c r="I166" s="178" t="e">
        <f t="shared" ref="I166:S166" si="473">I25/I14</f>
        <v>#DIV/0!</v>
      </c>
      <c r="J166" s="178" t="e">
        <f t="shared" si="473"/>
        <v>#DIV/0!</v>
      </c>
      <c r="K166" s="178" t="e">
        <f t="shared" si="473"/>
        <v>#DIV/0!</v>
      </c>
      <c r="L166" s="178" t="e">
        <f t="shared" si="473"/>
        <v>#DIV/0!</v>
      </c>
      <c r="M166" s="178" t="e">
        <f t="shared" si="473"/>
        <v>#DIV/0!</v>
      </c>
      <c r="N166" s="178" t="e">
        <f t="shared" si="473"/>
        <v>#DIV/0!</v>
      </c>
      <c r="O166" s="178" t="e">
        <f t="shared" si="473"/>
        <v>#DIV/0!</v>
      </c>
      <c r="P166" s="178" t="e">
        <f t="shared" si="473"/>
        <v>#DIV/0!</v>
      </c>
      <c r="Q166" s="178" t="e">
        <f t="shared" si="473"/>
        <v>#DIV/0!</v>
      </c>
      <c r="R166" s="178" t="e">
        <f t="shared" si="473"/>
        <v>#DIV/0!</v>
      </c>
      <c r="S166" s="178" t="e">
        <f t="shared" si="473"/>
        <v>#DIV/0!</v>
      </c>
      <c r="T166" s="118" t="e">
        <f t="shared" si="400"/>
        <v>#DIV/0!</v>
      </c>
      <c r="U166" s="128"/>
      <c r="V166" s="20" t="e">
        <f t="shared" ref="V166:AE166" si="474">V25/V14</f>
        <v>#DIV/0!</v>
      </c>
      <c r="W166" s="20" t="e">
        <f t="shared" si="474"/>
        <v>#DIV/0!</v>
      </c>
      <c r="X166" s="20" t="e">
        <f t="shared" si="474"/>
        <v>#DIV/0!</v>
      </c>
      <c r="Y166" s="20" t="e">
        <f t="shared" si="474"/>
        <v>#DIV/0!</v>
      </c>
      <c r="Z166" s="20" t="e">
        <f t="shared" si="474"/>
        <v>#DIV/0!</v>
      </c>
      <c r="AA166" s="20" t="e">
        <f t="shared" si="474"/>
        <v>#DIV/0!</v>
      </c>
      <c r="AB166" s="20" t="e">
        <f t="shared" si="474"/>
        <v>#DIV/0!</v>
      </c>
      <c r="AC166" s="20" t="e">
        <f t="shared" si="474"/>
        <v>#DIV/0!</v>
      </c>
      <c r="AD166" s="20" t="e">
        <f t="shared" si="474"/>
        <v>#DIV/0!</v>
      </c>
      <c r="AE166" s="20" t="e">
        <f t="shared" si="474"/>
        <v>#DIV/0!</v>
      </c>
      <c r="AF166" s="118" t="e">
        <f t="shared" si="453"/>
        <v>#DIV/0!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 t="e">
        <f t="shared" ref="G167:H167" si="475">G27/G14</f>
        <v>#DIV/0!</v>
      </c>
      <c r="H167" s="178" t="e">
        <f t="shared" si="475"/>
        <v>#DIV/0!</v>
      </c>
      <c r="I167" s="178" t="e">
        <f t="shared" ref="I167:S167" si="476">I27/I14</f>
        <v>#DIV/0!</v>
      </c>
      <c r="J167" s="178" t="e">
        <f t="shared" si="476"/>
        <v>#DIV/0!</v>
      </c>
      <c r="K167" s="178" t="e">
        <f t="shared" si="476"/>
        <v>#DIV/0!</v>
      </c>
      <c r="L167" s="178" t="e">
        <f t="shared" si="476"/>
        <v>#DIV/0!</v>
      </c>
      <c r="M167" s="178" t="e">
        <f t="shared" si="476"/>
        <v>#DIV/0!</v>
      </c>
      <c r="N167" s="178" t="e">
        <f t="shared" si="476"/>
        <v>#DIV/0!</v>
      </c>
      <c r="O167" s="178" t="e">
        <f t="shared" si="476"/>
        <v>#DIV/0!</v>
      </c>
      <c r="P167" s="178" t="e">
        <f t="shared" si="476"/>
        <v>#DIV/0!</v>
      </c>
      <c r="Q167" s="178" t="e">
        <f t="shared" si="476"/>
        <v>#DIV/0!</v>
      </c>
      <c r="R167" s="178" t="e">
        <f t="shared" si="476"/>
        <v>#DIV/0!</v>
      </c>
      <c r="S167" s="178" t="e">
        <f t="shared" si="476"/>
        <v>#DIV/0!</v>
      </c>
      <c r="T167" s="118" t="e">
        <f t="shared" si="400"/>
        <v>#DIV/0!</v>
      </c>
      <c r="U167" s="128"/>
      <c r="V167" s="20" t="e">
        <f t="shared" ref="V167:AE167" si="477">V27/V14</f>
        <v>#DIV/0!</v>
      </c>
      <c r="W167" s="20" t="e">
        <f t="shared" si="477"/>
        <v>#DIV/0!</v>
      </c>
      <c r="X167" s="20" t="e">
        <f t="shared" si="477"/>
        <v>#DIV/0!</v>
      </c>
      <c r="Y167" s="20" t="e">
        <f t="shared" si="477"/>
        <v>#DIV/0!</v>
      </c>
      <c r="Z167" s="20" t="e">
        <f t="shared" si="477"/>
        <v>#DIV/0!</v>
      </c>
      <c r="AA167" s="20" t="e">
        <f t="shared" si="477"/>
        <v>#DIV/0!</v>
      </c>
      <c r="AB167" s="20" t="e">
        <f t="shared" si="477"/>
        <v>#DIV/0!</v>
      </c>
      <c r="AC167" s="20" t="e">
        <f t="shared" si="477"/>
        <v>#DIV/0!</v>
      </c>
      <c r="AD167" s="20" t="e">
        <f t="shared" si="477"/>
        <v>#DIV/0!</v>
      </c>
      <c r="AE167" s="20" t="e">
        <f t="shared" si="477"/>
        <v>#DIV/0!</v>
      </c>
      <c r="AF167" s="118" t="e">
        <f t="shared" si="453"/>
        <v>#DIV/0!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469</v>
      </c>
      <c r="T169" s="23"/>
      <c r="U169" s="23" t="s">
        <v>470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40.019024970273485</v>
      </c>
      <c r="T170" s="158">
        <f>AVERAGE(I72:S72)</f>
        <v>24.905305865590616</v>
      </c>
      <c r="U170" s="158">
        <f>AVERAGE(I102:S102)</f>
        <v>22.207328937412171</v>
      </c>
      <c r="V170" s="191" t="s">
        <v>425</v>
      </c>
      <c r="W170" s="192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137.44928924596616</v>
      </c>
      <c r="V171" s="133">
        <f>PV($C$1, ($AE$3-$V$3), 0, -AE72)</f>
        <v>19.152769812962493</v>
      </c>
      <c r="W171" s="133">
        <f>PV($C$1, ($AE$3-$V$3), 0, -AH72)</f>
        <v>118.29651943300365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478">V172+W172</f>
        <v>747.95457437840503</v>
      </c>
      <c r="V172" s="133">
        <f>PV($C$1, ($AE$3-$V$3), 0, -AE74)</f>
        <v>104.22317839699085</v>
      </c>
      <c r="W172" s="133">
        <f>PV($C$1, ($AE$3-$V$3), 0, -AH74)</f>
        <v>643.73139598141415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478"/>
        <v>725.07353413619376</v>
      </c>
      <c r="V173" s="133">
        <f>PV($C$1, ($AE$3-$V$3), 0, -AE75)</f>
        <v>101.03483672389582</v>
      </c>
      <c r="W173" s="133">
        <f>PV($C$1, ($AE$3-$V$3), 0, -AH75)</f>
        <v>624.03869741229789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478"/>
        <v>7791.6735682757771</v>
      </c>
      <c r="V174" s="133">
        <f>PV($C$1, ($AE$3-$V$3), 0, -AE76)</f>
        <v>1085.725005415477</v>
      </c>
      <c r="W174" s="133">
        <f>PV($C$1, ($AE$3-$V$3), 0, -AH76)</f>
        <v>6705.9485628603006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478"/>
        <v>0</v>
      </c>
      <c r="V175" s="133">
        <f>PV($C$1, ($AE$3-$V$3), 0, -AE82)</f>
        <v>0</v>
      </c>
      <c r="W175" s="133">
        <f>PV($C$1, ($AE$3-$V$3), 0, -AH82)</f>
        <v>0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478"/>
        <v>-7043.7189938973725</v>
      </c>
      <c r="V177" s="133">
        <f>PV($C$1, ($AE$3-$V$3), 0, -AE78)</f>
        <v>-981.50182701848621</v>
      </c>
      <c r="W177" s="133">
        <f>PV($C$1, ($AE$3-$V$3), 0, -$AH$78)</f>
        <v>-6062.217166878886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478"/>
        <v>-7043.7189938973725</v>
      </c>
      <c r="V178" s="133">
        <f>PV($C$1, ($AE$3-$V$3), 0, -AE79)</f>
        <v>-981.50182701848621</v>
      </c>
      <c r="W178" s="133">
        <f>PV($C$1, ($AE$3-$V$3), 0, -$AH$79)</f>
        <v>-6062.217166878886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478"/>
        <v>-7043.7189938973725</v>
      </c>
      <c r="V179" s="133">
        <f>PV($C$1, ($AE$3-$V$3), 0, -AE80)</f>
        <v>-981.50182701848621</v>
      </c>
      <c r="W179" s="133">
        <f>PV($C$1, ($AE$3-$V$3), 0, -$AH$80)</f>
        <v>-6062.217166878886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478"/>
        <v>0</v>
      </c>
      <c r="V181" s="133">
        <f>PV($C$1, ($AE$3-$V$3), 0, -AE85)</f>
        <v>0</v>
      </c>
      <c r="W181" s="133">
        <f>PV($C$1, ($AE$3-$V$3), 0, -AH85)</f>
        <v>0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478"/>
        <v>0</v>
      </c>
      <c r="V182" s="133">
        <f>PV($C$1, ($AE$3-$V$3), 0, -AE86)</f>
        <v>0</v>
      </c>
      <c r="W182" s="133">
        <f>PV($C$1, ($AE$3-$V$3), 0, -AH86)</f>
        <v>0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479">V184+W184</f>
        <v>0</v>
      </c>
      <c r="V184" s="133">
        <f>PV($C$1, ($AE$3-$V$3), 0, -AE12)</f>
        <v>0</v>
      </c>
      <c r="W184" s="133">
        <f>PV($C$1, ($AE$3-$V$3), 0, -AH12)</f>
        <v>0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0</v>
      </c>
      <c r="V185" s="139">
        <f>V184/R57</f>
        <v>0</v>
      </c>
      <c r="W185" s="139">
        <f>W184/R57</f>
        <v>0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480">V188+W188</f>
        <v>94.766849365030922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77.963537327275048</v>
      </c>
      <c r="W188" s="133">
        <f>PV($C$1, ($AE$3-$V$3), 0, -AH88)</f>
        <v>16.803312037755877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478"/>
        <v>-79469.211377403306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-65378.356135130889</v>
      </c>
      <c r="W190" s="133">
        <f>PV($C$1, ($AE$3-$V$3), 0, -AH90)</f>
        <v>-14090.855242272421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481">V192+W192</f>
        <v>-1160.218837408323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-954.49796256990862</v>
      </c>
      <c r="W192" s="133">
        <f>PV($C$1, ($AE$3-$V$3), 0, -AH92)</f>
        <v>-205.7208748384144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481"/>
        <v>-95.761582078040277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-78.7818918628642</v>
      </c>
      <c r="W193" s="133">
        <f>PV($C$1, ($AE$3-$V$3), 0, -AH93)</f>
        <v>-16.979690215176081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481"/>
        <v>-1064.4572553302828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-875.71607070704454</v>
      </c>
      <c r="W194" s="133">
        <f>PV($C$1, ($AE$3-$V$3), 0, -AH94)</f>
        <v>-188.74118462323833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481"/>
        <v>1334.5946108341757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1097.9547959620661</v>
      </c>
      <c r="W195" s="133">
        <f>PV($C$1, ($AE$3-$V$3), 0, -AH95)</f>
        <v>236.63981487210967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174.37577342585269</v>
      </c>
      <c r="V196" s="110">
        <f t="shared" ref="V196:W196" si="482">V193+V194+V195</f>
        <v>143.45683339215736</v>
      </c>
      <c r="W196" s="110">
        <f t="shared" si="482"/>
        <v>30.918940033695264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2167.9578003232373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1783.5525821736037</v>
      </c>
      <c r="W198" s="133">
        <f>PV($C$1, ($AE$3-$V$3), 0, -AH96)</f>
        <v>384.40521814963381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>
        <v>870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8" t="s">
        <v>468</v>
      </c>
      <c r="G200" s="193">
        <v>0</v>
      </c>
      <c r="H200" s="193">
        <v>0</v>
      </c>
      <c r="I200" s="193">
        <v>0</v>
      </c>
      <c r="J200" s="193">
        <v>0</v>
      </c>
      <c r="K200" s="193">
        <v>0</v>
      </c>
      <c r="L200" s="193">
        <v>0</v>
      </c>
      <c r="M200" s="193">
        <v>0</v>
      </c>
      <c r="N200" s="193">
        <v>0</v>
      </c>
      <c r="O200" s="193">
        <v>0</v>
      </c>
      <c r="P200" s="193">
        <v>0</v>
      </c>
      <c r="Q200" s="23" t="s">
        <v>386</v>
      </c>
      <c r="R200" s="20">
        <v>1547</v>
      </c>
      <c r="S200" s="20"/>
      <c r="T200" s="20">
        <v>500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70</v>
      </c>
      <c r="H201" s="22">
        <v>70</v>
      </c>
      <c r="I201" s="22">
        <v>90</v>
      </c>
      <c r="J201" s="22">
        <v>125</v>
      </c>
      <c r="K201" s="22">
        <v>130</v>
      </c>
      <c r="L201" s="22">
        <v>45</v>
      </c>
      <c r="M201" s="22">
        <v>230</v>
      </c>
      <c r="N201" s="22">
        <v>270</v>
      </c>
      <c r="O201" s="22">
        <v>335</v>
      </c>
      <c r="P201" s="22">
        <v>420</v>
      </c>
      <c r="Q201" s="22">
        <v>350</v>
      </c>
      <c r="R201" s="22">
        <v>815</v>
      </c>
      <c r="S201" s="22">
        <v>1800</v>
      </c>
      <c r="T201" s="118">
        <f t="shared" ref="T201:T227" si="483">((S201/G201)^(1/($J$2-$J$1) ))-1</f>
        <v>0.31073392071208472</v>
      </c>
      <c r="U201" s="31">
        <v>0</v>
      </c>
      <c r="V201" s="194">
        <v>50</v>
      </c>
      <c r="W201" s="119">
        <f t="shared" ref="W201:AE201" si="484">V201*(1+$U201)</f>
        <v>50</v>
      </c>
      <c r="X201" s="119">
        <f t="shared" si="484"/>
        <v>50</v>
      </c>
      <c r="Y201" s="119">
        <f t="shared" si="484"/>
        <v>50</v>
      </c>
      <c r="Z201" s="119">
        <f t="shared" si="484"/>
        <v>50</v>
      </c>
      <c r="AA201" s="119">
        <f t="shared" si="484"/>
        <v>50</v>
      </c>
      <c r="AB201" s="119">
        <f t="shared" si="484"/>
        <v>50</v>
      </c>
      <c r="AC201" s="119">
        <f t="shared" si="484"/>
        <v>50</v>
      </c>
      <c r="AD201" s="119">
        <f t="shared" si="484"/>
        <v>50</v>
      </c>
      <c r="AE201" s="119">
        <f t="shared" si="484"/>
        <v>50</v>
      </c>
      <c r="AF201" s="137">
        <f t="shared" ref="AF201:AF208" si="485">((AE201/I201)^(1/($AE$3-$J$1) ))-1</f>
        <v>-2.7601754835843151E-2</v>
      </c>
      <c r="AG201" s="31">
        <f t="shared" ref="AG201:AG208" si="486">$N$1</f>
        <v>0.05</v>
      </c>
      <c r="AH201" s="127">
        <f t="shared" ref="AH201:AH212" si="487">(AE201*(1+AF201))/($C$1-AG201)</f>
        <v>285.99948387181087</v>
      </c>
    </row>
    <row r="202" spans="2:34">
      <c r="B202" s="20" t="s">
        <v>357</v>
      </c>
      <c r="C202" s="25"/>
      <c r="D202" s="25"/>
      <c r="E202" s="25"/>
      <c r="F202" s="25"/>
      <c r="G202" s="25">
        <f t="shared" ref="G202:H202" si="488">G201/G66</f>
        <v>29.166666666666668</v>
      </c>
      <c r="H202" s="25">
        <f t="shared" si="488"/>
        <v>29.166666666666668</v>
      </c>
      <c r="I202" s="25">
        <f t="shared" ref="I202:S202" si="489">I201/I66</f>
        <v>8.4083044982698958</v>
      </c>
      <c r="J202" s="25">
        <f t="shared" si="489"/>
        <v>4.4416243654822338</v>
      </c>
      <c r="K202" s="25">
        <f t="shared" si="489"/>
        <v>2.3105924596050271</v>
      </c>
      <c r="L202" s="25">
        <f t="shared" si="489"/>
        <v>0.54801066447908131</v>
      </c>
      <c r="M202" s="25">
        <f t="shared" si="489"/>
        <v>2.6522241086587437</v>
      </c>
      <c r="N202" s="25">
        <f t="shared" si="489"/>
        <v>2.0083601286173636</v>
      </c>
      <c r="O202" s="25">
        <f t="shared" si="489"/>
        <v>1.650216359575656</v>
      </c>
      <c r="P202" s="25">
        <f t="shared" si="489"/>
        <v>1.5769238823159879</v>
      </c>
      <c r="Q202" s="25">
        <f t="shared" si="489"/>
        <v>1.0785335840027346</v>
      </c>
      <c r="R202" s="25">
        <f t="shared" si="489"/>
        <v>2.4996365371906895</v>
      </c>
      <c r="S202" s="25">
        <f t="shared" si="489"/>
        <v>4.6544090517771481</v>
      </c>
      <c r="T202" s="118">
        <f t="shared" si="483"/>
        <v>-0.14181389372097308</v>
      </c>
      <c r="U202" s="128"/>
      <c r="V202" s="25">
        <f t="shared" ref="V202:AE202" si="490">V201/V66</f>
        <v>0.12120856905669657</v>
      </c>
      <c r="W202" s="25">
        <f t="shared" si="490"/>
        <v>0.11363303349065303</v>
      </c>
      <c r="X202" s="25">
        <f t="shared" si="490"/>
        <v>0.1065309688974872</v>
      </c>
      <c r="Y202" s="25">
        <f t="shared" si="490"/>
        <v>9.9872783341394239E-2</v>
      </c>
      <c r="Z202" s="25">
        <f t="shared" si="490"/>
        <v>9.363073438255709E-2</v>
      </c>
      <c r="AA202" s="25">
        <f t="shared" si="490"/>
        <v>8.7778813483647258E-2</v>
      </c>
      <c r="AB202" s="25">
        <f t="shared" si="490"/>
        <v>8.2292637640919292E-2</v>
      </c>
      <c r="AC202" s="25">
        <f t="shared" si="490"/>
        <v>7.7149347788361841E-2</v>
      </c>
      <c r="AD202" s="25">
        <f t="shared" si="490"/>
        <v>7.2327513551589215E-2</v>
      </c>
      <c r="AE202" s="25">
        <f t="shared" si="490"/>
        <v>6.7807043954614885E-2</v>
      </c>
      <c r="AF202" s="137">
        <f t="shared" ref="AF202" si="491">((AE202/I202)^(1/($AE$3-$J$1) ))-1</f>
        <v>-0.20509965622664894</v>
      </c>
      <c r="AG202" s="31">
        <f t="shared" si="486"/>
        <v>0.05</v>
      </c>
      <c r="AH202" s="127">
        <f t="shared" ref="AH202" si="492">(AE202*(1+AF202))/($C$1-AG202)</f>
        <v>0.31705789735163586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493">G201/G72</f>
        <v>-350</v>
      </c>
      <c r="H203" s="25">
        <f t="shared" si="493"/>
        <v>-350</v>
      </c>
      <c r="I203" s="25">
        <f t="shared" ref="I203:S203" si="494">I201/I72</f>
        <v>44.18181818181818</v>
      </c>
      <c r="J203" s="25">
        <f t="shared" si="494"/>
        <v>37.234042553191486</v>
      </c>
      <c r="K203" s="25">
        <f t="shared" si="494"/>
        <v>19.305</v>
      </c>
      <c r="L203" s="25">
        <f t="shared" si="494"/>
        <v>4.3949013157894736</v>
      </c>
      <c r="M203" s="25">
        <f t="shared" si="494"/>
        <v>16.340585774058578</v>
      </c>
      <c r="N203" s="25">
        <f t="shared" si="494"/>
        <v>12.887207702888585</v>
      </c>
      <c r="O203" s="25">
        <f t="shared" si="494"/>
        <v>12.100460593654043</v>
      </c>
      <c r="P203" s="25">
        <f t="shared" si="494"/>
        <v>11.585538461538462</v>
      </c>
      <c r="Q203" s="25">
        <f t="shared" si="494"/>
        <v>7.8342644320297952</v>
      </c>
      <c r="R203" s="25">
        <f t="shared" si="494"/>
        <v>17.046845267901855</v>
      </c>
      <c r="S203" s="25">
        <f t="shared" si="494"/>
        <v>29.9288256227758</v>
      </c>
      <c r="T203" s="118" t="e">
        <f t="shared" si="483"/>
        <v>#NUM!</v>
      </c>
      <c r="U203" s="128"/>
      <c r="V203" s="119">
        <f t="shared" ref="V203:AE203" si="495">V201/V72</f>
        <v>0.7793965005931196</v>
      </c>
      <c r="W203" s="119">
        <f t="shared" si="495"/>
        <v>0.73068421930604954</v>
      </c>
      <c r="X203" s="119">
        <f t="shared" si="495"/>
        <v>0.68501645559942148</v>
      </c>
      <c r="Y203" s="119">
        <f t="shared" si="495"/>
        <v>0.64220292712445759</v>
      </c>
      <c r="Z203" s="119">
        <f t="shared" si="495"/>
        <v>0.60206524417917895</v>
      </c>
      <c r="AA203" s="119">
        <f t="shared" si="495"/>
        <v>0.56443616641798011</v>
      </c>
      <c r="AB203" s="119">
        <f t="shared" si="495"/>
        <v>0.52915890601685645</v>
      </c>
      <c r="AC203" s="119">
        <f t="shared" si="495"/>
        <v>0.49608647439080283</v>
      </c>
      <c r="AD203" s="119">
        <f t="shared" si="495"/>
        <v>0.46508106974137758</v>
      </c>
      <c r="AE203" s="119">
        <f t="shared" si="495"/>
        <v>0.43601350288254148</v>
      </c>
      <c r="AF203" s="137">
        <f t="shared" si="485"/>
        <v>-0.19741988027674207</v>
      </c>
      <c r="AG203" s="31">
        <f t="shared" si="486"/>
        <v>0.05</v>
      </c>
      <c r="AH203" s="127">
        <f t="shared" si="487"/>
        <v>2.0584457020260425</v>
      </c>
    </row>
    <row r="204" spans="2:34">
      <c r="B204" s="20" t="s">
        <v>460</v>
      </c>
      <c r="C204" s="25"/>
      <c r="D204" s="25"/>
      <c r="E204" s="25"/>
      <c r="F204" s="25"/>
      <c r="G204" s="25" t="e">
        <f t="shared" ref="G204:H204" si="496">G201/G70</f>
        <v>#DIV/0!</v>
      </c>
      <c r="H204" s="25" t="e">
        <f t="shared" si="496"/>
        <v>#DIV/0!</v>
      </c>
      <c r="I204" s="25" t="e">
        <f t="shared" ref="I204:S204" si="497">I201/I70</f>
        <v>#DIV/0!</v>
      </c>
      <c r="J204" s="25" t="e">
        <f t="shared" si="497"/>
        <v>#DIV/0!</v>
      </c>
      <c r="K204" s="25" t="e">
        <f t="shared" si="497"/>
        <v>#DIV/0!</v>
      </c>
      <c r="L204" s="25" t="e">
        <f t="shared" si="497"/>
        <v>#DIV/0!</v>
      </c>
      <c r="M204" s="25" t="e">
        <f t="shared" si="497"/>
        <v>#DIV/0!</v>
      </c>
      <c r="N204" s="25" t="e">
        <f t="shared" si="497"/>
        <v>#DIV/0!</v>
      </c>
      <c r="O204" s="25" t="e">
        <f t="shared" si="497"/>
        <v>#DIV/0!</v>
      </c>
      <c r="P204" s="25" t="e">
        <f t="shared" si="497"/>
        <v>#DIV/0!</v>
      </c>
      <c r="Q204" s="25" t="e">
        <f t="shared" si="497"/>
        <v>#DIV/0!</v>
      </c>
      <c r="R204" s="25" t="e">
        <f t="shared" si="497"/>
        <v>#DIV/0!</v>
      </c>
      <c r="S204" s="25" t="e">
        <f t="shared" si="497"/>
        <v>#DIV/0!</v>
      </c>
      <c r="T204" s="118" t="e">
        <f t="shared" si="483"/>
        <v>#DIV/0!</v>
      </c>
      <c r="U204" s="128"/>
      <c r="V204" s="25" t="e">
        <f t="shared" ref="V204:AE204" si="498">V201/V70</f>
        <v>#DIV/0!</v>
      </c>
      <c r="W204" s="25" t="e">
        <f t="shared" si="498"/>
        <v>#DIV/0!</v>
      </c>
      <c r="X204" s="25" t="e">
        <f t="shared" si="498"/>
        <v>#DIV/0!</v>
      </c>
      <c r="Y204" s="25" t="e">
        <f t="shared" si="498"/>
        <v>#DIV/0!</v>
      </c>
      <c r="Z204" s="25" t="e">
        <f t="shared" si="498"/>
        <v>#DIV/0!</v>
      </c>
      <c r="AA204" s="25" t="e">
        <f t="shared" si="498"/>
        <v>#DIV/0!</v>
      </c>
      <c r="AB204" s="25" t="e">
        <f t="shared" si="498"/>
        <v>#DIV/0!</v>
      </c>
      <c r="AC204" s="25" t="e">
        <f t="shared" si="498"/>
        <v>#DIV/0!</v>
      </c>
      <c r="AD204" s="25" t="e">
        <f t="shared" si="498"/>
        <v>#DIV/0!</v>
      </c>
      <c r="AE204" s="25" t="e">
        <f t="shared" si="498"/>
        <v>#DIV/0!</v>
      </c>
      <c r="AF204" s="137" t="e">
        <f t="shared" ref="AF204:AF205" si="499">((AE204/I204)^(1/($AE$3-$J$1) ))-1</f>
        <v>#DIV/0!</v>
      </c>
      <c r="AG204" s="31">
        <f t="shared" si="486"/>
        <v>0.05</v>
      </c>
      <c r="AH204" s="127" t="e">
        <f t="shared" ref="AH204:AH205" si="500">(AE204*(1+AF204))/($C$1-AG204)</f>
        <v>#DIV/0!</v>
      </c>
    </row>
    <row r="205" spans="2:34">
      <c r="B205" s="20" t="s">
        <v>461</v>
      </c>
      <c r="C205" s="25"/>
      <c r="D205" s="25"/>
      <c r="E205" s="25"/>
      <c r="F205" s="25"/>
      <c r="G205" s="25" t="e">
        <f t="shared" ref="G205:H205" si="501">G201/G71</f>
        <v>#DIV/0!</v>
      </c>
      <c r="H205" s="25" t="e">
        <f t="shared" si="501"/>
        <v>#DIV/0!</v>
      </c>
      <c r="I205" s="25" t="e">
        <f t="shared" ref="I205:S205" si="502">I201/I71</f>
        <v>#DIV/0!</v>
      </c>
      <c r="J205" s="25" t="e">
        <f t="shared" si="502"/>
        <v>#DIV/0!</v>
      </c>
      <c r="K205" s="25" t="e">
        <f t="shared" si="502"/>
        <v>#DIV/0!</v>
      </c>
      <c r="L205" s="25" t="e">
        <f t="shared" si="502"/>
        <v>#DIV/0!</v>
      </c>
      <c r="M205" s="25" t="e">
        <f t="shared" si="502"/>
        <v>#DIV/0!</v>
      </c>
      <c r="N205" s="25" t="e">
        <f t="shared" si="502"/>
        <v>#DIV/0!</v>
      </c>
      <c r="O205" s="25" t="e">
        <f t="shared" si="502"/>
        <v>#DIV/0!</v>
      </c>
      <c r="P205" s="25" t="e">
        <f t="shared" si="502"/>
        <v>#DIV/0!</v>
      </c>
      <c r="Q205" s="25" t="e">
        <f t="shared" si="502"/>
        <v>#DIV/0!</v>
      </c>
      <c r="R205" s="25" t="e">
        <f t="shared" si="502"/>
        <v>#DIV/0!</v>
      </c>
      <c r="S205" s="25" t="e">
        <f t="shared" si="502"/>
        <v>#DIV/0!</v>
      </c>
      <c r="T205" s="118" t="e">
        <f t="shared" si="483"/>
        <v>#DIV/0!</v>
      </c>
      <c r="U205" s="128"/>
      <c r="V205" s="25" t="e">
        <f t="shared" ref="V205:AE205" si="503">V201/V71</f>
        <v>#DIV/0!</v>
      </c>
      <c r="W205" s="25" t="e">
        <f t="shared" si="503"/>
        <v>#DIV/0!</v>
      </c>
      <c r="X205" s="25" t="e">
        <f t="shared" si="503"/>
        <v>#DIV/0!</v>
      </c>
      <c r="Y205" s="25" t="e">
        <f t="shared" si="503"/>
        <v>#DIV/0!</v>
      </c>
      <c r="Z205" s="25" t="e">
        <f t="shared" si="503"/>
        <v>#DIV/0!</v>
      </c>
      <c r="AA205" s="25" t="e">
        <f t="shared" si="503"/>
        <v>#DIV/0!</v>
      </c>
      <c r="AB205" s="25" t="e">
        <f t="shared" si="503"/>
        <v>#DIV/0!</v>
      </c>
      <c r="AC205" s="25" t="e">
        <f t="shared" si="503"/>
        <v>#DIV/0!</v>
      </c>
      <c r="AD205" s="25" t="e">
        <f t="shared" si="503"/>
        <v>#DIV/0!</v>
      </c>
      <c r="AE205" s="25" t="e">
        <f t="shared" si="503"/>
        <v>#DIV/0!</v>
      </c>
      <c r="AF205" s="137" t="e">
        <f t="shared" si="499"/>
        <v>#DIV/0!</v>
      </c>
      <c r="AG205" s="31">
        <f t="shared" si="486"/>
        <v>0.05</v>
      </c>
      <c r="AH205" s="127" t="e">
        <f t="shared" si="500"/>
        <v>#DIV/0!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04">G201/G75</f>
        <v>82.352941176470594</v>
      </c>
      <c r="H206" s="25">
        <f t="shared" si="504"/>
        <v>82.352941176470594</v>
      </c>
      <c r="I206" s="25">
        <f t="shared" ref="I206:S206" si="505">I201/I75</f>
        <v>8.0198019801980198</v>
      </c>
      <c r="J206" s="25">
        <f t="shared" si="505"/>
        <v>6.9033530571992108</v>
      </c>
      <c r="K206" s="25">
        <f t="shared" si="505"/>
        <v>3.774193548387097</v>
      </c>
      <c r="L206" s="25">
        <f t="shared" si="505"/>
        <v>1.0068198944988698</v>
      </c>
      <c r="M206" s="25">
        <f t="shared" si="505"/>
        <v>2.8413241178610402</v>
      </c>
      <c r="N206" s="25">
        <f t="shared" si="505"/>
        <v>2.7188044109112015</v>
      </c>
      <c r="O206" s="25">
        <f t="shared" si="505"/>
        <v>2.7347096923432801</v>
      </c>
      <c r="P206" s="25">
        <f t="shared" si="505"/>
        <v>2.7640300972655529</v>
      </c>
      <c r="Q206" s="25">
        <f t="shared" si="505"/>
        <v>1.8667356899866885</v>
      </c>
      <c r="R206" s="25">
        <f t="shared" si="505"/>
        <v>3.0268115942028988</v>
      </c>
      <c r="S206" s="25">
        <f t="shared" si="505"/>
        <v>5.6734877445468852</v>
      </c>
      <c r="T206" s="118">
        <f t="shared" si="483"/>
        <v>-0.19983248277383214</v>
      </c>
      <c r="U206" s="128"/>
      <c r="V206" s="119">
        <f t="shared" ref="V206:AE206" si="506">V201/V75</f>
        <v>0.14774707668090845</v>
      </c>
      <c r="W206" s="119">
        <f t="shared" si="506"/>
        <v>0.13851288438835163</v>
      </c>
      <c r="X206" s="119">
        <f t="shared" si="506"/>
        <v>0.12985582911407967</v>
      </c>
      <c r="Y206" s="119">
        <f t="shared" si="506"/>
        <v>0.12173983979444968</v>
      </c>
      <c r="Z206" s="119">
        <f t="shared" si="506"/>
        <v>0.11413109980729656</v>
      </c>
      <c r="AA206" s="119">
        <f t="shared" si="506"/>
        <v>0.10699790606934054</v>
      </c>
      <c r="AB206" s="119">
        <f t="shared" si="506"/>
        <v>0.10031053694000673</v>
      </c>
      <c r="AC206" s="119">
        <f t="shared" si="506"/>
        <v>9.4041128381256306E-2</v>
      </c>
      <c r="AD206" s="119">
        <f t="shared" si="506"/>
        <v>8.8163557857427813E-2</v>
      </c>
      <c r="AE206" s="119">
        <f t="shared" si="506"/>
        <v>8.2653335491338562E-2</v>
      </c>
      <c r="AF206" s="137">
        <f t="shared" si="485"/>
        <v>-0.19576020469621946</v>
      </c>
      <c r="AG206" s="31">
        <f t="shared" si="486"/>
        <v>0.05</v>
      </c>
      <c r="AH206" s="127">
        <f t="shared" si="487"/>
        <v>0.39101824480428726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07">G201/G84</f>
        <v>3.5443037974683542</v>
      </c>
      <c r="H207" s="25">
        <f t="shared" si="507"/>
        <v>3.5443037974683542</v>
      </c>
      <c r="I207" s="25">
        <f t="shared" ref="I207:S207" si="508">I201/I84</f>
        <v>1.8</v>
      </c>
      <c r="J207" s="25">
        <f t="shared" si="508"/>
        <v>1.1389521640091116</v>
      </c>
      <c r="K207" s="25">
        <f t="shared" si="508"/>
        <v>0.75809935205183576</v>
      </c>
      <c r="L207" s="25">
        <f t="shared" si="508"/>
        <v>0.18772657018406633</v>
      </c>
      <c r="M207" s="25">
        <f t="shared" si="508"/>
        <v>0.76508962679988257</v>
      </c>
      <c r="N207" s="25">
        <f t="shared" si="508"/>
        <v>0.4976099426386234</v>
      </c>
      <c r="O207" s="25">
        <f t="shared" si="508"/>
        <v>0.42591598515689738</v>
      </c>
      <c r="P207" s="25">
        <f t="shared" si="508"/>
        <v>0.35046422338568939</v>
      </c>
      <c r="Q207" s="25">
        <f t="shared" si="508"/>
        <v>0.30834066256229842</v>
      </c>
      <c r="R207" s="25">
        <f t="shared" si="508"/>
        <v>0.73099742323384165</v>
      </c>
      <c r="S207" s="25">
        <f t="shared" si="508"/>
        <v>1.5514060834631465</v>
      </c>
      <c r="T207" s="118">
        <f t="shared" si="483"/>
        <v>-6.6531760891516134E-2</v>
      </c>
      <c r="U207" s="128"/>
      <c r="V207" s="119">
        <f t="shared" ref="V207:AE207" si="509">V201/V84</f>
        <v>4.04012000901861E-2</v>
      </c>
      <c r="W207" s="119">
        <f t="shared" si="509"/>
        <v>3.7876125084549475E-2</v>
      </c>
      <c r="X207" s="119">
        <f t="shared" si="509"/>
        <v>3.5508867266765123E-2</v>
      </c>
      <c r="Y207" s="119">
        <f t="shared" si="509"/>
        <v>3.3289563062592301E-2</v>
      </c>
      <c r="Z207" s="119">
        <f t="shared" si="509"/>
        <v>3.1208965371180279E-2</v>
      </c>
      <c r="AA207" s="119">
        <f t="shared" si="509"/>
        <v>2.9258405035481511E-2</v>
      </c>
      <c r="AB207" s="119">
        <f t="shared" si="509"/>
        <v>2.7429754720763911E-2</v>
      </c>
      <c r="AC207" s="119">
        <f t="shared" si="509"/>
        <v>2.5715395050716166E-2</v>
      </c>
      <c r="AD207" s="119">
        <f t="shared" si="509"/>
        <v>2.4108182860046408E-2</v>
      </c>
      <c r="AE207" s="119">
        <f t="shared" si="509"/>
        <v>2.2601421431293504E-2</v>
      </c>
      <c r="AF207" s="137">
        <f t="shared" si="485"/>
        <v>-0.18816143387820539</v>
      </c>
      <c r="AG207" s="31">
        <f t="shared" si="486"/>
        <v>0.05</v>
      </c>
      <c r="AH207" s="127">
        <f t="shared" si="487"/>
        <v>0.10793356215938658</v>
      </c>
    </row>
    <row r="208" spans="2:34">
      <c r="B208" s="20" t="s">
        <v>260</v>
      </c>
      <c r="C208" s="25"/>
      <c r="D208" s="25"/>
      <c r="E208" s="25"/>
      <c r="F208" s="25"/>
      <c r="G208" s="25" t="e">
        <f t="shared" ref="G208:H208" si="510">G201/G86</f>
        <v>#DIV/0!</v>
      </c>
      <c r="H208" s="25" t="e">
        <f t="shared" si="510"/>
        <v>#DIV/0!</v>
      </c>
      <c r="I208" s="25" t="e">
        <f t="shared" ref="I208:S208" si="511">I201/I86</f>
        <v>#DIV/0!</v>
      </c>
      <c r="J208" s="25" t="e">
        <f t="shared" si="511"/>
        <v>#DIV/0!</v>
      </c>
      <c r="K208" s="25" t="e">
        <f t="shared" si="511"/>
        <v>#DIV/0!</v>
      </c>
      <c r="L208" s="25" t="e">
        <f t="shared" si="511"/>
        <v>#DIV/0!</v>
      </c>
      <c r="M208" s="25" t="e">
        <f t="shared" si="511"/>
        <v>#DIV/0!</v>
      </c>
      <c r="N208" s="25" t="e">
        <f t="shared" si="511"/>
        <v>#DIV/0!</v>
      </c>
      <c r="O208" s="25" t="e">
        <f t="shared" si="511"/>
        <v>#DIV/0!</v>
      </c>
      <c r="P208" s="25" t="e">
        <f t="shared" si="511"/>
        <v>#DIV/0!</v>
      </c>
      <c r="Q208" s="25" t="e">
        <f t="shared" si="511"/>
        <v>#DIV/0!</v>
      </c>
      <c r="R208" s="25" t="e">
        <f t="shared" si="511"/>
        <v>#DIV/0!</v>
      </c>
      <c r="S208" s="25" t="e">
        <f t="shared" si="511"/>
        <v>#DIV/0!</v>
      </c>
      <c r="T208" s="118" t="e">
        <f t="shared" si="483"/>
        <v>#DIV/0!</v>
      </c>
      <c r="U208" s="128"/>
      <c r="V208" s="119" t="e">
        <f t="shared" ref="V208:AE208" si="512">V201/V86</f>
        <v>#DIV/0!</v>
      </c>
      <c r="W208" s="119" t="e">
        <f t="shared" si="512"/>
        <v>#DIV/0!</v>
      </c>
      <c r="X208" s="119" t="e">
        <f t="shared" si="512"/>
        <v>#DIV/0!</v>
      </c>
      <c r="Y208" s="119" t="e">
        <f t="shared" si="512"/>
        <v>#DIV/0!</v>
      </c>
      <c r="Z208" s="119" t="e">
        <f t="shared" si="512"/>
        <v>#DIV/0!</v>
      </c>
      <c r="AA208" s="119" t="e">
        <f t="shared" si="512"/>
        <v>#DIV/0!</v>
      </c>
      <c r="AB208" s="119" t="e">
        <f t="shared" si="512"/>
        <v>#DIV/0!</v>
      </c>
      <c r="AC208" s="119" t="e">
        <f t="shared" si="512"/>
        <v>#DIV/0!</v>
      </c>
      <c r="AD208" s="119" t="e">
        <f t="shared" si="512"/>
        <v>#DIV/0!</v>
      </c>
      <c r="AE208" s="119" t="e">
        <f t="shared" si="512"/>
        <v>#DIV/0!</v>
      </c>
      <c r="AF208" s="137" t="e">
        <f t="shared" si="485"/>
        <v>#DIV/0!</v>
      </c>
      <c r="AG208" s="31">
        <f t="shared" si="486"/>
        <v>0.05</v>
      </c>
      <c r="AH208" s="127" t="e">
        <f t="shared" si="487"/>
        <v>#DIV/0!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13">G201/G80</f>
        <v>-1.7177914110429449</v>
      </c>
      <c r="H209" s="180">
        <f t="shared" si="513"/>
        <v>-1.7177914110429449</v>
      </c>
      <c r="I209" s="180">
        <f t="shared" ref="I209:S209" si="514">I201/I80</f>
        <v>-0.86692829111666081</v>
      </c>
      <c r="J209" s="180">
        <f t="shared" si="514"/>
        <v>-0.42168674698795178</v>
      </c>
      <c r="K209" s="180">
        <f t="shared" si="514"/>
        <v>-0.29837712519319937</v>
      </c>
      <c r="L209" s="180">
        <f t="shared" si="514"/>
        <v>-7.9840444603800645E-2</v>
      </c>
      <c r="M209" s="180">
        <f t="shared" si="514"/>
        <v>-0.27446763651697237</v>
      </c>
      <c r="N209" s="180">
        <f t="shared" si="514"/>
        <v>-0.19185010750486331</v>
      </c>
      <c r="O209" s="180">
        <f t="shared" si="514"/>
        <v>-0.20163306726702143</v>
      </c>
      <c r="P209" s="180">
        <f t="shared" si="514"/>
        <v>-0.1835165102960887</v>
      </c>
      <c r="Q209" s="180">
        <f t="shared" si="514"/>
        <v>-0.14279733888486604</v>
      </c>
      <c r="R209" s="180">
        <f t="shared" si="514"/>
        <v>-0.32202499195943773</v>
      </c>
      <c r="S209" s="180">
        <f t="shared" si="514"/>
        <v>-0.5840232714253748</v>
      </c>
      <c r="T209" s="118">
        <f t="shared" si="483"/>
        <v>-8.5981518782158206E-2</v>
      </c>
      <c r="U209" s="128"/>
      <c r="V209" s="134">
        <f t="shared" ref="V209:AE209" si="515">V201/V80</f>
        <v>-1.5208939360035799E-2</v>
      </c>
      <c r="W209" s="134">
        <f t="shared" si="515"/>
        <v>-1.4258380650033558E-2</v>
      </c>
      <c r="X209" s="134">
        <f t="shared" si="515"/>
        <v>-1.3367231859406458E-2</v>
      </c>
      <c r="Y209" s="134">
        <f t="shared" si="515"/>
        <v>-1.2531779868193555E-2</v>
      </c>
      <c r="Z209" s="134">
        <f t="shared" si="515"/>
        <v>-1.1748543626431455E-2</v>
      </c>
      <c r="AA209" s="134">
        <f t="shared" si="515"/>
        <v>-1.1014259649779493E-2</v>
      </c>
      <c r="AB209" s="134">
        <f t="shared" si="515"/>
        <v>-1.0325868421668272E-2</v>
      </c>
      <c r="AC209" s="134">
        <f t="shared" si="515"/>
        <v>-9.6805016453140064E-3</v>
      </c>
      <c r="AD209" s="134">
        <f t="shared" si="515"/>
        <v>-9.0754702924818777E-3</v>
      </c>
      <c r="AE209" s="134">
        <f t="shared" si="515"/>
        <v>-8.5082533992017623E-3</v>
      </c>
      <c r="AF209" s="137">
        <f t="shared" ref="AF209" si="516">((AE209/I209)^(1/($AE$3-$J$1) ))-1</f>
        <v>-0.19763097565655297</v>
      </c>
      <c r="AG209" s="31">
        <f t="shared" ref="AG209:AG212" si="517">$N$1</f>
        <v>0.05</v>
      </c>
      <c r="AH209" s="127">
        <f t="shared" si="487"/>
        <v>-4.0157405757554915E-2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17"/>
        <v>0.05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>
        <f t="shared" ref="G211:H211" si="518">G59/G201</f>
        <v>1.4285714285714286E-3</v>
      </c>
      <c r="H211" s="150">
        <f t="shared" si="518"/>
        <v>0</v>
      </c>
      <c r="I211" s="150">
        <f t="shared" ref="I211:S211" si="519">I59/I201</f>
        <v>0</v>
      </c>
      <c r="J211" s="150">
        <f t="shared" si="519"/>
        <v>0</v>
      </c>
      <c r="K211" s="150">
        <f t="shared" si="519"/>
        <v>0</v>
      </c>
      <c r="L211" s="150">
        <f t="shared" si="519"/>
        <v>0</v>
      </c>
      <c r="M211" s="150">
        <f t="shared" si="519"/>
        <v>6.5217391304347823E-3</v>
      </c>
      <c r="N211" s="150">
        <f t="shared" si="519"/>
        <v>9.2592592592592587E-3</v>
      </c>
      <c r="O211" s="150">
        <f t="shared" si="519"/>
        <v>1.1940298507462687E-2</v>
      </c>
      <c r="P211" s="150">
        <f t="shared" si="519"/>
        <v>1.4285714285714285E-2</v>
      </c>
      <c r="Q211" s="150">
        <f t="shared" si="519"/>
        <v>2.2857142857142857E-2</v>
      </c>
      <c r="R211" s="150">
        <f t="shared" si="519"/>
        <v>1.1042944785276074E-2</v>
      </c>
      <c r="S211" s="150">
        <f t="shared" si="519"/>
        <v>5.5555555555555558E-3</v>
      </c>
      <c r="T211" s="118">
        <f t="shared" si="483"/>
        <v>0.11983007720182881</v>
      </c>
      <c r="U211" s="128"/>
      <c r="V211" s="150">
        <f t="shared" ref="V211:AE211" si="520">V59/V201</f>
        <v>0.21</v>
      </c>
      <c r="W211" s="150">
        <f t="shared" si="520"/>
        <v>0.2205</v>
      </c>
      <c r="X211" s="150">
        <f t="shared" si="520"/>
        <v>0.23152500000000004</v>
      </c>
      <c r="Y211" s="150">
        <f t="shared" si="520"/>
        <v>0.24310125000000002</v>
      </c>
      <c r="Z211" s="150">
        <f t="shared" si="520"/>
        <v>0.25525631250000003</v>
      </c>
      <c r="AA211" s="150">
        <f t="shared" si="520"/>
        <v>0.26801912812500006</v>
      </c>
      <c r="AB211" s="150">
        <f t="shared" si="520"/>
        <v>0.28142008453125006</v>
      </c>
      <c r="AC211" s="150">
        <f t="shared" si="520"/>
        <v>0.2954910887578126</v>
      </c>
      <c r="AD211" s="150">
        <f t="shared" si="520"/>
        <v>0.31026564319570327</v>
      </c>
      <c r="AE211" s="150">
        <f t="shared" si="520"/>
        <v>0.32577892535548841</v>
      </c>
      <c r="AF211" s="137" t="e">
        <f t="shared" ref="AF211:AF216" si="521">((AE211/I211)^(1/($AE$3-$J$1) ))-1</f>
        <v>#DIV/0!</v>
      </c>
      <c r="AG211" s="31">
        <f t="shared" si="517"/>
        <v>0.05</v>
      </c>
      <c r="AH211" s="127" t="e">
        <f t="shared" si="487"/>
        <v>#DIV/0!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22">G201*G57</f>
        <v>1400</v>
      </c>
      <c r="H212" s="163">
        <f t="shared" si="522"/>
        <v>1400</v>
      </c>
      <c r="I212" s="163">
        <f t="shared" ref="I212:S212" si="523">I201*I57</f>
        <v>2430</v>
      </c>
      <c r="J212" s="163">
        <f t="shared" si="523"/>
        <v>3500</v>
      </c>
      <c r="K212" s="163">
        <f t="shared" si="523"/>
        <v>3861</v>
      </c>
      <c r="L212" s="163">
        <f t="shared" si="523"/>
        <v>1336.05</v>
      </c>
      <c r="M212" s="163">
        <f t="shared" si="523"/>
        <v>7810.8</v>
      </c>
      <c r="N212" s="163">
        <f t="shared" si="523"/>
        <v>9369</v>
      </c>
      <c r="O212" s="163">
        <f t="shared" si="523"/>
        <v>11822.15</v>
      </c>
      <c r="P212" s="163">
        <f t="shared" si="523"/>
        <v>15061.199999999999</v>
      </c>
      <c r="Q212" s="163">
        <f t="shared" si="523"/>
        <v>12621</v>
      </c>
      <c r="R212" s="163">
        <f t="shared" si="523"/>
        <v>34042.550000000003</v>
      </c>
      <c r="S212" s="163">
        <f t="shared" si="523"/>
        <v>75690</v>
      </c>
      <c r="T212" s="118">
        <f t="shared" si="483"/>
        <v>0.39447009732209093</v>
      </c>
      <c r="U212" s="128"/>
      <c r="V212" s="163">
        <f t="shared" ref="V212:AE212" si="524">V201*V57</f>
        <v>2207.625</v>
      </c>
      <c r="W212" s="163">
        <f t="shared" si="524"/>
        <v>2318.0062499999999</v>
      </c>
      <c r="X212" s="163">
        <f t="shared" si="524"/>
        <v>2433.9065624999998</v>
      </c>
      <c r="Y212" s="163">
        <f t="shared" si="524"/>
        <v>2555.6018906250001</v>
      </c>
      <c r="Z212" s="163">
        <f t="shared" si="524"/>
        <v>2683.3819851562498</v>
      </c>
      <c r="AA212" s="163">
        <f t="shared" si="524"/>
        <v>2817.5510844140626</v>
      </c>
      <c r="AB212" s="163">
        <f t="shared" si="524"/>
        <v>2958.4286386347658</v>
      </c>
      <c r="AC212" s="163">
        <f t="shared" si="524"/>
        <v>3106.3500705665042</v>
      </c>
      <c r="AD212" s="163">
        <f t="shared" si="524"/>
        <v>3261.6675740948294</v>
      </c>
      <c r="AE212" s="163">
        <f t="shared" si="524"/>
        <v>3424.7509527995712</v>
      </c>
      <c r="AF212" s="137">
        <f t="shared" si="521"/>
        <v>1.6474106753999074E-2</v>
      </c>
      <c r="AG212" s="31">
        <f t="shared" si="517"/>
        <v>0.05</v>
      </c>
      <c r="AH212" s="127">
        <f t="shared" si="487"/>
        <v>20477.474503540303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>
        <f t="shared" ref="G214:H214" si="525">G72/G201</f>
        <v>-2.8571428571428571E-3</v>
      </c>
      <c r="H214" s="159">
        <f t="shared" si="525"/>
        <v>-2.8571428571428571E-3</v>
      </c>
      <c r="I214" s="159">
        <f t="shared" ref="I214:S214" si="526">I72/I201</f>
        <v>2.2633744855967079E-2</v>
      </c>
      <c r="J214" s="159">
        <f t="shared" si="526"/>
        <v>2.6857142857142857E-2</v>
      </c>
      <c r="K214" s="159">
        <f t="shared" si="526"/>
        <v>5.1800051800051802E-2</v>
      </c>
      <c r="L214" s="159">
        <f t="shared" si="526"/>
        <v>0.2275363945960106</v>
      </c>
      <c r="M214" s="159">
        <f t="shared" si="526"/>
        <v>6.1197316536078246E-2</v>
      </c>
      <c r="N214" s="159">
        <f t="shared" si="526"/>
        <v>7.7596328316789406E-2</v>
      </c>
      <c r="O214" s="159">
        <f t="shared" si="526"/>
        <v>8.2641482302288502E-2</v>
      </c>
      <c r="P214" s="159">
        <f t="shared" si="526"/>
        <v>8.6314503492417607E-2</v>
      </c>
      <c r="Q214" s="159">
        <f t="shared" si="526"/>
        <v>0.12764440218683146</v>
      </c>
      <c r="R214" s="159">
        <f t="shared" si="526"/>
        <v>5.8661880499551296E-2</v>
      </c>
      <c r="S214" s="159">
        <f t="shared" si="526"/>
        <v>3.3412604042806181E-2</v>
      </c>
      <c r="T214" s="118" t="e">
        <f t="shared" si="483"/>
        <v>#NUM!</v>
      </c>
      <c r="U214" s="128"/>
      <c r="V214" s="159">
        <f t="shared" ref="V214:AE214" si="527">V72/V201</f>
        <v>1.2830439952437578</v>
      </c>
      <c r="W214" s="159">
        <f t="shared" si="527"/>
        <v>1.3685802615933418</v>
      </c>
      <c r="X214" s="159">
        <f t="shared" si="527"/>
        <v>1.4598189456995643</v>
      </c>
      <c r="Y214" s="159">
        <f t="shared" si="527"/>
        <v>1.5571402087462021</v>
      </c>
      <c r="Z214" s="159">
        <f t="shared" si="527"/>
        <v>1.6609495559959493</v>
      </c>
      <c r="AA214" s="159">
        <f t="shared" si="527"/>
        <v>1.7716795263956795</v>
      </c>
      <c r="AB214" s="159">
        <f t="shared" si="527"/>
        <v>1.889791494822058</v>
      </c>
      <c r="AC214" s="159">
        <f t="shared" si="527"/>
        <v>2.0157775944768623</v>
      </c>
      <c r="AD214" s="159">
        <f t="shared" si="527"/>
        <v>2.1501627674419863</v>
      </c>
      <c r="AE214" s="159">
        <f t="shared" si="527"/>
        <v>2.2935069519381188</v>
      </c>
      <c r="AF214" s="137">
        <f t="shared" ref="AF214" si="528">((AE214/I214)^(1/($AE$3-$J$1) ))-1</f>
        <v>0.2459815231217235</v>
      </c>
      <c r="AG214" s="31">
        <f t="shared" ref="AG214" si="529">$N$1</f>
        <v>0.05</v>
      </c>
      <c r="AH214" s="127">
        <f t="shared" ref="AH214" si="530">(AE214*(1+AF214))/($C$1-AG214)</f>
        <v>16.809807560388936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31">G203</f>
        <v>-350</v>
      </c>
      <c r="H215" s="179">
        <f t="shared" si="531"/>
        <v>-350</v>
      </c>
      <c r="I215" s="179">
        <f t="shared" ref="I215:S215" si="532">I203</f>
        <v>44.18181818181818</v>
      </c>
      <c r="J215" s="179">
        <f t="shared" si="532"/>
        <v>37.234042553191486</v>
      </c>
      <c r="K215" s="179">
        <f t="shared" si="532"/>
        <v>19.305</v>
      </c>
      <c r="L215" s="179">
        <f t="shared" si="532"/>
        <v>4.3949013157894736</v>
      </c>
      <c r="M215" s="179">
        <f t="shared" si="532"/>
        <v>16.340585774058578</v>
      </c>
      <c r="N215" s="179">
        <f t="shared" si="532"/>
        <v>12.887207702888585</v>
      </c>
      <c r="O215" s="179">
        <f t="shared" si="532"/>
        <v>12.100460593654043</v>
      </c>
      <c r="P215" s="179">
        <f t="shared" si="532"/>
        <v>11.585538461538462</v>
      </c>
      <c r="Q215" s="179">
        <f t="shared" si="532"/>
        <v>7.8342644320297952</v>
      </c>
      <c r="R215" s="179">
        <f t="shared" si="532"/>
        <v>17.046845267901855</v>
      </c>
      <c r="S215" s="179">
        <f t="shared" si="532"/>
        <v>29.9288256227758</v>
      </c>
      <c r="T215" s="118" t="e">
        <f t="shared" si="483"/>
        <v>#NUM!</v>
      </c>
      <c r="U215" s="128"/>
      <c r="V215" s="150">
        <f t="shared" ref="V215:AE215" si="533">V203</f>
        <v>0.7793965005931196</v>
      </c>
      <c r="W215" s="150">
        <f t="shared" si="533"/>
        <v>0.73068421930604954</v>
      </c>
      <c r="X215" s="150">
        <f t="shared" si="533"/>
        <v>0.68501645559942148</v>
      </c>
      <c r="Y215" s="150">
        <f t="shared" si="533"/>
        <v>0.64220292712445759</v>
      </c>
      <c r="Z215" s="150">
        <f t="shared" si="533"/>
        <v>0.60206524417917895</v>
      </c>
      <c r="AA215" s="150">
        <f t="shared" si="533"/>
        <v>0.56443616641798011</v>
      </c>
      <c r="AB215" s="150">
        <f t="shared" si="533"/>
        <v>0.52915890601685645</v>
      </c>
      <c r="AC215" s="150">
        <f t="shared" si="533"/>
        <v>0.49608647439080283</v>
      </c>
      <c r="AD215" s="150">
        <f t="shared" si="533"/>
        <v>0.46508106974137758</v>
      </c>
      <c r="AE215" s="150">
        <f t="shared" si="533"/>
        <v>0.43601350288254148</v>
      </c>
      <c r="AF215" s="137">
        <f t="shared" ref="AF215" si="534">((AE215/I215)^(1/($AE$3-$J$1) ))-1</f>
        <v>-0.19741988027674207</v>
      </c>
      <c r="AG215" s="31">
        <f t="shared" ref="AG215:AG217" si="535">$N$1</f>
        <v>0.05</v>
      </c>
      <c r="AH215" s="179">
        <f>(AH202)/($N$2*100)</f>
        <v>2.6421491445969655E-2</v>
      </c>
    </row>
    <row r="216" spans="2:34">
      <c r="B216" s="20" t="s">
        <v>442</v>
      </c>
      <c r="C216" s="179"/>
      <c r="D216" s="179"/>
      <c r="E216" s="179"/>
      <c r="F216" s="179"/>
      <c r="G216" s="179">
        <f t="shared" ref="G216:H216" si="536">(G203)/($N$2*100)</f>
        <v>-29.166666666666668</v>
      </c>
      <c r="H216" s="179">
        <f t="shared" si="536"/>
        <v>-29.166666666666668</v>
      </c>
      <c r="I216" s="179">
        <f t="shared" ref="I216:S216" si="537">(I203)/($N$2*100)</f>
        <v>3.6818181818181817</v>
      </c>
      <c r="J216" s="179">
        <f t="shared" si="537"/>
        <v>3.102836879432624</v>
      </c>
      <c r="K216" s="179">
        <f t="shared" si="537"/>
        <v>1.6087499999999999</v>
      </c>
      <c r="L216" s="179">
        <f t="shared" si="537"/>
        <v>0.36624177631578947</v>
      </c>
      <c r="M216" s="179">
        <f t="shared" si="537"/>
        <v>1.3617154811715482</v>
      </c>
      <c r="N216" s="179">
        <f t="shared" si="537"/>
        <v>1.0739339752407153</v>
      </c>
      <c r="O216" s="179">
        <f t="shared" si="537"/>
        <v>1.0083717161378369</v>
      </c>
      <c r="P216" s="179">
        <f t="shared" si="537"/>
        <v>0.96546153846153848</v>
      </c>
      <c r="Q216" s="179">
        <f t="shared" si="537"/>
        <v>0.65285536933581623</v>
      </c>
      <c r="R216" s="179">
        <f t="shared" si="537"/>
        <v>1.4205704389918212</v>
      </c>
      <c r="S216" s="179">
        <f t="shared" si="537"/>
        <v>2.4940688018979835</v>
      </c>
      <c r="T216" s="118" t="e">
        <f t="shared" si="483"/>
        <v>#NUM!</v>
      </c>
      <c r="U216" s="128"/>
      <c r="V216" s="179">
        <f t="shared" ref="V216:AE216" si="538">(V203)/($N$2*100)</f>
        <v>6.4949708382759971E-2</v>
      </c>
      <c r="W216" s="179">
        <f t="shared" si="538"/>
        <v>6.0890351608837462E-2</v>
      </c>
      <c r="X216" s="179">
        <f t="shared" si="538"/>
        <v>5.7084704633285126E-2</v>
      </c>
      <c r="Y216" s="179">
        <f t="shared" si="538"/>
        <v>5.3516910593704801E-2</v>
      </c>
      <c r="Z216" s="179">
        <f t="shared" si="538"/>
        <v>5.0172103681598246E-2</v>
      </c>
      <c r="AA216" s="179">
        <f t="shared" si="538"/>
        <v>4.7036347201498345E-2</v>
      </c>
      <c r="AB216" s="179">
        <f t="shared" si="538"/>
        <v>4.4096575501404701E-2</v>
      </c>
      <c r="AC216" s="179">
        <f t="shared" si="538"/>
        <v>4.1340539532566903E-2</v>
      </c>
      <c r="AD216" s="179">
        <f t="shared" si="538"/>
        <v>3.8756755811781465E-2</v>
      </c>
      <c r="AE216" s="179">
        <f t="shared" si="538"/>
        <v>3.6334458573545121E-2</v>
      </c>
      <c r="AF216" s="137">
        <f t="shared" si="521"/>
        <v>-0.19741988027674207</v>
      </c>
      <c r="AG216" s="31">
        <f t="shared" si="535"/>
        <v>0.05</v>
      </c>
      <c r="AH216" s="179">
        <f>(AH203)/($N$2*100)</f>
        <v>0.17153714183550353</v>
      </c>
    </row>
    <row r="217" spans="2:34">
      <c r="B217" s="20" t="s">
        <v>443</v>
      </c>
      <c r="C217" s="150"/>
      <c r="D217" s="150"/>
      <c r="E217" s="150"/>
      <c r="F217" s="150"/>
      <c r="G217" s="150">
        <f t="shared" ref="G217:H217" si="539">G216-1</f>
        <v>-30.166666666666668</v>
      </c>
      <c r="H217" s="150">
        <f t="shared" si="539"/>
        <v>-30.166666666666668</v>
      </c>
      <c r="I217" s="150">
        <f t="shared" ref="I217:R217" si="540">I216-1</f>
        <v>2.6818181818181817</v>
      </c>
      <c r="J217" s="150">
        <f t="shared" si="540"/>
        <v>2.102836879432624</v>
      </c>
      <c r="K217" s="150">
        <f t="shared" si="540"/>
        <v>0.6087499999999999</v>
      </c>
      <c r="L217" s="150">
        <f t="shared" si="540"/>
        <v>-0.63375822368421053</v>
      </c>
      <c r="M217" s="150">
        <f t="shared" si="540"/>
        <v>0.36171548117154817</v>
      </c>
      <c r="N217" s="150">
        <f t="shared" si="540"/>
        <v>7.3933975240715322E-2</v>
      </c>
      <c r="O217" s="150">
        <f t="shared" si="540"/>
        <v>8.3717161378369376E-3</v>
      </c>
      <c r="P217" s="150">
        <f t="shared" si="540"/>
        <v>-3.4538461538461518E-2</v>
      </c>
      <c r="Q217" s="150">
        <f t="shared" si="540"/>
        <v>-0.34714463066418377</v>
      </c>
      <c r="R217" s="150">
        <f t="shared" si="540"/>
        <v>0.42057043899182123</v>
      </c>
      <c r="S217" s="150">
        <f>S216-1</f>
        <v>1.4940688018979835</v>
      </c>
      <c r="T217" s="118" t="e">
        <f t="shared" si="483"/>
        <v>#NUM!</v>
      </c>
      <c r="U217" s="128"/>
      <c r="V217" s="150">
        <f t="shared" ref="V217:AE217" si="541">V216-1</f>
        <v>-0.93505029161724007</v>
      </c>
      <c r="W217" s="150">
        <f t="shared" si="541"/>
        <v>-0.93910964839116251</v>
      </c>
      <c r="X217" s="150">
        <f t="shared" si="541"/>
        <v>-0.94291529536671492</v>
      </c>
      <c r="Y217" s="150">
        <f t="shared" si="541"/>
        <v>-0.94648308940629522</v>
      </c>
      <c r="Z217" s="150">
        <f t="shared" si="541"/>
        <v>-0.9498278963184017</v>
      </c>
      <c r="AA217" s="150">
        <f t="shared" si="541"/>
        <v>-0.9529636527985017</v>
      </c>
      <c r="AB217" s="150">
        <f t="shared" si="541"/>
        <v>-0.95590342449859533</v>
      </c>
      <c r="AC217" s="150">
        <f t="shared" si="541"/>
        <v>-0.95865946046743311</v>
      </c>
      <c r="AD217" s="150">
        <f t="shared" si="541"/>
        <v>-0.96124324418821849</v>
      </c>
      <c r="AE217" s="150">
        <f t="shared" si="541"/>
        <v>-0.96366554142645489</v>
      </c>
      <c r="AF217" s="137">
        <f t="shared" ref="AF217" si="542">((AE217/I217)^(1/($AE$3-$J$1) ))-1</f>
        <v>-1.9524302717400357</v>
      </c>
      <c r="AG217" s="31">
        <f t="shared" si="535"/>
        <v>0.05</v>
      </c>
      <c r="AH217" s="179" t="e">
        <f>(AH204)/($N$2*100)</f>
        <v>#DIV/0!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471</v>
      </c>
      <c r="C219" s="150"/>
      <c r="D219" s="150"/>
      <c r="E219" s="150"/>
      <c r="F219" s="150"/>
      <c r="G219" s="150">
        <f t="shared" ref="G219:S219" si="543">1/G220</f>
        <v>0.31724755624874529</v>
      </c>
      <c r="H219" s="150">
        <f t="shared" si="543"/>
        <v>0.31724755624874529</v>
      </c>
      <c r="I219" s="150">
        <f t="shared" si="543"/>
        <v>0.24674809930457969</v>
      </c>
      <c r="J219" s="150">
        <f t="shared" si="543"/>
        <v>0.17765863149929736</v>
      </c>
      <c r="K219" s="150">
        <f t="shared" si="543"/>
        <v>0.17082560721086285</v>
      </c>
      <c r="L219" s="150">
        <f t="shared" si="543"/>
        <v>0.49349619860915939</v>
      </c>
      <c r="M219" s="150">
        <f t="shared" si="543"/>
        <v>9.6553604075705082E-2</v>
      </c>
      <c r="N219" s="150">
        <f t="shared" si="543"/>
        <v>8.2249366434859889E-2</v>
      </c>
      <c r="O219" s="150">
        <f t="shared" si="543"/>
        <v>6.629053414152887E-2</v>
      </c>
      <c r="P219" s="150">
        <f t="shared" si="543"/>
        <v>5.287459270812421E-2</v>
      </c>
      <c r="Q219" s="150">
        <f t="shared" si="543"/>
        <v>6.3449511249749055E-2</v>
      </c>
      <c r="R219" s="150">
        <f t="shared" si="543"/>
        <v>2.724825636492291E-2</v>
      </c>
      <c r="S219" s="150">
        <f t="shared" si="543"/>
        <v>1.2337404965228983E-2</v>
      </c>
      <c r="T219" s="118">
        <f t="shared" si="483"/>
        <v>-0.23706864970982955</v>
      </c>
      <c r="U219" s="128"/>
      <c r="V219" s="150">
        <f t="shared" ref="V219:AE219" si="544">1/V220</f>
        <v>0.44414657874824348</v>
      </c>
      <c r="W219" s="150">
        <f t="shared" si="544"/>
        <v>0.44414657874824348</v>
      </c>
      <c r="X219" s="150">
        <f t="shared" si="544"/>
        <v>0.44414657874824348</v>
      </c>
      <c r="Y219" s="150">
        <f t="shared" si="544"/>
        <v>0.44414657874824348</v>
      </c>
      <c r="Z219" s="150">
        <f t="shared" si="544"/>
        <v>0.44414657874824348</v>
      </c>
      <c r="AA219" s="150">
        <f t="shared" si="544"/>
        <v>0.44414657874824348</v>
      </c>
      <c r="AB219" s="150">
        <f t="shared" si="544"/>
        <v>0.44414657874824348</v>
      </c>
      <c r="AC219" s="150">
        <f t="shared" si="544"/>
        <v>0.44414657874824348</v>
      </c>
      <c r="AD219" s="150">
        <f t="shared" si="544"/>
        <v>0.44414657874824348</v>
      </c>
      <c r="AE219" s="150">
        <f t="shared" si="544"/>
        <v>0.44414657874824348</v>
      </c>
      <c r="AF219" s="137">
        <f t="shared" ref="AF219" si="545">((AE219/I219)^(1/($AE$3-$J$1) ))-1</f>
        <v>2.8385237193824464E-2</v>
      </c>
      <c r="AG219" s="31">
        <f t="shared" ref="AG219:AG222" si="546">$N$1</f>
        <v>0.05</v>
      </c>
      <c r="AH219" s="179">
        <f>(AH206)/($N$2*100)</f>
        <v>3.2584853733690605E-2</v>
      </c>
    </row>
    <row r="220" spans="2:34">
      <c r="B220" s="20" t="s">
        <v>472</v>
      </c>
      <c r="C220" s="129"/>
      <c r="D220" s="129"/>
      <c r="E220" s="129"/>
      <c r="F220" s="129"/>
      <c r="G220" s="134">
        <f t="shared" ref="G220:H220" si="547">G201/$U$170</f>
        <v>3.15211253894081</v>
      </c>
      <c r="H220" s="134">
        <f t="shared" si="547"/>
        <v>3.15211253894081</v>
      </c>
      <c r="I220" s="134">
        <f t="shared" ref="I220:S220" si="548">I201/$U$170</f>
        <v>4.0527161214953269</v>
      </c>
      <c r="J220" s="134">
        <f t="shared" si="548"/>
        <v>5.6287723909657323</v>
      </c>
      <c r="K220" s="134">
        <f t="shared" si="548"/>
        <v>5.8539232866043616</v>
      </c>
      <c r="L220" s="134">
        <f t="shared" si="548"/>
        <v>2.0263580607476634</v>
      </c>
      <c r="M220" s="134">
        <f t="shared" si="548"/>
        <v>10.356941199376948</v>
      </c>
      <c r="N220" s="134">
        <f t="shared" si="548"/>
        <v>12.158148364485982</v>
      </c>
      <c r="O220" s="134">
        <f t="shared" si="548"/>
        <v>15.085110007788161</v>
      </c>
      <c r="P220" s="134">
        <f t="shared" si="548"/>
        <v>18.912675233644862</v>
      </c>
      <c r="Q220" s="134">
        <f t="shared" si="548"/>
        <v>15.760562694704051</v>
      </c>
      <c r="R220" s="134">
        <f t="shared" si="548"/>
        <v>36.699595989096572</v>
      </c>
      <c r="S220" s="134">
        <f t="shared" si="548"/>
        <v>81.054322429906549</v>
      </c>
      <c r="T220" s="118">
        <f t="shared" si="483"/>
        <v>0.31073392071208472</v>
      </c>
      <c r="U220" s="128"/>
      <c r="V220" s="134">
        <f t="shared" ref="V220:AE220" si="549">V201/$U$170</f>
        <v>2.2515089563862927</v>
      </c>
      <c r="W220" s="134">
        <f t="shared" si="549"/>
        <v>2.2515089563862927</v>
      </c>
      <c r="X220" s="134">
        <f t="shared" si="549"/>
        <v>2.2515089563862927</v>
      </c>
      <c r="Y220" s="134">
        <f t="shared" si="549"/>
        <v>2.2515089563862927</v>
      </c>
      <c r="Z220" s="134">
        <f t="shared" si="549"/>
        <v>2.2515089563862927</v>
      </c>
      <c r="AA220" s="134">
        <f t="shared" si="549"/>
        <v>2.2515089563862927</v>
      </c>
      <c r="AB220" s="134">
        <f t="shared" si="549"/>
        <v>2.2515089563862927</v>
      </c>
      <c r="AC220" s="134">
        <f t="shared" si="549"/>
        <v>2.2515089563862927</v>
      </c>
      <c r="AD220" s="134">
        <f t="shared" si="549"/>
        <v>2.2515089563862927</v>
      </c>
      <c r="AE220" s="134">
        <f t="shared" si="549"/>
        <v>2.2515089563862927</v>
      </c>
      <c r="AF220" s="137">
        <f t="shared" ref="AF220:AF222" si="550">((AE220/I220)^(1/($AE$3-$J$1) ))-1</f>
        <v>-2.7601754835843151E-2</v>
      </c>
      <c r="AG220" s="31">
        <f t="shared" si="546"/>
        <v>0.05</v>
      </c>
      <c r="AH220" s="179">
        <f>(AH206)/($N$2*100)</f>
        <v>3.2584853733690605E-2</v>
      </c>
    </row>
    <row r="221" spans="2:34">
      <c r="B221" s="20" t="s">
        <v>466</v>
      </c>
      <c r="C221" s="129"/>
      <c r="D221" s="129"/>
      <c r="E221" s="129"/>
      <c r="F221" s="129"/>
      <c r="G221" s="179">
        <f t="shared" ref="G221:H221" si="551">(G220)/($N$2*100)</f>
        <v>0.26267604491173419</v>
      </c>
      <c r="H221" s="179">
        <f t="shared" si="551"/>
        <v>0.26267604491173419</v>
      </c>
      <c r="I221" s="179">
        <f t="shared" ref="I221:S221" si="552">(I220)/($N$2*100)</f>
        <v>0.33772634345794389</v>
      </c>
      <c r="J221" s="179">
        <f t="shared" si="552"/>
        <v>0.46906436591381101</v>
      </c>
      <c r="K221" s="179">
        <f t="shared" si="552"/>
        <v>0.48782694055036346</v>
      </c>
      <c r="L221" s="179">
        <f t="shared" si="552"/>
        <v>0.16886317172897194</v>
      </c>
      <c r="M221" s="179">
        <f t="shared" si="552"/>
        <v>0.86307843328141232</v>
      </c>
      <c r="N221" s="179">
        <f t="shared" si="552"/>
        <v>1.0131790303738317</v>
      </c>
      <c r="O221" s="179">
        <f t="shared" si="552"/>
        <v>1.2570925006490135</v>
      </c>
      <c r="P221" s="179">
        <f t="shared" si="552"/>
        <v>1.5760562694704052</v>
      </c>
      <c r="Q221" s="179">
        <f t="shared" si="552"/>
        <v>1.313380224558671</v>
      </c>
      <c r="R221" s="179">
        <f t="shared" si="552"/>
        <v>3.0582996657580477</v>
      </c>
      <c r="S221" s="179">
        <f t="shared" si="552"/>
        <v>6.7545268691588793</v>
      </c>
      <c r="T221" s="118">
        <f t="shared" si="483"/>
        <v>0.31073392071208472</v>
      </c>
      <c r="U221" s="128"/>
      <c r="V221" s="179">
        <f t="shared" ref="V221:AE221" si="553">(V220)/($N$2*100)</f>
        <v>0.1876257463655244</v>
      </c>
      <c r="W221" s="179">
        <f t="shared" si="553"/>
        <v>0.1876257463655244</v>
      </c>
      <c r="X221" s="179">
        <f t="shared" si="553"/>
        <v>0.1876257463655244</v>
      </c>
      <c r="Y221" s="179">
        <f t="shared" si="553"/>
        <v>0.1876257463655244</v>
      </c>
      <c r="Z221" s="179">
        <f t="shared" si="553"/>
        <v>0.1876257463655244</v>
      </c>
      <c r="AA221" s="179">
        <f t="shared" si="553"/>
        <v>0.1876257463655244</v>
      </c>
      <c r="AB221" s="179">
        <f t="shared" si="553"/>
        <v>0.1876257463655244</v>
      </c>
      <c r="AC221" s="179">
        <f t="shared" si="553"/>
        <v>0.1876257463655244</v>
      </c>
      <c r="AD221" s="179">
        <f t="shared" si="553"/>
        <v>0.1876257463655244</v>
      </c>
      <c r="AE221" s="179">
        <f t="shared" si="553"/>
        <v>0.1876257463655244</v>
      </c>
      <c r="AF221" s="137">
        <f t="shared" si="550"/>
        <v>-2.7601754835843151E-2</v>
      </c>
      <c r="AG221" s="31">
        <f t="shared" si="546"/>
        <v>0.05</v>
      </c>
      <c r="AH221" s="179">
        <f>(AH207)/($N$2*100)</f>
        <v>8.9944635132822148E-3</v>
      </c>
    </row>
    <row r="222" spans="2:34">
      <c r="B222" s="20" t="s">
        <v>467</v>
      </c>
      <c r="C222" s="129"/>
      <c r="D222" s="129"/>
      <c r="E222" s="129"/>
      <c r="F222" s="129"/>
      <c r="G222" s="150">
        <f t="shared" ref="G222:H222" si="554">G221-1</f>
        <v>-0.73732395508826576</v>
      </c>
      <c r="H222" s="150">
        <f t="shared" si="554"/>
        <v>-0.73732395508826576</v>
      </c>
      <c r="I222" s="150">
        <f t="shared" ref="I222:S222" si="555">I221-1</f>
        <v>-0.66227365654205617</v>
      </c>
      <c r="J222" s="150">
        <f t="shared" si="555"/>
        <v>-0.53093563408618905</v>
      </c>
      <c r="K222" s="150">
        <f t="shared" si="555"/>
        <v>-0.51217305944963654</v>
      </c>
      <c r="L222" s="150">
        <f t="shared" si="555"/>
        <v>-0.83113682827102808</v>
      </c>
      <c r="M222" s="150">
        <f t="shared" si="555"/>
        <v>-0.13692156671858768</v>
      </c>
      <c r="N222" s="150">
        <f t="shared" si="555"/>
        <v>1.3179030373831724E-2</v>
      </c>
      <c r="O222" s="150">
        <f t="shared" si="555"/>
        <v>0.25709250064901346</v>
      </c>
      <c r="P222" s="150">
        <f t="shared" si="555"/>
        <v>0.57605626947040522</v>
      </c>
      <c r="Q222" s="150">
        <f t="shared" si="555"/>
        <v>0.31338022455867098</v>
      </c>
      <c r="R222" s="150">
        <f t="shared" si="555"/>
        <v>2.0582996657580477</v>
      </c>
      <c r="S222" s="150">
        <f t="shared" si="555"/>
        <v>5.7545268691588793</v>
      </c>
      <c r="T222" s="118" t="e">
        <f t="shared" si="483"/>
        <v>#NUM!</v>
      </c>
      <c r="U222" s="128"/>
      <c r="V222" s="150">
        <f t="shared" ref="V222:AE222" si="556">V221-1</f>
        <v>-0.81237425363447557</v>
      </c>
      <c r="W222" s="150">
        <f t="shared" si="556"/>
        <v>-0.81237425363447557</v>
      </c>
      <c r="X222" s="150">
        <f t="shared" si="556"/>
        <v>-0.81237425363447557</v>
      </c>
      <c r="Y222" s="150">
        <f t="shared" si="556"/>
        <v>-0.81237425363447557</v>
      </c>
      <c r="Z222" s="150">
        <f t="shared" si="556"/>
        <v>-0.81237425363447557</v>
      </c>
      <c r="AA222" s="150">
        <f t="shared" si="556"/>
        <v>-0.81237425363447557</v>
      </c>
      <c r="AB222" s="150">
        <f t="shared" si="556"/>
        <v>-0.81237425363447557</v>
      </c>
      <c r="AC222" s="150">
        <f t="shared" si="556"/>
        <v>-0.81237425363447557</v>
      </c>
      <c r="AD222" s="150">
        <f t="shared" si="556"/>
        <v>-0.81237425363447557</v>
      </c>
      <c r="AE222" s="150">
        <f t="shared" si="556"/>
        <v>-0.81237425363447557</v>
      </c>
      <c r="AF222" s="137">
        <f t="shared" si="550"/>
        <v>9.7751961636374229E-3</v>
      </c>
      <c r="AG222" s="31">
        <f t="shared" si="546"/>
        <v>0.05</v>
      </c>
      <c r="AH222" s="179" t="e">
        <f>(AH208)/($N$2*100)</f>
        <v>#DIV/0!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6"/>
      <c r="N223" s="197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471</v>
      </c>
      <c r="C224" s="129"/>
      <c r="D224" s="129"/>
      <c r="E224" s="129"/>
      <c r="F224" s="129"/>
      <c r="G224" s="150">
        <f t="shared" ref="G224:S224" si="557">1/G225</f>
        <v>0.57170035671819264</v>
      </c>
      <c r="H224" s="150">
        <f t="shared" si="557"/>
        <v>0.57170035671819264</v>
      </c>
      <c r="I224" s="150">
        <f t="shared" si="557"/>
        <v>0.44465583300303868</v>
      </c>
      <c r="J224" s="150">
        <f t="shared" si="557"/>
        <v>0.32015219976218789</v>
      </c>
      <c r="K224" s="150">
        <f t="shared" si="557"/>
        <v>0.30783865361748836</v>
      </c>
      <c r="L224" s="150">
        <f t="shared" si="557"/>
        <v>0.88931166600607736</v>
      </c>
      <c r="M224" s="150">
        <f t="shared" si="557"/>
        <v>0.1739957607403195</v>
      </c>
      <c r="N224" s="150">
        <f t="shared" si="557"/>
        <v>0.14821861100101291</v>
      </c>
      <c r="O224" s="150">
        <f t="shared" si="557"/>
        <v>0.11945977603066713</v>
      </c>
      <c r="P224" s="150">
        <f t="shared" si="557"/>
        <v>9.528339278636544E-2</v>
      </c>
      <c r="Q224" s="150">
        <f t="shared" si="557"/>
        <v>0.11434007134363854</v>
      </c>
      <c r="R224" s="150">
        <f t="shared" si="557"/>
        <v>4.9103098123034955E-2</v>
      </c>
      <c r="S224" s="150">
        <f t="shared" si="557"/>
        <v>2.2232791650151938E-2</v>
      </c>
      <c r="T224" s="118">
        <f t="shared" si="483"/>
        <v>-0.23706864970982955</v>
      </c>
      <c r="U224" s="128"/>
      <c r="V224" s="150">
        <f t="shared" ref="V224:AE224" si="558">1/V225</f>
        <v>0.80038049940546974</v>
      </c>
      <c r="W224" s="150">
        <f t="shared" si="558"/>
        <v>0.80038049940546974</v>
      </c>
      <c r="X224" s="150">
        <f t="shared" si="558"/>
        <v>0.80038049940546974</v>
      </c>
      <c r="Y224" s="150">
        <f t="shared" si="558"/>
        <v>0.80038049940546974</v>
      </c>
      <c r="Z224" s="150">
        <f t="shared" si="558"/>
        <v>0.80038049940546974</v>
      </c>
      <c r="AA224" s="150">
        <f t="shared" si="558"/>
        <v>0.80038049940546974</v>
      </c>
      <c r="AB224" s="150">
        <f t="shared" si="558"/>
        <v>0.80038049940546974</v>
      </c>
      <c r="AC224" s="150">
        <f t="shared" si="558"/>
        <v>0.80038049940546974</v>
      </c>
      <c r="AD224" s="150">
        <f t="shared" si="558"/>
        <v>0.80038049940546974</v>
      </c>
      <c r="AE224" s="150">
        <f t="shared" si="558"/>
        <v>0.80038049940546974</v>
      </c>
      <c r="AF224" s="137">
        <f t="shared" ref="AF224" si="559">((AE224/I224)^(1/($AE$3-$J$1) ))-1</f>
        <v>2.8385237193824464E-2</v>
      </c>
      <c r="AG224" s="31">
        <f t="shared" ref="AG224" si="560">$N$1</f>
        <v>0.05</v>
      </c>
      <c r="AH224" s="179">
        <f>(AH210)/($N$2*100)</f>
        <v>0</v>
      </c>
    </row>
    <row r="225" spans="2:48">
      <c r="B225" s="20" t="s">
        <v>473</v>
      </c>
      <c r="C225" s="129"/>
      <c r="D225" s="129"/>
      <c r="E225" s="129"/>
      <c r="F225" s="129"/>
      <c r="G225" s="134">
        <f t="shared" ref="G225:H225" si="561">G201/$S$170</f>
        <v>1.7491680532445923</v>
      </c>
      <c r="H225" s="134">
        <f t="shared" si="561"/>
        <v>1.7491680532445923</v>
      </c>
      <c r="I225" s="134">
        <f t="shared" ref="I225:S225" si="562">I201/$S$170</f>
        <v>2.2489303541716188</v>
      </c>
      <c r="J225" s="134">
        <f t="shared" si="562"/>
        <v>3.1235143807939147</v>
      </c>
      <c r="K225" s="134">
        <f t="shared" si="562"/>
        <v>3.2484549560256712</v>
      </c>
      <c r="L225" s="134">
        <f t="shared" si="562"/>
        <v>1.1244651770858094</v>
      </c>
      <c r="M225" s="134">
        <f t="shared" si="562"/>
        <v>5.7472664606608035</v>
      </c>
      <c r="N225" s="134">
        <f t="shared" si="562"/>
        <v>6.7467910625148564</v>
      </c>
      <c r="O225" s="134">
        <f t="shared" si="562"/>
        <v>8.3710185405276913</v>
      </c>
      <c r="P225" s="134">
        <f t="shared" si="562"/>
        <v>10.495008319467553</v>
      </c>
      <c r="Q225" s="134">
        <f t="shared" si="562"/>
        <v>8.7458402662229613</v>
      </c>
      <c r="R225" s="134">
        <f t="shared" si="562"/>
        <v>20.365313762776324</v>
      </c>
      <c r="S225" s="134">
        <f t="shared" si="562"/>
        <v>44.978607083432372</v>
      </c>
      <c r="T225" s="118">
        <f t="shared" si="483"/>
        <v>0.31073392071208472</v>
      </c>
      <c r="U225" s="128"/>
      <c r="V225" s="134">
        <f t="shared" ref="V225:AE225" si="563">V201/$S$170</f>
        <v>1.2494057523175659</v>
      </c>
      <c r="W225" s="134">
        <f t="shared" si="563"/>
        <v>1.2494057523175659</v>
      </c>
      <c r="X225" s="134">
        <f t="shared" si="563"/>
        <v>1.2494057523175659</v>
      </c>
      <c r="Y225" s="134">
        <f t="shared" si="563"/>
        <v>1.2494057523175659</v>
      </c>
      <c r="Z225" s="134">
        <f t="shared" si="563"/>
        <v>1.2494057523175659</v>
      </c>
      <c r="AA225" s="134">
        <f t="shared" si="563"/>
        <v>1.2494057523175659</v>
      </c>
      <c r="AB225" s="134">
        <f t="shared" si="563"/>
        <v>1.2494057523175659</v>
      </c>
      <c r="AC225" s="134">
        <f t="shared" si="563"/>
        <v>1.2494057523175659</v>
      </c>
      <c r="AD225" s="134">
        <f t="shared" si="563"/>
        <v>1.2494057523175659</v>
      </c>
      <c r="AE225" s="134">
        <f t="shared" si="563"/>
        <v>1.2494057523175659</v>
      </c>
      <c r="AF225" s="137">
        <f t="shared" ref="AF225:AF227" si="564">((AE225/I225)^(1/($AE$3-$J$1) ))-1</f>
        <v>-2.7601754835843151E-2</v>
      </c>
      <c r="AG225" s="31">
        <f t="shared" ref="AG225:AG227" si="565">$N$1</f>
        <v>0.05</v>
      </c>
      <c r="AH225" s="179">
        <f>(AH210)/($N$2*100)</f>
        <v>0</v>
      </c>
    </row>
    <row r="226" spans="2:48">
      <c r="B226" s="20" t="s">
        <v>466</v>
      </c>
      <c r="C226" s="129"/>
      <c r="D226" s="129"/>
      <c r="E226" s="129"/>
      <c r="F226" s="129"/>
      <c r="G226" s="179">
        <f t="shared" ref="G226:H226" si="566">(G225)/($N$2*100)</f>
        <v>0.14576400443704937</v>
      </c>
      <c r="H226" s="179">
        <f t="shared" si="566"/>
        <v>0.14576400443704937</v>
      </c>
      <c r="I226" s="179">
        <f t="shared" ref="I226:S226" si="567">(I225)/($N$2*100)</f>
        <v>0.18741086284763489</v>
      </c>
      <c r="J226" s="179">
        <f t="shared" si="567"/>
        <v>0.26029286506615956</v>
      </c>
      <c r="K226" s="179">
        <f t="shared" si="567"/>
        <v>0.27070457966880596</v>
      </c>
      <c r="L226" s="179">
        <f t="shared" si="567"/>
        <v>9.3705431423817445E-2</v>
      </c>
      <c r="M226" s="179">
        <f t="shared" si="567"/>
        <v>0.47893887172173361</v>
      </c>
      <c r="N226" s="179">
        <f t="shared" si="567"/>
        <v>0.5622325885429047</v>
      </c>
      <c r="O226" s="179">
        <f t="shared" si="567"/>
        <v>0.69758487837730765</v>
      </c>
      <c r="P226" s="179">
        <f t="shared" si="567"/>
        <v>0.87458402662229606</v>
      </c>
      <c r="Q226" s="179">
        <f t="shared" si="567"/>
        <v>0.72882002218524677</v>
      </c>
      <c r="R226" s="179">
        <f t="shared" si="567"/>
        <v>1.6971094802313604</v>
      </c>
      <c r="S226" s="179">
        <f t="shared" si="567"/>
        <v>3.7482172569526977</v>
      </c>
      <c r="T226" s="118">
        <f t="shared" si="483"/>
        <v>0.31073392071208472</v>
      </c>
      <c r="U226" s="128"/>
      <c r="V226" s="179">
        <f t="shared" ref="V226:AE226" si="568">(V225)/($N$2*100)</f>
        <v>0.10411714602646382</v>
      </c>
      <c r="W226" s="179">
        <f t="shared" si="568"/>
        <v>0.10411714602646382</v>
      </c>
      <c r="X226" s="179">
        <f t="shared" si="568"/>
        <v>0.10411714602646382</v>
      </c>
      <c r="Y226" s="179">
        <f t="shared" si="568"/>
        <v>0.10411714602646382</v>
      </c>
      <c r="Z226" s="179">
        <f t="shared" si="568"/>
        <v>0.10411714602646382</v>
      </c>
      <c r="AA226" s="179">
        <f t="shared" si="568"/>
        <v>0.10411714602646382</v>
      </c>
      <c r="AB226" s="179">
        <f t="shared" si="568"/>
        <v>0.10411714602646382</v>
      </c>
      <c r="AC226" s="179">
        <f t="shared" si="568"/>
        <v>0.10411714602646382</v>
      </c>
      <c r="AD226" s="179">
        <f t="shared" si="568"/>
        <v>0.10411714602646382</v>
      </c>
      <c r="AE226" s="179">
        <f t="shared" si="568"/>
        <v>0.10411714602646382</v>
      </c>
      <c r="AF226" s="137">
        <f t="shared" si="564"/>
        <v>-2.7601754835843151E-2</v>
      </c>
      <c r="AG226" s="31">
        <f t="shared" si="565"/>
        <v>0.05</v>
      </c>
      <c r="AH226" s="179" t="e">
        <f>(#REF!)/($N$2*100)</f>
        <v>#REF!</v>
      </c>
    </row>
    <row r="227" spans="2:48">
      <c r="B227" s="20" t="s">
        <v>467</v>
      </c>
      <c r="C227" s="129"/>
      <c r="D227" s="129"/>
      <c r="E227" s="129"/>
      <c r="F227" s="129"/>
      <c r="G227" s="150">
        <f t="shared" ref="G227:H227" si="569">G226-1</f>
        <v>-0.8542359955629506</v>
      </c>
      <c r="H227" s="150">
        <f t="shared" si="569"/>
        <v>-0.8542359955629506</v>
      </c>
      <c r="I227" s="150">
        <f t="shared" ref="I227:S227" si="570">I226-1</f>
        <v>-0.81258913715236514</v>
      </c>
      <c r="J227" s="150">
        <f t="shared" si="570"/>
        <v>-0.73970713493384044</v>
      </c>
      <c r="K227" s="150">
        <f t="shared" si="570"/>
        <v>-0.7292954203311941</v>
      </c>
      <c r="L227" s="150">
        <f t="shared" si="570"/>
        <v>-0.90629456857618251</v>
      </c>
      <c r="M227" s="150">
        <f t="shared" si="570"/>
        <v>-0.52106112827826645</v>
      </c>
      <c r="N227" s="150">
        <f t="shared" si="570"/>
        <v>-0.4377674114570953</v>
      </c>
      <c r="O227" s="150">
        <f t="shared" si="570"/>
        <v>-0.30241512162269235</v>
      </c>
      <c r="P227" s="150">
        <f t="shared" si="570"/>
        <v>-0.12541597337770394</v>
      </c>
      <c r="Q227" s="150">
        <f t="shared" si="570"/>
        <v>-0.27117997781475323</v>
      </c>
      <c r="R227" s="150">
        <f t="shared" si="570"/>
        <v>0.69710948023136043</v>
      </c>
      <c r="S227" s="150">
        <f t="shared" si="570"/>
        <v>2.7482172569526977</v>
      </c>
      <c r="T227" s="118" t="e">
        <f t="shared" si="483"/>
        <v>#NUM!</v>
      </c>
      <c r="U227" s="128"/>
      <c r="V227" s="150">
        <f t="shared" ref="V227:AE227" si="571">V226-1</f>
        <v>-0.89588285397353618</v>
      </c>
      <c r="W227" s="150">
        <f t="shared" si="571"/>
        <v>-0.89588285397353618</v>
      </c>
      <c r="X227" s="150">
        <f t="shared" si="571"/>
        <v>-0.89588285397353618</v>
      </c>
      <c r="Y227" s="150">
        <f t="shared" si="571"/>
        <v>-0.89588285397353618</v>
      </c>
      <c r="Z227" s="150">
        <f t="shared" si="571"/>
        <v>-0.89588285397353618</v>
      </c>
      <c r="AA227" s="150">
        <f t="shared" si="571"/>
        <v>-0.89588285397353618</v>
      </c>
      <c r="AB227" s="150">
        <f t="shared" si="571"/>
        <v>-0.89588285397353618</v>
      </c>
      <c r="AC227" s="150">
        <f t="shared" si="571"/>
        <v>-0.89588285397353618</v>
      </c>
      <c r="AD227" s="150">
        <f t="shared" si="571"/>
        <v>-0.89588285397353618</v>
      </c>
      <c r="AE227" s="150">
        <f t="shared" si="571"/>
        <v>-0.89588285397353618</v>
      </c>
      <c r="AF227" s="137">
        <f t="shared" si="564"/>
        <v>4.6576727100489101E-3</v>
      </c>
      <c r="AG227" s="31">
        <f t="shared" si="565"/>
        <v>0.05</v>
      </c>
      <c r="AH227" s="179" t="e">
        <f>(AH211)/($N$2*100)</f>
        <v>#DIV/0!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6"/>
      <c r="N228" s="197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8" t="s">
        <v>347</v>
      </c>
      <c r="N229" s="219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>
        <f>(S201-U188)/S201</f>
        <v>0.94735175035276054</v>
      </c>
      <c r="S230" s="128">
        <f>(S201-V188)/S201</f>
        <v>0.95668692370706943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9.642599992512114</v>
      </c>
      <c r="P231" s="20"/>
      <c r="Q231" s="20"/>
      <c r="R231" s="128">
        <f>(S201-U179)/S201</f>
        <v>4.9131772188318728</v>
      </c>
      <c r="S231" s="128">
        <f>(S201-V179)/S201</f>
        <v>1.545278792788048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8.2264325916067457E-2</v>
      </c>
      <c r="P232" s="20"/>
      <c r="Q232" s="20"/>
      <c r="R232" s="128">
        <f>(S201-U172)/S201</f>
        <v>0.58446968090088602</v>
      </c>
      <c r="S232" s="128">
        <f>(S201-V172)/S201</f>
        <v>0.94209823422389405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1</v>
      </c>
      <c r="P233" s="20"/>
      <c r="Q233" s="20"/>
      <c r="R233" s="128">
        <f>(S201-U185)/S201</f>
        <v>1</v>
      </c>
      <c r="S233" s="128">
        <f>(S201-V185)/S201</f>
        <v>1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-1.660070920642009</v>
      </c>
      <c r="P234" s="20"/>
      <c r="Q234" s="20"/>
      <c r="R234" s="128">
        <f>(S201-U198)/S201</f>
        <v>-0.20442100017957626</v>
      </c>
      <c r="S234" s="128">
        <f>(S201-V198)/S201</f>
        <v>9.1374543479979461E-3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13.09573887122029</v>
      </c>
      <c r="S235" s="25">
        <f>S201/V171</f>
        <v>93.981184840522104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444</v>
      </c>
      <c r="J236" s="188"/>
      <c r="K236" s="187" t="s">
        <v>445</v>
      </c>
      <c r="L236" s="188"/>
      <c r="M236" s="20"/>
      <c r="N236" s="187" t="s">
        <v>446</v>
      </c>
      <c r="O236" s="188"/>
      <c r="P236" s="187" t="s">
        <v>447</v>
      </c>
      <c r="Q236" s="188"/>
      <c r="R236" s="150">
        <f>1/R235</f>
        <v>7.6360716247758975E-2</v>
      </c>
      <c r="S236" s="150">
        <f>1/S235</f>
        <v>1.0640427673868051E-2</v>
      </c>
      <c r="T236" s="20"/>
      <c r="U236" s="20"/>
      <c r="V236" s="129">
        <f>S201-V237</f>
        <v>1773.8494288411298</v>
      </c>
      <c r="W236" s="183">
        <f>V236-W237</f>
        <v>1746.3913291243161</v>
      </c>
      <c r="X236" s="183">
        <f t="shared" ref="X236:Z236" si="572">W236-X237</f>
        <v>1717.5603244216618</v>
      </c>
      <c r="Y236" s="183">
        <f t="shared" si="572"/>
        <v>1687.2877694838746</v>
      </c>
      <c r="Z236" s="183">
        <f t="shared" si="572"/>
        <v>1655.5015867991983</v>
      </c>
      <c r="AA236" s="183">
        <f>Z236-AA237</f>
        <v>1622.1260949802881</v>
      </c>
      <c r="AB236" s="183">
        <f t="shared" ref="AB236:AE236" si="573">AA236-AB237</f>
        <v>1587.0818285704324</v>
      </c>
      <c r="AC236" s="183">
        <f t="shared" si="573"/>
        <v>1550.285348840084</v>
      </c>
      <c r="AD236" s="183">
        <f t="shared" si="573"/>
        <v>1511.649045123218</v>
      </c>
      <c r="AE236" s="183">
        <f t="shared" si="573"/>
        <v>1471.0809262205087</v>
      </c>
      <c r="AF236" s="183">
        <f t="shared" ref="AF236" si="574">AE236-AF237</f>
        <v>1428.484401372664</v>
      </c>
      <c r="AG236" s="183">
        <f t="shared" ref="AG236" si="575">AF236-AG237</f>
        <v>1383.7580502824271</v>
      </c>
      <c r="AH236" s="183">
        <f t="shared" ref="AH236" si="576">AG236-AH237</f>
        <v>1336.7953816376782</v>
      </c>
      <c r="AI236" s="183">
        <f t="shared" ref="AI236" si="577">AH236-AI237</f>
        <v>1287.4845795606921</v>
      </c>
      <c r="AJ236" s="183">
        <f t="shared" ref="AJ236" si="578">AI236-AJ237</f>
        <v>1235.7082373798564</v>
      </c>
      <c r="AK236" s="183">
        <f t="shared" ref="AK236" si="579">AJ236-AK237</f>
        <v>1181.3430780899791</v>
      </c>
      <c r="AL236" s="183">
        <f t="shared" ref="AL236" si="580">AK236-AL237</f>
        <v>1124.259660835608</v>
      </c>
      <c r="AM236" s="183">
        <f t="shared" ref="AM236" si="581">AL236-AM237</f>
        <v>1064.3220727185183</v>
      </c>
      <c r="AN236" s="183">
        <f t="shared" ref="AN236" si="582">AM236-AN237</f>
        <v>1001.387605195574</v>
      </c>
      <c r="AO236" s="183">
        <f t="shared" ref="AO236" si="583">AN236-AO237</f>
        <v>935.30641429648244</v>
      </c>
      <c r="AP236" s="183">
        <f t="shared" ref="AP236" si="584">AO236-AP237</f>
        <v>865.92116385243639</v>
      </c>
      <c r="AQ236" s="183">
        <f t="shared" ref="AQ236" si="585">AP236-AQ237</f>
        <v>793.06665088618797</v>
      </c>
      <c r="AR236" s="183">
        <f t="shared" ref="AR236" si="586">AQ236-AR237</f>
        <v>716.56941227162713</v>
      </c>
      <c r="AS236" s="183">
        <f t="shared" ref="AS236" si="587">AR236-AS237</f>
        <v>636.24731172633824</v>
      </c>
      <c r="AT236" s="183">
        <f t="shared" ref="AT236" si="588">AS236-AT237</f>
        <v>551.90910615378493</v>
      </c>
      <c r="AU236" s="183">
        <f t="shared" ref="AU236" si="589">AT236-AU237</f>
        <v>463.35399030260396</v>
      </c>
      <c r="AV236" s="183">
        <f t="shared" ref="AV236" si="590">AU236-AV237</f>
        <v>370.37111865886391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5" t="s">
        <v>280</v>
      </c>
      <c r="R237" s="179">
        <f>S201/U170</f>
        <v>81.054322429906549</v>
      </c>
      <c r="S237" s="179" t="s">
        <v>465</v>
      </c>
      <c r="T237" s="20"/>
      <c r="U237" s="20"/>
      <c r="V237" s="184">
        <f>T170*(1+$M$237)</f>
        <v>26.150571158870147</v>
      </c>
      <c r="W237" s="184">
        <f>V237*(1+$M$237)</f>
        <v>27.458099716813656</v>
      </c>
      <c r="X237" s="184">
        <f t="shared" ref="X237:AE237" si="591">W237*(1+$M$237)</f>
        <v>28.83100470265434</v>
      </c>
      <c r="Y237" s="184">
        <f t="shared" si="591"/>
        <v>30.27255493778706</v>
      </c>
      <c r="Z237" s="184">
        <f t="shared" si="591"/>
        <v>31.786182684676415</v>
      </c>
      <c r="AA237" s="184">
        <f t="shared" si="591"/>
        <v>33.375491818910234</v>
      </c>
      <c r="AB237" s="184">
        <f t="shared" si="591"/>
        <v>35.044266409855744</v>
      </c>
      <c r="AC237" s="184">
        <f t="shared" si="591"/>
        <v>36.79647973034853</v>
      </c>
      <c r="AD237" s="184">
        <f t="shared" si="591"/>
        <v>38.63630371686596</v>
      </c>
      <c r="AE237" s="184">
        <f t="shared" si="591"/>
        <v>40.568118902709259</v>
      </c>
      <c r="AF237" s="184">
        <f t="shared" ref="AF237" si="592">AE237*(1+$M$237)</f>
        <v>42.596524847844726</v>
      </c>
      <c r="AG237" s="184">
        <f t="shared" ref="AG237" si="593">AF237*(1+$M$237)</f>
        <v>44.726351090236967</v>
      </c>
      <c r="AH237" s="184">
        <f t="shared" ref="AH237" si="594">AG237*(1+$M$237)</f>
        <v>46.962668644748817</v>
      </c>
      <c r="AI237" s="184">
        <f t="shared" ref="AI237" si="595">AH237*(1+$M$237)</f>
        <v>49.310802076986256</v>
      </c>
      <c r="AJ237" s="184">
        <f t="shared" ref="AJ237" si="596">AI237*(1+$M$237)</f>
        <v>51.77634218083557</v>
      </c>
      <c r="AK237" s="184">
        <f t="shared" ref="AK237" si="597">AJ237*(1+$M$237)</f>
        <v>54.365159289877354</v>
      </c>
      <c r="AL237" s="184">
        <f t="shared" ref="AL237" si="598">AK237*(1+$M$237)</f>
        <v>57.083417254371227</v>
      </c>
      <c r="AM237" s="184">
        <f t="shared" ref="AM237" si="599">AL237*(1+$M$237)</f>
        <v>59.937588117089788</v>
      </c>
      <c r="AN237" s="184">
        <f t="shared" ref="AN237" si="600">AM237*(1+$M$237)</f>
        <v>62.934467522944281</v>
      </c>
      <c r="AO237" s="184">
        <f t="shared" ref="AO237" si="601">AN237*(1+$M$237)</f>
        <v>66.081190899091496</v>
      </c>
      <c r="AP237" s="184">
        <f t="shared" ref="AP237" si="602">AO237*(1+$M$237)</f>
        <v>69.385250444046079</v>
      </c>
      <c r="AQ237" s="184">
        <f t="shared" ref="AQ237" si="603">AP237*(1+$M$237)</f>
        <v>72.854512966248393</v>
      </c>
      <c r="AR237" s="184">
        <f t="shared" ref="AR237" si="604">AQ237*(1+$M$237)</f>
        <v>76.497238614560814</v>
      </c>
      <c r="AS237" s="184">
        <f t="shared" ref="AS237" si="605">AR237*(1+$M$237)</f>
        <v>80.322100545288862</v>
      </c>
      <c r="AT237" s="184">
        <f t="shared" ref="AT237" si="606">AS237*(1+$M$237)</f>
        <v>84.338205572553306</v>
      </c>
      <c r="AU237" s="184">
        <f t="shared" ref="AU237" si="607">AT237*(1+$M$237)</f>
        <v>88.555115851180972</v>
      </c>
      <c r="AV237" s="184">
        <f t="shared" ref="AV237" si="608">AU237*(1+$M$237)</f>
        <v>92.982871643740026</v>
      </c>
    </row>
    <row r="238" spans="2:48">
      <c r="B238" s="20" t="s">
        <v>391</v>
      </c>
      <c r="C238" s="20"/>
      <c r="D238" s="20"/>
      <c r="E238" s="23"/>
      <c r="F238" s="23"/>
      <c r="G238" s="23" t="s">
        <v>387</v>
      </c>
      <c r="H238" s="22">
        <v>12</v>
      </c>
      <c r="I238" s="189">
        <v>0</v>
      </c>
      <c r="J238" s="22">
        <v>9</v>
      </c>
      <c r="K238" s="189">
        <v>0.05</v>
      </c>
      <c r="L238" s="188">
        <v>7</v>
      </c>
      <c r="M238" s="182">
        <v>0.12</v>
      </c>
      <c r="N238" s="189">
        <v>0.12</v>
      </c>
      <c r="O238" s="188">
        <v>4</v>
      </c>
      <c r="P238" s="189">
        <v>0.2</v>
      </c>
      <c r="Q238" s="195" t="s">
        <v>464</v>
      </c>
      <c r="R238" s="179">
        <f>S201/S72</f>
        <v>29.9288256227758</v>
      </c>
      <c r="S238" s="179" t="s">
        <v>465</v>
      </c>
      <c r="T238" s="20"/>
      <c r="U238" s="20"/>
      <c r="V238" s="184">
        <f>S72*(1+$M$238)</f>
        <v>67.359809750297273</v>
      </c>
      <c r="W238" s="184">
        <f>V238*(1+$M$238)</f>
        <v>75.442986920332956</v>
      </c>
      <c r="X238" s="184">
        <f t="shared" ref="X238:AE238" si="609">W238*(1+$M$238)</f>
        <v>84.49614535077292</v>
      </c>
      <c r="Y238" s="184">
        <f t="shared" si="609"/>
        <v>94.63568279286568</v>
      </c>
      <c r="Z238" s="184">
        <f t="shared" si="609"/>
        <v>105.99196472800958</v>
      </c>
      <c r="AA238" s="184">
        <f t="shared" si="609"/>
        <v>118.71100049537074</v>
      </c>
      <c r="AB238" s="184">
        <f t="shared" si="609"/>
        <v>132.95632055481525</v>
      </c>
      <c r="AC238" s="184">
        <f t="shared" si="609"/>
        <v>148.91107902139311</v>
      </c>
      <c r="AD238" s="184">
        <f t="shared" si="609"/>
        <v>166.7804085039603</v>
      </c>
      <c r="AE238" s="184">
        <f t="shared" si="609"/>
        <v>186.79405752443554</v>
      </c>
      <c r="AF238" s="184">
        <f t="shared" ref="AF238" si="610">AE238*(1+$M$238)</f>
        <v>209.20934442736782</v>
      </c>
      <c r="AG238" s="184">
        <f t="shared" ref="AG238" si="611">AF238*(1+$M$238)</f>
        <v>234.31446575865198</v>
      </c>
      <c r="AH238" s="184">
        <f t="shared" ref="AH238" si="612">AG238*(1+$M$238)</f>
        <v>262.43220164969023</v>
      </c>
      <c r="AI238" s="184">
        <f t="shared" ref="AI238" si="613">AH238*(1+$M$238)</f>
        <v>293.92406584765308</v>
      </c>
      <c r="AJ238" s="184">
        <f t="shared" ref="AJ238" si="614">AI238*(1+$M$238)</f>
        <v>329.19495374937151</v>
      </c>
      <c r="AK238" s="184">
        <f t="shared" ref="AK238" si="615">AJ238*(1+$M$238)</f>
        <v>368.69834819929611</v>
      </c>
      <c r="AL238" s="184">
        <f t="shared" ref="AL238" si="616">AK238*(1+$M$238)</f>
        <v>412.94214998321166</v>
      </c>
      <c r="AM238" s="184">
        <f t="shared" ref="AM238" si="617">AL238*(1+$M$238)</f>
        <v>462.4952079811971</v>
      </c>
      <c r="AN238" s="184">
        <f t="shared" ref="AN238" si="618">AM238*(1+$M$238)</f>
        <v>517.99463293894075</v>
      </c>
      <c r="AO238" s="184">
        <f t="shared" ref="AO238" si="619">AN238*(1+$M$238)</f>
        <v>580.15398889161372</v>
      </c>
      <c r="AP238" s="184">
        <f t="shared" ref="AP238" si="620">AO238*(1+$M$238)</f>
        <v>649.77246755860745</v>
      </c>
      <c r="AQ238" s="184">
        <f t="shared" ref="AQ238" si="621">AP238*(1+$M$238)</f>
        <v>727.74516366564046</v>
      </c>
      <c r="AR238" s="184">
        <f t="shared" ref="AR238" si="622">AQ238*(1+$M$238)</f>
        <v>815.07458330551742</v>
      </c>
      <c r="AS238" s="184">
        <f t="shared" ref="AS238" si="623">AR238*(1+$M$238)</f>
        <v>912.88353330217956</v>
      </c>
      <c r="AT238" s="184">
        <f t="shared" ref="AT238" si="624">AS238*(1+$M$238)</f>
        <v>1022.4295572984412</v>
      </c>
      <c r="AU238" s="184">
        <f t="shared" ref="AU238" si="625">AT238*(1+$M$238)</f>
        <v>1145.1211041742542</v>
      </c>
      <c r="AV238" s="184">
        <f t="shared" ref="AV238" si="626">AU238*(1+$M$238)</f>
        <v>1282.5356366751648</v>
      </c>
    </row>
    <row r="239" spans="2:48">
      <c r="B239" s="20"/>
      <c r="C239" s="20"/>
      <c r="D239" s="20"/>
      <c r="E239" s="23"/>
      <c r="F239" s="23"/>
      <c r="G239" s="23" t="s">
        <v>450</v>
      </c>
      <c r="H239" s="22">
        <v>20</v>
      </c>
      <c r="I239" s="189">
        <v>0</v>
      </c>
      <c r="J239" s="22">
        <v>14</v>
      </c>
      <c r="K239" s="189">
        <v>0.05</v>
      </c>
      <c r="L239" s="188">
        <v>10</v>
      </c>
      <c r="M239" s="188"/>
      <c r="N239" s="189">
        <v>0.12</v>
      </c>
      <c r="O239" s="188">
        <v>8</v>
      </c>
      <c r="P239" s="189">
        <v>0.2</v>
      </c>
      <c r="Q239" s="20"/>
      <c r="R239" s="20"/>
      <c r="S239" s="20"/>
      <c r="T239" s="20"/>
      <c r="U239" s="20"/>
      <c r="V239" s="129">
        <f>S201-V238</f>
        <v>1732.6401902497028</v>
      </c>
      <c r="W239" s="183">
        <f>V239-W238</f>
        <v>1657.1972033293698</v>
      </c>
      <c r="X239" s="183">
        <f t="shared" ref="X239:AC239" si="627">W239-X238</f>
        <v>1572.701057978597</v>
      </c>
      <c r="Y239" s="183">
        <f t="shared" si="627"/>
        <v>1478.0653751857312</v>
      </c>
      <c r="Z239" s="183">
        <f t="shared" si="627"/>
        <v>1372.0734104577216</v>
      </c>
      <c r="AA239" s="183">
        <f t="shared" si="627"/>
        <v>1253.3624099623507</v>
      </c>
      <c r="AB239" s="183">
        <f t="shared" si="627"/>
        <v>1120.4060894075355</v>
      </c>
      <c r="AC239" s="183">
        <f t="shared" si="627"/>
        <v>971.49501038614244</v>
      </c>
      <c r="AD239" s="183">
        <f>AC239-AD238</f>
        <v>804.71460188218214</v>
      </c>
      <c r="AE239" s="183">
        <f t="shared" ref="AE239" si="628">AD239-AE238</f>
        <v>617.92054435774662</v>
      </c>
      <c r="AF239" s="183">
        <f t="shared" ref="AF239" si="629">AE239-AF238</f>
        <v>408.71119993037883</v>
      </c>
      <c r="AG239" s="183">
        <f t="shared" ref="AG239" si="630">AF239-AG238</f>
        <v>174.39673417172685</v>
      </c>
      <c r="AH239" s="183">
        <f t="shared" ref="AH239" si="631">AG239-AH238</f>
        <v>-88.03546747796338</v>
      </c>
      <c r="AI239" s="183">
        <f t="shared" ref="AI239" si="632">AH239-AI238</f>
        <v>-381.95953332561646</v>
      </c>
      <c r="AJ239" s="183">
        <f t="shared" ref="AJ239" si="633">AI239-AJ238</f>
        <v>-711.15448707498797</v>
      </c>
      <c r="AK239" s="183">
        <f t="shared" ref="AK239" si="634">AJ239-AK238</f>
        <v>-1079.8528352742842</v>
      </c>
      <c r="AL239" s="183">
        <f t="shared" ref="AL239" si="635">AK239-AL238</f>
        <v>-1492.7949852574959</v>
      </c>
      <c r="AM239" s="183">
        <f t="shared" ref="AM239" si="636">AL239-AM238</f>
        <v>-1955.2901932386931</v>
      </c>
      <c r="AN239" s="183">
        <f t="shared" ref="AN239" si="637">AM239-AN238</f>
        <v>-2473.2848261776339</v>
      </c>
      <c r="AO239" s="183">
        <f t="shared" ref="AO239" si="638">AN239-AO238</f>
        <v>-3053.4388150692475</v>
      </c>
      <c r="AP239" s="183">
        <f t="shared" ref="AP239" si="639">AO239-AP238</f>
        <v>-3703.2112826278549</v>
      </c>
      <c r="AQ239" s="183">
        <f t="shared" ref="AQ239" si="640">AP239-AQ238</f>
        <v>-4430.956446293495</v>
      </c>
      <c r="AR239" s="183">
        <f t="shared" ref="AR239" si="641">AQ239-AR238</f>
        <v>-5246.0310295990121</v>
      </c>
      <c r="AS239" s="183">
        <f t="shared" ref="AS239" si="642">AR239-AS238</f>
        <v>-6158.9145629011919</v>
      </c>
      <c r="AT239" s="183">
        <f t="shared" ref="AT239" si="643">AS239-AT238</f>
        <v>-7181.3441201996329</v>
      </c>
      <c r="AU239" s="183">
        <f t="shared" ref="AU239" si="644">AT239-AU238</f>
        <v>-8326.4652243738874</v>
      </c>
      <c r="AV239" s="183">
        <f t="shared" ref="AV239" si="645">AU239-AV238</f>
        <v>-9609.0008610490513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46">G10/G7</f>
        <v>4.7557603686635943</v>
      </c>
      <c r="H241" s="25">
        <f t="shared" si="646"/>
        <v>4.7557603686635943</v>
      </c>
      <c r="I241" s="25">
        <f t="shared" ref="I241:S241" si="647">I10/I7</f>
        <v>5.90034965034965</v>
      </c>
      <c r="J241" s="25">
        <f t="shared" si="647"/>
        <v>11.546378653113088</v>
      </c>
      <c r="K241" s="25">
        <f t="shared" si="647"/>
        <v>10.810462471569371</v>
      </c>
      <c r="L241" s="25">
        <f t="shared" si="647"/>
        <v>11.304187192118226</v>
      </c>
      <c r="M241" s="25">
        <f t="shared" si="647"/>
        <v>10.212690191000323</v>
      </c>
      <c r="N241" s="25">
        <f t="shared" si="647"/>
        <v>13.871639430680021</v>
      </c>
      <c r="O241" s="25">
        <f t="shared" si="647"/>
        <v>13.538922155688622</v>
      </c>
      <c r="P241" s="25">
        <f t="shared" si="647"/>
        <v>15.132942999827794</v>
      </c>
      <c r="Q241" s="25">
        <f t="shared" si="647"/>
        <v>13.422206605762474</v>
      </c>
      <c r="R241" s="25">
        <f t="shared" si="647"/>
        <v>10.062494642091727</v>
      </c>
      <c r="S241" s="25">
        <f t="shared" si="647"/>
        <v>10.417308530736811</v>
      </c>
      <c r="T241" s="118">
        <f t="shared" ref="T241:T243" si="648">((R241/I241)^(1/($J$2-$J$1) ))-1</f>
        <v>4.5487856563293683E-2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 t="e">
        <f t="shared" ref="G242:H242" si="649">G10/G12</f>
        <v>#DIV/0!</v>
      </c>
      <c r="H242" s="112" t="e">
        <f t="shared" si="649"/>
        <v>#DIV/0!</v>
      </c>
      <c r="I242" s="112" t="e">
        <f t="shared" ref="I242:S242" si="650">I10/I12</f>
        <v>#DIV/0!</v>
      </c>
      <c r="J242" s="112" t="e">
        <f t="shared" si="650"/>
        <v>#DIV/0!</v>
      </c>
      <c r="K242" s="112" t="e">
        <f t="shared" si="650"/>
        <v>#DIV/0!</v>
      </c>
      <c r="L242" s="112" t="e">
        <f t="shared" si="650"/>
        <v>#DIV/0!</v>
      </c>
      <c r="M242" s="112" t="e">
        <f t="shared" si="650"/>
        <v>#DIV/0!</v>
      </c>
      <c r="N242" s="112" t="e">
        <f t="shared" si="650"/>
        <v>#DIV/0!</v>
      </c>
      <c r="O242" s="112" t="e">
        <f t="shared" si="650"/>
        <v>#DIV/0!</v>
      </c>
      <c r="P242" s="112" t="e">
        <f t="shared" si="650"/>
        <v>#DIV/0!</v>
      </c>
      <c r="Q242" s="112" t="e">
        <f t="shared" si="650"/>
        <v>#DIV/0!</v>
      </c>
      <c r="R242" s="112" t="e">
        <f t="shared" si="650"/>
        <v>#DIV/0!</v>
      </c>
      <c r="S242" s="112" t="e">
        <f t="shared" si="650"/>
        <v>#DIV/0!</v>
      </c>
      <c r="T242" s="118" t="e">
        <f t="shared" si="648"/>
        <v>#DIV/0!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651">G10/(G12+G13)</f>
        <v>2.6126582278481014</v>
      </c>
      <c r="H243" s="25">
        <f t="shared" si="651"/>
        <v>2.6126582278481014</v>
      </c>
      <c r="I243" s="25">
        <f t="shared" ref="I243:S243" si="652">I10/(I12+I13)</f>
        <v>2.5</v>
      </c>
      <c r="J243" s="25">
        <f t="shared" si="652"/>
        <v>2.9570452326716565</v>
      </c>
      <c r="K243" s="25">
        <f t="shared" si="652"/>
        <v>2.7997251129000591</v>
      </c>
      <c r="L243" s="25">
        <f t="shared" si="652"/>
        <v>2.5794576366446536</v>
      </c>
      <c r="M243" s="25">
        <f t="shared" si="652"/>
        <v>3.0901165638162404</v>
      </c>
      <c r="N243" s="25">
        <f t="shared" si="652"/>
        <v>2.7952517527087317</v>
      </c>
      <c r="O243" s="25">
        <f t="shared" si="652"/>
        <v>2.2807940339373851</v>
      </c>
      <c r="P243" s="25">
        <f t="shared" si="652"/>
        <v>2.0448400232693427</v>
      </c>
      <c r="Q243" s="25">
        <f t="shared" si="652"/>
        <v>2.3331134564643801</v>
      </c>
      <c r="R243" s="25">
        <f t="shared" si="652"/>
        <v>2.5204852909598454</v>
      </c>
      <c r="S243" s="25">
        <f t="shared" si="652"/>
        <v>2.9384889726982046</v>
      </c>
      <c r="T243" s="118">
        <f t="shared" si="648"/>
        <v>6.8029186750018233E-4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5" t="s">
        <v>333</v>
      </c>
      <c r="O246" s="216"/>
      <c r="P246" s="217"/>
      <c r="Q246" s="23" t="s">
        <v>336</v>
      </c>
      <c r="R246" s="20"/>
      <c r="S246" s="136"/>
      <c r="T246" s="215" t="s">
        <v>334</v>
      </c>
      <c r="U246" s="216"/>
      <c r="V246" s="217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70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63</v>
      </c>
      <c r="Q248" s="171">
        <f>P248</f>
        <v>63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70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63</v>
      </c>
      <c r="Q250" s="171">
        <f>P250</f>
        <v>63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451</v>
      </c>
      <c r="F251" s="174"/>
      <c r="G251" s="174"/>
      <c r="H251" s="22">
        <v>0</v>
      </c>
      <c r="I251" s="22">
        <v>1</v>
      </c>
      <c r="J251" s="165">
        <f t="shared" ref="J251:J254" si="653">H251/I251</f>
        <v>0</v>
      </c>
      <c r="K251" s="165">
        <f t="shared" ref="K251:K253" si="654">J251*L250</f>
        <v>0</v>
      </c>
      <c r="L251" s="165">
        <f t="shared" ref="L251:L253" si="655">K251+L250</f>
        <v>2</v>
      </c>
      <c r="M251" s="20"/>
      <c r="N251" s="165" t="s">
        <v>341</v>
      </c>
      <c r="O251" s="165"/>
      <c r="P251" s="21">
        <v>1250</v>
      </c>
      <c r="Q251" s="21">
        <v>1450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452</v>
      </c>
      <c r="F252" s="174"/>
      <c r="G252" s="174"/>
      <c r="H252" s="22">
        <v>0</v>
      </c>
      <c r="I252" s="22">
        <v>1</v>
      </c>
      <c r="J252" s="165">
        <f t="shared" si="653"/>
        <v>0</v>
      </c>
      <c r="K252" s="165">
        <f t="shared" si="654"/>
        <v>0</v>
      </c>
      <c r="L252" s="165">
        <f t="shared" si="655"/>
        <v>2</v>
      </c>
      <c r="M252" s="20"/>
      <c r="N252" s="165" t="s">
        <v>342</v>
      </c>
      <c r="O252" s="165"/>
      <c r="P252" s="166">
        <f>P251*P249</f>
        <v>1250</v>
      </c>
      <c r="Q252" s="166">
        <f>Q251*Q249</f>
        <v>1450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453</v>
      </c>
      <c r="F253" s="174"/>
      <c r="G253" s="174"/>
      <c r="H253" s="22">
        <v>0</v>
      </c>
      <c r="I253" s="22">
        <v>1</v>
      </c>
      <c r="J253" s="165">
        <f t="shared" si="653"/>
        <v>0</v>
      </c>
      <c r="K253" s="165">
        <f t="shared" si="654"/>
        <v>0</v>
      </c>
      <c r="L253" s="165">
        <f t="shared" si="655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653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454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19.841269841269842</v>
      </c>
      <c r="Q255" s="168">
        <f>Q252/Q250</f>
        <v>23.015873015873016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1200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1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1200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17.142857142857142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8" t="s">
        <v>27</v>
      </c>
      <c r="E263" s="209"/>
      <c r="F263" s="209"/>
      <c r="G263" s="209"/>
      <c r="H263" s="209"/>
      <c r="I263" s="210"/>
      <c r="J263" s="20"/>
      <c r="K263" s="208" t="s">
        <v>388</v>
      </c>
      <c r="L263" s="209"/>
      <c r="M263" s="21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70</v>
      </c>
      <c r="I264" s="21">
        <f>D250</f>
        <v>70</v>
      </c>
      <c r="J264" s="20"/>
      <c r="K264" s="20" t="s">
        <v>28</v>
      </c>
      <c r="L264" s="127"/>
      <c r="M264" s="21">
        <f>I264</f>
        <v>70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1200</v>
      </c>
      <c r="J265" s="20"/>
      <c r="K265" s="20" t="s">
        <v>29</v>
      </c>
      <c r="L265" s="20"/>
      <c r="M265" s="21">
        <f>I265</f>
        <v>1200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-0.34613183093993205</v>
      </c>
      <c r="I267" s="3">
        <f>((I265/I264)^(1/I266))-1</f>
        <v>0.32864305148760486</v>
      </c>
      <c r="J267" s="20"/>
      <c r="K267" s="23" t="s">
        <v>389</v>
      </c>
      <c r="L267" s="23"/>
      <c r="M267" s="190">
        <f>(M265-M264)/M264</f>
        <v>16.142857142857142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17.142857142857142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-0.34613183093993205</v>
      </c>
      <c r="I270" s="3">
        <f>((I265/I264)^(1/I269))-1</f>
        <v>0.32864305148760486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20" t="s">
        <v>27</v>
      </c>
      <c r="K5" s="220"/>
      <c r="M5" s="220" t="s">
        <v>65</v>
      </c>
      <c r="N5" s="220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20" t="s">
        <v>36</v>
      </c>
      <c r="K14" s="220"/>
      <c r="L14" s="220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20" t="s">
        <v>27</v>
      </c>
      <c r="S5" s="220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20" t="s">
        <v>36</v>
      </c>
      <c r="S14" s="220"/>
      <c r="T14" s="220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20" t="s">
        <v>27</v>
      </c>
      <c r="C2" s="220"/>
      <c r="E2" s="220" t="s">
        <v>65</v>
      </c>
      <c r="F2" s="220"/>
      <c r="H2" s="224" t="s">
        <v>36</v>
      </c>
      <c r="I2" s="225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21" t="s">
        <v>68</v>
      </c>
      <c r="E10" s="222"/>
      <c r="F10" s="222"/>
      <c r="G10" s="222"/>
      <c r="H10" s="223"/>
      <c r="I10" s="221" t="s">
        <v>72</v>
      </c>
      <c r="J10" s="222"/>
      <c r="K10" s="222"/>
      <c r="L10" s="223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6" t="s">
        <v>427</v>
      </c>
      <c r="C3" s="227"/>
      <c r="F3" s="226" t="s">
        <v>428</v>
      </c>
      <c r="G3" s="227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2017-09-22T01:24:10Z</dcterms:modified>
</cp:coreProperties>
</file>
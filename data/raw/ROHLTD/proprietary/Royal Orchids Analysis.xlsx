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05" windowWidth="14805" windowHeight="8010" activeTab="4"/>
  </bookViews>
  <sheets>
    <sheet name="Industry Info" sheetId="1" r:id="rId1"/>
    <sheet name="BalanceSheet" sheetId="2" r:id="rId2"/>
    <sheet name="P&amp;L" sheetId="3" r:id="rId3"/>
    <sheet name="Comparison Ratio" sheetId="4" r:id="rId4"/>
    <sheet name="Conclusion" sheetId="5" r:id="rId5"/>
    <sheet name="Draft" sheetId="6" r:id="rId6"/>
  </sheets>
  <calcPr calcId="125725"/>
</workbook>
</file>

<file path=xl/calcChain.xml><?xml version="1.0" encoding="utf-8"?>
<calcChain xmlns="http://schemas.openxmlformats.org/spreadsheetml/2006/main">
  <c r="E22" i="3"/>
  <c r="H22"/>
  <c r="K22"/>
  <c r="E50"/>
  <c r="H50"/>
  <c r="K50"/>
  <c r="G10" i="4"/>
  <c r="J10"/>
  <c r="M10"/>
  <c r="G8"/>
  <c r="G11" s="1"/>
  <c r="J8"/>
  <c r="J11" s="1"/>
  <c r="M8"/>
  <c r="M11" s="1"/>
  <c r="G7"/>
  <c r="J7"/>
  <c r="M7"/>
  <c r="G6"/>
  <c r="J6"/>
  <c r="M6"/>
  <c r="O42"/>
  <c r="J45"/>
  <c r="N43"/>
  <c r="M43"/>
  <c r="M44" s="1"/>
  <c r="K43"/>
  <c r="J43"/>
  <c r="J44" s="1"/>
  <c r="N42"/>
  <c r="M42"/>
  <c r="L42"/>
  <c r="K42"/>
  <c r="J42"/>
  <c r="M36"/>
  <c r="J36"/>
  <c r="M35"/>
  <c r="J35"/>
  <c r="M34"/>
  <c r="J34"/>
  <c r="M33"/>
  <c r="J33"/>
  <c r="M32"/>
  <c r="J32"/>
  <c r="M27"/>
  <c r="J27"/>
  <c r="M26"/>
  <c r="J26"/>
  <c r="M25"/>
  <c r="J25"/>
  <c r="M24"/>
  <c r="J24"/>
  <c r="M19"/>
  <c r="J19"/>
  <c r="M18"/>
  <c r="J18"/>
  <c r="M17"/>
  <c r="J17"/>
  <c r="H53" i="3"/>
  <c r="I53"/>
  <c r="M62"/>
  <c r="H54"/>
  <c r="I54"/>
  <c r="K54"/>
  <c r="L54"/>
  <c r="H65"/>
  <c r="E53" s="1"/>
  <c r="E54" s="1"/>
  <c r="E65" s="1"/>
  <c r="I65"/>
  <c r="F53" s="1"/>
  <c r="F54" s="1"/>
  <c r="F65" s="1"/>
  <c r="K65"/>
  <c r="L65"/>
  <c r="L53"/>
  <c r="J62"/>
  <c r="M46"/>
  <c r="J46"/>
  <c r="L32"/>
  <c r="L22"/>
  <c r="L27" s="1"/>
  <c r="L36" s="1"/>
  <c r="L38" s="1"/>
  <c r="L49" s="1"/>
  <c r="M18"/>
  <c r="J18"/>
  <c r="M10"/>
  <c r="N26" s="1"/>
  <c r="J10"/>
  <c r="K31" s="1"/>
  <c r="L48" i="2"/>
  <c r="L51" s="1"/>
  <c r="M46"/>
  <c r="J46"/>
  <c r="M41"/>
  <c r="M48" s="1"/>
  <c r="J41"/>
  <c r="J48" s="1"/>
  <c r="M29"/>
  <c r="M31" s="1"/>
  <c r="J29"/>
  <c r="J31" s="1"/>
  <c r="J51" s="1"/>
  <c r="M18"/>
  <c r="J18"/>
  <c r="M13"/>
  <c r="M22" s="1"/>
  <c r="N20" s="1"/>
  <c r="J13"/>
  <c r="J22" s="1"/>
  <c r="D48" i="4"/>
  <c r="G48"/>
  <c r="G47"/>
  <c r="D47"/>
  <c r="D45"/>
  <c r="D46" s="1"/>
  <c r="E43"/>
  <c r="H43"/>
  <c r="E42"/>
  <c r="F42"/>
  <c r="G42"/>
  <c r="H42"/>
  <c r="D42"/>
  <c r="G36"/>
  <c r="G35"/>
  <c r="G34"/>
  <c r="G33"/>
  <c r="G32"/>
  <c r="D36"/>
  <c r="D34"/>
  <c r="D35"/>
  <c r="D33"/>
  <c r="D32"/>
  <c r="F32" i="3"/>
  <c r="G18" i="4"/>
  <c r="G17"/>
  <c r="D18"/>
  <c r="D17"/>
  <c r="D8"/>
  <c r="D9" s="1"/>
  <c r="D7"/>
  <c r="D6"/>
  <c r="J9" l="1"/>
  <c r="M9"/>
  <c r="G9"/>
  <c r="L71" i="3"/>
  <c r="N14"/>
  <c r="N15"/>
  <c r="N16"/>
  <c r="N17"/>
  <c r="K26"/>
  <c r="N31"/>
  <c r="K14"/>
  <c r="K15"/>
  <c r="K16"/>
  <c r="K17"/>
  <c r="J22"/>
  <c r="J27" s="1"/>
  <c r="J32" s="1"/>
  <c r="J36" s="1"/>
  <c r="J38" s="1"/>
  <c r="J49" s="1"/>
  <c r="M22"/>
  <c r="M27" s="1"/>
  <c r="M32" s="1"/>
  <c r="M36" s="1"/>
  <c r="M38" s="1"/>
  <c r="M49" s="1"/>
  <c r="M54" s="1"/>
  <c r="M65" s="1"/>
  <c r="J53" s="1"/>
  <c r="J54" s="1"/>
  <c r="J65" s="1"/>
  <c r="G53" s="1"/>
  <c r="G54" s="1"/>
  <c r="G65" s="1"/>
  <c r="D53" s="1"/>
  <c r="M51" i="2"/>
  <c r="K45"/>
  <c r="K44"/>
  <c r="K40"/>
  <c r="K39"/>
  <c r="K38"/>
  <c r="K37"/>
  <c r="K36"/>
  <c r="K33"/>
  <c r="K30"/>
  <c r="K28"/>
  <c r="K27"/>
  <c r="K48"/>
  <c r="K20"/>
  <c r="K16"/>
  <c r="K12"/>
  <c r="K11"/>
  <c r="K10"/>
  <c r="N45"/>
  <c r="N44"/>
  <c r="N40"/>
  <c r="N39"/>
  <c r="N38"/>
  <c r="N37"/>
  <c r="N36"/>
  <c r="N33"/>
  <c r="N30"/>
  <c r="N28"/>
  <c r="N27"/>
  <c r="N48"/>
  <c r="N10"/>
  <c r="N11"/>
  <c r="N12"/>
  <c r="N16"/>
  <c r="D11" i="4"/>
  <c r="K49" i="3" l="1"/>
  <c r="J71"/>
  <c r="M71"/>
  <c r="N49"/>
  <c r="N54" s="1"/>
  <c r="N65" s="1"/>
  <c r="K51" i="2"/>
  <c r="K22"/>
  <c r="N22"/>
  <c r="N51"/>
  <c r="G62" i="3"/>
  <c r="G46"/>
  <c r="F22"/>
  <c r="F27" s="1"/>
  <c r="F36" s="1"/>
  <c r="F38" s="1"/>
  <c r="F49" s="1"/>
  <c r="G18"/>
  <c r="D62"/>
  <c r="D46"/>
  <c r="D18"/>
  <c r="D10" i="4" s="1"/>
  <c r="G10" i="3"/>
  <c r="D10"/>
  <c r="I51" i="2"/>
  <c r="I48"/>
  <c r="E48"/>
  <c r="E51"/>
  <c r="E45"/>
  <c r="E44"/>
  <c r="E40"/>
  <c r="E39"/>
  <c r="E38"/>
  <c r="E37"/>
  <c r="E36"/>
  <c r="E33"/>
  <c r="E30"/>
  <c r="E28"/>
  <c r="E27"/>
  <c r="D51"/>
  <c r="C49"/>
  <c r="F48"/>
  <c r="F51" s="1"/>
  <c r="G48"/>
  <c r="G51" s="1"/>
  <c r="D48"/>
  <c r="G46"/>
  <c r="D46"/>
  <c r="G41"/>
  <c r="D41"/>
  <c r="G31"/>
  <c r="G29"/>
  <c r="D31"/>
  <c r="D29"/>
  <c r="E22"/>
  <c r="E20"/>
  <c r="E16"/>
  <c r="E12"/>
  <c r="E11"/>
  <c r="E10"/>
  <c r="G22"/>
  <c r="H20" s="1"/>
  <c r="D22"/>
  <c r="G18"/>
  <c r="D18"/>
  <c r="G13"/>
  <c r="D13"/>
  <c r="D22" i="3" l="1"/>
  <c r="E31"/>
  <c r="H17"/>
  <c r="H31"/>
  <c r="F71"/>
  <c r="G22"/>
  <c r="E14"/>
  <c r="E16"/>
  <c r="E26"/>
  <c r="H14"/>
  <c r="H16"/>
  <c r="H26"/>
  <c r="E15"/>
  <c r="E17"/>
  <c r="H15"/>
  <c r="H44" i="2"/>
  <c r="H39"/>
  <c r="H37"/>
  <c r="H33"/>
  <c r="H28"/>
  <c r="H38"/>
  <c r="H30"/>
  <c r="H45"/>
  <c r="H40"/>
  <c r="H36"/>
  <c r="H27"/>
  <c r="H48"/>
  <c r="H11"/>
  <c r="H16"/>
  <c r="H10"/>
  <c r="H22" s="1"/>
  <c r="H12"/>
  <c r="G27" i="3" l="1"/>
  <c r="G24" i="4"/>
  <c r="D27" i="3"/>
  <c r="D24" i="4"/>
  <c r="G32" i="3"/>
  <c r="G36" s="1"/>
  <c r="G38" s="1"/>
  <c r="G49" s="1"/>
  <c r="H51" i="2"/>
  <c r="G25" i="4" l="1"/>
  <c r="D27"/>
  <c r="D26"/>
  <c r="D19"/>
  <c r="D32" i="3"/>
  <c r="D36" s="1"/>
  <c r="D38" s="1"/>
  <c r="D49" s="1"/>
  <c r="D54" s="1"/>
  <c r="D65" s="1"/>
  <c r="G27" i="4"/>
  <c r="G26"/>
  <c r="G19"/>
  <c r="H49" i="3"/>
  <c r="G71"/>
  <c r="G43" i="4" s="1"/>
  <c r="G44" s="1"/>
  <c r="D25" l="1"/>
  <c r="D71" i="3"/>
  <c r="D43" i="4" s="1"/>
  <c r="D44" s="1"/>
  <c r="E49" i="3"/>
</calcChain>
</file>

<file path=xl/comments1.xml><?xml version="1.0" encoding="utf-8"?>
<comments xmlns="http://schemas.openxmlformats.org/spreadsheetml/2006/main">
  <authors>
    <author>Author</author>
  </authors>
  <commentList>
    <comment ref="B49" authorId="0">
      <text>
        <r>
          <rPr>
            <b/>
            <sz val="9"/>
            <color indexed="81"/>
            <rFont val="Tahoma"/>
            <family val="2"/>
          </rPr>
          <t>Author:</t>
        </r>
        <r>
          <rPr>
            <sz val="9"/>
            <color indexed="81"/>
            <rFont val="Tahoma"/>
            <family val="2"/>
          </rPr>
          <t xml:space="preserve">
Type Mistake - </t>
        </r>
      </text>
    </comment>
  </commentList>
</comments>
</file>

<file path=xl/comments2.xml><?xml version="1.0" encoding="utf-8"?>
<comments xmlns="http://schemas.openxmlformats.org/spreadsheetml/2006/main">
  <authors>
    <author>Author</author>
  </authors>
  <commentList>
    <comment ref="D47" authorId="0">
      <text>
        <r>
          <rPr>
            <b/>
            <sz val="9"/>
            <color indexed="81"/>
            <rFont val="Tahoma"/>
            <family val="2"/>
          </rPr>
          <t>Author:</t>
        </r>
        <r>
          <rPr>
            <sz val="9"/>
            <color indexed="81"/>
            <rFont val="Tahoma"/>
            <family val="2"/>
          </rPr>
          <t xml:space="preserve">
Approx.</t>
        </r>
      </text>
    </comment>
    <comment ref="G47" authorId="0">
      <text>
        <r>
          <rPr>
            <b/>
            <sz val="9"/>
            <color indexed="81"/>
            <rFont val="Tahoma"/>
            <family val="2"/>
          </rPr>
          <t xml:space="preserve">Author:
Approx.
</t>
        </r>
      </text>
    </comment>
    <comment ref="J47" authorId="0">
      <text>
        <r>
          <rPr>
            <b/>
            <sz val="9"/>
            <color indexed="81"/>
            <rFont val="Tahoma"/>
            <family val="2"/>
          </rPr>
          <t>Author:</t>
        </r>
        <r>
          <rPr>
            <sz val="9"/>
            <color indexed="81"/>
            <rFont val="Tahoma"/>
            <family val="2"/>
          </rPr>
          <t xml:space="preserve">
Approx.</t>
        </r>
      </text>
    </comment>
    <comment ref="M47" authorId="0">
      <text>
        <r>
          <rPr>
            <b/>
            <sz val="9"/>
            <color indexed="81"/>
            <rFont val="Tahoma"/>
            <family val="2"/>
          </rPr>
          <t xml:space="preserve">Author:
Approx.
</t>
        </r>
      </text>
    </comment>
    <comment ref="D48" authorId="0">
      <text>
        <r>
          <rPr>
            <b/>
            <sz val="9"/>
            <color indexed="81"/>
            <rFont val="Tahoma"/>
            <family val="2"/>
          </rPr>
          <t>Author:</t>
        </r>
        <r>
          <rPr>
            <sz val="9"/>
            <color indexed="81"/>
            <rFont val="Tahoma"/>
            <family val="2"/>
          </rPr>
          <t xml:space="preserve">
Approx.</t>
        </r>
      </text>
    </comment>
    <comment ref="G48" authorId="0">
      <text>
        <r>
          <rPr>
            <b/>
            <sz val="9"/>
            <color indexed="81"/>
            <rFont val="Tahoma"/>
            <family val="2"/>
          </rPr>
          <t>Author:</t>
        </r>
        <r>
          <rPr>
            <sz val="9"/>
            <color indexed="81"/>
            <rFont val="Tahoma"/>
            <family val="2"/>
          </rPr>
          <t xml:space="preserve">
Approx.</t>
        </r>
      </text>
    </comment>
    <comment ref="J48" authorId="0">
      <text>
        <r>
          <rPr>
            <b/>
            <sz val="9"/>
            <color indexed="81"/>
            <rFont val="Tahoma"/>
            <family val="2"/>
          </rPr>
          <t>Author:</t>
        </r>
        <r>
          <rPr>
            <sz val="9"/>
            <color indexed="81"/>
            <rFont val="Tahoma"/>
            <family val="2"/>
          </rPr>
          <t xml:space="preserve">
Approx.</t>
        </r>
      </text>
    </comment>
    <comment ref="M48" authorId="0">
      <text>
        <r>
          <rPr>
            <b/>
            <sz val="9"/>
            <color indexed="81"/>
            <rFont val="Tahoma"/>
            <family val="2"/>
          </rPr>
          <t>Author:</t>
        </r>
        <r>
          <rPr>
            <sz val="9"/>
            <color indexed="81"/>
            <rFont val="Tahoma"/>
            <family val="2"/>
          </rPr>
          <t xml:space="preserve">
Approx.</t>
        </r>
      </text>
    </comment>
  </commentList>
</comments>
</file>

<file path=xl/sharedStrings.xml><?xml version="1.0" encoding="utf-8"?>
<sst xmlns="http://schemas.openxmlformats.org/spreadsheetml/2006/main" count="176" uniqueCount="160">
  <si>
    <t>Hotel Industry</t>
  </si>
  <si>
    <t xml:space="preserve">&gt; Industry is very much dependent on Domestic and International Tourism.
&gt; Very much volatile as per economy conditions - Industry booms during econmic boom and during Slowdown/recession industry suffers.
&gt; With average 6-9% GDP growth for last 5yrs and continued to grow in same line for another few year resulted in increased disposable income and higher demand for better, improved services in hospitality sector. Especially demand for luxury and affordable hotels is increasing steadily.
&gt; </t>
  </si>
  <si>
    <t>Observation:</t>
  </si>
  <si>
    <t>EPS came down</t>
  </si>
  <si>
    <t>Debt component (in 2009) increased for expansion purpose.</t>
  </si>
  <si>
    <t>Independent Director - Mr Jaithirth Rao not attending all AGM meeting - What to Infer?</t>
  </si>
  <si>
    <t>No transactions occurred in investments</t>
  </si>
  <si>
    <t>For all loans, Owner has given personal gurantee</t>
  </si>
  <si>
    <t>Although Gross profit increased but due to higher depreciation net profit margin came down.</t>
  </si>
  <si>
    <t>Short term corporate loan is utilized for house construction.</t>
  </si>
  <si>
    <t>From next year onwards, Interest will be added for new short term loan which would further reduce the net profit margin.</t>
  </si>
  <si>
    <t>Management And technical fee is recognized as Income</t>
  </si>
  <si>
    <t>Other income is improving the margin</t>
  </si>
  <si>
    <t>Description</t>
  </si>
  <si>
    <t>Source of Funds</t>
  </si>
  <si>
    <t>Shareholder funds</t>
  </si>
  <si>
    <t>Capital</t>
  </si>
  <si>
    <t>Reserves and Surplus</t>
  </si>
  <si>
    <t>Employee Stock options outstanding Account</t>
  </si>
  <si>
    <t>31-Mar, 2009</t>
  </si>
  <si>
    <t>31-Mar, 2008</t>
  </si>
  <si>
    <t>Loan Funds</t>
  </si>
  <si>
    <t>Secured Loans</t>
  </si>
  <si>
    <t>Un-Secured Loans</t>
  </si>
  <si>
    <t>-</t>
  </si>
  <si>
    <t>Deferred Tax Liability</t>
  </si>
  <si>
    <t>Total</t>
  </si>
  <si>
    <t>Application of Funds</t>
  </si>
  <si>
    <t>Fixed Assets</t>
  </si>
  <si>
    <t>Gross Block</t>
  </si>
  <si>
    <t>Less: Accumulated Depreciation/Amortization</t>
  </si>
  <si>
    <t>Net Block</t>
  </si>
  <si>
    <t>Capital - WIP (including capital Advance)</t>
  </si>
  <si>
    <t>Sch</t>
  </si>
  <si>
    <t>Investments</t>
  </si>
  <si>
    <t>Current Assets, Loans and Advances</t>
  </si>
  <si>
    <t>Inventories</t>
  </si>
  <si>
    <t>Sundry Debtors</t>
  </si>
  <si>
    <t>Unbilled Revenue</t>
  </si>
  <si>
    <t>Cash and Bank Balance</t>
  </si>
  <si>
    <t>Loans and Advances</t>
  </si>
  <si>
    <r>
      <rPr>
        <b/>
        <i/>
        <sz val="11"/>
        <color theme="1"/>
        <rFont val="Calibri"/>
        <family val="2"/>
        <scheme val="minor"/>
      </rPr>
      <t>Less:</t>
    </r>
    <r>
      <rPr>
        <b/>
        <sz val="11"/>
        <color theme="1"/>
        <rFont val="Calibri"/>
        <family val="2"/>
        <scheme val="minor"/>
      </rPr>
      <t xml:space="preserve"> Current Liability and Provisions</t>
    </r>
  </si>
  <si>
    <t>Liability</t>
  </si>
  <si>
    <t>Provisions</t>
  </si>
  <si>
    <t>Net Current Assets</t>
  </si>
  <si>
    <t>Total Assets</t>
  </si>
  <si>
    <t>Income</t>
  </si>
  <si>
    <t>Operating Income</t>
  </si>
  <si>
    <t>Other Income</t>
  </si>
  <si>
    <t>Expenditure</t>
  </si>
  <si>
    <t>Food and Beverages Consumed</t>
  </si>
  <si>
    <t>Employee Costs</t>
  </si>
  <si>
    <t>Other Operating Expenses</t>
  </si>
  <si>
    <t>Selling, General and Adminstrative Expenses</t>
  </si>
  <si>
    <t>Total Income (Gross Income)</t>
  </si>
  <si>
    <t>Total Expense</t>
  </si>
  <si>
    <t>Earnings Before Interest, Depreciation, Tax</t>
  </si>
  <si>
    <t>Earnings Before Interest, Tax</t>
  </si>
  <si>
    <t>Depreciation/Amortization</t>
  </si>
  <si>
    <t>Earnings Before Interest, Tax (EBIT)</t>
  </si>
  <si>
    <t>Profit Before Tax and Prior Period Items</t>
  </si>
  <si>
    <t>Prior Period Income</t>
  </si>
  <si>
    <t>Profit After Tax and Prior Period Items</t>
  </si>
  <si>
    <t>PBT with and without Prior Period Items</t>
  </si>
  <si>
    <t>Provision for Income Tax</t>
  </si>
  <si>
    <t>Current Tax</t>
  </si>
  <si>
    <t>Fringe Benefit Tax</t>
  </si>
  <si>
    <t>Prior Years Taxes</t>
  </si>
  <si>
    <t>Deferred Tax charge</t>
  </si>
  <si>
    <t>Appropriations</t>
  </si>
  <si>
    <t>Proposed Dividend</t>
  </si>
  <si>
    <t>Dividend Tax</t>
  </si>
  <si>
    <t>Transfer to General Reserve</t>
  </si>
  <si>
    <t>Profit or Loss Carried to Balance Sheet</t>
  </si>
  <si>
    <t>Profit After Tax - PAT</t>
  </si>
  <si>
    <t>Number of Basic Shares</t>
  </si>
  <si>
    <t>Number of Diluted Shares</t>
  </si>
  <si>
    <t>Earnings Per Share - Basic</t>
  </si>
  <si>
    <t>Earnings Per Share - Diluted</t>
  </si>
  <si>
    <t>Ratio</t>
  </si>
  <si>
    <t>Liquidity Ratios</t>
  </si>
  <si>
    <t>Current Ratio</t>
  </si>
  <si>
    <t>Acid Test (Quick Ratio)</t>
  </si>
  <si>
    <t>Turnover Ratio</t>
  </si>
  <si>
    <t>Leverage Ratio</t>
  </si>
  <si>
    <t>Profitability Ratio</t>
  </si>
  <si>
    <t>Market Indicators</t>
  </si>
  <si>
    <t>Ideal Value</t>
  </si>
  <si>
    <t>Remark</t>
  </si>
  <si>
    <t>Will Unbilled revenue be added here - ?</t>
  </si>
  <si>
    <r>
      <t xml:space="preserve">Avg Per day Sales - </t>
    </r>
    <r>
      <rPr>
        <i/>
        <sz val="11"/>
        <color theme="1"/>
        <rFont val="Calibri"/>
        <family val="2"/>
        <scheme val="minor"/>
      </rPr>
      <t>360 days in million</t>
    </r>
  </si>
  <si>
    <r>
      <t>Cost of Goods Sales per Day -</t>
    </r>
    <r>
      <rPr>
        <i/>
        <sz val="11"/>
        <color theme="1"/>
        <rFont val="Calibri"/>
        <family val="2"/>
        <scheme val="minor"/>
      </rPr>
      <t xml:space="preserve"> 360 days in million</t>
    </r>
  </si>
  <si>
    <t>Whether Depreciation needs to be added here - ?</t>
  </si>
  <si>
    <t>Debt to Equity Ratio</t>
  </si>
  <si>
    <t>Financial Leverage Ratio</t>
  </si>
  <si>
    <t>Debt to Capitalization Ratio</t>
  </si>
  <si>
    <t>Times Interest Earned</t>
  </si>
  <si>
    <t>Earnings Before Tax</t>
  </si>
  <si>
    <t>Interest</t>
  </si>
  <si>
    <t>Profit Before Tax  - PBT</t>
  </si>
  <si>
    <t>Gross Margin</t>
  </si>
  <si>
    <t>Net Profit</t>
  </si>
  <si>
    <t>Return on Investment (ROI)</t>
  </si>
  <si>
    <t>Return on Equity (ROE)</t>
  </si>
  <si>
    <t>For profit margin calculation, whether other source of income will be considered</t>
  </si>
  <si>
    <t>same as above</t>
  </si>
  <si>
    <t>Do we need to consider DTL for calculating Shareholder funds</t>
  </si>
  <si>
    <t>Avg Inventory Holding Period (Stock Velocity) in days</t>
  </si>
  <si>
    <t>Avg Collection Period (Debtors Collection Period) in days</t>
  </si>
  <si>
    <t>Inventory Turnover</t>
  </si>
  <si>
    <t>Fixed Asset Turnover</t>
  </si>
  <si>
    <t>Total Asset Turnover</t>
  </si>
  <si>
    <t>Current Asset Turnover</t>
  </si>
  <si>
    <t>Will other source of income will be considered - ?</t>
  </si>
  <si>
    <t>Here Entire Asset is added or just FA and CA - Investment</t>
  </si>
  <si>
    <t>Whether Net Sales or COGS required to use for Inventory Turnover</t>
  </si>
  <si>
    <t xml:space="preserve">Cash Turnover Ratio - Cash Velocity </t>
  </si>
  <si>
    <t>Book Value</t>
  </si>
  <si>
    <r>
      <t xml:space="preserve">Price Earning Ratio, </t>
    </r>
    <r>
      <rPr>
        <i/>
        <sz val="11"/>
        <color theme="1"/>
        <rFont val="Calibri"/>
        <family val="2"/>
        <scheme val="minor"/>
      </rPr>
      <t>Assume current Share price as Rs85</t>
    </r>
  </si>
  <si>
    <r>
      <t xml:space="preserve">Market to Book value, </t>
    </r>
    <r>
      <rPr>
        <i/>
        <sz val="11"/>
        <color theme="1"/>
        <rFont val="Calibri"/>
        <family val="2"/>
        <scheme val="minor"/>
      </rPr>
      <t>Assume current Share price as Rs85</t>
    </r>
  </si>
  <si>
    <t>Dividend Yield</t>
  </si>
  <si>
    <t>Yield</t>
  </si>
  <si>
    <t>EPS - Basic</t>
  </si>
  <si>
    <t>EPS - Dilute</t>
  </si>
  <si>
    <t>How its calculated</t>
  </si>
  <si>
    <t>Calculated with current Mkt and closing date price</t>
  </si>
  <si>
    <t>31-Mar, 2007</t>
  </si>
  <si>
    <t>31-Mar, 2006</t>
  </si>
  <si>
    <t>Balance brought forward from Prev year</t>
  </si>
  <si>
    <t>Ammount available for Appropriations</t>
  </si>
  <si>
    <t>Bonus Shares issued</t>
  </si>
  <si>
    <t>PAT - YOY change</t>
  </si>
  <si>
    <t>Gross Profit (EBITDA) with YOY change</t>
  </si>
  <si>
    <t>Severe affect of slowdown can be observed in hotel industry. Sharp decline in Earnings, EBIT, PAT.</t>
  </si>
  <si>
    <t>Usually, Hotel Industry goes in tandem with economy boom and dull phase. And its affect is clearly visible in companies performance.</t>
  </si>
  <si>
    <t>S.no</t>
  </si>
  <si>
    <t>Observation</t>
  </si>
  <si>
    <t>Down</t>
  </si>
  <si>
    <t>Conclusion</t>
  </si>
  <si>
    <t>Huge cash reserve in bank, which is not judicially used</t>
  </si>
  <si>
    <t>No Transaction were done in investment. Investment could have been used as hedging during slowdown for improving the margin</t>
  </si>
  <si>
    <t>Indicator/Remark</t>
  </si>
  <si>
    <t>Due to interest, PBT will be under pressure. If sales are improved due to expansion, PBT may improve</t>
  </si>
  <si>
    <t>Not Properly Managed</t>
  </si>
  <si>
    <t>Based on demand pick-up</t>
  </si>
  <si>
    <t>Questions/Clarifications</t>
  </si>
  <si>
    <t>How Balance sheet can have Typo mistake-? Yr 2009 has some minor error with respect to Rs 3L</t>
  </si>
  <si>
    <t>Higher dividend is declared in Yr 2008. Company could have added more retained earnings so that Loan component could have been reduced</t>
  </si>
  <si>
    <t>For All loans, promoter has given personal guaranty</t>
  </si>
  <si>
    <t>Short term corporate loan is utilized for Hotel construction, which can be renewed after one yr</t>
  </si>
  <si>
    <t>Strange</t>
  </si>
  <si>
    <t>However, Company is using slow down for expansion in Hyderabad with debt money of Rs30Cr.</t>
  </si>
  <si>
    <t>1project expected to complete in Dec, 2009 and another 2 Projects are expected to complete by end of 2010. So there is fair possibility of margin improving in future.</t>
  </si>
  <si>
    <t>Outlooks looks good provided demand picksup</t>
  </si>
  <si>
    <t>For ROI, Do we need to consider DTL - ?</t>
  </si>
  <si>
    <t>Will unbilled revenue be added to calculate Quick ratio - ?</t>
  </si>
  <si>
    <t>For COGS, whether depreciation will be taken into account - ?</t>
  </si>
  <si>
    <t>For Gross Profit Margin, whether other source of income is considered - ?</t>
  </si>
  <si>
    <t>Asset Turnover, whether Total Assets includes investments as well - ?</t>
  </si>
  <si>
    <t>calulation of Book value - ?</t>
  </si>
</sst>
</file>

<file path=xl/styles.xml><?xml version="1.0" encoding="utf-8"?>
<styleSheet xmlns="http://schemas.openxmlformats.org/spreadsheetml/2006/main">
  <numFmts count="1">
    <numFmt numFmtId="164" formatCode="#,##0.000_);[Red]\(#,##0.000\)"/>
  </numFmts>
  <fonts count="9">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i/>
      <sz val="11"/>
      <color theme="1"/>
      <name val="Calibri"/>
      <family val="2"/>
      <scheme val="minor"/>
    </font>
    <font>
      <b/>
      <i/>
      <sz val="11"/>
      <color theme="1"/>
      <name val="Calibri"/>
      <family val="2"/>
      <scheme val="minor"/>
    </font>
    <font>
      <sz val="9"/>
      <color indexed="81"/>
      <name val="Tahoma"/>
      <family val="2"/>
    </font>
    <font>
      <b/>
      <sz val="9"/>
      <color indexed="81"/>
      <name val="Tahoma"/>
      <family val="2"/>
    </font>
    <font>
      <b/>
      <sz val="11"/>
      <color rgb="FFFF0000"/>
      <name val="Calibri"/>
      <family val="2"/>
      <scheme val="minor"/>
    </font>
  </fonts>
  <fills count="9">
    <fill>
      <patternFill patternType="none"/>
    </fill>
    <fill>
      <patternFill patternType="gray125"/>
    </fill>
    <fill>
      <patternFill patternType="solid">
        <fgColor theme="2" tint="-0.499984740745262"/>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66">
    <xf numFmtId="0" fontId="0" fillId="0" borderId="0" xfId="0"/>
    <xf numFmtId="0" fontId="0" fillId="0" borderId="0" xfId="0" applyAlignment="1">
      <alignment horizontal="center"/>
    </xf>
    <xf numFmtId="0" fontId="1" fillId="0" borderId="0" xfId="0" applyFont="1"/>
    <xf numFmtId="0" fontId="0" fillId="0" borderId="9" xfId="0" applyBorder="1"/>
    <xf numFmtId="0" fontId="0" fillId="0" borderId="9" xfId="0" applyBorder="1" applyAlignment="1">
      <alignment horizontal="center"/>
    </xf>
    <xf numFmtId="0" fontId="1" fillId="0" borderId="0" xfId="0" applyFont="1" applyAlignment="1">
      <alignment horizontal="left"/>
    </xf>
    <xf numFmtId="38" fontId="0" fillId="0" borderId="0" xfId="0" applyNumberFormat="1"/>
    <xf numFmtId="10" fontId="0" fillId="0" borderId="0" xfId="1" applyNumberFormat="1" applyFont="1"/>
    <xf numFmtId="38" fontId="0" fillId="0" borderId="9" xfId="0" applyNumberFormat="1" applyBorder="1"/>
    <xf numFmtId="10" fontId="0" fillId="0" borderId="9" xfId="1" applyNumberFormat="1" applyFont="1" applyBorder="1"/>
    <xf numFmtId="0" fontId="1" fillId="0" borderId="9" xfId="0" applyFont="1" applyBorder="1"/>
    <xf numFmtId="38" fontId="1" fillId="0" borderId="9" xfId="0" applyNumberFormat="1" applyFont="1" applyBorder="1"/>
    <xf numFmtId="10" fontId="1" fillId="0" borderId="9" xfId="1" applyNumberFormat="1" applyFont="1" applyBorder="1"/>
    <xf numFmtId="0" fontId="1" fillId="2" borderId="9" xfId="0" applyFont="1" applyFill="1" applyBorder="1"/>
    <xf numFmtId="0" fontId="1" fillId="3" borderId="9" xfId="0" applyFont="1" applyFill="1" applyBorder="1"/>
    <xf numFmtId="0" fontId="1" fillId="4" borderId="9" xfId="0" applyFont="1" applyFill="1" applyBorder="1" applyAlignment="1">
      <alignment horizontal="center"/>
    </xf>
    <xf numFmtId="0" fontId="1" fillId="4" borderId="9" xfId="0" applyFont="1" applyFill="1" applyBorder="1" applyAlignment="1">
      <alignment horizontal="center"/>
    </xf>
    <xf numFmtId="0" fontId="1" fillId="5" borderId="9" xfId="0" applyFont="1" applyFill="1" applyBorder="1" applyAlignment="1">
      <alignment horizontal="center"/>
    </xf>
    <xf numFmtId="10" fontId="0" fillId="5" borderId="9" xfId="1" applyNumberFormat="1" applyFont="1" applyFill="1" applyBorder="1"/>
    <xf numFmtId="10" fontId="1" fillId="5" borderId="9" xfId="1" applyNumberFormat="1" applyFont="1" applyFill="1" applyBorder="1"/>
    <xf numFmtId="38" fontId="1" fillId="3" borderId="9" xfId="0" applyNumberFormat="1" applyFont="1" applyFill="1" applyBorder="1"/>
    <xf numFmtId="10" fontId="1" fillId="3" borderId="9" xfId="1" applyNumberFormat="1" applyFont="1" applyFill="1" applyBorder="1"/>
    <xf numFmtId="0" fontId="4" fillId="0" borderId="9" xfId="0" applyFont="1" applyBorder="1"/>
    <xf numFmtId="0" fontId="3" fillId="0" borderId="9" xfId="0" applyFont="1" applyBorder="1"/>
    <xf numFmtId="38" fontId="3" fillId="0" borderId="9" xfId="0" applyNumberFormat="1" applyFont="1" applyBorder="1"/>
    <xf numFmtId="38" fontId="1" fillId="5" borderId="9" xfId="0" applyNumberFormat="1" applyFont="1" applyFill="1" applyBorder="1"/>
    <xf numFmtId="0" fontId="1" fillId="5" borderId="9" xfId="0" applyFont="1" applyFill="1" applyBorder="1"/>
    <xf numFmtId="10" fontId="1" fillId="3" borderId="9" xfId="0" applyNumberFormat="1" applyFont="1" applyFill="1" applyBorder="1"/>
    <xf numFmtId="10" fontId="3" fillId="0" borderId="9" xfId="1" applyNumberFormat="1" applyFont="1" applyBorder="1"/>
    <xf numFmtId="0" fontId="0" fillId="0" borderId="9" xfId="0" applyFont="1" applyBorder="1"/>
    <xf numFmtId="38" fontId="0" fillId="0" borderId="9" xfId="0" applyNumberFormat="1" applyFont="1" applyBorder="1"/>
    <xf numFmtId="0" fontId="0" fillId="0" borderId="9" xfId="0" applyFont="1" applyFill="1" applyBorder="1"/>
    <xf numFmtId="38" fontId="1" fillId="0" borderId="9" xfId="0" applyNumberFormat="1" applyFont="1" applyFill="1" applyBorder="1"/>
    <xf numFmtId="164" fontId="0" fillId="0" borderId="9" xfId="0" applyNumberFormat="1" applyBorder="1"/>
    <xf numFmtId="10" fontId="2" fillId="0" borderId="9" xfId="1" applyNumberFormat="1" applyFont="1" applyBorder="1"/>
    <xf numFmtId="164" fontId="0" fillId="5" borderId="9" xfId="0" applyNumberFormat="1" applyFill="1" applyBorder="1"/>
    <xf numFmtId="10" fontId="2" fillId="0" borderId="9" xfId="1" applyNumberFormat="1" applyFont="1" applyFill="1" applyBorder="1"/>
    <xf numFmtId="0" fontId="0" fillId="0" borderId="9" xfId="0" applyBorder="1" applyAlignment="1">
      <alignment horizontal="left" vertical="center" wrapText="1"/>
    </xf>
    <xf numFmtId="40" fontId="0" fillId="0" borderId="9" xfId="0" applyNumberFormat="1" applyBorder="1" applyAlignment="1">
      <alignment horizontal="center"/>
    </xf>
    <xf numFmtId="40" fontId="0" fillId="0" borderId="0" xfId="0" applyNumberFormat="1" applyAlignment="1">
      <alignment horizontal="center"/>
    </xf>
    <xf numFmtId="0" fontId="0" fillId="5" borderId="9" xfId="0" applyFill="1" applyBorder="1"/>
    <xf numFmtId="40" fontId="0" fillId="5" borderId="9" xfId="0" applyNumberFormat="1" applyFill="1" applyBorder="1" applyAlignment="1">
      <alignment horizontal="center"/>
    </xf>
    <xf numFmtId="10" fontId="0" fillId="0" borderId="9" xfId="1" applyNumberFormat="1" applyFont="1" applyBorder="1" applyAlignment="1">
      <alignment horizontal="center"/>
    </xf>
    <xf numFmtId="0" fontId="0" fillId="0" borderId="9" xfId="0" applyFill="1" applyBorder="1"/>
    <xf numFmtId="10" fontId="0" fillId="5" borderId="9" xfId="1" applyNumberFormat="1" applyFont="1" applyFill="1" applyBorder="1" applyAlignment="1">
      <alignment horizontal="center"/>
    </xf>
    <xf numFmtId="40" fontId="0" fillId="0" borderId="9" xfId="0" quotePrefix="1" applyNumberFormat="1" applyBorder="1" applyAlignment="1">
      <alignment horizontal="center"/>
    </xf>
    <xf numFmtId="40" fontId="0" fillId="5" borderId="9" xfId="0" quotePrefix="1" applyNumberFormat="1" applyFill="1" applyBorder="1" applyAlignment="1">
      <alignment horizontal="center"/>
    </xf>
    <xf numFmtId="2" fontId="0" fillId="0" borderId="9" xfId="1" applyNumberFormat="1" applyFont="1" applyBorder="1" applyAlignment="1">
      <alignment horizontal="center"/>
    </xf>
    <xf numFmtId="0" fontId="0" fillId="0" borderId="1"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0"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1" fillId="4" borderId="9" xfId="0" applyFont="1" applyFill="1" applyBorder="1" applyAlignment="1">
      <alignment horizontal="center"/>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6" borderId="9" xfId="0" applyFont="1" applyFill="1" applyBorder="1" applyAlignment="1">
      <alignment horizontal="center"/>
    </xf>
    <xf numFmtId="10" fontId="8" fillId="3" borderId="9" xfId="1" applyNumberFormat="1" applyFont="1" applyFill="1" applyBorder="1"/>
    <xf numFmtId="0" fontId="0" fillId="0" borderId="9" xfId="0" applyBorder="1" applyAlignment="1">
      <alignment horizontal="left" vertical="top" wrapText="1"/>
    </xf>
    <xf numFmtId="0" fontId="1" fillId="7" borderId="9" xfId="0" applyFont="1" applyFill="1" applyBorder="1" applyAlignment="1">
      <alignment horizontal="center"/>
    </xf>
    <xf numFmtId="0" fontId="0" fillId="6" borderId="9" xfId="0" applyFont="1" applyFill="1" applyBorder="1"/>
    <xf numFmtId="0" fontId="0" fillId="8" borderId="9" xfId="0" applyFill="1" applyBorder="1" applyAlignment="1">
      <alignment horizontal="left" vertical="top" wrapText="1"/>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B3:J22"/>
  <sheetViews>
    <sheetView workbookViewId="0">
      <selection activeCell="B23" sqref="B23"/>
    </sheetView>
  </sheetViews>
  <sheetFormatPr defaultRowHeight="15"/>
  <sheetData>
    <row r="3" spans="2:10" ht="15.75" thickBot="1">
      <c r="B3" s="2" t="s">
        <v>0</v>
      </c>
      <c r="C3" s="2"/>
    </row>
    <row r="4" spans="2:10">
      <c r="B4" s="48" t="s">
        <v>1</v>
      </c>
      <c r="C4" s="49"/>
      <c r="D4" s="49"/>
      <c r="E4" s="49"/>
      <c r="F4" s="49"/>
      <c r="G4" s="49"/>
      <c r="H4" s="49"/>
      <c r="I4" s="49"/>
      <c r="J4" s="50"/>
    </row>
    <row r="5" spans="2:10">
      <c r="B5" s="51"/>
      <c r="C5" s="52"/>
      <c r="D5" s="52"/>
      <c r="E5" s="52"/>
      <c r="F5" s="52"/>
      <c r="G5" s="52"/>
      <c r="H5" s="52"/>
      <c r="I5" s="52"/>
      <c r="J5" s="53"/>
    </row>
    <row r="6" spans="2:10">
      <c r="B6" s="51"/>
      <c r="C6" s="52"/>
      <c r="D6" s="52"/>
      <c r="E6" s="52"/>
      <c r="F6" s="52"/>
      <c r="G6" s="52"/>
      <c r="H6" s="52"/>
      <c r="I6" s="52"/>
      <c r="J6" s="53"/>
    </row>
    <row r="7" spans="2:10">
      <c r="B7" s="51"/>
      <c r="C7" s="52"/>
      <c r="D7" s="52"/>
      <c r="E7" s="52"/>
      <c r="F7" s="52"/>
      <c r="G7" s="52"/>
      <c r="H7" s="52"/>
      <c r="I7" s="52"/>
      <c r="J7" s="53"/>
    </row>
    <row r="8" spans="2:10">
      <c r="B8" s="51"/>
      <c r="C8" s="52"/>
      <c r="D8" s="52"/>
      <c r="E8" s="52"/>
      <c r="F8" s="52"/>
      <c r="G8" s="52"/>
      <c r="H8" s="52"/>
      <c r="I8" s="52"/>
      <c r="J8" s="53"/>
    </row>
    <row r="9" spans="2:10">
      <c r="B9" s="51"/>
      <c r="C9" s="52"/>
      <c r="D9" s="52"/>
      <c r="E9" s="52"/>
      <c r="F9" s="52"/>
      <c r="G9" s="52"/>
      <c r="H9" s="52"/>
      <c r="I9" s="52"/>
      <c r="J9" s="53"/>
    </row>
    <row r="10" spans="2:10">
      <c r="B10" s="51"/>
      <c r="C10" s="52"/>
      <c r="D10" s="52"/>
      <c r="E10" s="52"/>
      <c r="F10" s="52"/>
      <c r="G10" s="52"/>
      <c r="H10" s="52"/>
      <c r="I10" s="52"/>
      <c r="J10" s="53"/>
    </row>
    <row r="11" spans="2:10">
      <c r="B11" s="51"/>
      <c r="C11" s="52"/>
      <c r="D11" s="52"/>
      <c r="E11" s="52"/>
      <c r="F11" s="52"/>
      <c r="G11" s="52"/>
      <c r="H11" s="52"/>
      <c r="I11" s="52"/>
      <c r="J11" s="53"/>
    </row>
    <row r="12" spans="2:10">
      <c r="B12" s="51"/>
      <c r="C12" s="52"/>
      <c r="D12" s="52"/>
      <c r="E12" s="52"/>
      <c r="F12" s="52"/>
      <c r="G12" s="52"/>
      <c r="H12" s="52"/>
      <c r="I12" s="52"/>
      <c r="J12" s="53"/>
    </row>
    <row r="13" spans="2:10">
      <c r="B13" s="51"/>
      <c r="C13" s="52"/>
      <c r="D13" s="52"/>
      <c r="E13" s="52"/>
      <c r="F13" s="52"/>
      <c r="G13" s="52"/>
      <c r="H13" s="52"/>
      <c r="I13" s="52"/>
      <c r="J13" s="53"/>
    </row>
    <row r="14" spans="2:10">
      <c r="B14" s="51"/>
      <c r="C14" s="52"/>
      <c r="D14" s="52"/>
      <c r="E14" s="52"/>
      <c r="F14" s="52"/>
      <c r="G14" s="52"/>
      <c r="H14" s="52"/>
      <c r="I14" s="52"/>
      <c r="J14" s="53"/>
    </row>
    <row r="15" spans="2:10">
      <c r="B15" s="51"/>
      <c r="C15" s="52"/>
      <c r="D15" s="52"/>
      <c r="E15" s="52"/>
      <c r="F15" s="52"/>
      <c r="G15" s="52"/>
      <c r="H15" s="52"/>
      <c r="I15" s="52"/>
      <c r="J15" s="53"/>
    </row>
    <row r="16" spans="2:10">
      <c r="B16" s="51"/>
      <c r="C16" s="52"/>
      <c r="D16" s="52"/>
      <c r="E16" s="52"/>
      <c r="F16" s="52"/>
      <c r="G16" s="52"/>
      <c r="H16" s="52"/>
      <c r="I16" s="52"/>
      <c r="J16" s="53"/>
    </row>
    <row r="17" spans="2:10">
      <c r="B17" s="51"/>
      <c r="C17" s="52"/>
      <c r="D17" s="52"/>
      <c r="E17" s="52"/>
      <c r="F17" s="52"/>
      <c r="G17" s="52"/>
      <c r="H17" s="52"/>
      <c r="I17" s="52"/>
      <c r="J17" s="53"/>
    </row>
    <row r="18" spans="2:10">
      <c r="B18" s="51"/>
      <c r="C18" s="52"/>
      <c r="D18" s="52"/>
      <c r="E18" s="52"/>
      <c r="F18" s="52"/>
      <c r="G18" s="52"/>
      <c r="H18" s="52"/>
      <c r="I18" s="52"/>
      <c r="J18" s="53"/>
    </row>
    <row r="19" spans="2:10">
      <c r="B19" s="51"/>
      <c r="C19" s="52"/>
      <c r="D19" s="52"/>
      <c r="E19" s="52"/>
      <c r="F19" s="52"/>
      <c r="G19" s="52"/>
      <c r="H19" s="52"/>
      <c r="I19" s="52"/>
      <c r="J19" s="53"/>
    </row>
    <row r="20" spans="2:10">
      <c r="B20" s="51"/>
      <c r="C20" s="52"/>
      <c r="D20" s="52"/>
      <c r="E20" s="52"/>
      <c r="F20" s="52"/>
      <c r="G20" s="52"/>
      <c r="H20" s="52"/>
      <c r="I20" s="52"/>
      <c r="J20" s="53"/>
    </row>
    <row r="21" spans="2:10">
      <c r="B21" s="51"/>
      <c r="C21" s="52"/>
      <c r="D21" s="52"/>
      <c r="E21" s="52"/>
      <c r="F21" s="52"/>
      <c r="G21" s="52"/>
      <c r="H21" s="52"/>
      <c r="I21" s="52"/>
      <c r="J21" s="53"/>
    </row>
    <row r="22" spans="2:10" ht="15.75" thickBot="1">
      <c r="B22" s="54"/>
      <c r="C22" s="55"/>
      <c r="D22" s="55"/>
      <c r="E22" s="55"/>
      <c r="F22" s="55"/>
      <c r="G22" s="55"/>
      <c r="H22" s="55"/>
      <c r="I22" s="55"/>
      <c r="J22" s="56"/>
    </row>
  </sheetData>
  <mergeCells count="1">
    <mergeCell ref="B4:J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B5:N133"/>
  <sheetViews>
    <sheetView topLeftCell="A37" workbookViewId="0">
      <selection activeCell="E10" sqref="E10"/>
    </sheetView>
  </sheetViews>
  <sheetFormatPr defaultRowHeight="15"/>
  <cols>
    <col min="2" max="2" width="41.7109375" bestFit="1" customWidth="1"/>
    <col min="3" max="3" width="8.28515625" bestFit="1" customWidth="1"/>
    <col min="4" max="4" width="13.5703125" style="6" bestFit="1" customWidth="1"/>
    <col min="5" max="5" width="9.140625" style="7"/>
    <col min="6" max="6" width="1.28515625" style="7" customWidth="1"/>
    <col min="7" max="7" width="13.5703125" style="6" bestFit="1" customWidth="1"/>
    <col min="8" max="8" width="9.140625" style="7"/>
    <col min="9" max="9" width="1.28515625" style="7" customWidth="1"/>
    <col min="10" max="10" width="14.28515625" style="6" bestFit="1" customWidth="1"/>
    <col min="11" max="11" width="9.140625" style="7"/>
    <col min="12" max="12" width="1.28515625" style="7" customWidth="1"/>
    <col min="13" max="13" width="13.5703125" style="6" bestFit="1" customWidth="1"/>
    <col min="14" max="14" width="9.140625" style="7"/>
  </cols>
  <sheetData>
    <row r="5" spans="2:14">
      <c r="B5" s="15" t="s">
        <v>13</v>
      </c>
      <c r="C5" s="15" t="s">
        <v>33</v>
      </c>
      <c r="D5" s="57" t="s">
        <v>19</v>
      </c>
      <c r="E5" s="57"/>
      <c r="F5" s="17"/>
      <c r="G5" s="57" t="s">
        <v>20</v>
      </c>
      <c r="H5" s="57"/>
      <c r="I5" s="17"/>
      <c r="J5" s="57" t="s">
        <v>126</v>
      </c>
      <c r="K5" s="57"/>
      <c r="L5" s="17"/>
      <c r="M5" s="57" t="s">
        <v>127</v>
      </c>
      <c r="N5" s="57"/>
    </row>
    <row r="6" spans="2:14">
      <c r="B6" s="3"/>
      <c r="C6" s="3"/>
      <c r="D6" s="8"/>
      <c r="E6" s="9"/>
      <c r="F6" s="18"/>
      <c r="G6" s="8"/>
      <c r="H6" s="9"/>
      <c r="I6" s="18"/>
      <c r="J6" s="8"/>
      <c r="K6" s="9"/>
      <c r="L6" s="18"/>
      <c r="M6" s="8"/>
      <c r="N6" s="9"/>
    </row>
    <row r="7" spans="2:14">
      <c r="B7" s="13" t="s">
        <v>14</v>
      </c>
      <c r="C7" s="3"/>
      <c r="D7" s="8"/>
      <c r="E7" s="9"/>
      <c r="F7" s="18"/>
      <c r="G7" s="8"/>
      <c r="H7" s="9"/>
      <c r="I7" s="18"/>
      <c r="J7" s="8"/>
      <c r="K7" s="9"/>
      <c r="L7" s="18"/>
      <c r="M7" s="8"/>
      <c r="N7" s="9"/>
    </row>
    <row r="8" spans="2:14">
      <c r="B8" s="3"/>
      <c r="C8" s="3"/>
      <c r="D8" s="8"/>
      <c r="E8" s="9"/>
      <c r="F8" s="18"/>
      <c r="G8" s="8"/>
      <c r="H8" s="9"/>
      <c r="I8" s="18"/>
      <c r="J8" s="8"/>
      <c r="K8" s="9"/>
      <c r="L8" s="18"/>
      <c r="M8" s="8"/>
      <c r="N8" s="9"/>
    </row>
    <row r="9" spans="2:14">
      <c r="B9" s="10" t="s">
        <v>15</v>
      </c>
      <c r="C9" s="3"/>
      <c r="D9" s="8"/>
      <c r="E9" s="9"/>
      <c r="F9" s="18"/>
      <c r="G9" s="8"/>
      <c r="H9" s="9"/>
      <c r="I9" s="18"/>
      <c r="J9" s="8"/>
      <c r="K9" s="9"/>
      <c r="L9" s="18"/>
      <c r="M9" s="8"/>
      <c r="N9" s="9"/>
    </row>
    <row r="10" spans="2:14">
      <c r="B10" s="3" t="s">
        <v>16</v>
      </c>
      <c r="C10" s="3"/>
      <c r="D10" s="8">
        <v>272339650</v>
      </c>
      <c r="E10" s="9">
        <f>D10/D22</f>
        <v>0.10556110328088981</v>
      </c>
      <c r="F10" s="18"/>
      <c r="G10" s="8">
        <v>272339650</v>
      </c>
      <c r="H10" s="9">
        <f>G10/G22</f>
        <v>0.13816431987287001</v>
      </c>
      <c r="I10" s="18"/>
      <c r="J10" s="8">
        <v>272339650</v>
      </c>
      <c r="K10" s="9">
        <f>J10/J22</f>
        <v>0.14340545432167445</v>
      </c>
      <c r="L10" s="18"/>
      <c r="M10" s="8">
        <v>272339650</v>
      </c>
      <c r="N10" s="9">
        <f>M10/M22</f>
        <v>0.15113342788653922</v>
      </c>
    </row>
    <row r="11" spans="2:14">
      <c r="B11" s="3" t="s">
        <v>17</v>
      </c>
      <c r="C11" s="3"/>
      <c r="D11" s="8">
        <v>1633718747</v>
      </c>
      <c r="E11" s="9">
        <f>D11/D22</f>
        <v>0.63324291333998883</v>
      </c>
      <c r="F11" s="18"/>
      <c r="G11" s="8">
        <v>1488606379</v>
      </c>
      <c r="H11" s="9">
        <f>G11/G22</f>
        <v>0.75520508274483988</v>
      </c>
      <c r="I11" s="18"/>
      <c r="J11" s="8">
        <v>1372980838</v>
      </c>
      <c r="K11" s="9">
        <f>J11/J22</f>
        <v>0.7229683259427826</v>
      </c>
      <c r="L11" s="18"/>
      <c r="M11" s="8">
        <v>1225089917</v>
      </c>
      <c r="N11" s="9">
        <f>M11/M22</f>
        <v>0.67985707782706561</v>
      </c>
    </row>
    <row r="12" spans="2:14">
      <c r="B12" s="3" t="s">
        <v>18</v>
      </c>
      <c r="C12" s="3"/>
      <c r="D12" s="8">
        <v>985360</v>
      </c>
      <c r="E12" s="9">
        <f>D12/D22</f>
        <v>3.8193369466714666E-4</v>
      </c>
      <c r="F12" s="18"/>
      <c r="G12" s="8">
        <v>598896</v>
      </c>
      <c r="H12" s="9">
        <f>G12/G22</f>
        <v>3.0383404882316015E-4</v>
      </c>
      <c r="I12" s="18"/>
      <c r="J12" s="8">
        <v>0</v>
      </c>
      <c r="K12" s="9">
        <f>J12/J22</f>
        <v>0</v>
      </c>
      <c r="L12" s="18"/>
      <c r="M12" s="8">
        <v>0</v>
      </c>
      <c r="N12" s="9">
        <f>M12/M22</f>
        <v>0</v>
      </c>
    </row>
    <row r="13" spans="2:14" s="2" customFormat="1">
      <c r="B13" s="10"/>
      <c r="C13" s="10"/>
      <c r="D13" s="11">
        <f>SUM(D10:D12)</f>
        <v>1907043757</v>
      </c>
      <c r="E13" s="9"/>
      <c r="F13" s="18"/>
      <c r="G13" s="11">
        <f>SUM(G10:G12)</f>
        <v>1761544925</v>
      </c>
      <c r="H13" s="9"/>
      <c r="I13" s="18"/>
      <c r="J13" s="11">
        <f>SUM(J10:J12)</f>
        <v>1645320488</v>
      </c>
      <c r="K13" s="9"/>
      <c r="L13" s="18"/>
      <c r="M13" s="11">
        <f>SUM(M10:M12)</f>
        <v>1497429567</v>
      </c>
      <c r="N13" s="9"/>
    </row>
    <row r="14" spans="2:14">
      <c r="B14" s="3"/>
      <c r="C14" s="3"/>
      <c r="D14" s="8"/>
      <c r="E14" s="9"/>
      <c r="F14" s="18"/>
      <c r="G14" s="8"/>
      <c r="H14" s="9"/>
      <c r="I14" s="18"/>
      <c r="J14" s="8"/>
      <c r="K14" s="9"/>
      <c r="L14" s="18"/>
      <c r="M14" s="8"/>
      <c r="N14" s="9"/>
    </row>
    <row r="15" spans="2:14">
      <c r="B15" s="10" t="s">
        <v>21</v>
      </c>
      <c r="C15" s="3"/>
      <c r="D15" s="8"/>
      <c r="E15" s="9"/>
      <c r="F15" s="18"/>
      <c r="G15" s="8"/>
      <c r="H15" s="9"/>
      <c r="I15" s="18"/>
      <c r="J15" s="8"/>
      <c r="K15" s="9"/>
      <c r="L15" s="18"/>
      <c r="M15" s="8"/>
      <c r="N15" s="9"/>
    </row>
    <row r="16" spans="2:14">
      <c r="B16" s="3" t="s">
        <v>22</v>
      </c>
      <c r="C16" s="3"/>
      <c r="D16" s="8">
        <v>618880491</v>
      </c>
      <c r="E16" s="9">
        <f>D16/D22</f>
        <v>0.2398832025706826</v>
      </c>
      <c r="F16" s="18"/>
      <c r="G16" s="8">
        <v>169583730</v>
      </c>
      <c r="H16" s="9">
        <f>G16/G22</f>
        <v>8.6033821064815275E-2</v>
      </c>
      <c r="I16" s="18"/>
      <c r="J16" s="8">
        <v>220768018</v>
      </c>
      <c r="K16" s="9">
        <f>J16/J22</f>
        <v>0.11624946246712738</v>
      </c>
      <c r="L16" s="18"/>
      <c r="M16" s="8">
        <v>269351992</v>
      </c>
      <c r="N16" s="9">
        <f>M16/M22</f>
        <v>0.14947544310579708</v>
      </c>
    </row>
    <row r="17" spans="2:14">
      <c r="B17" s="3" t="s">
        <v>23</v>
      </c>
      <c r="C17" s="3"/>
      <c r="D17" s="8" t="s">
        <v>24</v>
      </c>
      <c r="E17" s="9"/>
      <c r="F17" s="18"/>
      <c r="G17" s="8" t="s">
        <v>24</v>
      </c>
      <c r="H17" s="9"/>
      <c r="I17" s="18"/>
      <c r="J17" s="8" t="s">
        <v>24</v>
      </c>
      <c r="K17" s="9"/>
      <c r="L17" s="18"/>
      <c r="M17" s="8" t="s">
        <v>24</v>
      </c>
      <c r="N17" s="9"/>
    </row>
    <row r="18" spans="2:14" s="2" customFormat="1">
      <c r="B18" s="10"/>
      <c r="C18" s="10"/>
      <c r="D18" s="11">
        <f>SUM(D16:D17)</f>
        <v>618880491</v>
      </c>
      <c r="E18" s="9"/>
      <c r="F18" s="18"/>
      <c r="G18" s="11">
        <f>SUM(G16:G17)</f>
        <v>169583730</v>
      </c>
      <c r="H18" s="9"/>
      <c r="I18" s="18"/>
      <c r="J18" s="11">
        <f>SUM(J16:J17)</f>
        <v>220768018</v>
      </c>
      <c r="K18" s="9"/>
      <c r="L18" s="18"/>
      <c r="M18" s="11">
        <f>SUM(M16:M17)</f>
        <v>269351992</v>
      </c>
      <c r="N18" s="9"/>
    </row>
    <row r="19" spans="2:14">
      <c r="B19" s="3"/>
      <c r="C19" s="3"/>
      <c r="D19" s="8"/>
      <c r="E19" s="9"/>
      <c r="F19" s="18"/>
      <c r="G19" s="8"/>
      <c r="H19" s="9"/>
      <c r="I19" s="18"/>
      <c r="J19" s="8"/>
      <c r="K19" s="9"/>
      <c r="L19" s="18"/>
      <c r="M19" s="8"/>
      <c r="N19" s="9"/>
    </row>
    <row r="20" spans="2:14" s="2" customFormat="1">
      <c r="B20" s="10" t="s">
        <v>25</v>
      </c>
      <c r="C20" s="10"/>
      <c r="D20" s="11">
        <v>54000000</v>
      </c>
      <c r="E20" s="12">
        <f>D20/D22</f>
        <v>2.0930847113771536E-2</v>
      </c>
      <c r="F20" s="19"/>
      <c r="G20" s="11">
        <v>40000000</v>
      </c>
      <c r="H20" s="12">
        <f>G20/G22</f>
        <v>2.0292942268651661E-2</v>
      </c>
      <c r="I20" s="19"/>
      <c r="J20" s="11">
        <v>33000000</v>
      </c>
      <c r="K20" s="12">
        <f>J20/J22</f>
        <v>1.7376757268415588E-2</v>
      </c>
      <c r="L20" s="19"/>
      <c r="M20" s="11">
        <v>35200000</v>
      </c>
      <c r="N20" s="12">
        <f>M20/M22</f>
        <v>1.9534051180598123E-2</v>
      </c>
    </row>
    <row r="21" spans="2:14">
      <c r="B21" s="3"/>
      <c r="C21" s="3"/>
      <c r="D21" s="8"/>
      <c r="E21" s="9"/>
      <c r="F21" s="18"/>
      <c r="G21" s="8"/>
      <c r="H21" s="9"/>
      <c r="I21" s="18"/>
      <c r="J21" s="8"/>
      <c r="K21" s="9"/>
      <c r="L21" s="18"/>
      <c r="M21" s="8"/>
      <c r="N21" s="9"/>
    </row>
    <row r="22" spans="2:14" s="2" customFormat="1">
      <c r="B22" s="14" t="s">
        <v>26</v>
      </c>
      <c r="C22" s="14"/>
      <c r="D22" s="20">
        <f>D13+D18+D20</f>
        <v>2579924248</v>
      </c>
      <c r="E22" s="21">
        <f>SUM(E10:E21)</f>
        <v>1</v>
      </c>
      <c r="F22" s="19"/>
      <c r="G22" s="20">
        <f t="shared" ref="G22" si="0">G13+G18+G20</f>
        <v>1971128655</v>
      </c>
      <c r="H22" s="21">
        <f>SUM(H10:H21)</f>
        <v>1</v>
      </c>
      <c r="I22" s="19"/>
      <c r="J22" s="20">
        <f>J13+J18+J20</f>
        <v>1899088506</v>
      </c>
      <c r="K22" s="21">
        <f>SUM(K10:K21)</f>
        <v>1</v>
      </c>
      <c r="L22" s="19"/>
      <c r="M22" s="20">
        <f t="shared" ref="M22" si="1">M13+M18+M20</f>
        <v>1801981559</v>
      </c>
      <c r="N22" s="21">
        <f>SUM(N10:N21)</f>
        <v>1</v>
      </c>
    </row>
    <row r="23" spans="2:14">
      <c r="B23" s="3"/>
      <c r="C23" s="3"/>
      <c r="D23" s="8"/>
      <c r="E23" s="9"/>
      <c r="F23" s="18"/>
      <c r="G23" s="8"/>
      <c r="H23" s="9"/>
      <c r="I23" s="18"/>
      <c r="J23" s="8"/>
      <c r="K23" s="9"/>
      <c r="L23" s="18"/>
      <c r="M23" s="8"/>
      <c r="N23" s="9"/>
    </row>
    <row r="24" spans="2:14">
      <c r="B24" s="13" t="s">
        <v>27</v>
      </c>
      <c r="C24" s="3"/>
      <c r="D24" s="8"/>
      <c r="E24" s="9"/>
      <c r="F24" s="18"/>
      <c r="G24" s="8"/>
      <c r="H24" s="9"/>
      <c r="I24" s="18"/>
      <c r="J24" s="8"/>
      <c r="K24" s="9"/>
      <c r="L24" s="18"/>
      <c r="M24" s="8"/>
      <c r="N24" s="9"/>
    </row>
    <row r="25" spans="2:14">
      <c r="B25" s="3"/>
      <c r="C25" s="3"/>
      <c r="D25" s="8"/>
      <c r="E25" s="9"/>
      <c r="F25" s="18"/>
      <c r="G25" s="8"/>
      <c r="H25" s="9"/>
      <c r="I25" s="18"/>
      <c r="J25" s="8"/>
      <c r="K25" s="9"/>
      <c r="L25" s="18"/>
      <c r="M25" s="8"/>
      <c r="N25" s="9"/>
    </row>
    <row r="26" spans="2:14">
      <c r="B26" s="10" t="s">
        <v>28</v>
      </c>
      <c r="C26" s="3"/>
      <c r="D26" s="8"/>
      <c r="E26" s="9"/>
      <c r="F26" s="18"/>
      <c r="G26" s="8"/>
      <c r="H26" s="9"/>
      <c r="I26" s="18"/>
      <c r="J26" s="8"/>
      <c r="K26" s="9"/>
      <c r="L26" s="18"/>
      <c r="M26" s="8"/>
      <c r="N26" s="9"/>
    </row>
    <row r="27" spans="2:14">
      <c r="B27" s="3" t="s">
        <v>29</v>
      </c>
      <c r="C27" s="3"/>
      <c r="D27" s="8">
        <v>773776937</v>
      </c>
      <c r="E27" s="9">
        <f>D27/D51</f>
        <v>0.29995722733646751</v>
      </c>
      <c r="F27" s="18"/>
      <c r="G27" s="8">
        <v>681598763</v>
      </c>
      <c r="H27" s="9">
        <f>G27/G51</f>
        <v>0.34579110869858465</v>
      </c>
      <c r="I27" s="18"/>
      <c r="J27" s="8">
        <v>530648269</v>
      </c>
      <c r="K27" s="9">
        <f>J27/J51</f>
        <v>0.27942261107023941</v>
      </c>
      <c r="L27" s="18"/>
      <c r="M27" s="8">
        <v>434823424</v>
      </c>
      <c r="N27" s="9">
        <f>M27/M51</f>
        <v>0.24130292667440112</v>
      </c>
    </row>
    <row r="28" spans="2:14">
      <c r="B28" s="22" t="s">
        <v>30</v>
      </c>
      <c r="C28" s="3"/>
      <c r="D28" s="8">
        <v>-198421855</v>
      </c>
      <c r="E28" s="28">
        <f>D28/D51</f>
        <v>-7.6918898228622939E-2</v>
      </c>
      <c r="F28" s="18"/>
      <c r="G28" s="8">
        <v>-141955149</v>
      </c>
      <c r="H28" s="28">
        <f>G28/G51</f>
        <v>-7.2017191084871118E-2</v>
      </c>
      <c r="I28" s="18"/>
      <c r="J28" s="8">
        <v>-109807488</v>
      </c>
      <c r="K28" s="28">
        <f>J28/J51</f>
        <v>-5.7821153491832047E-2</v>
      </c>
      <c r="L28" s="18"/>
      <c r="M28" s="8">
        <v>-76473941</v>
      </c>
      <c r="N28" s="28">
        <f>M28/M51</f>
        <v>-4.2438803337387539E-2</v>
      </c>
    </row>
    <row r="29" spans="2:14">
      <c r="B29" s="3" t="s">
        <v>31</v>
      </c>
      <c r="C29" s="3"/>
      <c r="D29" s="8">
        <f>SUM(D27:D28)</f>
        <v>575355082</v>
      </c>
      <c r="E29" s="9"/>
      <c r="F29" s="18"/>
      <c r="G29" s="8">
        <f>SUM(G27:G28)</f>
        <v>539643614</v>
      </c>
      <c r="H29" s="9"/>
      <c r="I29" s="18"/>
      <c r="J29" s="8">
        <f>SUM(J27:J28)</f>
        <v>420840781</v>
      </c>
      <c r="K29" s="9"/>
      <c r="L29" s="18"/>
      <c r="M29" s="8">
        <f>SUM(M27:M28)</f>
        <v>358349483</v>
      </c>
      <c r="N29" s="9"/>
    </row>
    <row r="30" spans="2:14">
      <c r="B30" s="3" t="s">
        <v>32</v>
      </c>
      <c r="C30" s="3"/>
      <c r="D30" s="8">
        <v>437657565</v>
      </c>
      <c r="E30" s="9">
        <f>D30/D51</f>
        <v>0.16965942436745152</v>
      </c>
      <c r="F30" s="18"/>
      <c r="G30" s="8">
        <v>116615620</v>
      </c>
      <c r="H30" s="9">
        <f>G30/G51</f>
        <v>5.9161851107075503E-2</v>
      </c>
      <c r="I30" s="18"/>
      <c r="J30" s="8">
        <v>3370096</v>
      </c>
      <c r="K30" s="9">
        <f>J30/J51</f>
        <v>1.7745860655532819E-3</v>
      </c>
      <c r="L30" s="18"/>
      <c r="M30" s="8">
        <v>8403598</v>
      </c>
      <c r="N30" s="9">
        <f>M30/M51</f>
        <v>4.6635316316242055E-3</v>
      </c>
    </row>
    <row r="31" spans="2:14" s="2" customFormat="1">
      <c r="B31" s="10"/>
      <c r="C31" s="10"/>
      <c r="D31" s="11">
        <f>SUM(D29:D30)</f>
        <v>1013012647</v>
      </c>
      <c r="E31" s="12"/>
      <c r="F31" s="19"/>
      <c r="G31" s="11">
        <f>SUM(G29:G30)</f>
        <v>656259234</v>
      </c>
      <c r="H31" s="9"/>
      <c r="I31" s="19"/>
      <c r="J31" s="11">
        <f>SUM(J29:J30)</f>
        <v>424210877</v>
      </c>
      <c r="K31" s="12"/>
      <c r="L31" s="19"/>
      <c r="M31" s="11">
        <f>SUM(M29:M30)</f>
        <v>366753081</v>
      </c>
      <c r="N31" s="9"/>
    </row>
    <row r="32" spans="2:14">
      <c r="B32" s="3"/>
      <c r="C32" s="3"/>
      <c r="D32" s="8"/>
      <c r="E32" s="9"/>
      <c r="F32" s="18"/>
      <c r="G32" s="8"/>
      <c r="H32" s="9"/>
      <c r="I32" s="18"/>
      <c r="J32" s="8"/>
      <c r="K32" s="9"/>
      <c r="L32" s="18"/>
      <c r="M32" s="8"/>
      <c r="N32" s="9"/>
    </row>
    <row r="33" spans="2:14" s="2" customFormat="1">
      <c r="B33" s="10" t="s">
        <v>34</v>
      </c>
      <c r="C33" s="10"/>
      <c r="D33" s="11">
        <v>864702456</v>
      </c>
      <c r="E33" s="12">
        <f>D33/D51</f>
        <v>0.33520481003014668</v>
      </c>
      <c r="F33" s="19"/>
      <c r="G33" s="11">
        <v>618448512</v>
      </c>
      <c r="H33" s="9">
        <f>G33/G51</f>
        <v>0.31375349875373815</v>
      </c>
      <c r="I33" s="19"/>
      <c r="J33" s="11">
        <v>107749000</v>
      </c>
      <c r="K33" s="12">
        <f>J33/J51</f>
        <v>5.6737218754985184E-2</v>
      </c>
      <c r="L33" s="19"/>
      <c r="M33" s="11">
        <v>62049000</v>
      </c>
      <c r="N33" s="9">
        <f>M33/M51</f>
        <v>3.4433759707526511E-2</v>
      </c>
    </row>
    <row r="34" spans="2:14">
      <c r="B34" s="3"/>
      <c r="C34" s="3"/>
      <c r="D34" s="8"/>
      <c r="E34" s="9"/>
      <c r="F34" s="18"/>
      <c r="G34" s="8"/>
      <c r="H34" s="9"/>
      <c r="I34" s="18"/>
      <c r="J34" s="8"/>
      <c r="K34" s="9"/>
      <c r="L34" s="18"/>
      <c r="M34" s="8"/>
      <c r="N34" s="9"/>
    </row>
    <row r="35" spans="2:14">
      <c r="B35" s="10" t="s">
        <v>35</v>
      </c>
      <c r="C35" s="3"/>
      <c r="D35" s="8"/>
      <c r="E35" s="9"/>
      <c r="F35" s="18"/>
      <c r="G35" s="8"/>
      <c r="H35" s="9"/>
      <c r="I35" s="18"/>
      <c r="J35" s="8"/>
      <c r="K35" s="9"/>
      <c r="L35" s="18"/>
      <c r="M35" s="8"/>
      <c r="N35" s="9"/>
    </row>
    <row r="36" spans="2:14">
      <c r="B36" s="3" t="s">
        <v>36</v>
      </c>
      <c r="C36" s="3"/>
      <c r="D36" s="8">
        <v>10733932</v>
      </c>
      <c r="E36" s="9">
        <f>D36/D51</f>
        <v>4.1610447755412788E-3</v>
      </c>
      <c r="F36" s="18"/>
      <c r="G36" s="8">
        <v>11654212</v>
      </c>
      <c r="H36" s="9">
        <f>G36/G51</f>
        <v>5.9124562825656861E-3</v>
      </c>
      <c r="I36" s="18"/>
      <c r="J36" s="8">
        <v>5039481</v>
      </c>
      <c r="K36" s="9">
        <f>J36/J51</f>
        <v>2.6536314574482503E-3</v>
      </c>
      <c r="L36" s="18"/>
      <c r="M36" s="8">
        <v>5388165</v>
      </c>
      <c r="N36" s="9">
        <f>M36/M51</f>
        <v>2.990133263622372E-3</v>
      </c>
    </row>
    <row r="37" spans="2:14">
      <c r="B37" s="3" t="s">
        <v>37</v>
      </c>
      <c r="C37" s="3"/>
      <c r="D37" s="8">
        <v>60644060</v>
      </c>
      <c r="E37" s="9">
        <f>D37/D51</f>
        <v>2.3508873452022225E-2</v>
      </c>
      <c r="F37" s="18"/>
      <c r="G37" s="8">
        <v>33220336</v>
      </c>
      <c r="H37" s="9">
        <f>G37/G51</f>
        <v>1.6853459014830263E-2</v>
      </c>
      <c r="I37" s="18"/>
      <c r="J37" s="8">
        <v>44259490</v>
      </c>
      <c r="K37" s="9">
        <f>J37/J51</f>
        <v>2.3305648925874757E-2</v>
      </c>
      <c r="L37" s="18"/>
      <c r="M37" s="8">
        <v>34222268</v>
      </c>
      <c r="N37" s="9">
        <f>M37/M51</f>
        <v>1.8991464051935952E-2</v>
      </c>
    </row>
    <row r="38" spans="2:14">
      <c r="B38" s="3" t="s">
        <v>38</v>
      </c>
      <c r="C38" s="3"/>
      <c r="D38" s="8">
        <v>7620321</v>
      </c>
      <c r="E38" s="9">
        <f>D38/D51</f>
        <v>2.9540430184388624E-3</v>
      </c>
      <c r="F38" s="18"/>
      <c r="G38" s="8">
        <v>6661365</v>
      </c>
      <c r="H38" s="9">
        <f>G38/G51</f>
        <v>3.3794673843854195E-3</v>
      </c>
      <c r="I38" s="18"/>
      <c r="J38" s="8">
        <v>2496437</v>
      </c>
      <c r="K38" s="9">
        <f>J38/J51</f>
        <v>1.3145448419664123E-3</v>
      </c>
      <c r="L38" s="18"/>
      <c r="M38" s="8">
        <v>6282627</v>
      </c>
      <c r="N38" s="9">
        <f>M38/M51</f>
        <v>3.4865101524604448E-3</v>
      </c>
    </row>
    <row r="39" spans="2:14">
      <c r="B39" s="3" t="s">
        <v>39</v>
      </c>
      <c r="C39" s="3"/>
      <c r="D39" s="8">
        <v>227159339</v>
      </c>
      <c r="E39" s="9">
        <f>D39/D51</f>
        <v>8.8059080378127999E-2</v>
      </c>
      <c r="F39" s="18"/>
      <c r="G39" s="8">
        <v>467930601</v>
      </c>
      <c r="H39" s="9">
        <f>G39/G51</f>
        <v>0.2373922167957119</v>
      </c>
      <c r="I39" s="18"/>
      <c r="J39" s="8">
        <v>1210272005</v>
      </c>
      <c r="K39" s="9">
        <f>J39/J51</f>
        <v>0.6372909957467775</v>
      </c>
      <c r="L39" s="18"/>
      <c r="M39" s="8">
        <v>1401533640</v>
      </c>
      <c r="N39" s="9">
        <f>M39/M51</f>
        <v>0.77777357542869285</v>
      </c>
    </row>
    <row r="40" spans="2:14">
      <c r="B40" s="3" t="s">
        <v>40</v>
      </c>
      <c r="C40" s="3"/>
      <c r="D40" s="8">
        <v>571510827</v>
      </c>
      <c r="E40" s="9">
        <f>D40/D51</f>
        <v>0.22154809075123874</v>
      </c>
      <c r="F40" s="18"/>
      <c r="G40" s="8">
        <v>479675929</v>
      </c>
      <c r="H40" s="9">
        <f>G40/G51</f>
        <v>0.24335089837147134</v>
      </c>
      <c r="I40" s="18"/>
      <c r="J40" s="8">
        <v>385250333</v>
      </c>
      <c r="K40" s="9">
        <f>J40/J51</f>
        <v>0.20286065224597805</v>
      </c>
      <c r="L40" s="18"/>
      <c r="M40" s="8">
        <v>167124658</v>
      </c>
      <c r="N40" s="9">
        <f>M40/M51</f>
        <v>9.2744932469089714E-2</v>
      </c>
    </row>
    <row r="41" spans="2:14" s="2" customFormat="1">
      <c r="B41" s="10"/>
      <c r="C41" s="10"/>
      <c r="D41" s="11">
        <f>SUM(D36:D40)</f>
        <v>877668479</v>
      </c>
      <c r="E41" s="9"/>
      <c r="F41" s="19"/>
      <c r="G41" s="11">
        <f>SUM(G36:G40)</f>
        <v>999142443</v>
      </c>
      <c r="H41" s="9"/>
      <c r="I41" s="19"/>
      <c r="J41" s="11">
        <f>SUM(J36:J40)</f>
        <v>1647317746</v>
      </c>
      <c r="K41" s="9"/>
      <c r="L41" s="19"/>
      <c r="M41" s="11">
        <f>SUM(M36:M40)</f>
        <v>1614551358</v>
      </c>
      <c r="N41" s="9"/>
    </row>
    <row r="42" spans="2:14">
      <c r="B42" s="3"/>
      <c r="C42" s="3"/>
      <c r="D42" s="8"/>
      <c r="E42" s="9"/>
      <c r="F42" s="18"/>
      <c r="G42" s="8"/>
      <c r="H42" s="9"/>
      <c r="I42" s="18"/>
      <c r="J42" s="8"/>
      <c r="K42" s="9"/>
      <c r="L42" s="18"/>
      <c r="M42" s="8"/>
      <c r="N42" s="9"/>
    </row>
    <row r="43" spans="2:14">
      <c r="B43" s="10" t="s">
        <v>41</v>
      </c>
      <c r="C43" s="3"/>
      <c r="D43" s="8"/>
      <c r="E43" s="9"/>
      <c r="F43" s="18"/>
      <c r="G43" s="8"/>
      <c r="H43" s="9"/>
      <c r="I43" s="18"/>
      <c r="J43" s="8"/>
      <c r="K43" s="9"/>
      <c r="L43" s="18"/>
      <c r="M43" s="8"/>
      <c r="N43" s="9"/>
    </row>
    <row r="44" spans="2:14">
      <c r="B44" s="3" t="s">
        <v>42</v>
      </c>
      <c r="C44" s="3"/>
      <c r="D44" s="8">
        <v>115249720</v>
      </c>
      <c r="E44" s="28">
        <f>-D44/D51</f>
        <v>-4.4676940872049049E-2</v>
      </c>
      <c r="F44" s="18"/>
      <c r="G44" s="8">
        <v>104660074</v>
      </c>
      <c r="H44" s="28">
        <f>-G44/G51</f>
        <v>-5.3096520987870273E-2</v>
      </c>
      <c r="I44" s="18"/>
      <c r="J44" s="8">
        <v>83897767</v>
      </c>
      <c r="K44" s="28">
        <f>-J44/J51</f>
        <v>-4.4177913106699621E-2</v>
      </c>
      <c r="L44" s="18"/>
      <c r="M44" s="8">
        <v>81825107</v>
      </c>
      <c r="N44" s="28">
        <f>-M44/M51</f>
        <v>-4.5408404204429487E-2</v>
      </c>
    </row>
    <row r="45" spans="2:14">
      <c r="B45" s="3" t="s">
        <v>43</v>
      </c>
      <c r="C45" s="3"/>
      <c r="D45" s="8">
        <v>60509614</v>
      </c>
      <c r="E45" s="28">
        <f>-D45/D51</f>
        <v>-2.3456755008762813E-2</v>
      </c>
      <c r="F45" s="18"/>
      <c r="G45" s="8">
        <v>198061460</v>
      </c>
      <c r="H45" s="28">
        <f>-G45/G51</f>
        <v>-0.10048124433562151</v>
      </c>
      <c r="I45" s="18"/>
      <c r="J45" s="8">
        <v>196291350</v>
      </c>
      <c r="K45" s="28">
        <f>-J45/J51</f>
        <v>-0.10336082251029116</v>
      </c>
      <c r="L45" s="18"/>
      <c r="M45" s="8">
        <v>159546773</v>
      </c>
      <c r="N45" s="28">
        <f>-M45/M51</f>
        <v>-8.8539625837536107E-2</v>
      </c>
    </row>
    <row r="46" spans="2:14" s="2" customFormat="1">
      <c r="B46" s="10"/>
      <c r="C46" s="10"/>
      <c r="D46" s="11">
        <f>SUM(D44:D45)</f>
        <v>175759334</v>
      </c>
      <c r="E46" s="9"/>
      <c r="F46" s="19"/>
      <c r="G46" s="11">
        <f>SUM(G44:G45)</f>
        <v>302721534</v>
      </c>
      <c r="H46" s="9"/>
      <c r="I46" s="19"/>
      <c r="J46" s="11">
        <f>SUM(J44:J45)</f>
        <v>280189117</v>
      </c>
      <c r="K46" s="9"/>
      <c r="L46" s="19"/>
      <c r="M46" s="11">
        <f>SUM(M44:M45)</f>
        <v>241371880</v>
      </c>
      <c r="N46" s="9"/>
    </row>
    <row r="47" spans="2:14">
      <c r="B47" s="3"/>
      <c r="C47" s="3"/>
      <c r="D47" s="8"/>
      <c r="E47" s="9"/>
      <c r="F47" s="18"/>
      <c r="G47" s="8"/>
      <c r="H47" s="9"/>
      <c r="I47" s="18"/>
      <c r="J47" s="8"/>
      <c r="K47" s="9"/>
      <c r="L47" s="18"/>
      <c r="M47" s="8"/>
      <c r="N47" s="9"/>
    </row>
    <row r="48" spans="2:14" s="2" customFormat="1">
      <c r="B48" s="10" t="s">
        <v>44</v>
      </c>
      <c r="C48" s="10"/>
      <c r="D48" s="11">
        <f>D41-D46</f>
        <v>701909145</v>
      </c>
      <c r="E48" s="12">
        <f>D48/D51</f>
        <v>0.27209743649455725</v>
      </c>
      <c r="F48" s="25">
        <f t="shared" ref="F48:G48" si="2">F41-F46</f>
        <v>0</v>
      </c>
      <c r="G48" s="11">
        <f t="shared" si="2"/>
        <v>696420909</v>
      </c>
      <c r="H48" s="9">
        <f>G48/G51</f>
        <v>0.35331073252547285</v>
      </c>
      <c r="I48" s="25">
        <f t="shared" ref="I48" si="3">I41-I46</f>
        <v>0</v>
      </c>
      <c r="J48" s="11">
        <f>J41-J46</f>
        <v>1367128629</v>
      </c>
      <c r="K48" s="12">
        <f>J48/J51</f>
        <v>0.71988673760105415</v>
      </c>
      <c r="L48" s="25">
        <f t="shared" ref="L48:M48" si="4">L41-L46</f>
        <v>0</v>
      </c>
      <c r="M48" s="11">
        <f t="shared" si="4"/>
        <v>1373179478</v>
      </c>
      <c r="N48" s="9">
        <f>M48/M51</f>
        <v>0.76203858532383573</v>
      </c>
    </row>
    <row r="49" spans="2:14">
      <c r="B49" s="23">
        <v>702209145</v>
      </c>
      <c r="C49" s="24">
        <f>B49-D48</f>
        <v>300000</v>
      </c>
      <c r="D49" s="8"/>
      <c r="E49" s="9"/>
      <c r="F49" s="18"/>
      <c r="G49" s="8"/>
      <c r="H49" s="9"/>
      <c r="I49" s="18"/>
      <c r="J49" s="8"/>
      <c r="K49" s="9"/>
      <c r="L49" s="18"/>
      <c r="M49" s="8"/>
      <c r="N49" s="9"/>
    </row>
    <row r="50" spans="2:14">
      <c r="B50" s="3"/>
      <c r="C50" s="3"/>
      <c r="D50" s="8"/>
      <c r="E50" s="9"/>
      <c r="F50" s="18"/>
      <c r="G50" s="8"/>
      <c r="H50" s="9"/>
      <c r="I50" s="18"/>
      <c r="J50" s="8"/>
      <c r="K50" s="9"/>
      <c r="L50" s="18"/>
      <c r="M50" s="8"/>
      <c r="N50" s="9"/>
    </row>
    <row r="51" spans="2:14" s="2" customFormat="1">
      <c r="B51" s="14" t="s">
        <v>45</v>
      </c>
      <c r="C51" s="14"/>
      <c r="D51" s="20">
        <f>D31+D33+D48</f>
        <v>2579624248</v>
      </c>
      <c r="E51" s="27">
        <f>SUM(E27:E46)</f>
        <v>1</v>
      </c>
      <c r="F51" s="26">
        <f t="shared" ref="F51:G51" si="5">F31+F33+F48</f>
        <v>0</v>
      </c>
      <c r="G51" s="20">
        <f t="shared" si="5"/>
        <v>1971128655</v>
      </c>
      <c r="H51" s="21">
        <f>SUM(H27:H46)</f>
        <v>1</v>
      </c>
      <c r="I51" s="26">
        <f t="shared" ref="I51" si="6">I31+I33+I48</f>
        <v>0</v>
      </c>
      <c r="J51" s="20">
        <f>J31+J33+J48</f>
        <v>1899088506</v>
      </c>
      <c r="K51" s="27">
        <f>SUM(K27:K46)</f>
        <v>1</v>
      </c>
      <c r="L51" s="26">
        <f t="shared" ref="L51:M51" si="7">L31+L33+L48</f>
        <v>0</v>
      </c>
      <c r="M51" s="20">
        <f t="shared" si="7"/>
        <v>1801981559</v>
      </c>
      <c r="N51" s="21">
        <f>SUM(N27:N46)</f>
        <v>0.99999999999999978</v>
      </c>
    </row>
    <row r="52" spans="2:14">
      <c r="B52" s="3"/>
      <c r="C52" s="3"/>
      <c r="D52" s="8"/>
      <c r="E52" s="9"/>
      <c r="F52" s="18"/>
      <c r="G52" s="8"/>
      <c r="H52" s="9"/>
      <c r="I52" s="18"/>
      <c r="J52" s="8"/>
      <c r="K52" s="9"/>
      <c r="L52" s="18"/>
      <c r="M52" s="8"/>
      <c r="N52" s="9"/>
    </row>
    <row r="53" spans="2:14">
      <c r="B53" s="3"/>
      <c r="C53" s="3"/>
      <c r="D53" s="8"/>
      <c r="E53" s="9"/>
      <c r="F53" s="18"/>
      <c r="G53" s="8"/>
      <c r="H53" s="9"/>
      <c r="I53" s="18"/>
      <c r="J53" s="8"/>
      <c r="K53" s="9"/>
      <c r="L53" s="18"/>
      <c r="M53" s="8"/>
      <c r="N53" s="9"/>
    </row>
    <row r="54" spans="2:14">
      <c r="B54" s="3"/>
      <c r="C54" s="3"/>
      <c r="D54" s="8"/>
      <c r="E54" s="9"/>
      <c r="F54" s="18"/>
      <c r="G54" s="8"/>
      <c r="H54" s="9"/>
      <c r="I54" s="18"/>
      <c r="J54" s="8"/>
      <c r="K54" s="9"/>
      <c r="L54" s="18"/>
      <c r="M54" s="8"/>
      <c r="N54" s="9"/>
    </row>
    <row r="55" spans="2:14">
      <c r="B55" s="3"/>
      <c r="C55" s="3"/>
      <c r="D55" s="8"/>
      <c r="E55" s="9"/>
      <c r="F55" s="18"/>
      <c r="G55" s="8"/>
      <c r="H55" s="9"/>
      <c r="I55" s="18"/>
      <c r="J55" s="8"/>
      <c r="K55" s="9"/>
      <c r="L55" s="18"/>
      <c r="M55" s="8"/>
      <c r="N55" s="9"/>
    </row>
    <row r="56" spans="2:14">
      <c r="B56" s="3"/>
      <c r="C56" s="3"/>
      <c r="D56" s="8"/>
      <c r="E56" s="9"/>
      <c r="F56" s="18"/>
      <c r="G56" s="8"/>
      <c r="H56" s="9"/>
      <c r="I56" s="18"/>
      <c r="J56" s="8"/>
      <c r="K56" s="9"/>
      <c r="L56" s="18"/>
      <c r="M56" s="8"/>
      <c r="N56" s="9"/>
    </row>
    <row r="57" spans="2:14">
      <c r="B57" s="3"/>
      <c r="C57" s="3"/>
      <c r="D57" s="8"/>
      <c r="E57" s="9"/>
      <c r="F57" s="18"/>
      <c r="G57" s="8"/>
      <c r="H57" s="9"/>
      <c r="I57" s="18"/>
      <c r="J57" s="8"/>
      <c r="K57" s="9"/>
      <c r="L57" s="18"/>
      <c r="M57" s="8"/>
      <c r="N57" s="9"/>
    </row>
    <row r="58" spans="2:14">
      <c r="B58" s="3"/>
      <c r="C58" s="3"/>
      <c r="D58" s="8"/>
      <c r="E58" s="9"/>
      <c r="F58" s="18"/>
      <c r="G58" s="8"/>
      <c r="H58" s="9"/>
      <c r="I58" s="18"/>
      <c r="J58" s="8"/>
      <c r="K58" s="9"/>
      <c r="L58" s="18"/>
      <c r="M58" s="8"/>
      <c r="N58" s="9"/>
    </row>
    <row r="59" spans="2:14">
      <c r="B59" s="3"/>
      <c r="C59" s="3"/>
      <c r="D59" s="8"/>
      <c r="E59" s="9"/>
      <c r="F59" s="18"/>
      <c r="G59" s="8"/>
      <c r="H59" s="9"/>
      <c r="I59" s="18"/>
      <c r="J59" s="8"/>
      <c r="K59" s="9"/>
      <c r="L59" s="18"/>
      <c r="M59" s="8"/>
      <c r="N59" s="9"/>
    </row>
    <row r="60" spans="2:14">
      <c r="B60" s="3"/>
      <c r="C60" s="3"/>
      <c r="D60" s="8"/>
      <c r="E60" s="9"/>
      <c r="F60" s="18"/>
      <c r="G60" s="8"/>
      <c r="H60" s="9"/>
      <c r="I60" s="18"/>
      <c r="J60" s="8"/>
      <c r="K60" s="9"/>
      <c r="L60" s="18"/>
      <c r="M60" s="8"/>
      <c r="N60" s="9"/>
    </row>
    <row r="61" spans="2:14">
      <c r="B61" s="3"/>
      <c r="C61" s="3"/>
      <c r="D61" s="8"/>
      <c r="E61" s="9"/>
      <c r="F61" s="18"/>
      <c r="G61" s="8"/>
      <c r="H61" s="9"/>
      <c r="I61" s="18"/>
      <c r="J61" s="8"/>
      <c r="K61" s="9"/>
      <c r="L61" s="18"/>
      <c r="M61" s="8"/>
      <c r="N61" s="9"/>
    </row>
    <row r="62" spans="2:14">
      <c r="B62" s="3"/>
      <c r="C62" s="3"/>
      <c r="D62" s="8"/>
      <c r="E62" s="9"/>
      <c r="F62" s="18"/>
      <c r="G62" s="8"/>
      <c r="H62" s="9"/>
      <c r="I62" s="18"/>
      <c r="J62" s="8"/>
      <c r="K62" s="9"/>
      <c r="L62" s="18"/>
      <c r="M62" s="8"/>
      <c r="N62" s="9"/>
    </row>
    <row r="63" spans="2:14">
      <c r="B63" s="3"/>
      <c r="C63" s="3"/>
      <c r="D63" s="8"/>
      <c r="E63" s="9"/>
      <c r="F63" s="18"/>
      <c r="G63" s="8"/>
      <c r="H63" s="9"/>
      <c r="I63" s="18"/>
      <c r="J63" s="8"/>
      <c r="K63" s="9"/>
      <c r="L63" s="18"/>
      <c r="M63" s="8"/>
      <c r="N63" s="9"/>
    </row>
    <row r="64" spans="2:14">
      <c r="B64" s="3"/>
      <c r="C64" s="3"/>
      <c r="D64" s="8"/>
      <c r="E64" s="9"/>
      <c r="F64" s="18"/>
      <c r="G64" s="8"/>
      <c r="H64" s="9"/>
      <c r="I64" s="18"/>
      <c r="J64" s="8"/>
      <c r="K64" s="9"/>
      <c r="L64" s="18"/>
      <c r="M64" s="8"/>
      <c r="N64" s="9"/>
    </row>
    <row r="65" spans="2:14">
      <c r="B65" s="3"/>
      <c r="C65" s="3"/>
      <c r="D65" s="8"/>
      <c r="E65" s="9"/>
      <c r="F65" s="18"/>
      <c r="G65" s="8"/>
      <c r="H65" s="9"/>
      <c r="I65" s="18"/>
      <c r="J65" s="8"/>
      <c r="K65" s="9"/>
      <c r="L65" s="18"/>
      <c r="M65" s="8"/>
      <c r="N65" s="9"/>
    </row>
    <row r="66" spans="2:14">
      <c r="B66" s="3"/>
      <c r="C66" s="3"/>
      <c r="D66" s="8"/>
      <c r="E66" s="9"/>
      <c r="F66" s="18"/>
      <c r="G66" s="8"/>
      <c r="H66" s="9"/>
      <c r="I66" s="18"/>
      <c r="J66" s="8"/>
      <c r="K66" s="9"/>
      <c r="L66" s="18"/>
      <c r="M66" s="8"/>
      <c r="N66" s="9"/>
    </row>
    <row r="67" spans="2:14">
      <c r="B67" s="3"/>
      <c r="C67" s="3"/>
      <c r="D67" s="8"/>
      <c r="E67" s="9"/>
      <c r="F67" s="18"/>
      <c r="G67" s="8"/>
      <c r="H67" s="9"/>
      <c r="I67" s="18"/>
      <c r="J67" s="8"/>
      <c r="K67" s="9"/>
      <c r="L67" s="18"/>
      <c r="M67" s="8"/>
      <c r="N67" s="9"/>
    </row>
    <row r="68" spans="2:14">
      <c r="B68" s="3"/>
      <c r="C68" s="3"/>
      <c r="D68" s="8"/>
      <c r="E68" s="9"/>
      <c r="F68" s="18"/>
      <c r="G68" s="8"/>
      <c r="H68" s="9"/>
      <c r="I68" s="18"/>
      <c r="J68" s="8"/>
      <c r="K68" s="9"/>
      <c r="L68" s="18"/>
      <c r="M68" s="8"/>
      <c r="N68" s="9"/>
    </row>
    <row r="69" spans="2:14">
      <c r="B69" s="3"/>
      <c r="C69" s="3"/>
      <c r="D69" s="8"/>
      <c r="E69" s="9"/>
      <c r="F69" s="18"/>
      <c r="G69" s="8"/>
      <c r="H69" s="9"/>
      <c r="I69" s="18"/>
      <c r="J69" s="8"/>
      <c r="K69" s="9"/>
      <c r="L69" s="18"/>
      <c r="M69" s="8"/>
      <c r="N69" s="9"/>
    </row>
    <row r="70" spans="2:14">
      <c r="B70" s="3"/>
      <c r="C70" s="3"/>
      <c r="D70" s="8"/>
      <c r="E70" s="9"/>
      <c r="F70" s="18"/>
      <c r="G70" s="8"/>
      <c r="H70" s="9"/>
      <c r="I70" s="18"/>
      <c r="J70" s="8"/>
      <c r="K70" s="9"/>
      <c r="L70" s="18"/>
      <c r="M70" s="8"/>
      <c r="N70" s="9"/>
    </row>
    <row r="71" spans="2:14">
      <c r="B71" s="3"/>
      <c r="C71" s="3"/>
      <c r="D71" s="8"/>
      <c r="E71" s="9"/>
      <c r="F71" s="18"/>
      <c r="G71" s="8"/>
      <c r="H71" s="9"/>
      <c r="I71" s="18"/>
      <c r="J71" s="8"/>
      <c r="K71" s="9"/>
      <c r="L71" s="18"/>
      <c r="M71" s="8"/>
      <c r="N71" s="9"/>
    </row>
    <row r="72" spans="2:14">
      <c r="B72" s="3"/>
      <c r="C72" s="3"/>
      <c r="D72" s="8"/>
      <c r="E72" s="9"/>
      <c r="F72" s="18"/>
      <c r="G72" s="8"/>
      <c r="H72" s="9"/>
      <c r="I72" s="18"/>
      <c r="J72" s="8"/>
      <c r="K72" s="9"/>
      <c r="L72" s="18"/>
      <c r="M72" s="8"/>
      <c r="N72" s="9"/>
    </row>
    <row r="73" spans="2:14">
      <c r="B73" s="3"/>
      <c r="C73" s="3"/>
      <c r="D73" s="8"/>
      <c r="E73" s="9"/>
      <c r="F73" s="18"/>
      <c r="G73" s="8"/>
      <c r="H73" s="9"/>
      <c r="I73" s="18"/>
      <c r="J73" s="8"/>
      <c r="K73" s="9"/>
      <c r="L73" s="18"/>
      <c r="M73" s="8"/>
      <c r="N73" s="9"/>
    </row>
    <row r="74" spans="2:14">
      <c r="B74" s="3"/>
      <c r="C74" s="3"/>
      <c r="D74" s="8"/>
      <c r="E74" s="9"/>
      <c r="F74" s="18"/>
      <c r="G74" s="8"/>
      <c r="H74" s="9"/>
      <c r="I74" s="18"/>
      <c r="J74" s="8"/>
      <c r="K74" s="9"/>
      <c r="L74" s="18"/>
      <c r="M74" s="8"/>
      <c r="N74" s="9"/>
    </row>
    <row r="75" spans="2:14">
      <c r="B75" s="3"/>
      <c r="C75" s="3"/>
      <c r="D75" s="8"/>
      <c r="E75" s="9"/>
      <c r="F75" s="18"/>
      <c r="G75" s="8"/>
      <c r="H75" s="9"/>
      <c r="I75" s="18"/>
      <c r="J75" s="8"/>
      <c r="K75" s="9"/>
      <c r="L75" s="18"/>
      <c r="M75" s="8"/>
      <c r="N75" s="9"/>
    </row>
    <row r="76" spans="2:14">
      <c r="B76" s="3"/>
      <c r="C76" s="3"/>
      <c r="D76" s="8"/>
      <c r="E76" s="9"/>
      <c r="F76" s="18"/>
      <c r="G76" s="8"/>
      <c r="H76" s="9"/>
      <c r="I76" s="18"/>
      <c r="J76" s="8"/>
      <c r="K76" s="9"/>
      <c r="L76" s="18"/>
      <c r="M76" s="8"/>
      <c r="N76" s="9"/>
    </row>
    <row r="77" spans="2:14">
      <c r="B77" s="3"/>
      <c r="C77" s="3"/>
      <c r="D77" s="8"/>
      <c r="E77" s="9"/>
      <c r="F77" s="18"/>
      <c r="G77" s="8"/>
      <c r="H77" s="9"/>
      <c r="I77" s="18"/>
      <c r="J77" s="8"/>
      <c r="K77" s="9"/>
      <c r="L77" s="18"/>
      <c r="M77" s="8"/>
      <c r="N77" s="9"/>
    </row>
    <row r="78" spans="2:14">
      <c r="B78" s="3"/>
      <c r="C78" s="3"/>
      <c r="D78" s="8"/>
      <c r="E78" s="9"/>
      <c r="F78" s="18"/>
      <c r="G78" s="8"/>
      <c r="H78" s="9"/>
      <c r="I78" s="18"/>
      <c r="J78" s="8"/>
      <c r="K78" s="9"/>
      <c r="L78" s="18"/>
      <c r="M78" s="8"/>
      <c r="N78" s="9"/>
    </row>
    <row r="79" spans="2:14">
      <c r="B79" s="3"/>
      <c r="C79" s="3"/>
      <c r="D79" s="8"/>
      <c r="E79" s="9"/>
      <c r="F79" s="18"/>
      <c r="G79" s="8"/>
      <c r="H79" s="9"/>
      <c r="I79" s="18"/>
      <c r="J79" s="8"/>
      <c r="K79" s="9"/>
      <c r="L79" s="18"/>
      <c r="M79" s="8"/>
      <c r="N79" s="9"/>
    </row>
    <row r="80" spans="2:14">
      <c r="B80" s="3"/>
      <c r="C80" s="3"/>
      <c r="D80" s="8"/>
      <c r="E80" s="9"/>
      <c r="F80" s="18"/>
      <c r="G80" s="8"/>
      <c r="H80" s="9"/>
      <c r="I80" s="18"/>
      <c r="J80" s="8"/>
      <c r="K80" s="9"/>
      <c r="L80" s="18"/>
      <c r="M80" s="8"/>
      <c r="N80" s="9"/>
    </row>
    <row r="81" spans="2:14">
      <c r="B81" s="3"/>
      <c r="C81" s="3"/>
      <c r="D81" s="8"/>
      <c r="E81" s="9"/>
      <c r="F81" s="18"/>
      <c r="G81" s="8"/>
      <c r="H81" s="9"/>
      <c r="I81" s="18"/>
      <c r="J81" s="8"/>
      <c r="K81" s="9"/>
      <c r="L81" s="18"/>
      <c r="M81" s="8"/>
      <c r="N81" s="9"/>
    </row>
    <row r="82" spans="2:14">
      <c r="B82" s="3"/>
      <c r="C82" s="3"/>
      <c r="D82" s="8"/>
      <c r="E82" s="9"/>
      <c r="F82" s="18"/>
      <c r="G82" s="8"/>
      <c r="H82" s="9"/>
      <c r="I82" s="18"/>
      <c r="J82" s="8"/>
      <c r="K82" s="9"/>
      <c r="L82" s="18"/>
      <c r="M82" s="8"/>
      <c r="N82" s="9"/>
    </row>
    <row r="83" spans="2:14">
      <c r="B83" s="3"/>
      <c r="C83" s="3"/>
      <c r="D83" s="8"/>
      <c r="E83" s="9"/>
      <c r="F83" s="18"/>
      <c r="G83" s="8"/>
      <c r="H83" s="9"/>
      <c r="I83" s="18"/>
      <c r="J83" s="8"/>
      <c r="K83" s="9"/>
      <c r="L83" s="18"/>
      <c r="M83" s="8"/>
      <c r="N83" s="9"/>
    </row>
    <row r="84" spans="2:14">
      <c r="B84" s="3"/>
      <c r="C84" s="3"/>
      <c r="D84" s="8"/>
      <c r="E84" s="9"/>
      <c r="F84" s="18"/>
      <c r="G84" s="8"/>
      <c r="H84" s="9"/>
      <c r="I84" s="18"/>
      <c r="J84" s="8"/>
      <c r="K84" s="9"/>
      <c r="L84" s="18"/>
      <c r="M84" s="8"/>
      <c r="N84" s="9"/>
    </row>
    <row r="85" spans="2:14">
      <c r="B85" s="3"/>
      <c r="C85" s="3"/>
      <c r="D85" s="8"/>
      <c r="E85" s="9"/>
      <c r="F85" s="18"/>
      <c r="G85" s="8"/>
      <c r="H85" s="9"/>
      <c r="I85" s="18"/>
      <c r="J85" s="8"/>
      <c r="K85" s="9"/>
      <c r="L85" s="18"/>
      <c r="M85" s="8"/>
      <c r="N85" s="9"/>
    </row>
    <row r="86" spans="2:14">
      <c r="B86" s="3"/>
      <c r="C86" s="3"/>
      <c r="D86" s="8"/>
      <c r="E86" s="9"/>
      <c r="F86" s="18"/>
      <c r="G86" s="8"/>
      <c r="H86" s="9"/>
      <c r="I86" s="18"/>
      <c r="J86" s="8"/>
      <c r="K86" s="9"/>
      <c r="L86" s="18"/>
      <c r="M86" s="8"/>
      <c r="N86" s="9"/>
    </row>
    <row r="87" spans="2:14">
      <c r="B87" s="3"/>
      <c r="C87" s="3"/>
      <c r="D87" s="8"/>
      <c r="E87" s="9"/>
      <c r="F87" s="18"/>
      <c r="G87" s="8"/>
      <c r="H87" s="9"/>
      <c r="I87" s="18"/>
      <c r="J87" s="8"/>
      <c r="K87" s="9"/>
      <c r="L87" s="18"/>
      <c r="M87" s="8"/>
      <c r="N87" s="9"/>
    </row>
    <row r="88" spans="2:14">
      <c r="B88" s="3"/>
      <c r="C88" s="3"/>
      <c r="D88" s="8"/>
      <c r="E88" s="9"/>
      <c r="F88" s="18"/>
      <c r="G88" s="8"/>
      <c r="H88" s="9"/>
      <c r="I88" s="18"/>
      <c r="J88" s="8"/>
      <c r="K88" s="9"/>
      <c r="L88" s="18"/>
      <c r="M88" s="8"/>
      <c r="N88" s="9"/>
    </row>
    <row r="89" spans="2:14">
      <c r="B89" s="3"/>
      <c r="C89" s="3"/>
      <c r="D89" s="8"/>
      <c r="E89" s="9"/>
      <c r="F89" s="18"/>
      <c r="G89" s="8"/>
      <c r="H89" s="9"/>
      <c r="I89" s="18"/>
      <c r="J89" s="8"/>
      <c r="K89" s="9"/>
      <c r="L89" s="18"/>
      <c r="M89" s="8"/>
      <c r="N89" s="9"/>
    </row>
    <row r="90" spans="2:14">
      <c r="B90" s="3"/>
      <c r="C90" s="3"/>
      <c r="D90" s="8"/>
      <c r="E90" s="9"/>
      <c r="F90" s="18"/>
      <c r="G90" s="8"/>
      <c r="H90" s="9"/>
      <c r="I90" s="18"/>
      <c r="J90" s="8"/>
      <c r="K90" s="9"/>
      <c r="L90" s="18"/>
      <c r="M90" s="8"/>
      <c r="N90" s="9"/>
    </row>
    <row r="91" spans="2:14">
      <c r="B91" s="3"/>
      <c r="C91" s="3"/>
      <c r="D91" s="8"/>
      <c r="E91" s="9"/>
      <c r="F91" s="18"/>
      <c r="G91" s="8"/>
      <c r="H91" s="9"/>
      <c r="I91" s="18"/>
      <c r="J91" s="8"/>
      <c r="K91" s="9"/>
      <c r="L91" s="18"/>
      <c r="M91" s="8"/>
      <c r="N91" s="9"/>
    </row>
    <row r="92" spans="2:14">
      <c r="B92" s="3"/>
      <c r="C92" s="3"/>
      <c r="D92" s="8"/>
      <c r="E92" s="9"/>
      <c r="F92" s="18"/>
      <c r="G92" s="8"/>
      <c r="H92" s="9"/>
      <c r="I92" s="18"/>
      <c r="J92" s="8"/>
      <c r="K92" s="9"/>
      <c r="L92" s="18"/>
      <c r="M92" s="8"/>
      <c r="N92" s="9"/>
    </row>
    <row r="93" spans="2:14">
      <c r="B93" s="3"/>
      <c r="C93" s="3"/>
      <c r="D93" s="8"/>
      <c r="E93" s="9"/>
      <c r="F93" s="18"/>
      <c r="G93" s="8"/>
      <c r="H93" s="9"/>
      <c r="I93" s="18"/>
      <c r="J93" s="8"/>
      <c r="K93" s="9"/>
      <c r="L93" s="18"/>
      <c r="M93" s="8"/>
      <c r="N93" s="9"/>
    </row>
    <row r="94" spans="2:14">
      <c r="B94" s="3"/>
      <c r="C94" s="3"/>
      <c r="D94" s="8"/>
      <c r="E94" s="9"/>
      <c r="F94" s="18"/>
      <c r="G94" s="8"/>
      <c r="H94" s="9"/>
      <c r="I94" s="18"/>
      <c r="J94" s="8"/>
      <c r="K94" s="9"/>
      <c r="L94" s="18"/>
      <c r="M94" s="8"/>
      <c r="N94" s="9"/>
    </row>
    <row r="95" spans="2:14">
      <c r="B95" s="3"/>
      <c r="C95" s="3"/>
      <c r="D95" s="8"/>
      <c r="E95" s="9"/>
      <c r="F95" s="18"/>
      <c r="G95" s="8"/>
      <c r="H95" s="9"/>
      <c r="I95" s="18"/>
      <c r="J95" s="8"/>
      <c r="K95" s="9"/>
      <c r="L95" s="18"/>
      <c r="M95" s="8"/>
      <c r="N95" s="9"/>
    </row>
    <row r="96" spans="2:14">
      <c r="B96" s="3"/>
      <c r="C96" s="3"/>
      <c r="D96" s="8"/>
      <c r="E96" s="9"/>
      <c r="F96" s="18"/>
      <c r="G96" s="8"/>
      <c r="H96" s="9"/>
      <c r="I96" s="18"/>
      <c r="J96" s="8"/>
      <c r="K96" s="9"/>
      <c r="L96" s="18"/>
      <c r="M96" s="8"/>
      <c r="N96" s="9"/>
    </row>
    <row r="97" spans="2:14">
      <c r="B97" s="3"/>
      <c r="C97" s="3"/>
      <c r="D97" s="8"/>
      <c r="E97" s="9"/>
      <c r="F97" s="18"/>
      <c r="G97" s="8"/>
      <c r="H97" s="9"/>
      <c r="I97" s="18"/>
      <c r="J97" s="8"/>
      <c r="K97" s="9"/>
      <c r="L97" s="18"/>
      <c r="M97" s="8"/>
      <c r="N97" s="9"/>
    </row>
    <row r="98" spans="2:14">
      <c r="B98" s="3"/>
      <c r="C98" s="3"/>
      <c r="D98" s="8"/>
      <c r="E98" s="9"/>
      <c r="F98" s="18"/>
      <c r="G98" s="8"/>
      <c r="H98" s="9"/>
      <c r="I98" s="18"/>
      <c r="J98" s="8"/>
      <c r="K98" s="9"/>
      <c r="L98" s="18"/>
      <c r="M98" s="8"/>
      <c r="N98" s="9"/>
    </row>
    <row r="99" spans="2:14">
      <c r="B99" s="3"/>
      <c r="C99" s="3"/>
      <c r="D99" s="8"/>
      <c r="E99" s="9"/>
      <c r="F99" s="18"/>
      <c r="G99" s="8"/>
      <c r="H99" s="9"/>
      <c r="I99" s="18"/>
      <c r="J99" s="8"/>
      <c r="K99" s="9"/>
      <c r="L99" s="18"/>
      <c r="M99" s="8"/>
      <c r="N99" s="9"/>
    </row>
    <row r="100" spans="2:14">
      <c r="B100" s="3"/>
      <c r="C100" s="3"/>
      <c r="D100" s="8"/>
      <c r="E100" s="9"/>
      <c r="F100" s="18"/>
      <c r="G100" s="8"/>
      <c r="H100" s="9"/>
      <c r="I100" s="18"/>
      <c r="J100" s="8"/>
      <c r="K100" s="9"/>
      <c r="L100" s="18"/>
      <c r="M100" s="8"/>
      <c r="N100" s="9"/>
    </row>
    <row r="101" spans="2:14">
      <c r="B101" s="3"/>
      <c r="C101" s="3"/>
      <c r="D101" s="8"/>
      <c r="E101" s="9"/>
      <c r="F101" s="18"/>
      <c r="G101" s="8"/>
      <c r="H101" s="9"/>
      <c r="I101" s="18"/>
      <c r="J101" s="8"/>
      <c r="K101" s="9"/>
      <c r="L101" s="18"/>
      <c r="M101" s="8"/>
      <c r="N101" s="9"/>
    </row>
    <row r="102" spans="2:14">
      <c r="B102" s="3"/>
      <c r="C102" s="3"/>
      <c r="D102" s="8"/>
      <c r="E102" s="9"/>
      <c r="F102" s="9"/>
      <c r="G102" s="8"/>
      <c r="H102" s="9"/>
      <c r="I102" s="9"/>
      <c r="J102" s="8"/>
      <c r="K102" s="9"/>
      <c r="L102" s="9"/>
      <c r="M102" s="8"/>
      <c r="N102" s="9"/>
    </row>
    <row r="103" spans="2:14">
      <c r="B103" s="3"/>
      <c r="C103" s="3"/>
      <c r="D103" s="8"/>
      <c r="E103" s="9"/>
      <c r="F103" s="9"/>
      <c r="G103" s="8"/>
      <c r="H103" s="9"/>
      <c r="I103" s="9"/>
      <c r="J103" s="8"/>
      <c r="K103" s="9"/>
      <c r="L103" s="9"/>
      <c r="M103" s="8"/>
      <c r="N103" s="9"/>
    </row>
    <row r="104" spans="2:14">
      <c r="B104" s="3"/>
      <c r="C104" s="3"/>
      <c r="D104" s="8"/>
      <c r="E104" s="9"/>
      <c r="F104" s="9"/>
      <c r="G104" s="8"/>
      <c r="H104" s="9"/>
      <c r="I104" s="9"/>
      <c r="J104" s="8"/>
      <c r="K104" s="9"/>
      <c r="L104" s="9"/>
      <c r="M104" s="8"/>
      <c r="N104" s="9"/>
    </row>
    <row r="105" spans="2:14">
      <c r="B105" s="3"/>
      <c r="C105" s="3"/>
      <c r="D105" s="8"/>
      <c r="E105" s="9"/>
      <c r="F105" s="9"/>
      <c r="G105" s="8"/>
      <c r="H105" s="9"/>
      <c r="I105" s="9"/>
      <c r="J105" s="8"/>
      <c r="K105" s="9"/>
      <c r="L105" s="9"/>
      <c r="M105" s="8"/>
      <c r="N105" s="9"/>
    </row>
    <row r="106" spans="2:14">
      <c r="B106" s="3"/>
      <c r="C106" s="3"/>
      <c r="D106" s="8"/>
      <c r="E106" s="9"/>
      <c r="F106" s="9"/>
      <c r="G106" s="8"/>
      <c r="H106" s="9"/>
      <c r="I106" s="9"/>
      <c r="J106" s="8"/>
      <c r="K106" s="9"/>
      <c r="L106" s="9"/>
      <c r="M106" s="8"/>
      <c r="N106" s="9"/>
    </row>
    <row r="107" spans="2:14">
      <c r="B107" s="3"/>
      <c r="C107" s="3"/>
      <c r="D107" s="8"/>
      <c r="E107" s="9"/>
      <c r="F107" s="9"/>
      <c r="G107" s="8"/>
      <c r="H107" s="9"/>
      <c r="I107" s="9"/>
      <c r="J107" s="8"/>
      <c r="K107" s="9"/>
      <c r="L107" s="9"/>
      <c r="M107" s="8"/>
      <c r="N107" s="9"/>
    </row>
    <row r="108" spans="2:14">
      <c r="B108" s="3"/>
      <c r="C108" s="3"/>
      <c r="D108" s="8"/>
      <c r="E108" s="9"/>
      <c r="F108" s="9"/>
      <c r="G108" s="8"/>
      <c r="H108" s="9"/>
      <c r="I108" s="9"/>
      <c r="J108" s="8"/>
      <c r="K108" s="9"/>
      <c r="L108" s="9"/>
      <c r="M108" s="8"/>
      <c r="N108" s="9"/>
    </row>
    <row r="109" spans="2:14">
      <c r="B109" s="3"/>
      <c r="C109" s="3"/>
      <c r="D109" s="8"/>
      <c r="E109" s="9"/>
      <c r="F109" s="9"/>
      <c r="G109" s="8"/>
      <c r="H109" s="9"/>
      <c r="I109" s="9"/>
      <c r="J109" s="8"/>
      <c r="K109" s="9"/>
      <c r="L109" s="9"/>
      <c r="M109" s="8"/>
      <c r="N109" s="9"/>
    </row>
    <row r="110" spans="2:14">
      <c r="B110" s="3"/>
      <c r="C110" s="3"/>
      <c r="D110" s="8"/>
      <c r="E110" s="9"/>
      <c r="F110" s="9"/>
      <c r="G110" s="8"/>
      <c r="H110" s="9"/>
      <c r="I110" s="9"/>
      <c r="J110" s="8"/>
      <c r="K110" s="9"/>
      <c r="L110" s="9"/>
      <c r="M110" s="8"/>
      <c r="N110" s="9"/>
    </row>
    <row r="111" spans="2:14">
      <c r="B111" s="3"/>
      <c r="C111" s="3"/>
      <c r="D111" s="8"/>
      <c r="E111" s="9"/>
      <c r="F111" s="9"/>
      <c r="G111" s="8"/>
      <c r="H111" s="9"/>
      <c r="I111" s="9"/>
      <c r="J111" s="8"/>
      <c r="K111" s="9"/>
      <c r="L111" s="9"/>
      <c r="M111" s="8"/>
      <c r="N111" s="9"/>
    </row>
    <row r="112" spans="2:14">
      <c r="B112" s="3"/>
      <c r="C112" s="3"/>
      <c r="D112" s="8"/>
      <c r="E112" s="9"/>
      <c r="F112" s="9"/>
      <c r="G112" s="8"/>
      <c r="H112" s="9"/>
      <c r="I112" s="9"/>
      <c r="J112" s="8"/>
      <c r="K112" s="9"/>
      <c r="L112" s="9"/>
      <c r="M112" s="8"/>
      <c r="N112" s="9"/>
    </row>
    <row r="113" spans="2:14">
      <c r="B113" s="3"/>
      <c r="C113" s="3"/>
      <c r="D113" s="8"/>
      <c r="E113" s="9"/>
      <c r="F113" s="9"/>
      <c r="G113" s="8"/>
      <c r="H113" s="9"/>
      <c r="I113" s="9"/>
      <c r="J113" s="8"/>
      <c r="K113" s="9"/>
      <c r="L113" s="9"/>
      <c r="M113" s="8"/>
      <c r="N113" s="9"/>
    </row>
    <row r="114" spans="2:14">
      <c r="B114" s="3"/>
      <c r="C114" s="3"/>
      <c r="D114" s="8"/>
      <c r="E114" s="9"/>
      <c r="F114" s="9"/>
      <c r="G114" s="8"/>
      <c r="H114" s="9"/>
      <c r="I114" s="9"/>
      <c r="J114" s="8"/>
      <c r="K114" s="9"/>
      <c r="L114" s="9"/>
      <c r="M114" s="8"/>
      <c r="N114" s="9"/>
    </row>
    <row r="115" spans="2:14">
      <c r="B115" s="3"/>
      <c r="C115" s="3"/>
      <c r="D115" s="8"/>
      <c r="E115" s="9"/>
      <c r="F115" s="9"/>
      <c r="G115" s="8"/>
      <c r="H115" s="9"/>
      <c r="I115" s="9"/>
      <c r="J115" s="8"/>
      <c r="K115" s="9"/>
      <c r="L115" s="9"/>
      <c r="M115" s="8"/>
      <c r="N115" s="9"/>
    </row>
    <row r="116" spans="2:14">
      <c r="B116" s="3"/>
      <c r="C116" s="3"/>
      <c r="D116" s="8"/>
      <c r="E116" s="9"/>
      <c r="F116" s="9"/>
      <c r="G116" s="8"/>
      <c r="H116" s="9"/>
      <c r="I116" s="9"/>
      <c r="J116" s="8"/>
      <c r="K116" s="9"/>
      <c r="L116" s="9"/>
      <c r="M116" s="8"/>
      <c r="N116" s="9"/>
    </row>
    <row r="117" spans="2:14">
      <c r="B117" s="3"/>
      <c r="C117" s="3"/>
      <c r="D117" s="8"/>
      <c r="E117" s="9"/>
      <c r="F117" s="9"/>
      <c r="G117" s="8"/>
      <c r="H117" s="9"/>
      <c r="I117" s="9"/>
      <c r="J117" s="8"/>
      <c r="K117" s="9"/>
      <c r="L117" s="9"/>
      <c r="M117" s="8"/>
      <c r="N117" s="9"/>
    </row>
    <row r="118" spans="2:14">
      <c r="B118" s="3"/>
      <c r="C118" s="3"/>
      <c r="D118" s="8"/>
      <c r="E118" s="9"/>
      <c r="F118" s="9"/>
      <c r="G118" s="8"/>
      <c r="H118" s="9"/>
      <c r="I118" s="9"/>
      <c r="J118" s="8"/>
      <c r="K118" s="9"/>
      <c r="L118" s="9"/>
      <c r="M118" s="8"/>
      <c r="N118" s="9"/>
    </row>
    <row r="119" spans="2:14">
      <c r="B119" s="3"/>
      <c r="C119" s="3"/>
      <c r="D119" s="8"/>
      <c r="E119" s="9"/>
      <c r="F119" s="9"/>
      <c r="G119" s="8"/>
      <c r="H119" s="9"/>
      <c r="I119" s="9"/>
      <c r="J119" s="8"/>
      <c r="K119" s="9"/>
      <c r="L119" s="9"/>
      <c r="M119" s="8"/>
      <c r="N119" s="9"/>
    </row>
    <row r="120" spans="2:14">
      <c r="B120" s="3"/>
      <c r="C120" s="3"/>
      <c r="D120" s="8"/>
      <c r="E120" s="9"/>
      <c r="F120" s="9"/>
      <c r="G120" s="8"/>
      <c r="H120" s="9"/>
      <c r="I120" s="9"/>
      <c r="J120" s="8"/>
      <c r="K120" s="9"/>
      <c r="L120" s="9"/>
      <c r="M120" s="8"/>
      <c r="N120" s="9"/>
    </row>
    <row r="121" spans="2:14">
      <c r="B121" s="3"/>
      <c r="C121" s="3"/>
      <c r="D121" s="8"/>
      <c r="E121" s="9"/>
      <c r="F121" s="9"/>
      <c r="G121" s="8"/>
      <c r="H121" s="9"/>
      <c r="I121" s="9"/>
      <c r="J121" s="8"/>
      <c r="K121" s="9"/>
      <c r="L121" s="9"/>
      <c r="M121" s="8"/>
      <c r="N121" s="9"/>
    </row>
    <row r="122" spans="2:14">
      <c r="B122" s="3"/>
      <c r="C122" s="3"/>
      <c r="D122" s="8"/>
      <c r="E122" s="9"/>
      <c r="F122" s="9"/>
      <c r="G122" s="8"/>
      <c r="H122" s="9"/>
      <c r="I122" s="9"/>
      <c r="J122" s="8"/>
      <c r="K122" s="9"/>
      <c r="L122" s="9"/>
      <c r="M122" s="8"/>
      <c r="N122" s="9"/>
    </row>
    <row r="123" spans="2:14">
      <c r="B123" s="3"/>
      <c r="C123" s="3"/>
      <c r="D123" s="8"/>
      <c r="E123" s="9"/>
      <c r="F123" s="9"/>
      <c r="G123" s="8"/>
      <c r="H123" s="9"/>
      <c r="I123" s="9"/>
      <c r="J123" s="8"/>
      <c r="K123" s="9"/>
      <c r="L123" s="9"/>
      <c r="M123" s="8"/>
      <c r="N123" s="9"/>
    </row>
    <row r="124" spans="2:14">
      <c r="B124" s="3"/>
      <c r="C124" s="3"/>
      <c r="D124" s="8"/>
      <c r="E124" s="9"/>
      <c r="F124" s="9"/>
      <c r="G124" s="8"/>
      <c r="H124" s="9"/>
      <c r="I124" s="9"/>
      <c r="J124" s="8"/>
      <c r="K124" s="9"/>
      <c r="L124" s="9"/>
      <c r="M124" s="8"/>
      <c r="N124" s="9"/>
    </row>
    <row r="125" spans="2:14">
      <c r="B125" s="3"/>
      <c r="C125" s="3"/>
      <c r="D125" s="8"/>
      <c r="E125" s="9"/>
      <c r="F125" s="9"/>
      <c r="G125" s="8"/>
      <c r="H125" s="9"/>
      <c r="I125" s="9"/>
      <c r="J125" s="8"/>
      <c r="K125" s="9"/>
      <c r="L125" s="9"/>
      <c r="M125" s="8"/>
      <c r="N125" s="9"/>
    </row>
    <row r="126" spans="2:14">
      <c r="B126" s="3"/>
      <c r="C126" s="3"/>
      <c r="D126" s="8"/>
      <c r="E126" s="9"/>
      <c r="F126" s="9"/>
      <c r="G126" s="8"/>
      <c r="H126" s="9"/>
      <c r="I126" s="9"/>
      <c r="J126" s="8"/>
      <c r="K126" s="9"/>
      <c r="L126" s="9"/>
      <c r="M126" s="8"/>
      <c r="N126" s="9"/>
    </row>
    <row r="127" spans="2:14">
      <c r="B127" s="3"/>
      <c r="C127" s="3"/>
      <c r="D127" s="8"/>
      <c r="E127" s="9"/>
      <c r="F127" s="9"/>
      <c r="G127" s="8"/>
      <c r="H127" s="9"/>
      <c r="I127" s="9"/>
      <c r="J127" s="8"/>
      <c r="K127" s="9"/>
      <c r="L127" s="9"/>
      <c r="M127" s="8"/>
      <c r="N127" s="9"/>
    </row>
    <row r="128" spans="2:14">
      <c r="B128" s="3"/>
      <c r="C128" s="3"/>
      <c r="D128" s="8"/>
      <c r="E128" s="9"/>
      <c r="F128" s="9"/>
      <c r="G128" s="8"/>
      <c r="H128" s="9"/>
      <c r="I128" s="9"/>
      <c r="J128" s="8"/>
      <c r="K128" s="9"/>
      <c r="L128" s="9"/>
      <c r="M128" s="8"/>
      <c r="N128" s="9"/>
    </row>
    <row r="129" spans="2:14">
      <c r="B129" s="3"/>
      <c r="C129" s="3"/>
      <c r="D129" s="8"/>
      <c r="E129" s="9"/>
      <c r="F129" s="9"/>
      <c r="G129" s="8"/>
      <c r="H129" s="9"/>
      <c r="I129" s="9"/>
      <c r="J129" s="8"/>
      <c r="K129" s="9"/>
      <c r="L129" s="9"/>
      <c r="M129" s="8"/>
      <c r="N129" s="9"/>
    </row>
    <row r="130" spans="2:14">
      <c r="B130" s="3"/>
      <c r="C130" s="3"/>
      <c r="D130" s="8"/>
      <c r="E130" s="9"/>
      <c r="F130" s="9"/>
      <c r="G130" s="8"/>
      <c r="H130" s="9"/>
      <c r="I130" s="9"/>
      <c r="J130" s="8"/>
      <c r="K130" s="9"/>
      <c r="L130" s="9"/>
      <c r="M130" s="8"/>
      <c r="N130" s="9"/>
    </row>
    <row r="131" spans="2:14">
      <c r="B131" s="3"/>
      <c r="C131" s="3"/>
      <c r="D131" s="8"/>
      <c r="E131" s="9"/>
      <c r="F131" s="9"/>
      <c r="G131" s="8"/>
      <c r="H131" s="9"/>
      <c r="I131" s="9"/>
      <c r="J131" s="8"/>
      <c r="K131" s="9"/>
      <c r="L131" s="9"/>
      <c r="M131" s="8"/>
      <c r="N131" s="9"/>
    </row>
    <row r="132" spans="2:14">
      <c r="B132" s="3"/>
      <c r="C132" s="3"/>
      <c r="D132" s="8"/>
      <c r="E132" s="9"/>
      <c r="F132" s="9"/>
      <c r="G132" s="8"/>
      <c r="H132" s="9"/>
      <c r="I132" s="9"/>
      <c r="J132" s="8"/>
      <c r="K132" s="9"/>
      <c r="L132" s="9"/>
      <c r="M132" s="8"/>
      <c r="N132" s="9"/>
    </row>
    <row r="133" spans="2:14">
      <c r="B133" s="3"/>
      <c r="C133" s="3"/>
      <c r="D133" s="8"/>
      <c r="E133" s="9"/>
      <c r="F133" s="9"/>
      <c r="G133" s="8"/>
      <c r="H133" s="9"/>
      <c r="I133" s="9"/>
      <c r="J133" s="8"/>
      <c r="K133" s="9"/>
      <c r="L133" s="9"/>
      <c r="M133" s="8"/>
      <c r="N133" s="9"/>
    </row>
  </sheetData>
  <mergeCells count="4">
    <mergeCell ref="D5:E5"/>
    <mergeCell ref="G5:H5"/>
    <mergeCell ref="J5:K5"/>
    <mergeCell ref="M5:N5"/>
  </mergeCells>
  <pageMargins left="0.7" right="0.7" top="0.75" bottom="0.75" header="0.3" footer="0.3"/>
  <pageSetup orientation="portrait" r:id="rId1"/>
  <ignoredErrors>
    <ignoredError sqref="E22 E48 E51" formula="1"/>
  </ignoredErrors>
  <legacyDrawing r:id="rId2"/>
</worksheet>
</file>

<file path=xl/worksheets/sheet3.xml><?xml version="1.0" encoding="utf-8"?>
<worksheet xmlns="http://schemas.openxmlformats.org/spreadsheetml/2006/main" xmlns:r="http://schemas.openxmlformats.org/officeDocument/2006/relationships">
  <dimension ref="B5:N132"/>
  <sheetViews>
    <sheetView topLeftCell="B16" workbookViewId="0">
      <selection activeCell="K22" sqref="K22"/>
    </sheetView>
  </sheetViews>
  <sheetFormatPr defaultRowHeight="15"/>
  <cols>
    <col min="2" max="2" width="41.7109375" bestFit="1" customWidth="1"/>
    <col min="3" max="3" width="8.28515625" bestFit="1" customWidth="1"/>
    <col min="4" max="4" width="13.5703125" style="6" bestFit="1" customWidth="1"/>
    <col min="5" max="5" width="9.140625" style="7"/>
    <col min="6" max="6" width="1.28515625" style="7" customWidth="1"/>
    <col min="7" max="7" width="13.5703125" style="6" bestFit="1" customWidth="1"/>
    <col min="8" max="8" width="7.85546875" style="7" bestFit="1" customWidth="1"/>
    <col min="9" max="9" width="1.28515625" style="7" customWidth="1"/>
    <col min="10" max="10" width="13.5703125" style="6" bestFit="1" customWidth="1"/>
    <col min="11" max="11" width="9.140625" style="7"/>
    <col min="12" max="12" width="1.28515625" style="7" customWidth="1"/>
    <col min="13" max="13" width="13.5703125" style="6" bestFit="1" customWidth="1"/>
    <col min="14" max="14" width="9.140625" style="7"/>
  </cols>
  <sheetData>
    <row r="5" spans="2:14">
      <c r="B5" s="15" t="s">
        <v>13</v>
      </c>
      <c r="C5" s="15" t="s">
        <v>33</v>
      </c>
      <c r="D5" s="57" t="s">
        <v>19</v>
      </c>
      <c r="E5" s="57"/>
      <c r="F5" s="17"/>
      <c r="G5" s="57" t="s">
        <v>20</v>
      </c>
      <c r="H5" s="57"/>
      <c r="I5" s="17"/>
      <c r="J5" s="57" t="s">
        <v>126</v>
      </c>
      <c r="K5" s="57"/>
      <c r="L5" s="17"/>
      <c r="M5" s="57" t="s">
        <v>127</v>
      </c>
      <c r="N5" s="57"/>
    </row>
    <row r="6" spans="2:14">
      <c r="B6" s="3"/>
      <c r="C6" s="3"/>
      <c r="D6" s="8"/>
      <c r="E6" s="9"/>
      <c r="F6" s="18"/>
      <c r="G6" s="8"/>
      <c r="H6" s="9"/>
      <c r="I6" s="18"/>
      <c r="J6" s="8"/>
      <c r="K6" s="9"/>
      <c r="L6" s="18"/>
      <c r="M6" s="8"/>
      <c r="N6" s="9"/>
    </row>
    <row r="7" spans="2:14">
      <c r="B7" s="13" t="s">
        <v>46</v>
      </c>
      <c r="C7" s="3"/>
      <c r="D7" s="8"/>
      <c r="E7" s="9"/>
      <c r="F7" s="18"/>
      <c r="G7" s="8"/>
      <c r="H7" s="9"/>
      <c r="I7" s="18"/>
      <c r="J7" s="8"/>
      <c r="K7" s="9"/>
      <c r="L7" s="18"/>
      <c r="M7" s="8"/>
      <c r="N7" s="9"/>
    </row>
    <row r="8" spans="2:14">
      <c r="B8" s="3" t="s">
        <v>47</v>
      </c>
      <c r="C8" s="3"/>
      <c r="D8" s="8">
        <v>943172538</v>
      </c>
      <c r="E8" s="9"/>
      <c r="F8" s="18"/>
      <c r="G8" s="8">
        <v>860233765</v>
      </c>
      <c r="H8" s="9"/>
      <c r="I8" s="18"/>
      <c r="J8" s="8">
        <v>811399400</v>
      </c>
      <c r="K8" s="9"/>
      <c r="L8" s="18"/>
      <c r="M8" s="8">
        <v>604170862</v>
      </c>
      <c r="N8" s="9"/>
    </row>
    <row r="9" spans="2:14">
      <c r="B9" s="3" t="s">
        <v>48</v>
      </c>
      <c r="C9" s="3"/>
      <c r="D9" s="8">
        <v>21900921</v>
      </c>
      <c r="E9" s="9"/>
      <c r="F9" s="18"/>
      <c r="G9" s="8">
        <v>61031746</v>
      </c>
      <c r="H9" s="9"/>
      <c r="I9" s="18"/>
      <c r="J9" s="8">
        <v>100451904</v>
      </c>
      <c r="K9" s="9"/>
      <c r="L9" s="18"/>
      <c r="M9" s="8">
        <v>20636020</v>
      </c>
      <c r="N9" s="9"/>
    </row>
    <row r="10" spans="2:14" s="2" customFormat="1">
      <c r="B10" s="14" t="s">
        <v>54</v>
      </c>
      <c r="C10" s="14"/>
      <c r="D10" s="20">
        <f>SUM(D8:D9)</f>
        <v>965073459</v>
      </c>
      <c r="E10" s="21"/>
      <c r="F10" s="19"/>
      <c r="G10" s="20">
        <f>SUM(G8:G9)</f>
        <v>921265511</v>
      </c>
      <c r="H10" s="21"/>
      <c r="I10" s="19"/>
      <c r="J10" s="20">
        <f>SUM(J8:J9)</f>
        <v>911851304</v>
      </c>
      <c r="K10" s="21"/>
      <c r="L10" s="19"/>
      <c r="M10" s="20">
        <f>SUM(M8:M9)</f>
        <v>624806882</v>
      </c>
      <c r="N10" s="21"/>
    </row>
    <row r="11" spans="2:14" s="2" customFormat="1">
      <c r="B11" s="10"/>
      <c r="C11" s="10"/>
      <c r="D11" s="11"/>
      <c r="E11" s="9"/>
      <c r="F11" s="18"/>
      <c r="G11" s="11"/>
      <c r="H11" s="9"/>
      <c r="I11" s="18"/>
      <c r="J11" s="11"/>
      <c r="K11" s="9"/>
      <c r="L11" s="18"/>
      <c r="M11" s="11"/>
      <c r="N11" s="9"/>
    </row>
    <row r="12" spans="2:14" s="2" customFormat="1">
      <c r="B12" s="10"/>
      <c r="C12" s="10"/>
      <c r="D12" s="11"/>
      <c r="E12" s="9"/>
      <c r="F12" s="18"/>
      <c r="G12" s="11"/>
      <c r="H12" s="9"/>
      <c r="I12" s="18"/>
      <c r="J12" s="11"/>
      <c r="K12" s="9"/>
      <c r="L12" s="18"/>
      <c r="M12" s="11"/>
      <c r="N12" s="9"/>
    </row>
    <row r="13" spans="2:14">
      <c r="B13" s="13" t="s">
        <v>49</v>
      </c>
      <c r="C13" s="3"/>
      <c r="D13" s="8"/>
      <c r="E13" s="9"/>
      <c r="F13" s="18"/>
      <c r="G13" s="8"/>
      <c r="H13" s="9"/>
      <c r="I13" s="18"/>
      <c r="J13" s="8"/>
      <c r="K13" s="9"/>
      <c r="L13" s="18"/>
      <c r="M13" s="8"/>
      <c r="N13" s="9"/>
    </row>
    <row r="14" spans="2:14">
      <c r="B14" s="3" t="s">
        <v>50</v>
      </c>
      <c r="C14" s="29"/>
      <c r="D14" s="30">
        <v>84169657</v>
      </c>
      <c r="E14" s="9">
        <f>D14/D10</f>
        <v>8.7215803330884065E-2</v>
      </c>
      <c r="F14" s="18"/>
      <c r="G14" s="8">
        <v>76164751</v>
      </c>
      <c r="H14" s="9">
        <f>G14/G10</f>
        <v>8.2674050087174059E-2</v>
      </c>
      <c r="I14" s="18"/>
      <c r="J14" s="30">
        <v>64083974</v>
      </c>
      <c r="K14" s="9">
        <f>J14/J10</f>
        <v>7.0278973906035019E-2</v>
      </c>
      <c r="L14" s="18"/>
      <c r="M14" s="8">
        <v>44236545</v>
      </c>
      <c r="N14" s="9">
        <f>M14/M10</f>
        <v>7.0800348514727149E-2</v>
      </c>
    </row>
    <row r="15" spans="2:14">
      <c r="B15" s="3" t="s">
        <v>51</v>
      </c>
      <c r="C15" s="29"/>
      <c r="D15" s="30">
        <v>144122876</v>
      </c>
      <c r="E15" s="9">
        <f>D15/D10</f>
        <v>0.14933876240813707</v>
      </c>
      <c r="F15" s="18"/>
      <c r="G15" s="8">
        <v>97366817</v>
      </c>
      <c r="H15" s="9">
        <f>G15/G10</f>
        <v>0.10568811687557031</v>
      </c>
      <c r="I15" s="18"/>
      <c r="J15" s="30">
        <v>73292481</v>
      </c>
      <c r="K15" s="9">
        <f>J15/J10</f>
        <v>8.0377667585152676E-2</v>
      </c>
      <c r="L15" s="18"/>
      <c r="M15" s="8">
        <v>55270026</v>
      </c>
      <c r="N15" s="9">
        <f>M15/M10</f>
        <v>8.8459374555992801E-2</v>
      </c>
    </row>
    <row r="16" spans="2:14">
      <c r="B16" s="3" t="s">
        <v>52</v>
      </c>
      <c r="C16" s="29"/>
      <c r="D16" s="30">
        <v>221255538</v>
      </c>
      <c r="E16" s="9">
        <f>D16/D10</f>
        <v>0.22926289800702104</v>
      </c>
      <c r="F16" s="18"/>
      <c r="G16" s="8">
        <v>149054101</v>
      </c>
      <c r="H16" s="9">
        <f>G16/G10</f>
        <v>0.16179277224674049</v>
      </c>
      <c r="I16" s="18"/>
      <c r="J16" s="30">
        <v>129002534</v>
      </c>
      <c r="K16" s="9">
        <f>J16/J10</f>
        <v>0.14147321326855283</v>
      </c>
      <c r="L16" s="18"/>
      <c r="M16" s="8">
        <v>102580284</v>
      </c>
      <c r="N16" s="9">
        <f>M16/M10</f>
        <v>0.16417918392902722</v>
      </c>
    </row>
    <row r="17" spans="2:14" s="2" customFormat="1">
      <c r="B17" s="3" t="s">
        <v>53</v>
      </c>
      <c r="C17" s="29"/>
      <c r="D17" s="30">
        <v>191703941</v>
      </c>
      <c r="E17" s="9">
        <f>D17/D10</f>
        <v>0.19864181240528758</v>
      </c>
      <c r="F17" s="18"/>
      <c r="G17" s="30">
        <v>146070521</v>
      </c>
      <c r="H17" s="9">
        <f>G17/G10</f>
        <v>0.15855420533592515</v>
      </c>
      <c r="I17" s="18"/>
      <c r="J17" s="30">
        <v>140818691</v>
      </c>
      <c r="K17" s="9">
        <f>J17/J10</f>
        <v>0.15443163856022735</v>
      </c>
      <c r="L17" s="18"/>
      <c r="M17" s="30">
        <v>97398111</v>
      </c>
      <c r="N17" s="9">
        <f>M17/M10</f>
        <v>0.15588514436369477</v>
      </c>
    </row>
    <row r="18" spans="2:14" s="2" customFormat="1">
      <c r="B18" s="14" t="s">
        <v>55</v>
      </c>
      <c r="C18" s="14"/>
      <c r="D18" s="20">
        <f>SUM(D14:D17)</f>
        <v>641252012</v>
      </c>
      <c r="E18" s="21"/>
      <c r="F18" s="19"/>
      <c r="G18" s="20">
        <f>SUM(G14:G17)</f>
        <v>468656190</v>
      </c>
      <c r="H18" s="21"/>
      <c r="I18" s="19"/>
      <c r="J18" s="20">
        <f>SUM(J14:J17)</f>
        <v>407197680</v>
      </c>
      <c r="K18" s="21"/>
      <c r="L18" s="19"/>
      <c r="M18" s="20">
        <f>SUM(M14:M17)</f>
        <v>299484966</v>
      </c>
      <c r="N18" s="21"/>
    </row>
    <row r="19" spans="2:14" s="2" customFormat="1">
      <c r="B19" s="3"/>
      <c r="C19" s="29"/>
      <c r="D19" s="30"/>
      <c r="E19" s="12"/>
      <c r="F19" s="19"/>
      <c r="G19" s="11"/>
      <c r="H19" s="12"/>
      <c r="I19" s="19"/>
      <c r="J19" s="30"/>
      <c r="K19" s="12"/>
      <c r="L19" s="19"/>
      <c r="M19" s="11"/>
      <c r="N19" s="12"/>
    </row>
    <row r="20" spans="2:14" s="2" customFormat="1">
      <c r="B20" s="3"/>
      <c r="C20" s="29"/>
      <c r="D20" s="30"/>
      <c r="E20" s="12"/>
      <c r="F20" s="19"/>
      <c r="G20" s="11"/>
      <c r="H20" s="12"/>
      <c r="I20" s="19"/>
      <c r="J20" s="30"/>
      <c r="K20" s="12"/>
      <c r="L20" s="19"/>
      <c r="M20" s="11"/>
      <c r="N20" s="12"/>
    </row>
    <row r="21" spans="2:14" s="2" customFormat="1">
      <c r="B21" s="13" t="s">
        <v>56</v>
      </c>
      <c r="C21" s="29"/>
      <c r="D21" s="30"/>
      <c r="E21" s="12"/>
      <c r="F21" s="19"/>
      <c r="G21" s="11"/>
      <c r="H21" s="12"/>
      <c r="I21" s="19"/>
      <c r="J21" s="30"/>
      <c r="K21" s="12"/>
      <c r="L21" s="19"/>
      <c r="M21" s="11"/>
      <c r="N21" s="12"/>
    </row>
    <row r="22" spans="2:14" s="2" customFormat="1">
      <c r="B22" s="14" t="s">
        <v>132</v>
      </c>
      <c r="C22" s="14"/>
      <c r="D22" s="20">
        <f>D10-D18</f>
        <v>323821447</v>
      </c>
      <c r="E22" s="61">
        <f>(D22-G22)/G22</f>
        <v>-0.28454534191972597</v>
      </c>
      <c r="F22" s="25">
        <f>F10-F18</f>
        <v>0</v>
      </c>
      <c r="G22" s="20">
        <f>G10-G18</f>
        <v>452609321</v>
      </c>
      <c r="H22" s="61">
        <f>(G22-J22)/J22</f>
        <v>-0.10312876104502125</v>
      </c>
      <c r="I22" s="19"/>
      <c r="J22" s="20">
        <f>J10-J18</f>
        <v>504653624</v>
      </c>
      <c r="K22" s="21">
        <f>(J22-M22)/M22</f>
        <v>0.55124385779161589</v>
      </c>
      <c r="L22" s="25">
        <f>L10-L18</f>
        <v>0</v>
      </c>
      <c r="M22" s="20">
        <f>M10-M18</f>
        <v>325321916</v>
      </c>
      <c r="N22" s="21"/>
    </row>
    <row r="23" spans="2:14" s="2" customFormat="1">
      <c r="B23" s="3"/>
      <c r="C23" s="29"/>
      <c r="D23" s="30"/>
      <c r="E23" s="12"/>
      <c r="F23" s="19"/>
      <c r="G23" s="11"/>
      <c r="H23" s="12"/>
      <c r="I23" s="19"/>
      <c r="J23" s="30"/>
      <c r="K23" s="12"/>
      <c r="L23" s="19"/>
      <c r="M23" s="11"/>
      <c r="N23" s="12"/>
    </row>
    <row r="24" spans="2:14" s="2" customFormat="1">
      <c r="B24" s="3"/>
      <c r="C24" s="29"/>
      <c r="D24" s="30"/>
      <c r="E24" s="12"/>
      <c r="F24" s="19"/>
      <c r="G24" s="11"/>
      <c r="H24" s="12"/>
      <c r="I24" s="19"/>
      <c r="J24" s="30"/>
      <c r="K24" s="12"/>
      <c r="L24" s="19"/>
      <c r="M24" s="11"/>
      <c r="N24" s="12"/>
    </row>
    <row r="25" spans="2:14" s="2" customFormat="1">
      <c r="B25" s="13" t="s">
        <v>57</v>
      </c>
      <c r="C25" s="29"/>
      <c r="D25" s="30"/>
      <c r="E25" s="12"/>
      <c r="F25" s="19"/>
      <c r="G25" s="11"/>
      <c r="H25" s="12"/>
      <c r="I25" s="19"/>
      <c r="J25" s="30"/>
      <c r="K25" s="12"/>
      <c r="L25" s="19"/>
      <c r="M25" s="11"/>
      <c r="N25" s="12"/>
    </row>
    <row r="26" spans="2:14" s="2" customFormat="1">
      <c r="B26" s="31" t="s">
        <v>58</v>
      </c>
      <c r="C26" s="29"/>
      <c r="D26" s="30">
        <v>56988124</v>
      </c>
      <c r="E26" s="34">
        <f>D26/D10</f>
        <v>5.9050555653090447E-2</v>
      </c>
      <c r="F26" s="19"/>
      <c r="G26" s="30">
        <v>32147661</v>
      </c>
      <c r="H26" s="34">
        <f>G26/G10</f>
        <v>3.4895109624916806E-2</v>
      </c>
      <c r="I26" s="19"/>
      <c r="J26" s="30">
        <v>33333547</v>
      </c>
      <c r="K26" s="34">
        <f>J26/J10</f>
        <v>3.6555902101336468E-2</v>
      </c>
      <c r="L26" s="19"/>
      <c r="M26" s="30">
        <v>26050364</v>
      </c>
      <c r="N26" s="34">
        <f>M26/M10</f>
        <v>4.1693465213784246E-2</v>
      </c>
    </row>
    <row r="27" spans="2:14" s="2" customFormat="1">
      <c r="B27" s="14" t="s">
        <v>59</v>
      </c>
      <c r="C27" s="14"/>
      <c r="D27" s="20">
        <f>D22-D26</f>
        <v>266833323</v>
      </c>
      <c r="E27" s="21"/>
      <c r="F27" s="25">
        <f t="shared" ref="F27:G27" si="0">F22-F26</f>
        <v>0</v>
      </c>
      <c r="G27" s="20">
        <f t="shared" si="0"/>
        <v>420461660</v>
      </c>
      <c r="H27" s="21"/>
      <c r="I27" s="19"/>
      <c r="J27" s="20">
        <f>J22-J26</f>
        <v>471320077</v>
      </c>
      <c r="K27" s="21"/>
      <c r="L27" s="25">
        <f t="shared" ref="L27:M27" si="1">L22-L26</f>
        <v>0</v>
      </c>
      <c r="M27" s="20">
        <f t="shared" si="1"/>
        <v>299271552</v>
      </c>
      <c r="N27" s="21"/>
    </row>
    <row r="28" spans="2:14" s="2" customFormat="1">
      <c r="B28" s="3"/>
      <c r="C28" s="29"/>
      <c r="D28" s="30"/>
      <c r="E28" s="12"/>
      <c r="F28" s="19"/>
      <c r="G28" s="11"/>
      <c r="H28" s="12"/>
      <c r="I28" s="19"/>
      <c r="J28" s="30"/>
      <c r="K28" s="12"/>
      <c r="L28" s="19"/>
      <c r="M28" s="11"/>
      <c r="N28" s="12"/>
    </row>
    <row r="29" spans="2:14" s="2" customFormat="1">
      <c r="B29" s="3"/>
      <c r="C29" s="29"/>
      <c r="D29" s="30"/>
      <c r="E29" s="12"/>
      <c r="F29" s="19"/>
      <c r="G29" s="11"/>
      <c r="H29" s="12"/>
      <c r="I29" s="19"/>
      <c r="J29" s="30"/>
      <c r="K29" s="12"/>
      <c r="L29" s="19"/>
      <c r="M29" s="11"/>
      <c r="N29" s="12"/>
    </row>
    <row r="30" spans="2:14" s="2" customFormat="1">
      <c r="B30" s="13" t="s">
        <v>97</v>
      </c>
      <c r="C30" s="29"/>
      <c r="D30" s="30"/>
      <c r="E30" s="12"/>
      <c r="F30" s="19"/>
      <c r="G30" s="11"/>
      <c r="H30" s="12"/>
      <c r="I30" s="19"/>
      <c r="J30" s="30"/>
      <c r="K30" s="12"/>
      <c r="L30" s="19"/>
      <c r="M30" s="11"/>
      <c r="N30" s="12"/>
    </row>
    <row r="31" spans="2:14" s="2" customFormat="1">
      <c r="B31" s="43" t="s">
        <v>98</v>
      </c>
      <c r="C31" s="29"/>
      <c r="D31" s="30">
        <v>16480773</v>
      </c>
      <c r="E31" s="34">
        <f>D31/D10</f>
        <v>1.7077221268811206E-2</v>
      </c>
      <c r="F31" s="19"/>
      <c r="G31" s="30">
        <v>20913352</v>
      </c>
      <c r="H31" s="34">
        <f>G31/G10</f>
        <v>2.2700678306408456E-2</v>
      </c>
      <c r="I31" s="19"/>
      <c r="J31" s="30">
        <v>21557837</v>
      </c>
      <c r="K31" s="34">
        <f>J31/J10</f>
        <v>2.3641833822502272E-2</v>
      </c>
      <c r="L31" s="19"/>
      <c r="M31" s="30">
        <v>15753431</v>
      </c>
      <c r="N31" s="34">
        <f>M31/M10</f>
        <v>2.5213280221199612E-2</v>
      </c>
    </row>
    <row r="32" spans="2:14" s="2" customFormat="1">
      <c r="B32" s="14" t="s">
        <v>99</v>
      </c>
      <c r="C32" s="14"/>
      <c r="D32" s="20">
        <f>D27-D31</f>
        <v>250352550</v>
      </c>
      <c r="E32" s="21"/>
      <c r="F32" s="25">
        <f t="shared" ref="F32" si="2">F26-F31</f>
        <v>0</v>
      </c>
      <c r="G32" s="20">
        <f>G27-G31</f>
        <v>399548308</v>
      </c>
      <c r="H32" s="21"/>
      <c r="I32" s="19"/>
      <c r="J32" s="20">
        <f>J27-J31</f>
        <v>449762240</v>
      </c>
      <c r="K32" s="21"/>
      <c r="L32" s="25">
        <f t="shared" ref="L32" si="3">L26-L31</f>
        <v>0</v>
      </c>
      <c r="M32" s="20">
        <f>M27-M31</f>
        <v>283518121</v>
      </c>
      <c r="N32" s="21"/>
    </row>
    <row r="33" spans="2:14" s="2" customFormat="1">
      <c r="B33" s="3"/>
      <c r="C33" s="29"/>
      <c r="D33" s="30"/>
      <c r="E33" s="12"/>
      <c r="F33" s="19"/>
      <c r="G33" s="11"/>
      <c r="H33" s="12"/>
      <c r="I33" s="19"/>
      <c r="J33" s="30"/>
      <c r="K33" s="12"/>
      <c r="L33" s="19"/>
      <c r="M33" s="11"/>
      <c r="N33" s="12"/>
    </row>
    <row r="34" spans="2:14" s="2" customFormat="1">
      <c r="B34" s="3"/>
      <c r="C34" s="29"/>
      <c r="D34" s="30"/>
      <c r="E34" s="12"/>
      <c r="F34" s="19"/>
      <c r="G34" s="11"/>
      <c r="H34" s="12"/>
      <c r="I34" s="19"/>
      <c r="J34" s="30"/>
      <c r="K34" s="12"/>
      <c r="L34" s="19"/>
      <c r="M34" s="11"/>
      <c r="N34" s="12"/>
    </row>
    <row r="35" spans="2:14" s="2" customFormat="1">
      <c r="B35" s="13" t="s">
        <v>63</v>
      </c>
      <c r="C35" s="29"/>
      <c r="D35" s="30"/>
      <c r="E35" s="12"/>
      <c r="F35" s="19"/>
      <c r="G35" s="11"/>
      <c r="H35" s="12"/>
      <c r="I35" s="19"/>
      <c r="J35" s="30"/>
      <c r="K35" s="12"/>
      <c r="L35" s="19"/>
      <c r="M35" s="11"/>
      <c r="N35" s="12"/>
    </row>
    <row r="36" spans="2:14" s="2" customFormat="1">
      <c r="B36" s="14" t="s">
        <v>60</v>
      </c>
      <c r="C36" s="14"/>
      <c r="D36" s="20">
        <f>D32</f>
        <v>250352550</v>
      </c>
      <c r="E36" s="20"/>
      <c r="F36" s="25">
        <f t="shared" ref="F36" si="4">F27</f>
        <v>0</v>
      </c>
      <c r="G36" s="20">
        <f>G32</f>
        <v>399548308</v>
      </c>
      <c r="H36" s="21"/>
      <c r="I36" s="19"/>
      <c r="J36" s="20">
        <f>J32</f>
        <v>449762240</v>
      </c>
      <c r="K36" s="20"/>
      <c r="L36" s="25">
        <f t="shared" ref="L36" si="5">L27</f>
        <v>0</v>
      </c>
      <c r="M36" s="20">
        <f>M32</f>
        <v>283518121</v>
      </c>
      <c r="N36" s="21"/>
    </row>
    <row r="37" spans="2:14" s="2" customFormat="1">
      <c r="B37" s="3" t="s">
        <v>61</v>
      </c>
      <c r="C37" s="29"/>
      <c r="D37" s="30">
        <v>11137847</v>
      </c>
      <c r="E37" s="12"/>
      <c r="F37" s="19"/>
      <c r="G37" s="11">
        <v>0</v>
      </c>
      <c r="H37" s="12"/>
      <c r="I37" s="19"/>
      <c r="J37" s="30">
        <v>0</v>
      </c>
      <c r="K37" s="12"/>
      <c r="L37" s="19"/>
      <c r="M37" s="11">
        <v>0</v>
      </c>
      <c r="N37" s="12"/>
    </row>
    <row r="38" spans="2:14" s="2" customFormat="1">
      <c r="B38" s="14" t="s">
        <v>62</v>
      </c>
      <c r="C38" s="14"/>
      <c r="D38" s="20">
        <f>D36+D37</f>
        <v>261490397</v>
      </c>
      <c r="E38" s="20"/>
      <c r="F38" s="25">
        <f t="shared" ref="F38:G38" si="6">F36+F37</f>
        <v>0</v>
      </c>
      <c r="G38" s="20">
        <f t="shared" si="6"/>
        <v>399548308</v>
      </c>
      <c r="H38" s="21"/>
      <c r="I38" s="19"/>
      <c r="J38" s="20">
        <f>J36+J37</f>
        <v>449762240</v>
      </c>
      <c r="K38" s="20"/>
      <c r="L38" s="25">
        <f t="shared" ref="L38:M38" si="7">L36+L37</f>
        <v>0</v>
      </c>
      <c r="M38" s="20">
        <f t="shared" si="7"/>
        <v>283518121</v>
      </c>
      <c r="N38" s="21"/>
    </row>
    <row r="39" spans="2:14">
      <c r="B39" s="3"/>
      <c r="C39" s="3"/>
      <c r="D39" s="8"/>
      <c r="E39" s="9"/>
      <c r="F39" s="18"/>
      <c r="G39" s="8"/>
      <c r="H39" s="9"/>
      <c r="I39" s="18"/>
      <c r="J39" s="8"/>
      <c r="K39" s="9"/>
      <c r="L39" s="18"/>
      <c r="M39" s="8"/>
      <c r="N39" s="9"/>
    </row>
    <row r="40" spans="2:14">
      <c r="B40" s="3"/>
      <c r="C40" s="3"/>
      <c r="D40" s="8"/>
      <c r="E40" s="9"/>
      <c r="F40" s="18"/>
      <c r="G40" s="8"/>
      <c r="H40" s="9"/>
      <c r="I40" s="18"/>
      <c r="J40" s="8"/>
      <c r="K40" s="9"/>
      <c r="L40" s="18"/>
      <c r="M40" s="8"/>
      <c r="N40" s="9"/>
    </row>
    <row r="41" spans="2:14">
      <c r="B41" s="13" t="s">
        <v>64</v>
      </c>
      <c r="C41" s="3"/>
      <c r="D41" s="8"/>
      <c r="E41" s="9"/>
      <c r="F41" s="18"/>
      <c r="G41" s="8"/>
      <c r="H41" s="9"/>
      <c r="I41" s="18"/>
      <c r="J41" s="8"/>
      <c r="K41" s="9"/>
      <c r="L41" s="18"/>
      <c r="M41" s="8"/>
      <c r="N41" s="9"/>
    </row>
    <row r="42" spans="2:14">
      <c r="B42" s="3" t="s">
        <v>65</v>
      </c>
      <c r="C42" s="3"/>
      <c r="D42" s="8">
        <v>-50000000</v>
      </c>
      <c r="E42" s="9"/>
      <c r="F42" s="18"/>
      <c r="G42" s="8">
        <v>-83000000</v>
      </c>
      <c r="H42" s="9"/>
      <c r="I42" s="18"/>
      <c r="J42" s="8">
        <v>-111500000</v>
      </c>
      <c r="K42" s="9"/>
      <c r="L42" s="18"/>
      <c r="M42" s="8">
        <v>-61000000</v>
      </c>
      <c r="N42" s="9"/>
    </row>
    <row r="43" spans="2:14">
      <c r="B43" s="3" t="s">
        <v>66</v>
      </c>
      <c r="C43" s="3"/>
      <c r="D43" s="8">
        <v>-1800000</v>
      </c>
      <c r="E43" s="9"/>
      <c r="F43" s="18"/>
      <c r="G43" s="8">
        <v>-1797199</v>
      </c>
      <c r="H43" s="9"/>
      <c r="I43" s="18"/>
      <c r="J43" s="8">
        <v>-1397055</v>
      </c>
      <c r="K43" s="9"/>
      <c r="L43" s="18"/>
      <c r="M43" s="8">
        <v>-1374318</v>
      </c>
      <c r="N43" s="9"/>
    </row>
    <row r="44" spans="2:14">
      <c r="B44" s="3" t="s">
        <v>67</v>
      </c>
      <c r="C44" s="3"/>
      <c r="D44" s="8">
        <v>-2784462</v>
      </c>
      <c r="E44" s="9"/>
      <c r="F44" s="18"/>
      <c r="G44" s="8">
        <v>-951304</v>
      </c>
      <c r="H44" s="9"/>
      <c r="I44" s="18"/>
      <c r="J44" s="8">
        <v>0</v>
      </c>
      <c r="K44" s="9"/>
      <c r="L44" s="18"/>
      <c r="M44" s="8">
        <v>200000</v>
      </c>
      <c r="N44" s="9"/>
    </row>
    <row r="45" spans="2:14">
      <c r="B45" s="3" t="s">
        <v>68</v>
      </c>
      <c r="C45" s="3"/>
      <c r="D45" s="8">
        <v>-14000000</v>
      </c>
      <c r="E45" s="9"/>
      <c r="F45" s="18"/>
      <c r="G45" s="8">
        <v>-7000000</v>
      </c>
      <c r="H45" s="9"/>
      <c r="I45" s="18"/>
      <c r="J45" s="8">
        <v>2200000</v>
      </c>
      <c r="K45" s="9"/>
      <c r="L45" s="18"/>
      <c r="M45" s="8">
        <v>-9300000</v>
      </c>
      <c r="N45" s="9"/>
    </row>
    <row r="46" spans="2:14" s="2" customFormat="1">
      <c r="B46" s="14"/>
      <c r="C46" s="14"/>
      <c r="D46" s="20">
        <f>SUM(D42:D45)</f>
        <v>-68584462</v>
      </c>
      <c r="E46" s="21"/>
      <c r="F46" s="19"/>
      <c r="G46" s="20">
        <f>SUM(G42:G45)</f>
        <v>-92748503</v>
      </c>
      <c r="H46" s="21"/>
      <c r="I46" s="19"/>
      <c r="J46" s="20">
        <f>SUM(J42:J45)</f>
        <v>-110697055</v>
      </c>
      <c r="K46" s="21"/>
      <c r="L46" s="19"/>
      <c r="M46" s="20">
        <f>SUM(M42:M45)</f>
        <v>-71474318</v>
      </c>
      <c r="N46" s="21"/>
    </row>
    <row r="47" spans="2:14">
      <c r="B47" s="3"/>
      <c r="C47" s="3"/>
      <c r="D47" s="8"/>
      <c r="E47" s="9"/>
      <c r="F47" s="18"/>
      <c r="G47" s="8"/>
      <c r="H47" s="9"/>
      <c r="I47" s="18"/>
      <c r="J47" s="8"/>
      <c r="K47" s="9"/>
      <c r="L47" s="18"/>
      <c r="M47" s="8"/>
      <c r="N47" s="9"/>
    </row>
    <row r="48" spans="2:14">
      <c r="B48" s="3"/>
      <c r="C48" s="3"/>
      <c r="D48" s="8"/>
      <c r="E48" s="9"/>
      <c r="F48" s="18"/>
      <c r="G48" s="8"/>
      <c r="H48" s="9"/>
      <c r="I48" s="18"/>
      <c r="J48" s="8"/>
      <c r="K48" s="9"/>
      <c r="L48" s="18"/>
      <c r="M48" s="8"/>
      <c r="N48" s="9"/>
    </row>
    <row r="49" spans="2:14">
      <c r="B49" s="13" t="s">
        <v>74</v>
      </c>
      <c r="C49" s="3"/>
      <c r="D49" s="32">
        <f>D38+D46</f>
        <v>192905935</v>
      </c>
      <c r="E49" s="36">
        <f>D49/D10</f>
        <v>0.19988730723139697</v>
      </c>
      <c r="F49" s="25">
        <f t="shared" ref="F49:G49" si="8">F38+F46</f>
        <v>0</v>
      </c>
      <c r="G49" s="32">
        <f t="shared" si="8"/>
        <v>306799805</v>
      </c>
      <c r="H49" s="9">
        <f>G49/G10</f>
        <v>0.33301996149511776</v>
      </c>
      <c r="I49" s="18"/>
      <c r="J49" s="32">
        <f>J38+J46</f>
        <v>339065185</v>
      </c>
      <c r="K49" s="36">
        <f>J49/J10</f>
        <v>0.37184262775370225</v>
      </c>
      <c r="L49" s="25">
        <f t="shared" ref="L49:M49" si="9">L38+L46</f>
        <v>0</v>
      </c>
      <c r="M49" s="32">
        <f t="shared" si="9"/>
        <v>212043803</v>
      </c>
      <c r="N49" s="9">
        <f>M49/M10</f>
        <v>0.33937494785788869</v>
      </c>
    </row>
    <row r="50" spans="2:14">
      <c r="B50" s="3" t="s">
        <v>131</v>
      </c>
      <c r="C50" s="3"/>
      <c r="D50" s="8"/>
      <c r="E50" s="28">
        <f>(D49-G49)/G49</f>
        <v>-0.37123188523538991</v>
      </c>
      <c r="F50" s="18"/>
      <c r="G50" s="8"/>
      <c r="H50" s="28">
        <f>(G49-J49)/J49</f>
        <v>-9.5159814181453042E-2</v>
      </c>
      <c r="I50" s="18"/>
      <c r="J50" s="8"/>
      <c r="K50" s="9">
        <f>(J49-M49)/M49</f>
        <v>0.59903369116615968</v>
      </c>
      <c r="L50" s="18"/>
      <c r="M50" s="8"/>
      <c r="N50" s="9"/>
    </row>
    <row r="51" spans="2:14">
      <c r="B51" s="3"/>
      <c r="C51" s="3"/>
      <c r="D51" s="8"/>
      <c r="E51" s="9"/>
      <c r="F51" s="18"/>
      <c r="G51" s="8"/>
      <c r="H51" s="9"/>
      <c r="I51" s="18"/>
      <c r="J51" s="8"/>
      <c r="K51" s="9"/>
      <c r="L51" s="18"/>
      <c r="M51" s="8"/>
      <c r="N51" s="9"/>
    </row>
    <row r="52" spans="2:14">
      <c r="B52" s="3"/>
      <c r="C52" s="3"/>
      <c r="D52" s="8"/>
      <c r="E52" s="9"/>
      <c r="F52" s="18"/>
      <c r="G52" s="8"/>
      <c r="H52" s="9"/>
      <c r="I52" s="18"/>
      <c r="J52" s="8"/>
      <c r="K52" s="9"/>
      <c r="L52" s="18"/>
      <c r="M52" s="8"/>
      <c r="N52" s="9"/>
    </row>
    <row r="53" spans="2:14">
      <c r="B53" s="13" t="s">
        <v>128</v>
      </c>
      <c r="C53" s="3"/>
      <c r="D53" s="11">
        <f t="shared" ref="D53:I53" si="10">G65</f>
        <v>270973702</v>
      </c>
      <c r="E53" s="11">
        <f t="shared" si="10"/>
        <v>0.70486258924882006</v>
      </c>
      <c r="F53" s="25">
        <f t="shared" si="10"/>
        <v>0</v>
      </c>
      <c r="G53" s="11">
        <f t="shared" si="10"/>
        <v>186048161</v>
      </c>
      <c r="H53" s="11">
        <f t="shared" si="10"/>
        <v>0.37184262775370225</v>
      </c>
      <c r="I53" s="25">
        <f t="shared" si="10"/>
        <v>0</v>
      </c>
      <c r="J53" s="11">
        <f>M65</f>
        <v>72101442</v>
      </c>
      <c r="K53" s="11"/>
      <c r="L53" s="25">
        <f>L47-L59</f>
        <v>0</v>
      </c>
      <c r="M53" s="11">
        <v>133729362</v>
      </c>
      <c r="N53" s="9"/>
    </row>
    <row r="54" spans="2:14" s="2" customFormat="1">
      <c r="B54" s="14" t="s">
        <v>129</v>
      </c>
      <c r="C54" s="10"/>
      <c r="D54" s="11">
        <f>D49+D53</f>
        <v>463879637</v>
      </c>
      <c r="E54" s="11">
        <f t="shared" ref="E54:N54" si="11">E49+E53</f>
        <v>0.90474989648021698</v>
      </c>
      <c r="F54" s="25">
        <f t="shared" si="11"/>
        <v>0</v>
      </c>
      <c r="G54" s="11">
        <f t="shared" si="11"/>
        <v>492847966</v>
      </c>
      <c r="H54" s="11">
        <f t="shared" si="11"/>
        <v>0.70486258924882006</v>
      </c>
      <c r="I54" s="25">
        <f t="shared" si="11"/>
        <v>0</v>
      </c>
      <c r="J54" s="11">
        <f t="shared" si="11"/>
        <v>411166627</v>
      </c>
      <c r="K54" s="11">
        <f t="shared" si="11"/>
        <v>0.37184262775370225</v>
      </c>
      <c r="L54" s="25">
        <f t="shared" si="11"/>
        <v>0</v>
      </c>
      <c r="M54" s="11">
        <f t="shared" si="11"/>
        <v>345773165</v>
      </c>
      <c r="N54" s="11">
        <f t="shared" si="11"/>
        <v>0.33937494785788869</v>
      </c>
    </row>
    <row r="55" spans="2:14">
      <c r="B55" s="3"/>
      <c r="C55" s="3"/>
      <c r="D55" s="8"/>
      <c r="E55" s="9"/>
      <c r="F55" s="18"/>
      <c r="G55" s="8"/>
      <c r="H55" s="9"/>
      <c r="I55" s="18"/>
      <c r="J55" s="8"/>
      <c r="K55" s="9"/>
      <c r="L55" s="18"/>
      <c r="M55" s="8"/>
      <c r="N55" s="9"/>
    </row>
    <row r="56" spans="2:14">
      <c r="B56" s="3"/>
      <c r="C56" s="3"/>
      <c r="D56" s="8"/>
      <c r="E56" s="9"/>
      <c r="F56" s="18"/>
      <c r="G56" s="8"/>
      <c r="H56" s="9"/>
      <c r="I56" s="18"/>
      <c r="J56" s="8"/>
      <c r="K56" s="9"/>
      <c r="L56" s="18"/>
      <c r="M56" s="8"/>
      <c r="N56" s="9"/>
    </row>
    <row r="57" spans="2:14">
      <c r="B57" s="13" t="s">
        <v>69</v>
      </c>
      <c r="C57" s="3"/>
      <c r="D57" s="8"/>
      <c r="E57" s="9"/>
      <c r="F57" s="18"/>
      <c r="G57" s="8"/>
      <c r="H57" s="9"/>
      <c r="I57" s="18"/>
      <c r="J57" s="8"/>
      <c r="K57" s="9"/>
      <c r="L57" s="18"/>
      <c r="M57" s="8"/>
      <c r="N57" s="9"/>
    </row>
    <row r="58" spans="2:14">
      <c r="B58" s="3" t="s">
        <v>70</v>
      </c>
      <c r="C58" s="3"/>
      <c r="D58" s="8">
        <v>-40850948</v>
      </c>
      <c r="E58" s="9"/>
      <c r="F58" s="18"/>
      <c r="G58" s="8">
        <v>-163403790</v>
      </c>
      <c r="H58" s="9"/>
      <c r="I58" s="18"/>
      <c r="J58" s="8">
        <v>-163403790</v>
      </c>
      <c r="K58" s="9"/>
      <c r="L58" s="18"/>
      <c r="M58" s="8">
        <v>-136169825</v>
      </c>
      <c r="N58" s="9"/>
    </row>
    <row r="59" spans="2:14">
      <c r="B59" s="3" t="s">
        <v>71</v>
      </c>
      <c r="C59" s="3"/>
      <c r="D59" s="8">
        <v>-6942619</v>
      </c>
      <c r="E59" s="9"/>
      <c r="F59" s="18"/>
      <c r="G59" s="8">
        <v>-27770474</v>
      </c>
      <c r="H59" s="9"/>
      <c r="I59" s="18"/>
      <c r="J59" s="8">
        <v>-27770474</v>
      </c>
      <c r="K59" s="9"/>
      <c r="L59" s="18"/>
      <c r="M59" s="8">
        <v>-19097818</v>
      </c>
      <c r="N59" s="9"/>
    </row>
    <row r="60" spans="2:14">
      <c r="B60" s="3" t="s">
        <v>72</v>
      </c>
      <c r="C60" s="3"/>
      <c r="D60" s="8">
        <v>-9645297</v>
      </c>
      <c r="E60" s="9"/>
      <c r="F60" s="18"/>
      <c r="G60" s="8">
        <v>-30700000</v>
      </c>
      <c r="H60" s="9"/>
      <c r="I60" s="18"/>
      <c r="J60" s="8">
        <v>-33944202</v>
      </c>
      <c r="K60" s="9"/>
      <c r="L60" s="18"/>
      <c r="M60" s="8">
        <v>-21204380</v>
      </c>
      <c r="N60" s="9"/>
    </row>
    <row r="61" spans="2:14">
      <c r="B61" s="3" t="s">
        <v>130</v>
      </c>
      <c r="C61" s="3"/>
      <c r="D61" s="8"/>
      <c r="E61" s="9"/>
      <c r="F61" s="18"/>
      <c r="G61" s="8"/>
      <c r="H61" s="9"/>
      <c r="I61" s="18"/>
      <c r="J61" s="8"/>
      <c r="K61" s="9"/>
      <c r="L61" s="18"/>
      <c r="M61" s="8">
        <v>-97199700</v>
      </c>
      <c r="N61" s="9"/>
    </row>
    <row r="62" spans="2:14" s="2" customFormat="1">
      <c r="B62" s="14"/>
      <c r="C62" s="14"/>
      <c r="D62" s="20">
        <f>SUM(D58:D60)</f>
        <v>-57438864</v>
      </c>
      <c r="E62" s="21"/>
      <c r="F62" s="19"/>
      <c r="G62" s="20">
        <f>SUM(G58:G60)</f>
        <v>-221874264</v>
      </c>
      <c r="H62" s="21"/>
      <c r="I62" s="19"/>
      <c r="J62" s="20">
        <f>SUM(J58:J60)</f>
        <v>-225118466</v>
      </c>
      <c r="K62" s="21"/>
      <c r="L62" s="19"/>
      <c r="M62" s="20">
        <f>SUM(M58:M61)</f>
        <v>-273671723</v>
      </c>
      <c r="N62" s="21"/>
    </row>
    <row r="63" spans="2:14">
      <c r="B63" s="3"/>
      <c r="C63" s="3"/>
      <c r="D63" s="8"/>
      <c r="E63" s="9"/>
      <c r="F63" s="18"/>
      <c r="G63" s="8"/>
      <c r="H63" s="9"/>
      <c r="I63" s="18"/>
      <c r="J63" s="8"/>
      <c r="K63" s="9"/>
      <c r="L63" s="18"/>
      <c r="M63" s="8"/>
      <c r="N63" s="9"/>
    </row>
    <row r="64" spans="2:14">
      <c r="B64" s="3"/>
      <c r="C64" s="3"/>
      <c r="D64" s="8"/>
      <c r="E64" s="9"/>
      <c r="F64" s="18"/>
      <c r="G64" s="8"/>
      <c r="H64" s="9"/>
      <c r="I64" s="18"/>
      <c r="J64" s="8"/>
      <c r="K64" s="9"/>
      <c r="L64" s="18"/>
      <c r="M64" s="8"/>
      <c r="N64" s="9"/>
    </row>
    <row r="65" spans="2:14">
      <c r="B65" s="13" t="s">
        <v>73</v>
      </c>
      <c r="C65" s="3"/>
      <c r="D65" s="11">
        <f>D54+D62</f>
        <v>406440773</v>
      </c>
      <c r="E65" s="11">
        <f t="shared" ref="E65:N65" si="12">E54+E62</f>
        <v>0.90474989648021698</v>
      </c>
      <c r="F65" s="25">
        <f t="shared" si="12"/>
        <v>0</v>
      </c>
      <c r="G65" s="11">
        <f t="shared" si="12"/>
        <v>270973702</v>
      </c>
      <c r="H65" s="11">
        <f t="shared" si="12"/>
        <v>0.70486258924882006</v>
      </c>
      <c r="I65" s="25">
        <f t="shared" si="12"/>
        <v>0</v>
      </c>
      <c r="J65" s="11">
        <f t="shared" si="12"/>
        <v>186048161</v>
      </c>
      <c r="K65" s="11">
        <f t="shared" si="12"/>
        <v>0.37184262775370225</v>
      </c>
      <c r="L65" s="25">
        <f t="shared" si="12"/>
        <v>0</v>
      </c>
      <c r="M65" s="11">
        <f t="shared" si="12"/>
        <v>72101442</v>
      </c>
      <c r="N65" s="11">
        <f t="shared" si="12"/>
        <v>0.33937494785788869</v>
      </c>
    </row>
    <row r="66" spans="2:14">
      <c r="B66" s="3"/>
      <c r="C66" s="3"/>
      <c r="D66" s="8"/>
      <c r="E66" s="9"/>
      <c r="F66" s="18"/>
      <c r="G66" s="8"/>
      <c r="H66" s="9"/>
      <c r="I66" s="18"/>
      <c r="J66" s="8"/>
      <c r="K66" s="9"/>
      <c r="L66" s="18"/>
      <c r="M66" s="8"/>
      <c r="N66" s="9"/>
    </row>
    <row r="67" spans="2:14">
      <c r="B67" s="3" t="s">
        <v>75</v>
      </c>
      <c r="C67" s="3"/>
      <c r="D67" s="8"/>
      <c r="E67" s="9"/>
      <c r="F67" s="18"/>
      <c r="G67" s="8"/>
      <c r="H67" s="9"/>
      <c r="I67" s="18"/>
      <c r="J67" s="8"/>
      <c r="K67" s="9"/>
      <c r="L67" s="18"/>
      <c r="M67" s="8"/>
      <c r="N67" s="9"/>
    </row>
    <row r="68" spans="2:14">
      <c r="B68" s="3" t="s">
        <v>77</v>
      </c>
      <c r="C68" s="3"/>
      <c r="D68" s="8"/>
      <c r="E68" s="9"/>
      <c r="F68" s="18"/>
      <c r="G68" s="8"/>
      <c r="H68" s="9"/>
      <c r="I68" s="18"/>
      <c r="J68" s="8"/>
      <c r="K68" s="9"/>
      <c r="L68" s="18"/>
      <c r="M68" s="8"/>
      <c r="N68" s="9"/>
    </row>
    <row r="69" spans="2:14">
      <c r="B69" s="3"/>
      <c r="C69" s="3"/>
      <c r="D69" s="8"/>
      <c r="E69" s="9"/>
      <c r="F69" s="18"/>
      <c r="G69" s="8"/>
      <c r="H69" s="9"/>
      <c r="I69" s="18"/>
      <c r="J69" s="8"/>
      <c r="K69" s="9"/>
      <c r="L69" s="18"/>
      <c r="M69" s="8"/>
      <c r="N69" s="9"/>
    </row>
    <row r="70" spans="2:14">
      <c r="B70" s="3" t="s">
        <v>76</v>
      </c>
      <c r="C70" s="3"/>
      <c r="D70" s="8">
        <v>27233965</v>
      </c>
      <c r="E70" s="9"/>
      <c r="F70" s="18"/>
      <c r="G70" s="8">
        <v>27233965</v>
      </c>
      <c r="H70" s="9"/>
      <c r="I70" s="18"/>
      <c r="J70" s="8">
        <v>27233965</v>
      </c>
      <c r="K70" s="9"/>
      <c r="L70" s="18"/>
      <c r="M70" s="8">
        <v>27233965</v>
      </c>
      <c r="N70" s="9"/>
    </row>
    <row r="71" spans="2:14">
      <c r="B71" s="3" t="s">
        <v>78</v>
      </c>
      <c r="C71" s="3"/>
      <c r="D71" s="33">
        <f>D49/D70</f>
        <v>7.0832849715419695</v>
      </c>
      <c r="E71" s="33"/>
      <c r="F71" s="35" t="e">
        <f>F49/F70</f>
        <v>#DIV/0!</v>
      </c>
      <c r="G71" s="33">
        <f>G49/G70</f>
        <v>11.265337419652262</v>
      </c>
      <c r="H71" s="9"/>
      <c r="I71" s="18"/>
      <c r="J71" s="33">
        <f>J49/J70</f>
        <v>12.450085215281726</v>
      </c>
      <c r="K71" s="33"/>
      <c r="L71" s="35" t="e">
        <f>L49/L70</f>
        <v>#DIV/0!</v>
      </c>
      <c r="M71" s="33">
        <f>M49/M70</f>
        <v>7.7860055632736547</v>
      </c>
      <c r="N71" s="9"/>
    </row>
    <row r="72" spans="2:14">
      <c r="B72" s="3"/>
      <c r="C72" s="3"/>
      <c r="D72" s="8"/>
      <c r="E72" s="9"/>
      <c r="F72" s="18"/>
      <c r="G72" s="8"/>
      <c r="H72" s="9"/>
      <c r="I72" s="18"/>
      <c r="J72" s="8"/>
      <c r="K72" s="9"/>
      <c r="L72" s="18"/>
      <c r="M72" s="8"/>
      <c r="N72" s="9"/>
    </row>
    <row r="73" spans="2:14">
      <c r="B73" s="3"/>
      <c r="C73" s="3"/>
      <c r="D73" s="8"/>
      <c r="E73" s="9"/>
      <c r="F73" s="18"/>
      <c r="G73" s="8"/>
      <c r="H73" s="9"/>
      <c r="I73" s="18"/>
      <c r="J73" s="8"/>
      <c r="K73" s="9"/>
      <c r="L73" s="18"/>
      <c r="M73" s="8"/>
      <c r="N73" s="9"/>
    </row>
    <row r="74" spans="2:14">
      <c r="B74" s="3"/>
      <c r="C74" s="3"/>
      <c r="D74" s="8"/>
      <c r="E74" s="9"/>
      <c r="F74" s="18"/>
      <c r="G74" s="8"/>
      <c r="H74" s="9"/>
      <c r="I74" s="18"/>
      <c r="J74" s="8"/>
      <c r="K74" s="9"/>
      <c r="L74" s="18"/>
      <c r="M74" s="8"/>
      <c r="N74" s="9"/>
    </row>
    <row r="75" spans="2:14">
      <c r="B75" s="3"/>
      <c r="C75" s="3"/>
      <c r="D75" s="8"/>
      <c r="E75" s="9"/>
      <c r="F75" s="18"/>
      <c r="G75" s="8"/>
      <c r="H75" s="9"/>
      <c r="I75" s="18"/>
      <c r="J75" s="8"/>
      <c r="K75" s="9"/>
      <c r="L75" s="18"/>
      <c r="M75" s="8"/>
      <c r="N75" s="9"/>
    </row>
    <row r="76" spans="2:14">
      <c r="B76" s="3"/>
      <c r="C76" s="3"/>
      <c r="D76" s="8"/>
      <c r="E76" s="9"/>
      <c r="F76" s="18"/>
      <c r="G76" s="8"/>
      <c r="H76" s="9"/>
      <c r="I76" s="18"/>
      <c r="J76" s="8"/>
      <c r="K76" s="9"/>
      <c r="L76" s="18"/>
      <c r="M76" s="8"/>
      <c r="N76" s="9"/>
    </row>
    <row r="77" spans="2:14">
      <c r="B77" s="3"/>
      <c r="C77" s="3"/>
      <c r="D77" s="8"/>
      <c r="E77" s="9"/>
      <c r="F77" s="18"/>
      <c r="G77" s="8"/>
      <c r="H77" s="9"/>
      <c r="I77" s="18"/>
      <c r="J77" s="8"/>
      <c r="K77" s="9"/>
      <c r="L77" s="18"/>
      <c r="M77" s="8"/>
      <c r="N77" s="9"/>
    </row>
    <row r="78" spans="2:14">
      <c r="B78" s="3"/>
      <c r="C78" s="3"/>
      <c r="D78" s="8"/>
      <c r="E78" s="9"/>
      <c r="F78" s="18"/>
      <c r="G78" s="8"/>
      <c r="H78" s="9"/>
      <c r="I78" s="18"/>
      <c r="J78" s="8"/>
      <c r="K78" s="9"/>
      <c r="L78" s="18"/>
      <c r="M78" s="8"/>
      <c r="N78" s="9"/>
    </row>
    <row r="79" spans="2:14">
      <c r="B79" s="3"/>
      <c r="C79" s="3"/>
      <c r="D79" s="8"/>
      <c r="E79" s="9"/>
      <c r="F79" s="18"/>
      <c r="G79" s="8"/>
      <c r="H79" s="9"/>
      <c r="I79" s="18"/>
      <c r="J79" s="8"/>
      <c r="K79" s="9"/>
      <c r="L79" s="18"/>
      <c r="M79" s="8"/>
      <c r="N79" s="9"/>
    </row>
    <row r="80" spans="2:14">
      <c r="B80" s="3"/>
      <c r="C80" s="3"/>
      <c r="D80" s="8"/>
      <c r="E80" s="9"/>
      <c r="F80" s="18"/>
      <c r="G80" s="8"/>
      <c r="H80" s="9"/>
      <c r="I80" s="18"/>
      <c r="J80" s="8"/>
      <c r="K80" s="9"/>
      <c r="L80" s="18"/>
      <c r="M80" s="8"/>
      <c r="N80" s="9"/>
    </row>
    <row r="81" spans="2:14">
      <c r="B81" s="3"/>
      <c r="C81" s="3"/>
      <c r="D81" s="8"/>
      <c r="E81" s="9"/>
      <c r="F81" s="18"/>
      <c r="G81" s="8"/>
      <c r="H81" s="9"/>
      <c r="I81" s="18"/>
      <c r="J81" s="8"/>
      <c r="K81" s="9"/>
      <c r="L81" s="18"/>
      <c r="M81" s="8"/>
      <c r="N81" s="9"/>
    </row>
    <row r="82" spans="2:14">
      <c r="B82" s="3"/>
      <c r="C82" s="3"/>
      <c r="D82" s="8"/>
      <c r="E82" s="9"/>
      <c r="F82" s="18"/>
      <c r="G82" s="8"/>
      <c r="H82" s="9"/>
      <c r="I82" s="18"/>
      <c r="J82" s="8"/>
      <c r="K82" s="9"/>
      <c r="L82" s="18"/>
      <c r="M82" s="8"/>
      <c r="N82" s="9"/>
    </row>
    <row r="83" spans="2:14">
      <c r="B83" s="3"/>
      <c r="C83" s="3"/>
      <c r="D83" s="8"/>
      <c r="E83" s="9"/>
      <c r="F83" s="18"/>
      <c r="G83" s="8"/>
      <c r="H83" s="9"/>
      <c r="I83" s="18"/>
      <c r="J83" s="8"/>
      <c r="K83" s="9"/>
      <c r="L83" s="18"/>
      <c r="M83" s="8"/>
      <c r="N83" s="9"/>
    </row>
    <row r="84" spans="2:14">
      <c r="B84" s="3"/>
      <c r="C84" s="3"/>
      <c r="D84" s="8"/>
      <c r="E84" s="9"/>
      <c r="F84" s="18"/>
      <c r="G84" s="8"/>
      <c r="H84" s="9"/>
      <c r="I84" s="18"/>
      <c r="J84" s="8"/>
      <c r="K84" s="9"/>
      <c r="L84" s="18"/>
      <c r="M84" s="8"/>
      <c r="N84" s="9"/>
    </row>
    <row r="85" spans="2:14">
      <c r="B85" s="3"/>
      <c r="C85" s="3"/>
      <c r="D85" s="8"/>
      <c r="E85" s="9"/>
      <c r="F85" s="18"/>
      <c r="G85" s="8"/>
      <c r="H85" s="9"/>
      <c r="I85" s="18"/>
      <c r="J85" s="8"/>
      <c r="K85" s="9"/>
      <c r="L85" s="18"/>
      <c r="M85" s="8"/>
      <c r="N85" s="9"/>
    </row>
    <row r="86" spans="2:14">
      <c r="B86" s="3"/>
      <c r="C86" s="3"/>
      <c r="D86" s="8"/>
      <c r="E86" s="9"/>
      <c r="F86" s="18"/>
      <c r="G86" s="8"/>
      <c r="H86" s="9"/>
      <c r="I86" s="18"/>
      <c r="J86" s="8"/>
      <c r="K86" s="9"/>
      <c r="L86" s="18"/>
      <c r="M86" s="8"/>
      <c r="N86" s="9"/>
    </row>
    <row r="87" spans="2:14">
      <c r="B87" s="3"/>
      <c r="C87" s="3"/>
      <c r="D87" s="8"/>
      <c r="E87" s="9"/>
      <c r="F87" s="18"/>
      <c r="G87" s="8"/>
      <c r="H87" s="9"/>
      <c r="I87" s="18"/>
      <c r="J87" s="8"/>
      <c r="K87" s="9"/>
      <c r="L87" s="18"/>
      <c r="M87" s="8"/>
      <c r="N87" s="9"/>
    </row>
    <row r="88" spans="2:14">
      <c r="B88" s="3"/>
      <c r="C88" s="3"/>
      <c r="D88" s="8"/>
      <c r="E88" s="9"/>
      <c r="F88" s="18"/>
      <c r="G88" s="8"/>
      <c r="H88" s="9"/>
      <c r="I88" s="18"/>
      <c r="J88" s="8"/>
      <c r="K88" s="9"/>
      <c r="L88" s="18"/>
      <c r="M88" s="8"/>
      <c r="N88" s="9"/>
    </row>
    <row r="89" spans="2:14">
      <c r="B89" s="3"/>
      <c r="C89" s="3"/>
      <c r="D89" s="8"/>
      <c r="E89" s="9"/>
      <c r="F89" s="18"/>
      <c r="G89" s="8"/>
      <c r="H89" s="9"/>
      <c r="I89" s="18"/>
      <c r="J89" s="8"/>
      <c r="K89" s="9"/>
      <c r="L89" s="18"/>
      <c r="M89" s="8"/>
      <c r="N89" s="9"/>
    </row>
    <row r="90" spans="2:14">
      <c r="B90" s="3"/>
      <c r="C90" s="3"/>
      <c r="D90" s="8"/>
      <c r="E90" s="9"/>
      <c r="F90" s="18"/>
      <c r="G90" s="8"/>
      <c r="H90" s="9"/>
      <c r="I90" s="18"/>
      <c r="J90" s="8"/>
      <c r="K90" s="9"/>
      <c r="L90" s="18"/>
      <c r="M90" s="8"/>
      <c r="N90" s="9"/>
    </row>
    <row r="91" spans="2:14">
      <c r="B91" s="3"/>
      <c r="C91" s="3"/>
      <c r="D91" s="8"/>
      <c r="E91" s="9"/>
      <c r="F91" s="18"/>
      <c r="G91" s="8"/>
      <c r="H91" s="9"/>
      <c r="I91" s="18"/>
      <c r="J91" s="8"/>
      <c r="K91" s="9"/>
      <c r="L91" s="18"/>
      <c r="M91" s="8"/>
      <c r="N91" s="9"/>
    </row>
    <row r="92" spans="2:14">
      <c r="B92" s="3"/>
      <c r="C92" s="3"/>
      <c r="D92" s="8"/>
      <c r="E92" s="9"/>
      <c r="F92" s="18"/>
      <c r="G92" s="8"/>
      <c r="H92" s="9"/>
      <c r="I92" s="18"/>
      <c r="J92" s="8"/>
      <c r="K92" s="9"/>
      <c r="L92" s="18"/>
      <c r="M92" s="8"/>
      <c r="N92" s="9"/>
    </row>
    <row r="93" spans="2:14">
      <c r="B93" s="3"/>
      <c r="C93" s="3"/>
      <c r="D93" s="8"/>
      <c r="E93" s="9"/>
      <c r="F93" s="18"/>
      <c r="G93" s="8"/>
      <c r="H93" s="9"/>
      <c r="I93" s="18"/>
      <c r="J93" s="8"/>
      <c r="K93" s="9"/>
      <c r="L93" s="18"/>
      <c r="M93" s="8"/>
      <c r="N93" s="9"/>
    </row>
    <row r="94" spans="2:14">
      <c r="B94" s="3"/>
      <c r="C94" s="3"/>
      <c r="D94" s="8"/>
      <c r="E94" s="9"/>
      <c r="F94" s="18"/>
      <c r="G94" s="8"/>
      <c r="H94" s="9"/>
      <c r="I94" s="18"/>
      <c r="J94" s="8"/>
      <c r="K94" s="9"/>
      <c r="L94" s="18"/>
      <c r="M94" s="8"/>
      <c r="N94" s="9"/>
    </row>
    <row r="95" spans="2:14">
      <c r="B95" s="3"/>
      <c r="C95" s="3"/>
      <c r="D95" s="8"/>
      <c r="E95" s="9"/>
      <c r="F95" s="18"/>
      <c r="G95" s="8"/>
      <c r="H95" s="9"/>
      <c r="I95" s="18"/>
      <c r="J95" s="8"/>
      <c r="K95" s="9"/>
      <c r="L95" s="18"/>
      <c r="M95" s="8"/>
      <c r="N95" s="9"/>
    </row>
    <row r="96" spans="2:14">
      <c r="B96" s="3"/>
      <c r="C96" s="3"/>
      <c r="D96" s="8"/>
      <c r="E96" s="9"/>
      <c r="F96" s="18"/>
      <c r="G96" s="8"/>
      <c r="H96" s="9"/>
      <c r="I96" s="18"/>
      <c r="J96" s="8"/>
      <c r="K96" s="9"/>
      <c r="L96" s="18"/>
      <c r="M96" s="8"/>
      <c r="N96" s="9"/>
    </row>
    <row r="97" spans="2:14">
      <c r="B97" s="3"/>
      <c r="C97" s="3"/>
      <c r="D97" s="8"/>
      <c r="E97" s="9"/>
      <c r="F97" s="18"/>
      <c r="G97" s="8"/>
      <c r="H97" s="9"/>
      <c r="I97" s="18"/>
      <c r="J97" s="8"/>
      <c r="K97" s="9"/>
      <c r="L97" s="18"/>
      <c r="M97" s="8"/>
      <c r="N97" s="9"/>
    </row>
    <row r="98" spans="2:14">
      <c r="B98" s="3"/>
      <c r="C98" s="3"/>
      <c r="D98" s="8"/>
      <c r="E98" s="9"/>
      <c r="F98" s="18"/>
      <c r="G98" s="8"/>
      <c r="H98" s="9"/>
      <c r="I98" s="18"/>
      <c r="J98" s="8"/>
      <c r="K98" s="9"/>
      <c r="L98" s="18"/>
      <c r="M98" s="8"/>
      <c r="N98" s="9"/>
    </row>
    <row r="99" spans="2:14">
      <c r="B99" s="3"/>
      <c r="C99" s="3"/>
      <c r="D99" s="8"/>
      <c r="E99" s="9"/>
      <c r="F99" s="18"/>
      <c r="G99" s="8"/>
      <c r="H99" s="9"/>
      <c r="I99" s="18"/>
      <c r="J99" s="8"/>
      <c r="K99" s="9"/>
      <c r="L99" s="18"/>
      <c r="M99" s="8"/>
      <c r="N99" s="9"/>
    </row>
    <row r="100" spans="2:14">
      <c r="B100" s="3"/>
      <c r="C100" s="3"/>
      <c r="D100" s="8"/>
      <c r="E100" s="9"/>
      <c r="F100" s="18"/>
      <c r="G100" s="8"/>
      <c r="H100" s="9"/>
      <c r="I100" s="18"/>
      <c r="J100" s="8"/>
      <c r="K100" s="9"/>
      <c r="L100" s="18"/>
      <c r="M100" s="8"/>
      <c r="N100" s="9"/>
    </row>
    <row r="101" spans="2:14">
      <c r="B101" s="3"/>
      <c r="C101" s="3"/>
      <c r="D101" s="8"/>
      <c r="E101" s="9"/>
      <c r="F101" s="9"/>
      <c r="G101" s="8"/>
      <c r="H101" s="9"/>
      <c r="I101" s="9"/>
      <c r="J101" s="8"/>
      <c r="K101" s="9"/>
      <c r="L101" s="9"/>
      <c r="M101" s="8"/>
      <c r="N101" s="9"/>
    </row>
    <row r="102" spans="2:14">
      <c r="B102" s="3"/>
      <c r="C102" s="3"/>
      <c r="D102" s="8"/>
      <c r="E102" s="9"/>
      <c r="F102" s="9"/>
      <c r="G102" s="8"/>
      <c r="H102" s="9"/>
      <c r="I102" s="9"/>
      <c r="J102" s="8"/>
      <c r="K102" s="9"/>
      <c r="L102" s="9"/>
      <c r="M102" s="8"/>
      <c r="N102" s="9"/>
    </row>
    <row r="103" spans="2:14">
      <c r="B103" s="3"/>
      <c r="C103" s="3"/>
      <c r="D103" s="8"/>
      <c r="E103" s="9"/>
      <c r="F103" s="9"/>
      <c r="G103" s="8"/>
      <c r="H103" s="9"/>
      <c r="I103" s="9"/>
      <c r="J103" s="8"/>
      <c r="K103" s="9"/>
      <c r="L103" s="9"/>
      <c r="M103" s="8"/>
      <c r="N103" s="9"/>
    </row>
    <row r="104" spans="2:14">
      <c r="B104" s="3"/>
      <c r="C104" s="3"/>
      <c r="D104" s="8"/>
      <c r="E104" s="9"/>
      <c r="F104" s="9"/>
      <c r="G104" s="8"/>
      <c r="H104" s="9"/>
      <c r="I104" s="9"/>
      <c r="J104" s="8"/>
      <c r="K104" s="9"/>
      <c r="L104" s="9"/>
      <c r="M104" s="8"/>
      <c r="N104" s="9"/>
    </row>
    <row r="105" spans="2:14">
      <c r="B105" s="3"/>
      <c r="C105" s="3"/>
      <c r="D105" s="8"/>
      <c r="E105" s="9"/>
      <c r="F105" s="9"/>
      <c r="G105" s="8"/>
      <c r="H105" s="9"/>
      <c r="I105" s="9"/>
      <c r="J105" s="8"/>
      <c r="K105" s="9"/>
      <c r="L105" s="9"/>
      <c r="M105" s="8"/>
      <c r="N105" s="9"/>
    </row>
    <row r="106" spans="2:14">
      <c r="B106" s="3"/>
      <c r="C106" s="3"/>
      <c r="D106" s="8"/>
      <c r="E106" s="9"/>
      <c r="F106" s="9"/>
      <c r="G106" s="8"/>
      <c r="H106" s="9"/>
      <c r="I106" s="9"/>
      <c r="J106" s="8"/>
      <c r="K106" s="9"/>
      <c r="L106" s="9"/>
      <c r="M106" s="8"/>
      <c r="N106" s="9"/>
    </row>
    <row r="107" spans="2:14">
      <c r="B107" s="3"/>
      <c r="C107" s="3"/>
      <c r="D107" s="8"/>
      <c r="E107" s="9"/>
      <c r="F107" s="9"/>
      <c r="G107" s="8"/>
      <c r="H107" s="9"/>
      <c r="I107" s="9"/>
      <c r="J107" s="8"/>
      <c r="K107" s="9"/>
      <c r="L107" s="9"/>
      <c r="M107" s="8"/>
      <c r="N107" s="9"/>
    </row>
    <row r="108" spans="2:14">
      <c r="B108" s="3"/>
      <c r="C108" s="3"/>
      <c r="D108" s="8"/>
      <c r="E108" s="9"/>
      <c r="F108" s="9"/>
      <c r="G108" s="8"/>
      <c r="H108" s="9"/>
      <c r="I108" s="9"/>
      <c r="J108" s="8"/>
      <c r="K108" s="9"/>
      <c r="L108" s="9"/>
      <c r="M108" s="8"/>
      <c r="N108" s="9"/>
    </row>
    <row r="109" spans="2:14">
      <c r="B109" s="3"/>
      <c r="C109" s="3"/>
      <c r="D109" s="8"/>
      <c r="E109" s="9"/>
      <c r="F109" s="9"/>
      <c r="G109" s="8"/>
      <c r="H109" s="9"/>
      <c r="I109" s="9"/>
      <c r="J109" s="8"/>
      <c r="K109" s="9"/>
      <c r="L109" s="9"/>
      <c r="M109" s="8"/>
      <c r="N109" s="9"/>
    </row>
    <row r="110" spans="2:14">
      <c r="B110" s="3"/>
      <c r="C110" s="3"/>
      <c r="D110" s="8"/>
      <c r="E110" s="9"/>
      <c r="F110" s="9"/>
      <c r="G110" s="8"/>
      <c r="H110" s="9"/>
      <c r="I110" s="9"/>
      <c r="J110" s="8"/>
      <c r="K110" s="9"/>
      <c r="L110" s="9"/>
      <c r="M110" s="8"/>
      <c r="N110" s="9"/>
    </row>
    <row r="111" spans="2:14">
      <c r="B111" s="3"/>
      <c r="C111" s="3"/>
      <c r="D111" s="8"/>
      <c r="E111" s="9"/>
      <c r="F111" s="9"/>
      <c r="G111" s="8"/>
      <c r="H111" s="9"/>
      <c r="I111" s="9"/>
      <c r="J111" s="8"/>
      <c r="K111" s="9"/>
      <c r="L111" s="9"/>
      <c r="M111" s="8"/>
      <c r="N111" s="9"/>
    </row>
    <row r="112" spans="2:14">
      <c r="B112" s="3"/>
      <c r="C112" s="3"/>
      <c r="D112" s="8"/>
      <c r="E112" s="9"/>
      <c r="F112" s="9"/>
      <c r="G112" s="8"/>
      <c r="H112" s="9"/>
      <c r="I112" s="9"/>
      <c r="J112" s="8"/>
      <c r="K112" s="9"/>
      <c r="L112" s="9"/>
      <c r="M112" s="8"/>
      <c r="N112" s="9"/>
    </row>
    <row r="113" spans="2:14">
      <c r="B113" s="3"/>
      <c r="C113" s="3"/>
      <c r="D113" s="8"/>
      <c r="E113" s="9"/>
      <c r="F113" s="9"/>
      <c r="G113" s="8"/>
      <c r="H113" s="9"/>
      <c r="I113" s="9"/>
      <c r="J113" s="8"/>
      <c r="K113" s="9"/>
      <c r="L113" s="9"/>
      <c r="M113" s="8"/>
      <c r="N113" s="9"/>
    </row>
    <row r="114" spans="2:14">
      <c r="B114" s="3"/>
      <c r="C114" s="3"/>
      <c r="D114" s="8"/>
      <c r="E114" s="9"/>
      <c r="F114" s="9"/>
      <c r="G114" s="8"/>
      <c r="H114" s="9"/>
      <c r="I114" s="9"/>
      <c r="J114" s="8"/>
      <c r="K114" s="9"/>
      <c r="L114" s="9"/>
      <c r="M114" s="8"/>
      <c r="N114" s="9"/>
    </row>
    <row r="115" spans="2:14">
      <c r="B115" s="3"/>
      <c r="C115" s="3"/>
      <c r="D115" s="8"/>
      <c r="E115" s="9"/>
      <c r="F115" s="9"/>
      <c r="G115" s="8"/>
      <c r="H115" s="9"/>
      <c r="I115" s="9"/>
      <c r="J115" s="8"/>
      <c r="K115" s="9"/>
      <c r="L115" s="9"/>
      <c r="M115" s="8"/>
      <c r="N115" s="9"/>
    </row>
    <row r="116" spans="2:14">
      <c r="B116" s="3"/>
      <c r="C116" s="3"/>
      <c r="D116" s="8"/>
      <c r="E116" s="9"/>
      <c r="F116" s="9"/>
      <c r="G116" s="8"/>
      <c r="H116" s="9"/>
      <c r="I116" s="9"/>
      <c r="J116" s="8"/>
      <c r="K116" s="9"/>
      <c r="L116" s="9"/>
      <c r="M116" s="8"/>
      <c r="N116" s="9"/>
    </row>
    <row r="117" spans="2:14">
      <c r="B117" s="3"/>
      <c r="C117" s="3"/>
      <c r="D117" s="8"/>
      <c r="E117" s="9"/>
      <c r="F117" s="9"/>
      <c r="G117" s="8"/>
      <c r="H117" s="9"/>
      <c r="I117" s="9"/>
      <c r="J117" s="8"/>
      <c r="K117" s="9"/>
      <c r="L117" s="9"/>
      <c r="M117" s="8"/>
      <c r="N117" s="9"/>
    </row>
    <row r="118" spans="2:14">
      <c r="B118" s="3"/>
      <c r="C118" s="3"/>
      <c r="D118" s="8"/>
      <c r="E118" s="9"/>
      <c r="F118" s="9"/>
      <c r="G118" s="8"/>
      <c r="H118" s="9"/>
      <c r="I118" s="9"/>
      <c r="J118" s="8"/>
      <c r="K118" s="9"/>
      <c r="L118" s="9"/>
      <c r="M118" s="8"/>
      <c r="N118" s="9"/>
    </row>
    <row r="119" spans="2:14">
      <c r="B119" s="3"/>
      <c r="C119" s="3"/>
      <c r="D119" s="8"/>
      <c r="E119" s="9"/>
      <c r="F119" s="9"/>
      <c r="G119" s="8"/>
      <c r="H119" s="9"/>
      <c r="I119" s="9"/>
      <c r="J119" s="8"/>
      <c r="K119" s="9"/>
      <c r="L119" s="9"/>
      <c r="M119" s="8"/>
      <c r="N119" s="9"/>
    </row>
    <row r="120" spans="2:14">
      <c r="B120" s="3"/>
      <c r="C120" s="3"/>
      <c r="D120" s="8"/>
      <c r="E120" s="9"/>
      <c r="F120" s="9"/>
      <c r="G120" s="8"/>
      <c r="H120" s="9"/>
      <c r="I120" s="9"/>
      <c r="J120" s="8"/>
      <c r="K120" s="9"/>
      <c r="L120" s="9"/>
      <c r="M120" s="8"/>
      <c r="N120" s="9"/>
    </row>
    <row r="121" spans="2:14">
      <c r="B121" s="3"/>
      <c r="C121" s="3"/>
      <c r="D121" s="8"/>
      <c r="E121" s="9"/>
      <c r="F121" s="9"/>
      <c r="G121" s="8"/>
      <c r="H121" s="9"/>
      <c r="I121" s="9"/>
      <c r="J121" s="8"/>
      <c r="K121" s="9"/>
      <c r="L121" s="9"/>
      <c r="M121" s="8"/>
      <c r="N121" s="9"/>
    </row>
    <row r="122" spans="2:14">
      <c r="B122" s="3"/>
      <c r="C122" s="3"/>
      <c r="D122" s="8"/>
      <c r="E122" s="9"/>
      <c r="F122" s="9"/>
      <c r="G122" s="8"/>
      <c r="H122" s="9"/>
      <c r="I122" s="9"/>
      <c r="J122" s="8"/>
      <c r="K122" s="9"/>
      <c r="L122" s="9"/>
      <c r="M122" s="8"/>
      <c r="N122" s="9"/>
    </row>
    <row r="123" spans="2:14">
      <c r="B123" s="3"/>
      <c r="C123" s="3"/>
      <c r="D123" s="8"/>
      <c r="E123" s="9"/>
      <c r="F123" s="9"/>
      <c r="G123" s="8"/>
      <c r="H123" s="9"/>
      <c r="I123" s="9"/>
      <c r="J123" s="8"/>
      <c r="K123" s="9"/>
      <c r="L123" s="9"/>
      <c r="M123" s="8"/>
      <c r="N123" s="9"/>
    </row>
    <row r="124" spans="2:14">
      <c r="B124" s="3"/>
      <c r="C124" s="3"/>
      <c r="D124" s="8"/>
      <c r="E124" s="9"/>
      <c r="F124" s="9"/>
      <c r="G124" s="8"/>
      <c r="H124" s="9"/>
      <c r="I124" s="9"/>
      <c r="J124" s="8"/>
      <c r="K124" s="9"/>
      <c r="L124" s="9"/>
      <c r="M124" s="8"/>
      <c r="N124" s="9"/>
    </row>
    <row r="125" spans="2:14">
      <c r="B125" s="3"/>
      <c r="C125" s="3"/>
      <c r="D125" s="8"/>
      <c r="E125" s="9"/>
      <c r="F125" s="9"/>
      <c r="G125" s="8"/>
      <c r="H125" s="9"/>
      <c r="I125" s="9"/>
      <c r="J125" s="8"/>
      <c r="K125" s="9"/>
      <c r="L125" s="9"/>
      <c r="M125" s="8"/>
      <c r="N125" s="9"/>
    </row>
    <row r="126" spans="2:14">
      <c r="B126" s="3"/>
      <c r="C126" s="3"/>
      <c r="D126" s="8"/>
      <c r="E126" s="9"/>
      <c r="F126" s="9"/>
      <c r="G126" s="8"/>
      <c r="H126" s="9"/>
      <c r="I126" s="9"/>
      <c r="J126" s="8"/>
      <c r="K126" s="9"/>
      <c r="L126" s="9"/>
      <c r="M126" s="8"/>
      <c r="N126" s="9"/>
    </row>
    <row r="127" spans="2:14">
      <c r="B127" s="3"/>
      <c r="C127" s="3"/>
      <c r="D127" s="8"/>
      <c r="E127" s="9"/>
      <c r="F127" s="9"/>
      <c r="G127" s="8"/>
      <c r="H127" s="9"/>
      <c r="I127" s="9"/>
      <c r="J127" s="8"/>
      <c r="K127" s="9"/>
      <c r="L127" s="9"/>
      <c r="M127" s="8"/>
      <c r="N127" s="9"/>
    </row>
    <row r="128" spans="2:14">
      <c r="B128" s="3"/>
      <c r="C128" s="3"/>
      <c r="D128" s="8"/>
      <c r="E128" s="9"/>
      <c r="F128" s="9"/>
      <c r="G128" s="8"/>
      <c r="H128" s="9"/>
      <c r="I128" s="9"/>
      <c r="J128" s="8"/>
      <c r="K128" s="9"/>
      <c r="L128" s="9"/>
      <c r="M128" s="8"/>
      <c r="N128" s="9"/>
    </row>
    <row r="129" spans="2:14">
      <c r="B129" s="3"/>
      <c r="C129" s="3"/>
      <c r="D129" s="8"/>
      <c r="E129" s="9"/>
      <c r="F129" s="9"/>
      <c r="G129" s="8"/>
      <c r="H129" s="9"/>
      <c r="I129" s="9"/>
      <c r="J129" s="8"/>
      <c r="K129" s="9"/>
      <c r="L129" s="9"/>
      <c r="M129" s="8"/>
      <c r="N129" s="9"/>
    </row>
    <row r="130" spans="2:14">
      <c r="B130" s="3"/>
      <c r="C130" s="3"/>
      <c r="D130" s="8"/>
      <c r="E130" s="9"/>
      <c r="F130" s="9"/>
      <c r="G130" s="8"/>
      <c r="H130" s="9"/>
      <c r="I130" s="9"/>
      <c r="J130" s="8"/>
      <c r="K130" s="9"/>
      <c r="L130" s="9"/>
      <c r="M130" s="8"/>
      <c r="N130" s="9"/>
    </row>
    <row r="131" spans="2:14">
      <c r="B131" s="3"/>
      <c r="C131" s="3"/>
      <c r="D131" s="8"/>
      <c r="E131" s="9"/>
      <c r="F131" s="9"/>
      <c r="G131" s="8"/>
      <c r="H131" s="9"/>
      <c r="I131" s="9"/>
      <c r="J131" s="8"/>
      <c r="K131" s="9"/>
      <c r="L131" s="9"/>
      <c r="M131" s="8"/>
      <c r="N131" s="9"/>
    </row>
    <row r="132" spans="2:14">
      <c r="B132" s="3"/>
      <c r="C132" s="3"/>
      <c r="D132" s="8"/>
      <c r="E132" s="9"/>
      <c r="F132" s="9"/>
      <c r="G132" s="8"/>
      <c r="H132" s="9"/>
      <c r="I132" s="9"/>
      <c r="J132" s="8"/>
      <c r="K132" s="9"/>
      <c r="L132" s="9"/>
      <c r="M132" s="8"/>
      <c r="N132" s="9"/>
    </row>
  </sheetData>
  <mergeCells count="4">
    <mergeCell ref="D5:E5"/>
    <mergeCell ref="G5:H5"/>
    <mergeCell ref="J5:K5"/>
    <mergeCell ref="M5:N5"/>
  </mergeCells>
  <pageMargins left="0.7" right="0.7" top="0.75" bottom="0.75" header="0.3" footer="0.3"/>
  <pageSetup orientation="portrait" r:id="rId1"/>
  <ignoredErrors>
    <ignoredError sqref="E49 K22 E22" formula="1"/>
  </ignoredErrors>
</worksheet>
</file>

<file path=xl/worksheets/sheet4.xml><?xml version="1.0" encoding="utf-8"?>
<worksheet xmlns="http://schemas.openxmlformats.org/spreadsheetml/2006/main" xmlns:r="http://schemas.openxmlformats.org/officeDocument/2006/relationships">
  <dimension ref="B3:P78"/>
  <sheetViews>
    <sheetView topLeftCell="A40" workbookViewId="0">
      <selection activeCell="P35" sqref="P35"/>
    </sheetView>
  </sheetViews>
  <sheetFormatPr defaultRowHeight="15"/>
  <cols>
    <col min="2" max="2" width="27.5703125" bestFit="1" customWidth="1"/>
    <col min="3" max="3" width="11" style="1" bestFit="1" customWidth="1"/>
    <col min="4" max="4" width="14.5703125" style="39" bestFit="1" customWidth="1"/>
    <col min="5" max="5" width="9" customWidth="1"/>
    <col min="6" max="6" width="1.5703125" customWidth="1"/>
    <col min="9" max="9" width="1.7109375" customWidth="1"/>
    <col min="10" max="10" width="14.5703125" style="39" bestFit="1" customWidth="1"/>
    <col min="11" max="11" width="9" customWidth="1"/>
    <col min="12" max="12" width="1.5703125" customWidth="1"/>
    <col min="15" max="15" width="1.5703125" customWidth="1"/>
    <col min="16" max="16" width="37.140625" bestFit="1" customWidth="1"/>
  </cols>
  <sheetData>
    <row r="3" spans="2:16">
      <c r="B3" s="16" t="s">
        <v>79</v>
      </c>
      <c r="C3" s="16" t="s">
        <v>87</v>
      </c>
      <c r="D3" s="58" t="s">
        <v>19</v>
      </c>
      <c r="E3" s="59"/>
      <c r="F3" s="17"/>
      <c r="G3" s="58" t="s">
        <v>20</v>
      </c>
      <c r="H3" s="59"/>
      <c r="I3" s="17"/>
      <c r="J3" s="58" t="s">
        <v>126</v>
      </c>
      <c r="K3" s="59"/>
      <c r="L3" s="17"/>
      <c r="M3" s="58" t="s">
        <v>127</v>
      </c>
      <c r="N3" s="59"/>
      <c r="O3" s="17"/>
      <c r="P3" s="60" t="s">
        <v>88</v>
      </c>
    </row>
    <row r="4" spans="2:16">
      <c r="B4" s="10"/>
      <c r="C4" s="4"/>
      <c r="D4" s="38"/>
      <c r="E4" s="4"/>
      <c r="F4" s="40"/>
      <c r="G4" s="4"/>
      <c r="H4" s="4"/>
      <c r="I4" s="40"/>
      <c r="J4" s="38"/>
      <c r="K4" s="4"/>
      <c r="L4" s="40"/>
      <c r="M4" s="4"/>
      <c r="N4" s="4"/>
      <c r="O4" s="40"/>
      <c r="P4" s="3"/>
    </row>
    <row r="5" spans="2:16">
      <c r="B5" s="13" t="s">
        <v>80</v>
      </c>
      <c r="C5" s="4"/>
      <c r="D5" s="38"/>
      <c r="E5" s="3"/>
      <c r="F5" s="40"/>
      <c r="G5" s="3"/>
      <c r="H5" s="3"/>
      <c r="I5" s="40"/>
      <c r="J5" s="38"/>
      <c r="K5" s="3"/>
      <c r="L5" s="40"/>
      <c r="M5" s="3"/>
      <c r="N5" s="3"/>
      <c r="O5" s="40"/>
      <c r="P5" s="3"/>
    </row>
    <row r="6" spans="2:16">
      <c r="B6" s="3" t="s">
        <v>81</v>
      </c>
      <c r="C6" s="4">
        <v>2</v>
      </c>
      <c r="D6" s="38">
        <f xml:space="preserve"> (BalanceSheet!D41)/(BalanceSheet!D46)</f>
        <v>4.9935810464552626</v>
      </c>
      <c r="E6" s="38"/>
      <c r="F6" s="41"/>
      <c r="G6" s="38">
        <f xml:space="preserve"> (BalanceSheet!G41)/(BalanceSheet!G46)</f>
        <v>3.3005330998355737</v>
      </c>
      <c r="H6" s="38"/>
      <c r="I6" s="41"/>
      <c r="J6" s="38">
        <f xml:space="preserve"> (BalanceSheet!J41)/(BalanceSheet!J46)</f>
        <v>5.8793066755694152</v>
      </c>
      <c r="K6" s="38"/>
      <c r="L6" s="41"/>
      <c r="M6" s="38">
        <f xml:space="preserve"> (BalanceSheet!M41)/(BalanceSheet!M46)</f>
        <v>6.6890615344256341</v>
      </c>
      <c r="N6" s="38"/>
      <c r="O6" s="41"/>
      <c r="P6" s="3"/>
    </row>
    <row r="7" spans="2:16">
      <c r="B7" s="3" t="s">
        <v>82</v>
      </c>
      <c r="C7" s="4">
        <v>1</v>
      </c>
      <c r="D7" s="38">
        <f xml:space="preserve"> ( (BalanceSheet!D37)+(BalanceSheet!D39) )/(BalanceSheet!D46)</f>
        <v>1.637485716690301</v>
      </c>
      <c r="E7" s="38"/>
      <c r="F7" s="41"/>
      <c r="G7" s="38">
        <f xml:space="preserve"> ( (BalanceSheet!G37)+(BalanceSheet!G39) )/(BalanceSheet!G46)</f>
        <v>1.6554849282707453</v>
      </c>
      <c r="H7" s="38"/>
      <c r="I7" s="41"/>
      <c r="J7" s="38">
        <f xml:space="preserve"> ( (BalanceSheet!J37)+(BalanceSheet!J39) )/(BalanceSheet!J46)</f>
        <v>4.4774454783695257</v>
      </c>
      <c r="K7" s="38"/>
      <c r="L7" s="41"/>
      <c r="M7" s="38">
        <f xml:space="preserve"> ( (BalanceSheet!M37)+(BalanceSheet!M39) )/(BalanceSheet!M46)</f>
        <v>5.9483147249795625</v>
      </c>
      <c r="N7" s="38"/>
      <c r="O7" s="41"/>
      <c r="P7" s="3" t="s">
        <v>89</v>
      </c>
    </row>
    <row r="8" spans="2:16" ht="30">
      <c r="B8" s="37" t="s">
        <v>90</v>
      </c>
      <c r="C8" s="4"/>
      <c r="D8" s="38">
        <f xml:space="preserve"> ('P&amp;L'!D8)/(360 * 1000000)</f>
        <v>2.6199237166666665</v>
      </c>
      <c r="E8" s="38"/>
      <c r="F8" s="41"/>
      <c r="G8" s="38">
        <f xml:space="preserve"> ('P&amp;L'!G8)/(360 * 1000000)</f>
        <v>2.389538236111111</v>
      </c>
      <c r="H8" s="38"/>
      <c r="I8" s="41"/>
      <c r="J8" s="38">
        <f xml:space="preserve"> ('P&amp;L'!J8)/(360 * 1000000)</f>
        <v>2.2538872222222222</v>
      </c>
      <c r="K8" s="38"/>
      <c r="L8" s="41"/>
      <c r="M8" s="38">
        <f xml:space="preserve"> ('P&amp;L'!M8)/(360 * 1000000)</f>
        <v>1.6782523944444445</v>
      </c>
      <c r="N8" s="38"/>
      <c r="O8" s="41"/>
      <c r="P8" s="3"/>
    </row>
    <row r="9" spans="2:16" ht="45">
      <c r="B9" s="37" t="s">
        <v>108</v>
      </c>
      <c r="C9" s="4"/>
      <c r="D9" s="38">
        <f xml:space="preserve"> (BalanceSheet!D37)/(D8 * 1000000)</f>
        <v>23.147261736749169</v>
      </c>
      <c r="E9" s="38"/>
      <c r="F9" s="41"/>
      <c r="G9" s="38">
        <f xml:space="preserve"> (BalanceSheet!G37)/(G8 * 1000000)</f>
        <v>13.902408213423243</v>
      </c>
      <c r="H9" s="38"/>
      <c r="I9" s="41"/>
      <c r="J9" s="38">
        <f xml:space="preserve"> (BalanceSheet!J37)/(J8 * 1000000)</f>
        <v>19.636958568123173</v>
      </c>
      <c r="K9" s="38"/>
      <c r="L9" s="41"/>
      <c r="M9" s="38">
        <f xml:space="preserve"> (BalanceSheet!M37)/(M8 * 1000000)</f>
        <v>20.391609815833853</v>
      </c>
      <c r="N9" s="38"/>
      <c r="O9" s="41"/>
      <c r="P9" s="3"/>
    </row>
    <row r="10" spans="2:16" ht="30">
      <c r="B10" s="37" t="s">
        <v>91</v>
      </c>
      <c r="C10" s="4"/>
      <c r="D10" s="38">
        <f xml:space="preserve"> ('P&amp;L'!D18)/(360 * 1000000)</f>
        <v>1.7812555888888888</v>
      </c>
      <c r="E10" s="38"/>
      <c r="F10" s="41"/>
      <c r="G10" s="38">
        <f xml:space="preserve"> ('P&amp;L'!G18)/(360 * 1000000)</f>
        <v>1.3018227499999999</v>
      </c>
      <c r="H10" s="38"/>
      <c r="I10" s="41"/>
      <c r="J10" s="38">
        <f xml:space="preserve"> ('P&amp;L'!J18)/(360 * 1000000)</f>
        <v>1.1311046666666666</v>
      </c>
      <c r="K10" s="38"/>
      <c r="L10" s="41"/>
      <c r="M10" s="38">
        <f xml:space="preserve"> ('P&amp;L'!M18)/(360 * 1000000)</f>
        <v>0.83190268333333328</v>
      </c>
      <c r="N10" s="38"/>
      <c r="O10" s="41"/>
      <c r="P10" s="3" t="s">
        <v>92</v>
      </c>
    </row>
    <row r="11" spans="2:16" ht="30">
      <c r="B11" s="37" t="s">
        <v>107</v>
      </c>
      <c r="C11" s="4"/>
      <c r="D11" s="38">
        <f xml:space="preserve"> (BalanceSheet!D36)/(D8 * 1000000)</f>
        <v>4.0970398991833248</v>
      </c>
      <c r="E11" s="38"/>
      <c r="F11" s="41"/>
      <c r="G11" s="38">
        <f xml:space="preserve"> (BalanceSheet!G36)/(G8 * 1000000)</f>
        <v>4.8771816344595589</v>
      </c>
      <c r="H11" s="38"/>
      <c r="I11" s="41"/>
      <c r="J11" s="38">
        <f xml:space="preserve"> (BalanceSheet!J36)/(J8 * 1000000)</f>
        <v>2.2359064598766034</v>
      </c>
      <c r="K11" s="38"/>
      <c r="L11" s="41"/>
      <c r="M11" s="38">
        <f xml:space="preserve"> (BalanceSheet!M36)/(M8 * 1000000)</f>
        <v>3.2105808505541598</v>
      </c>
      <c r="N11" s="38"/>
      <c r="O11" s="41"/>
      <c r="P11" s="3"/>
    </row>
    <row r="12" spans="2:16">
      <c r="B12" s="3"/>
      <c r="C12" s="4"/>
      <c r="D12" s="38"/>
      <c r="E12" s="3"/>
      <c r="F12" s="40"/>
      <c r="G12" s="3"/>
      <c r="H12" s="3"/>
      <c r="I12" s="40"/>
      <c r="J12" s="38"/>
      <c r="K12" s="3"/>
      <c r="L12" s="40"/>
      <c r="M12" s="3"/>
      <c r="N12" s="3"/>
      <c r="O12" s="40"/>
      <c r="P12" s="3"/>
    </row>
    <row r="13" spans="2:16">
      <c r="B13" s="3"/>
      <c r="C13" s="4"/>
      <c r="D13" s="38"/>
      <c r="E13" s="3"/>
      <c r="F13" s="40"/>
      <c r="G13" s="3"/>
      <c r="H13" s="3"/>
      <c r="I13" s="40"/>
      <c r="J13" s="38"/>
      <c r="K13" s="3"/>
      <c r="L13" s="40"/>
      <c r="M13" s="3"/>
      <c r="N13" s="3"/>
      <c r="O13" s="40"/>
      <c r="P13" s="3"/>
    </row>
    <row r="14" spans="2:16">
      <c r="B14" s="3"/>
      <c r="C14" s="4"/>
      <c r="D14" s="38"/>
      <c r="E14" s="3"/>
      <c r="F14" s="40"/>
      <c r="G14" s="3"/>
      <c r="H14" s="3"/>
      <c r="I14" s="40"/>
      <c r="J14" s="38"/>
      <c r="K14" s="3"/>
      <c r="L14" s="40"/>
      <c r="M14" s="3"/>
      <c r="N14" s="3"/>
      <c r="O14" s="40"/>
      <c r="P14" s="3"/>
    </row>
    <row r="15" spans="2:16">
      <c r="B15" s="13" t="s">
        <v>84</v>
      </c>
      <c r="C15" s="4"/>
      <c r="D15" s="38"/>
      <c r="E15" s="3"/>
      <c r="F15" s="40"/>
      <c r="G15" s="3"/>
      <c r="H15" s="3"/>
      <c r="I15" s="40"/>
      <c r="J15" s="38"/>
      <c r="K15" s="3"/>
      <c r="L15" s="40"/>
      <c r="M15" s="3"/>
      <c r="N15" s="3"/>
      <c r="O15" s="40"/>
      <c r="P15" s="3"/>
    </row>
    <row r="16" spans="2:16">
      <c r="B16" s="3" t="s">
        <v>94</v>
      </c>
      <c r="C16" s="4"/>
      <c r="D16" s="38"/>
      <c r="E16" s="3"/>
      <c r="F16" s="40"/>
      <c r="G16" s="3"/>
      <c r="H16" s="3"/>
      <c r="I16" s="40"/>
      <c r="J16" s="38"/>
      <c r="K16" s="3"/>
      <c r="L16" s="40"/>
      <c r="M16" s="3"/>
      <c r="N16" s="3"/>
      <c r="O16" s="40"/>
      <c r="P16" s="3"/>
    </row>
    <row r="17" spans="2:16">
      <c r="B17" s="3" t="s">
        <v>93</v>
      </c>
      <c r="C17" s="4">
        <v>2</v>
      </c>
      <c r="D17" s="42">
        <f xml:space="preserve"> (BalanceSheet!D18)/(BalanceSheet!D13)</f>
        <v>0.32452348758560762</v>
      </c>
      <c r="E17" s="42"/>
      <c r="F17" s="44"/>
      <c r="G17" s="42">
        <f xml:space="preserve"> (BalanceSheet!G18)/(BalanceSheet!G13)</f>
        <v>9.6269886503178456E-2</v>
      </c>
      <c r="H17" s="42"/>
      <c r="I17" s="44"/>
      <c r="J17" s="42">
        <f xml:space="preserve"> (BalanceSheet!J18)/(BalanceSheet!J13)</f>
        <v>0.13417934050548333</v>
      </c>
      <c r="K17" s="42"/>
      <c r="L17" s="44"/>
      <c r="M17" s="42">
        <f xml:space="preserve"> (BalanceSheet!M18)/(BalanceSheet!M13)</f>
        <v>0.17987623453945062</v>
      </c>
      <c r="N17" s="42"/>
      <c r="O17" s="44"/>
      <c r="P17" s="3"/>
    </row>
    <row r="18" spans="2:16">
      <c r="B18" s="3" t="s">
        <v>95</v>
      </c>
      <c r="C18" s="4"/>
      <c r="D18" s="42">
        <f xml:space="preserve"> (BalanceSheet!D18)/((BalanceSheet!D18) + (BalanceSheet!D13) )</f>
        <v>0.24501150083579229</v>
      </c>
      <c r="E18" s="42"/>
      <c r="F18" s="44"/>
      <c r="G18" s="42">
        <f xml:space="preserve"> (BalanceSheet!G18)/((BalanceSheet!G18) + (BalanceSheet!G13) )</f>
        <v>8.7815863309221101E-2</v>
      </c>
      <c r="H18" s="42"/>
      <c r="I18" s="44"/>
      <c r="J18" s="42">
        <f xml:space="preserve"> (BalanceSheet!J18)/((BalanceSheet!J18) + (BalanceSheet!J13) )</f>
        <v>0.11830522362158528</v>
      </c>
      <c r="K18" s="42"/>
      <c r="L18" s="44"/>
      <c r="M18" s="42">
        <f xml:space="preserve"> (BalanceSheet!M18)/((BalanceSheet!M18) + (BalanceSheet!M13) )</f>
        <v>0.15245347713072888</v>
      </c>
      <c r="N18" s="42"/>
      <c r="O18" s="44"/>
      <c r="P18" s="3"/>
    </row>
    <row r="19" spans="2:16">
      <c r="B19" s="3" t="s">
        <v>96</v>
      </c>
      <c r="C19" s="4"/>
      <c r="D19" s="38">
        <f xml:space="preserve"> ('P&amp;L'!D27)/('P&amp;L'!D31)</f>
        <v>16.19058299025173</v>
      </c>
      <c r="E19" s="38"/>
      <c r="F19" s="41"/>
      <c r="G19" s="38">
        <f xml:space="preserve"> ('P&amp;L'!G27)/('P&amp;L'!G31)</f>
        <v>20.104938701361693</v>
      </c>
      <c r="H19" s="38"/>
      <c r="I19" s="41"/>
      <c r="J19" s="38">
        <f xml:space="preserve"> ('P&amp;L'!J27)/('P&amp;L'!J31)</f>
        <v>21.863050407144279</v>
      </c>
      <c r="K19" s="38"/>
      <c r="L19" s="41"/>
      <c r="M19" s="38">
        <f xml:space="preserve"> ('P&amp;L'!M27)/('P&amp;L'!M31)</f>
        <v>18.997230000245661</v>
      </c>
      <c r="N19" s="38"/>
      <c r="O19" s="41"/>
      <c r="P19" s="3"/>
    </row>
    <row r="20" spans="2:16">
      <c r="B20" s="3"/>
      <c r="C20" s="4"/>
      <c r="D20" s="38"/>
      <c r="E20" s="3"/>
      <c r="F20" s="40"/>
      <c r="G20" s="3"/>
      <c r="H20" s="3"/>
      <c r="I20" s="40"/>
      <c r="J20" s="38"/>
      <c r="K20" s="3"/>
      <c r="L20" s="40"/>
      <c r="M20" s="3"/>
      <c r="N20" s="3"/>
      <c r="O20" s="40"/>
      <c r="P20" s="3"/>
    </row>
    <row r="21" spans="2:16">
      <c r="B21" s="3"/>
      <c r="C21" s="4"/>
      <c r="D21" s="38"/>
      <c r="E21" s="3"/>
      <c r="F21" s="40"/>
      <c r="G21" s="3"/>
      <c r="H21" s="3"/>
      <c r="I21" s="40"/>
      <c r="J21" s="38"/>
      <c r="K21" s="3"/>
      <c r="L21" s="40"/>
      <c r="M21" s="3"/>
      <c r="N21" s="3"/>
      <c r="O21" s="40"/>
      <c r="P21" s="3"/>
    </row>
    <row r="22" spans="2:16">
      <c r="B22" s="3"/>
      <c r="C22" s="4"/>
      <c r="D22" s="38"/>
      <c r="E22" s="3"/>
      <c r="F22" s="40"/>
      <c r="G22" s="3"/>
      <c r="H22" s="3"/>
      <c r="I22" s="40"/>
      <c r="J22" s="38"/>
      <c r="K22" s="3"/>
      <c r="L22" s="40"/>
      <c r="M22" s="3"/>
      <c r="N22" s="3"/>
      <c r="O22" s="40"/>
      <c r="P22" s="3"/>
    </row>
    <row r="23" spans="2:16">
      <c r="B23" s="13" t="s">
        <v>85</v>
      </c>
      <c r="C23" s="4"/>
      <c r="D23" s="38"/>
      <c r="E23" s="3"/>
      <c r="F23" s="40"/>
      <c r="G23" s="3"/>
      <c r="H23" s="3"/>
      <c r="I23" s="40"/>
      <c r="J23" s="38"/>
      <c r="K23" s="3"/>
      <c r="L23" s="40"/>
      <c r="M23" s="3"/>
      <c r="N23" s="3"/>
      <c r="O23" s="40"/>
      <c r="P23" s="3"/>
    </row>
    <row r="24" spans="2:16">
      <c r="B24" s="3" t="s">
        <v>100</v>
      </c>
      <c r="C24" s="4"/>
      <c r="D24" s="42">
        <f xml:space="preserve"> ('P&amp;L'!D22)/('P&amp;L'!D8)</f>
        <v>0.34333214120786881</v>
      </c>
      <c r="E24" s="42"/>
      <c r="F24" s="44"/>
      <c r="G24" s="42">
        <f xml:space="preserve"> ('P&amp;L'!G22)/('P&amp;L'!G8)</f>
        <v>0.52614689101397916</v>
      </c>
      <c r="H24" s="42"/>
      <c r="I24" s="44"/>
      <c r="J24" s="42">
        <f xml:space="preserve"> ('P&amp;L'!J22)/('P&amp;L'!J8)</f>
        <v>0.62195464280599666</v>
      </c>
      <c r="K24" s="42"/>
      <c r="L24" s="44"/>
      <c r="M24" s="42">
        <f xml:space="preserve"> ('P&amp;L'!M22)/('P&amp;L'!M8)</f>
        <v>0.53846012189843073</v>
      </c>
      <c r="N24" s="42"/>
      <c r="O24" s="44"/>
      <c r="P24" s="3" t="s">
        <v>104</v>
      </c>
    </row>
    <row r="25" spans="2:16">
      <c r="B25" s="3" t="s">
        <v>101</v>
      </c>
      <c r="C25" s="4"/>
      <c r="D25" s="42">
        <f xml:space="preserve"> ('P&amp;L'!D49)/('P&amp;L'!D8)</f>
        <v>0.2045287868633851</v>
      </c>
      <c r="E25" s="42"/>
      <c r="F25" s="44"/>
      <c r="G25" s="42">
        <f xml:space="preserve"> ('P&amp;L'!G49)/('P&amp;L'!G8)</f>
        <v>0.3566470155934881</v>
      </c>
      <c r="H25" s="42"/>
      <c r="I25" s="44"/>
      <c r="J25" s="42">
        <f xml:space="preserve"> ('P&amp;L'!J49)/('P&amp;L'!J8)</f>
        <v>0.41787704674171561</v>
      </c>
      <c r="K25" s="42"/>
      <c r="L25" s="44"/>
      <c r="M25" s="42">
        <f xml:space="preserve"> ('P&amp;L'!M49)/('P&amp;L'!M8)</f>
        <v>0.35096661612919688</v>
      </c>
      <c r="N25" s="42"/>
      <c r="O25" s="44"/>
      <c r="P25" s="3" t="s">
        <v>105</v>
      </c>
    </row>
    <row r="26" spans="2:16">
      <c r="B26" s="3" t="s">
        <v>102</v>
      </c>
      <c r="C26" s="4"/>
      <c r="D26" s="42">
        <f xml:space="preserve"> ('P&amp;L'!D27)/( (BalanceSheet!D13) + (BalanceSheet!D18) )</f>
        <v>0.10563789599441702</v>
      </c>
      <c r="E26" s="42"/>
      <c r="F26" s="44"/>
      <c r="G26" s="42">
        <f xml:space="preserve"> ('P&amp;L'!G27)/( (BalanceSheet!G13) + (BalanceSheet!G18) )</f>
        <v>0.21772845579778319</v>
      </c>
      <c r="H26" s="42"/>
      <c r="I26" s="44"/>
      <c r="J26" s="42">
        <f xml:space="preserve"> ('P&amp;L'!J27)/( (BalanceSheet!J13) + (BalanceSheet!J18) )</f>
        <v>0.25257112697740391</v>
      </c>
      <c r="K26" s="42"/>
      <c r="L26" s="44"/>
      <c r="M26" s="42">
        <f xml:space="preserve"> ('P&amp;L'!M27)/( (BalanceSheet!M13) + (BalanceSheet!M18) )</f>
        <v>0.16938797582276555</v>
      </c>
      <c r="N26" s="42"/>
      <c r="O26" s="44"/>
      <c r="P26" s="3" t="s">
        <v>106</v>
      </c>
    </row>
    <row r="27" spans="2:16">
      <c r="B27" s="3" t="s">
        <v>103</v>
      </c>
      <c r="C27" s="4"/>
      <c r="D27" s="42">
        <f xml:space="preserve"> ('P&amp;L'!D27)/( (BalanceSheet!D13)  )</f>
        <v>0.13991987442373091</v>
      </c>
      <c r="E27" s="38"/>
      <c r="F27" s="41"/>
      <c r="G27" s="42">
        <f xml:space="preserve"> ('P&amp;L'!G27)/( (BalanceSheet!G13)  )</f>
        <v>0.23868914952594808</v>
      </c>
      <c r="H27" s="38"/>
      <c r="I27" s="41"/>
      <c r="J27" s="42">
        <f xml:space="preserve"> ('P&amp;L'!J27)/( (BalanceSheet!J13)  )</f>
        <v>0.28646095422595869</v>
      </c>
      <c r="K27" s="38"/>
      <c r="L27" s="41"/>
      <c r="M27" s="42">
        <f xml:space="preserve"> ('P&amp;L'!M27)/( (BalanceSheet!M13)  )</f>
        <v>0.1998568470900241</v>
      </c>
      <c r="N27" s="38"/>
      <c r="O27" s="41"/>
      <c r="P27" s="3"/>
    </row>
    <row r="28" spans="2:16">
      <c r="B28" s="3"/>
      <c r="C28" s="4"/>
      <c r="D28" s="38"/>
      <c r="E28" s="3"/>
      <c r="F28" s="40"/>
      <c r="G28" s="3"/>
      <c r="H28" s="3"/>
      <c r="I28" s="40"/>
      <c r="J28" s="38"/>
      <c r="K28" s="3"/>
      <c r="L28" s="40"/>
      <c r="M28" s="3"/>
      <c r="N28" s="3"/>
      <c r="O28" s="40"/>
      <c r="P28" s="3"/>
    </row>
    <row r="29" spans="2:16">
      <c r="B29" s="3"/>
      <c r="C29" s="4"/>
      <c r="D29" s="38"/>
      <c r="E29" s="3"/>
      <c r="F29" s="40"/>
      <c r="G29" s="3"/>
      <c r="H29" s="3"/>
      <c r="I29" s="40"/>
      <c r="J29" s="38"/>
      <c r="K29" s="3"/>
      <c r="L29" s="40"/>
      <c r="M29" s="3"/>
      <c r="N29" s="3"/>
      <c r="O29" s="40"/>
      <c r="P29" s="3"/>
    </row>
    <row r="30" spans="2:16">
      <c r="B30" s="3"/>
      <c r="C30" s="4"/>
      <c r="D30" s="38"/>
      <c r="E30" s="3"/>
      <c r="F30" s="40"/>
      <c r="G30" s="3"/>
      <c r="H30" s="3"/>
      <c r="I30" s="40"/>
      <c r="J30" s="38"/>
      <c r="K30" s="3"/>
      <c r="L30" s="40"/>
      <c r="M30" s="3"/>
      <c r="N30" s="3"/>
      <c r="O30" s="40"/>
      <c r="P30" s="3"/>
    </row>
    <row r="31" spans="2:16">
      <c r="B31" s="13" t="s">
        <v>83</v>
      </c>
      <c r="C31" s="4"/>
      <c r="D31" s="38"/>
      <c r="E31" s="3"/>
      <c r="F31" s="40"/>
      <c r="G31" s="3"/>
      <c r="H31" s="3"/>
      <c r="I31" s="40"/>
      <c r="J31" s="38"/>
      <c r="K31" s="3"/>
      <c r="L31" s="40"/>
      <c r="M31" s="3"/>
      <c r="N31" s="3"/>
      <c r="O31" s="40"/>
      <c r="P31" s="3"/>
    </row>
    <row r="32" spans="2:16">
      <c r="B32" s="3" t="s">
        <v>110</v>
      </c>
      <c r="C32" s="4"/>
      <c r="D32" s="38">
        <f xml:space="preserve"> ('P&amp;L'!D8)/(BalanceSheet!D29)</f>
        <v>1.6392877503079046</v>
      </c>
      <c r="E32" s="38"/>
      <c r="F32" s="41"/>
      <c r="G32" s="38">
        <f xml:space="preserve"> ('P&amp;L'!G8)/(BalanceSheet!G29)</f>
        <v>1.5940775405895937</v>
      </c>
      <c r="H32" s="38"/>
      <c r="I32" s="41"/>
      <c r="J32" s="38">
        <f xml:space="preserve"> ('P&amp;L'!J8)/(BalanceSheet!J29)</f>
        <v>1.9280436607687028</v>
      </c>
      <c r="K32" s="38"/>
      <c r="L32" s="41"/>
      <c r="M32" s="38">
        <f xml:space="preserve"> ('P&amp;L'!M8)/(BalanceSheet!M29)</f>
        <v>1.6859822342760293</v>
      </c>
      <c r="N32" s="38"/>
      <c r="O32" s="41"/>
      <c r="P32" s="3" t="s">
        <v>113</v>
      </c>
    </row>
    <row r="33" spans="2:16">
      <c r="B33" s="3" t="s">
        <v>112</v>
      </c>
      <c r="C33" s="4"/>
      <c r="D33" s="38">
        <f xml:space="preserve"> ('P&amp;L'!D8)/(BalanceSheet!D41)</f>
        <v>1.0746341706091964</v>
      </c>
      <c r="E33" s="38"/>
      <c r="F33" s="41"/>
      <c r="G33" s="38">
        <f xml:space="preserve"> ('P&amp;L'!G8)/(BalanceSheet!G41)</f>
        <v>0.86097209764914373</v>
      </c>
      <c r="H33" s="38"/>
      <c r="I33" s="41"/>
      <c r="J33" s="38">
        <f xml:space="preserve"> ('P&amp;L'!J8)/(BalanceSheet!J41)</f>
        <v>0.49255791845272817</v>
      </c>
      <c r="K33" s="38"/>
      <c r="L33" s="41"/>
      <c r="M33" s="38">
        <f xml:space="preserve"> ('P&amp;L'!M8)/(BalanceSheet!M41)</f>
        <v>0.37420355754332096</v>
      </c>
      <c r="N33" s="38"/>
      <c r="O33" s="41"/>
      <c r="P33" s="3"/>
    </row>
    <row r="34" spans="2:16">
      <c r="B34" s="3" t="s">
        <v>109</v>
      </c>
      <c r="C34" s="4"/>
      <c r="D34" s="38">
        <f xml:space="preserve"> ('P&amp;L'!D8)/(BalanceSheet!D36)</f>
        <v>87.868316847917427</v>
      </c>
      <c r="E34" s="38"/>
      <c r="F34" s="41"/>
      <c r="G34" s="38">
        <f xml:space="preserve"> ('P&amp;L'!G8)/(BalanceSheet!G36)</f>
        <v>73.813121384783457</v>
      </c>
      <c r="H34" s="38"/>
      <c r="I34" s="41"/>
      <c r="J34" s="38">
        <f xml:space="preserve"> ('P&amp;L'!J8)/(BalanceSheet!J36)</f>
        <v>161.0085244889305</v>
      </c>
      <c r="K34" s="38"/>
      <c r="L34" s="41"/>
      <c r="M34" s="38">
        <f xml:space="preserve"> ('P&amp;L'!M8)/(BalanceSheet!M36)</f>
        <v>112.12924288695687</v>
      </c>
      <c r="N34" s="38"/>
      <c r="O34" s="41"/>
      <c r="P34" s="3" t="s">
        <v>115</v>
      </c>
    </row>
    <row r="35" spans="2:16">
      <c r="B35" s="3" t="s">
        <v>111</v>
      </c>
      <c r="C35" s="4"/>
      <c r="D35" s="38">
        <f xml:space="preserve"> ('P&amp;L'!D8)/(BalanceSheet!D51)</f>
        <v>0.36562400075563251</v>
      </c>
      <c r="E35" s="38"/>
      <c r="F35" s="41"/>
      <c r="G35" s="38">
        <f xml:space="preserve"> ('P&amp;L'!G8)/(BalanceSheet!G51)</f>
        <v>0.43641685326724655</v>
      </c>
      <c r="H35" s="38"/>
      <c r="I35" s="41"/>
      <c r="J35" s="38">
        <f xml:space="preserve"> ('P&amp;L'!J8)/(BalanceSheet!J51)</f>
        <v>0.42725728550115294</v>
      </c>
      <c r="K35" s="38"/>
      <c r="L35" s="41"/>
      <c r="M35" s="38">
        <f xml:space="preserve"> ('P&amp;L'!M8)/(BalanceSheet!M51)</f>
        <v>0.33528137898108201</v>
      </c>
      <c r="N35" s="38"/>
      <c r="O35" s="41"/>
      <c r="P35" s="3" t="s">
        <v>114</v>
      </c>
    </row>
    <row r="36" spans="2:16" ht="30">
      <c r="B36" s="37" t="s">
        <v>116</v>
      </c>
      <c r="C36" s="4"/>
      <c r="D36" s="38">
        <f xml:space="preserve"> ('P&amp;L'!D8)/( (BalanceSheet!D37) + (BalanceSheet!D39) )</f>
        <v>3.2771417616231835</v>
      </c>
      <c r="E36" s="38"/>
      <c r="F36" s="41"/>
      <c r="G36" s="38">
        <f xml:space="preserve"> ('P&amp;L'!G8)/( (BalanceSheet!G37) + (BalanceSheet!G39) )</f>
        <v>1.7165163256992972</v>
      </c>
      <c r="H36" s="38"/>
      <c r="I36" s="41"/>
      <c r="J36" s="38">
        <f xml:space="preserve"> ('P&amp;L'!J8)/( (BalanceSheet!J37) + (BalanceSheet!J39) )</f>
        <v>0.64677483445722506</v>
      </c>
      <c r="K36" s="38"/>
      <c r="L36" s="41"/>
      <c r="M36" s="38">
        <f xml:space="preserve"> ('P&amp;L'!M8)/( (BalanceSheet!M37) + (BalanceSheet!M39) )</f>
        <v>0.42080332641055029</v>
      </c>
      <c r="N36" s="38"/>
      <c r="O36" s="41"/>
      <c r="P36" s="3"/>
    </row>
    <row r="37" spans="2:16">
      <c r="B37" s="3"/>
      <c r="C37" s="4"/>
      <c r="D37" s="38"/>
      <c r="E37" s="3"/>
      <c r="F37" s="40"/>
      <c r="G37" s="3"/>
      <c r="H37" s="3"/>
      <c r="I37" s="40"/>
      <c r="J37" s="38"/>
      <c r="K37" s="3"/>
      <c r="L37" s="40"/>
      <c r="M37" s="3"/>
      <c r="N37" s="3"/>
      <c r="O37" s="40"/>
      <c r="P37" s="3"/>
    </row>
    <row r="38" spans="2:16">
      <c r="B38" s="3"/>
      <c r="C38" s="4"/>
      <c r="D38" s="38"/>
      <c r="E38" s="3"/>
      <c r="F38" s="40"/>
      <c r="G38" s="3"/>
      <c r="H38" s="3"/>
      <c r="I38" s="40"/>
      <c r="J38" s="38"/>
      <c r="K38" s="3"/>
      <c r="L38" s="40"/>
      <c r="M38" s="3"/>
      <c r="N38" s="3"/>
      <c r="O38" s="40"/>
      <c r="P38" s="3"/>
    </row>
    <row r="39" spans="2:16">
      <c r="B39" s="3"/>
      <c r="C39" s="4"/>
      <c r="D39" s="38"/>
      <c r="E39" s="3"/>
      <c r="F39" s="40"/>
      <c r="G39" s="3"/>
      <c r="H39" s="3"/>
      <c r="I39" s="40"/>
      <c r="J39" s="38"/>
      <c r="K39" s="3"/>
      <c r="L39" s="40"/>
      <c r="M39" s="3"/>
      <c r="N39" s="3"/>
      <c r="O39" s="40"/>
      <c r="P39" s="3"/>
    </row>
    <row r="40" spans="2:16">
      <c r="B40" s="3"/>
      <c r="C40" s="4"/>
      <c r="D40" s="38"/>
      <c r="E40" s="3"/>
      <c r="F40" s="40"/>
      <c r="G40" s="3"/>
      <c r="H40" s="3"/>
      <c r="I40" s="40"/>
      <c r="J40" s="38"/>
      <c r="K40" s="3"/>
      <c r="L40" s="40"/>
      <c r="M40" s="3"/>
      <c r="N40" s="3"/>
      <c r="O40" s="40"/>
      <c r="P40" s="3"/>
    </row>
    <row r="41" spans="2:16">
      <c r="B41" s="13" t="s">
        <v>86</v>
      </c>
      <c r="C41" s="4"/>
      <c r="D41" s="38"/>
      <c r="E41" s="3"/>
      <c r="F41" s="40"/>
      <c r="G41" s="3"/>
      <c r="H41" s="3"/>
      <c r="I41" s="40"/>
      <c r="J41" s="38"/>
      <c r="K41" s="3"/>
      <c r="L41" s="40"/>
      <c r="M41" s="3"/>
      <c r="N41" s="3"/>
      <c r="O41" s="40"/>
      <c r="P41" s="3"/>
    </row>
    <row r="42" spans="2:16">
      <c r="B42" s="3" t="s">
        <v>122</v>
      </c>
      <c r="C42" s="4"/>
      <c r="D42" s="45">
        <f>'P&amp;L'!D68</f>
        <v>0</v>
      </c>
      <c r="E42" s="45">
        <f>'P&amp;L'!E68</f>
        <v>0</v>
      </c>
      <c r="F42" s="46">
        <f>'P&amp;L'!F68</f>
        <v>0</v>
      </c>
      <c r="G42" s="45">
        <f>'P&amp;L'!G68</f>
        <v>0</v>
      </c>
      <c r="H42" s="45">
        <f>'P&amp;L'!H68</f>
        <v>0</v>
      </c>
      <c r="I42" s="46"/>
      <c r="J42" s="45">
        <f>'P&amp;L'!J68</f>
        <v>0</v>
      </c>
      <c r="K42" s="45">
        <f>'P&amp;L'!K68</f>
        <v>0</v>
      </c>
      <c r="L42" s="46">
        <f>'P&amp;L'!L68</f>
        <v>0</v>
      </c>
      <c r="M42" s="45">
        <f>'P&amp;L'!M68</f>
        <v>0</v>
      </c>
      <c r="N42" s="45">
        <f>'P&amp;L'!N68</f>
        <v>0</v>
      </c>
      <c r="O42" s="46">
        <f>'P&amp;L'!O68</f>
        <v>0</v>
      </c>
      <c r="P42" s="3"/>
    </row>
    <row r="43" spans="2:16">
      <c r="B43" s="3" t="s">
        <v>123</v>
      </c>
      <c r="C43" s="4"/>
      <c r="D43" s="38">
        <f>'P&amp;L'!D71</f>
        <v>7.0832849715419695</v>
      </c>
      <c r="E43" s="38">
        <f>'P&amp;L'!E71</f>
        <v>0</v>
      </c>
      <c r="F43" s="41"/>
      <c r="G43" s="38">
        <f>'P&amp;L'!G71</f>
        <v>11.265337419652262</v>
      </c>
      <c r="H43" s="38">
        <f>'P&amp;L'!H71</f>
        <v>0</v>
      </c>
      <c r="I43" s="41"/>
      <c r="J43" s="38">
        <f>'P&amp;L'!J71</f>
        <v>12.450085215281726</v>
      </c>
      <c r="K43" s="38">
        <f>'P&amp;L'!K71</f>
        <v>0</v>
      </c>
      <c r="L43" s="41"/>
      <c r="M43" s="38">
        <f>'P&amp;L'!M71</f>
        <v>7.7860055632736547</v>
      </c>
      <c r="N43" s="38">
        <f>'P&amp;L'!N71</f>
        <v>0</v>
      </c>
      <c r="O43" s="41"/>
      <c r="P43" s="3"/>
    </row>
    <row r="44" spans="2:16" ht="30">
      <c r="B44" s="37" t="s">
        <v>118</v>
      </c>
      <c r="C44" s="4"/>
      <c r="D44" s="38">
        <f>85/D43</f>
        <v>12.000081931123582</v>
      </c>
      <c r="E44" s="38"/>
      <c r="F44" s="41"/>
      <c r="G44" s="38">
        <f>85/G43</f>
        <v>7.5452688928534357</v>
      </c>
      <c r="H44" s="38"/>
      <c r="I44" s="41"/>
      <c r="J44" s="38">
        <f>85/J43</f>
        <v>6.8272625070604054</v>
      </c>
      <c r="K44" s="38"/>
      <c r="L44" s="41"/>
      <c r="M44" s="38">
        <f>85/M43</f>
        <v>10.917022767225129</v>
      </c>
      <c r="N44" s="38"/>
      <c r="O44" s="41"/>
      <c r="P44" s="3"/>
    </row>
    <row r="45" spans="2:16">
      <c r="B45" s="3" t="s">
        <v>117</v>
      </c>
      <c r="C45" s="4"/>
      <c r="D45" s="42">
        <f xml:space="preserve"> ( (BalanceSheet!D13) + (BalanceSheet!D18) )/(BalanceSheet!D13)</f>
        <v>1.3245234875856076</v>
      </c>
      <c r="E45" s="3"/>
      <c r="F45" s="40"/>
      <c r="G45" s="3"/>
      <c r="H45" s="3"/>
      <c r="I45" s="40"/>
      <c r="J45" s="42">
        <f xml:space="preserve"> ( (BalanceSheet!J13) + (BalanceSheet!J18) )/(BalanceSheet!J13)</f>
        <v>1.1341793405054834</v>
      </c>
      <c r="K45" s="3"/>
      <c r="L45" s="40"/>
      <c r="M45" s="3"/>
      <c r="N45" s="3"/>
      <c r="O45" s="40"/>
      <c r="P45" s="3" t="s">
        <v>124</v>
      </c>
    </row>
    <row r="46" spans="2:16" ht="45">
      <c r="B46" s="37" t="s">
        <v>119</v>
      </c>
      <c r="C46" s="4"/>
      <c r="D46" s="47">
        <f>C44/D45</f>
        <v>0</v>
      </c>
      <c r="E46" s="3"/>
      <c r="F46" s="40"/>
      <c r="G46" s="3"/>
      <c r="H46" s="3"/>
      <c r="I46" s="40"/>
      <c r="J46" s="47"/>
      <c r="K46" s="3"/>
      <c r="L46" s="40"/>
      <c r="M46" s="3"/>
      <c r="N46" s="3"/>
      <c r="O46" s="40"/>
      <c r="P46" s="3" t="s">
        <v>105</v>
      </c>
    </row>
    <row r="47" spans="2:16">
      <c r="B47" s="3" t="s">
        <v>120</v>
      </c>
      <c r="C47" s="4"/>
      <c r="D47" s="42">
        <f>1.5/85</f>
        <v>1.7647058823529412E-2</v>
      </c>
      <c r="E47" s="42"/>
      <c r="F47" s="44"/>
      <c r="G47" s="42">
        <f>6/119</f>
        <v>5.0420168067226892E-2</v>
      </c>
      <c r="H47" s="42"/>
      <c r="I47" s="44"/>
      <c r="J47" s="42"/>
      <c r="K47" s="42"/>
      <c r="L47" s="44"/>
      <c r="M47" s="42"/>
      <c r="N47" s="42"/>
      <c r="O47" s="44"/>
      <c r="P47" s="3" t="s">
        <v>125</v>
      </c>
    </row>
    <row r="48" spans="2:16">
      <c r="B48" s="3" t="s">
        <v>121</v>
      </c>
      <c r="C48" s="4"/>
      <c r="D48" s="42">
        <f>(5+1.5)/85</f>
        <v>7.6470588235294124E-2</v>
      </c>
      <c r="E48" s="3"/>
      <c r="F48" s="40"/>
      <c r="G48" s="42">
        <f>25/119</f>
        <v>0.21008403361344538</v>
      </c>
      <c r="H48" s="3"/>
      <c r="I48" s="40"/>
      <c r="J48" s="42"/>
      <c r="K48" s="3"/>
      <c r="L48" s="40"/>
      <c r="M48" s="42"/>
      <c r="N48" s="3"/>
      <c r="O48" s="40"/>
      <c r="P48" s="3"/>
    </row>
    <row r="49" spans="2:16">
      <c r="B49" s="3"/>
      <c r="C49" s="4"/>
      <c r="D49" s="38"/>
      <c r="E49" s="3"/>
      <c r="F49" s="40"/>
      <c r="G49" s="3"/>
      <c r="H49" s="3"/>
      <c r="I49" s="40"/>
      <c r="J49" s="38"/>
      <c r="K49" s="3"/>
      <c r="L49" s="40"/>
      <c r="M49" s="3"/>
      <c r="N49" s="3"/>
      <c r="O49" s="40"/>
      <c r="P49" s="3"/>
    </row>
    <row r="50" spans="2:16">
      <c r="B50" s="3"/>
      <c r="C50" s="4"/>
      <c r="D50" s="38"/>
      <c r="E50" s="3"/>
      <c r="F50" s="40"/>
      <c r="G50" s="3"/>
      <c r="H50" s="3"/>
      <c r="I50" s="40"/>
      <c r="J50" s="38"/>
      <c r="K50" s="3"/>
      <c r="L50" s="40"/>
      <c r="M50" s="3"/>
      <c r="N50" s="3"/>
      <c r="O50" s="40"/>
      <c r="P50" s="3"/>
    </row>
    <row r="51" spans="2:16">
      <c r="B51" s="3"/>
      <c r="C51" s="4"/>
      <c r="D51" s="38"/>
      <c r="E51" s="3"/>
      <c r="F51" s="40"/>
      <c r="G51" s="3"/>
      <c r="H51" s="3"/>
      <c r="I51" s="40"/>
      <c r="J51" s="38"/>
      <c r="K51" s="3"/>
      <c r="L51" s="40"/>
      <c r="M51" s="3"/>
      <c r="N51" s="3"/>
      <c r="O51" s="40"/>
      <c r="P51" s="3"/>
    </row>
    <row r="52" spans="2:16">
      <c r="B52" s="3"/>
      <c r="C52" s="4"/>
      <c r="D52" s="38"/>
      <c r="E52" s="3"/>
      <c r="F52" s="40"/>
      <c r="G52" s="3"/>
      <c r="H52" s="3"/>
      <c r="I52" s="40"/>
      <c r="J52" s="38"/>
      <c r="K52" s="3"/>
      <c r="L52" s="40"/>
      <c r="M52" s="3"/>
      <c r="N52" s="3"/>
      <c r="O52" s="40"/>
      <c r="P52" s="3"/>
    </row>
    <row r="53" spans="2:16">
      <c r="B53" s="3"/>
      <c r="C53" s="4"/>
      <c r="D53" s="38"/>
      <c r="E53" s="3"/>
      <c r="F53" s="40"/>
      <c r="G53" s="3"/>
      <c r="H53" s="3"/>
      <c r="I53" s="40"/>
      <c r="J53" s="38"/>
      <c r="K53" s="3"/>
      <c r="L53" s="40"/>
      <c r="M53" s="3"/>
      <c r="N53" s="3"/>
      <c r="O53" s="40"/>
      <c r="P53" s="3"/>
    </row>
    <row r="54" spans="2:16">
      <c r="B54" s="3"/>
      <c r="C54" s="4"/>
      <c r="D54" s="38"/>
      <c r="E54" s="3"/>
      <c r="F54" s="40"/>
      <c r="G54" s="3"/>
      <c r="H54" s="3"/>
      <c r="I54" s="40"/>
      <c r="J54" s="38"/>
      <c r="K54" s="3"/>
      <c r="L54" s="40"/>
      <c r="M54" s="3"/>
      <c r="N54" s="3"/>
      <c r="O54" s="40"/>
      <c r="P54" s="3"/>
    </row>
    <row r="55" spans="2:16">
      <c r="B55" s="3"/>
      <c r="C55" s="4"/>
      <c r="D55" s="38"/>
      <c r="E55" s="3"/>
      <c r="F55" s="40"/>
      <c r="G55" s="3"/>
      <c r="H55" s="3"/>
      <c r="I55" s="40"/>
      <c r="J55" s="38"/>
      <c r="K55" s="3"/>
      <c r="L55" s="40"/>
      <c r="M55" s="3"/>
      <c r="N55" s="3"/>
      <c r="O55" s="40"/>
      <c r="P55" s="3"/>
    </row>
    <row r="56" spans="2:16">
      <c r="B56" s="3"/>
      <c r="C56" s="4"/>
      <c r="D56" s="38"/>
      <c r="E56" s="3"/>
      <c r="F56" s="40"/>
      <c r="G56" s="3"/>
      <c r="H56" s="3"/>
      <c r="I56" s="40"/>
      <c r="J56" s="38"/>
      <c r="K56" s="3"/>
      <c r="L56" s="40"/>
      <c r="M56" s="3"/>
      <c r="N56" s="3"/>
      <c r="O56" s="40"/>
      <c r="P56" s="3"/>
    </row>
    <row r="57" spans="2:16">
      <c r="B57" s="3"/>
      <c r="C57" s="4"/>
      <c r="D57" s="38"/>
      <c r="E57" s="3"/>
      <c r="F57" s="40"/>
      <c r="G57" s="3"/>
      <c r="H57" s="3"/>
      <c r="I57" s="40"/>
      <c r="J57" s="38"/>
      <c r="K57" s="3"/>
      <c r="L57" s="40"/>
      <c r="M57" s="3"/>
      <c r="N57" s="3"/>
      <c r="O57" s="40"/>
      <c r="P57" s="3"/>
    </row>
    <row r="58" spans="2:16">
      <c r="B58" s="3"/>
      <c r="C58" s="4"/>
      <c r="D58" s="38"/>
      <c r="E58" s="3"/>
      <c r="F58" s="40"/>
      <c r="G58" s="3"/>
      <c r="H58" s="3"/>
      <c r="I58" s="40"/>
      <c r="J58" s="38"/>
      <c r="K58" s="3"/>
      <c r="L58" s="40"/>
      <c r="M58" s="3"/>
      <c r="N58" s="3"/>
      <c r="O58" s="40"/>
      <c r="P58" s="3"/>
    </row>
    <row r="59" spans="2:16">
      <c r="B59" s="3"/>
      <c r="C59" s="4"/>
      <c r="D59" s="38"/>
      <c r="E59" s="3"/>
      <c r="F59" s="40"/>
      <c r="G59" s="3"/>
      <c r="H59" s="3"/>
      <c r="I59" s="40"/>
      <c r="J59" s="38"/>
      <c r="K59" s="3"/>
      <c r="L59" s="40"/>
      <c r="M59" s="3"/>
      <c r="N59" s="3"/>
      <c r="O59" s="40"/>
      <c r="P59" s="3"/>
    </row>
    <row r="60" spans="2:16">
      <c r="B60" s="3"/>
      <c r="C60" s="4"/>
      <c r="D60" s="38"/>
      <c r="E60" s="3"/>
      <c r="F60" s="40"/>
      <c r="G60" s="3"/>
      <c r="H60" s="3"/>
      <c r="I60" s="40"/>
      <c r="J60" s="38"/>
      <c r="K60" s="3"/>
      <c r="L60" s="40"/>
      <c r="M60" s="3"/>
      <c r="N60" s="3"/>
      <c r="O60" s="40"/>
      <c r="P60" s="3"/>
    </row>
    <row r="61" spans="2:16">
      <c r="B61" s="3"/>
      <c r="C61" s="4"/>
      <c r="D61" s="38"/>
      <c r="E61" s="3"/>
      <c r="F61" s="40"/>
      <c r="G61" s="3"/>
      <c r="H61" s="3"/>
      <c r="I61" s="40"/>
      <c r="J61" s="38"/>
      <c r="K61" s="3"/>
      <c r="L61" s="40"/>
      <c r="M61" s="3"/>
      <c r="N61" s="3"/>
      <c r="O61" s="40"/>
      <c r="P61" s="3"/>
    </row>
    <row r="62" spans="2:16">
      <c r="B62" s="3"/>
      <c r="C62" s="4"/>
      <c r="D62" s="38"/>
      <c r="E62" s="3"/>
      <c r="F62" s="40"/>
      <c r="G62" s="3"/>
      <c r="H62" s="3"/>
      <c r="I62" s="40"/>
      <c r="J62" s="38"/>
      <c r="K62" s="3"/>
      <c r="L62" s="40"/>
      <c r="M62" s="3"/>
      <c r="N62" s="3"/>
      <c r="O62" s="40"/>
      <c r="P62" s="3"/>
    </row>
    <row r="63" spans="2:16">
      <c r="B63" s="3"/>
      <c r="C63" s="4"/>
      <c r="D63" s="38"/>
      <c r="E63" s="3"/>
      <c r="F63" s="40"/>
      <c r="G63" s="3"/>
      <c r="H63" s="3"/>
      <c r="I63" s="40"/>
      <c r="J63" s="38"/>
      <c r="K63" s="3"/>
      <c r="L63" s="40"/>
      <c r="M63" s="3"/>
      <c r="N63" s="3"/>
      <c r="O63" s="40"/>
      <c r="P63" s="3"/>
    </row>
    <row r="64" spans="2:16">
      <c r="B64" s="3"/>
      <c r="C64" s="4"/>
      <c r="D64" s="38"/>
      <c r="E64" s="3"/>
      <c r="F64" s="40"/>
      <c r="G64" s="3"/>
      <c r="H64" s="3"/>
      <c r="I64" s="40"/>
      <c r="J64" s="38"/>
      <c r="K64" s="3"/>
      <c r="L64" s="40"/>
      <c r="M64" s="3"/>
      <c r="N64" s="3"/>
      <c r="O64" s="40"/>
      <c r="P64" s="3"/>
    </row>
    <row r="65" spans="2:16">
      <c r="B65" s="3"/>
      <c r="C65" s="4"/>
      <c r="D65" s="38"/>
      <c r="E65" s="3"/>
      <c r="F65" s="40"/>
      <c r="G65" s="3"/>
      <c r="H65" s="3"/>
      <c r="I65" s="40"/>
      <c r="J65" s="38"/>
      <c r="K65" s="3"/>
      <c r="L65" s="40"/>
      <c r="M65" s="3"/>
      <c r="N65" s="3"/>
      <c r="O65" s="40"/>
      <c r="P65" s="3"/>
    </row>
    <row r="66" spans="2:16">
      <c r="B66" s="3"/>
      <c r="C66" s="4"/>
      <c r="D66" s="38"/>
      <c r="E66" s="3"/>
      <c r="F66" s="40"/>
      <c r="G66" s="3"/>
      <c r="H66" s="3"/>
      <c r="I66" s="40"/>
      <c r="J66" s="38"/>
      <c r="K66" s="3"/>
      <c r="L66" s="40"/>
      <c r="M66" s="3"/>
      <c r="N66" s="3"/>
      <c r="O66" s="40"/>
      <c r="P66" s="3"/>
    </row>
    <row r="67" spans="2:16">
      <c r="B67" s="3"/>
      <c r="C67" s="4"/>
      <c r="D67" s="38"/>
      <c r="E67" s="3"/>
      <c r="F67" s="40"/>
      <c r="G67" s="3"/>
      <c r="H67" s="3"/>
      <c r="I67" s="40"/>
      <c r="J67" s="38"/>
      <c r="K67" s="3"/>
      <c r="L67" s="40"/>
      <c r="M67" s="3"/>
      <c r="N67" s="3"/>
      <c r="O67" s="40"/>
      <c r="P67" s="3"/>
    </row>
    <row r="68" spans="2:16">
      <c r="B68" s="3"/>
      <c r="C68" s="4"/>
      <c r="D68" s="38"/>
      <c r="E68" s="3"/>
      <c r="F68" s="40"/>
      <c r="G68" s="3"/>
      <c r="H68" s="3"/>
      <c r="I68" s="40"/>
      <c r="J68" s="38"/>
      <c r="K68" s="3"/>
      <c r="L68" s="40"/>
      <c r="M68" s="3"/>
      <c r="N68" s="3"/>
      <c r="O68" s="40"/>
      <c r="P68" s="3"/>
    </row>
    <row r="69" spans="2:16">
      <c r="B69" s="3"/>
      <c r="C69" s="4"/>
      <c r="D69" s="38"/>
      <c r="E69" s="3"/>
      <c r="F69" s="40"/>
      <c r="G69" s="3"/>
      <c r="H69" s="3"/>
      <c r="I69" s="40"/>
      <c r="J69" s="38"/>
      <c r="K69" s="3"/>
      <c r="L69" s="40"/>
      <c r="M69" s="3"/>
      <c r="N69" s="3"/>
      <c r="O69" s="40"/>
      <c r="P69" s="3"/>
    </row>
    <row r="70" spans="2:16">
      <c r="B70" s="3"/>
      <c r="C70" s="4"/>
      <c r="D70" s="38"/>
      <c r="E70" s="3"/>
      <c r="F70" s="40"/>
      <c r="G70" s="3"/>
      <c r="H70" s="3"/>
      <c r="I70" s="40"/>
      <c r="J70" s="38"/>
      <c r="K70" s="3"/>
      <c r="L70" s="40"/>
      <c r="M70" s="3"/>
      <c r="N70" s="3"/>
      <c r="O70" s="40"/>
      <c r="P70" s="3"/>
    </row>
    <row r="71" spans="2:16">
      <c r="B71" s="3"/>
      <c r="C71" s="4"/>
      <c r="D71" s="38"/>
      <c r="E71" s="3"/>
      <c r="F71" s="40"/>
      <c r="G71" s="3"/>
      <c r="H71" s="3"/>
      <c r="I71" s="40"/>
      <c r="J71" s="38"/>
      <c r="K71" s="3"/>
      <c r="L71" s="40"/>
      <c r="M71" s="3"/>
      <c r="N71" s="3"/>
      <c r="O71" s="40"/>
      <c r="P71" s="3"/>
    </row>
    <row r="72" spans="2:16">
      <c r="B72" s="3"/>
      <c r="C72" s="4"/>
      <c r="D72" s="38"/>
      <c r="E72" s="3"/>
      <c r="F72" s="40"/>
      <c r="G72" s="3"/>
      <c r="H72" s="3"/>
      <c r="I72" s="40"/>
      <c r="J72" s="38"/>
      <c r="K72" s="3"/>
      <c r="L72" s="40"/>
      <c r="M72" s="3"/>
      <c r="N72" s="3"/>
      <c r="O72" s="40"/>
      <c r="P72" s="3"/>
    </row>
    <row r="73" spans="2:16">
      <c r="B73" s="3"/>
      <c r="C73" s="4"/>
      <c r="D73" s="38"/>
      <c r="E73" s="3"/>
      <c r="F73" s="40"/>
      <c r="G73" s="3"/>
      <c r="H73" s="3"/>
      <c r="I73" s="40"/>
      <c r="J73" s="38"/>
      <c r="K73" s="3"/>
      <c r="L73" s="40"/>
      <c r="M73" s="3"/>
      <c r="N73" s="3"/>
      <c r="O73" s="40"/>
      <c r="P73" s="3"/>
    </row>
    <row r="74" spans="2:16">
      <c r="B74" s="3"/>
      <c r="C74" s="4"/>
      <c r="D74" s="38"/>
      <c r="E74" s="3"/>
      <c r="F74" s="40"/>
      <c r="G74" s="3"/>
      <c r="H74" s="3"/>
      <c r="I74" s="40"/>
      <c r="J74" s="38"/>
      <c r="K74" s="3"/>
      <c r="L74" s="40"/>
      <c r="M74" s="3"/>
      <c r="N74" s="3"/>
      <c r="O74" s="40"/>
      <c r="P74" s="3"/>
    </row>
    <row r="75" spans="2:16">
      <c r="B75" s="3"/>
      <c r="C75" s="4"/>
      <c r="D75" s="38"/>
      <c r="E75" s="3"/>
      <c r="F75" s="40"/>
      <c r="G75" s="3"/>
      <c r="H75" s="3"/>
      <c r="I75" s="40"/>
      <c r="J75" s="38"/>
      <c r="K75" s="3"/>
      <c r="L75" s="40"/>
      <c r="M75" s="3"/>
      <c r="N75" s="3"/>
      <c r="O75" s="40"/>
      <c r="P75" s="3"/>
    </row>
    <row r="76" spans="2:16">
      <c r="B76" s="3"/>
      <c r="C76" s="4"/>
      <c r="D76" s="38"/>
      <c r="E76" s="3"/>
      <c r="F76" s="40"/>
      <c r="G76" s="3"/>
      <c r="H76" s="3"/>
      <c r="I76" s="40"/>
      <c r="J76" s="38"/>
      <c r="K76" s="3"/>
      <c r="L76" s="40"/>
      <c r="M76" s="3"/>
      <c r="N76" s="3"/>
      <c r="O76" s="40"/>
      <c r="P76" s="3"/>
    </row>
    <row r="77" spans="2:16">
      <c r="B77" s="3"/>
      <c r="C77" s="4"/>
      <c r="D77" s="38"/>
      <c r="E77" s="3"/>
      <c r="F77" s="40"/>
      <c r="G77" s="3"/>
      <c r="H77" s="3"/>
      <c r="I77" s="40"/>
      <c r="J77" s="38"/>
      <c r="K77" s="3"/>
      <c r="L77" s="40"/>
      <c r="M77" s="3"/>
      <c r="N77" s="3"/>
      <c r="O77" s="40"/>
      <c r="P77" s="3"/>
    </row>
    <row r="78" spans="2:16">
      <c r="B78" s="3"/>
      <c r="C78" s="4"/>
      <c r="D78" s="38"/>
      <c r="E78" s="3"/>
      <c r="F78" s="40"/>
      <c r="G78" s="3"/>
      <c r="H78" s="3"/>
      <c r="I78" s="40"/>
      <c r="J78" s="38"/>
      <c r="K78" s="3"/>
      <c r="L78" s="40"/>
      <c r="M78" s="3"/>
      <c r="N78" s="3"/>
      <c r="O78" s="40"/>
      <c r="P78" s="3"/>
    </row>
  </sheetData>
  <mergeCells count="4">
    <mergeCell ref="D3:E3"/>
    <mergeCell ref="G3:H3"/>
    <mergeCell ref="J3:K3"/>
    <mergeCell ref="M3:N3"/>
  </mergeCells>
  <pageMargins left="0.7" right="0.7" top="0.75" bottom="0.75" header="0.3" footer="0.3"/>
  <pageSetup orientation="portrait" r:id="rId1"/>
  <ignoredErrors>
    <ignoredError sqref="D7 D9 D33" formula="1"/>
  </ignoredErrors>
  <legacyDrawing r:id="rId2"/>
</worksheet>
</file>

<file path=xl/worksheets/sheet5.xml><?xml version="1.0" encoding="utf-8"?>
<worksheet xmlns="http://schemas.openxmlformats.org/spreadsheetml/2006/main" xmlns:r="http://schemas.openxmlformats.org/officeDocument/2006/relationships">
  <dimension ref="B3:D25"/>
  <sheetViews>
    <sheetView tabSelected="1" topLeftCell="A19" workbookViewId="0">
      <selection activeCell="B25" sqref="B25"/>
    </sheetView>
  </sheetViews>
  <sheetFormatPr defaultRowHeight="15"/>
  <cols>
    <col min="2" max="2" width="9.140625" style="1"/>
    <col min="3" max="3" width="54.7109375" customWidth="1"/>
    <col min="4" max="4" width="24.140625" bestFit="1" customWidth="1"/>
  </cols>
  <sheetData>
    <row r="3" spans="2:4">
      <c r="B3" s="5" t="s">
        <v>138</v>
      </c>
    </row>
    <row r="4" spans="2:4">
      <c r="B4" s="63" t="s">
        <v>135</v>
      </c>
      <c r="C4" s="63" t="s">
        <v>136</v>
      </c>
      <c r="D4" s="63" t="s">
        <v>141</v>
      </c>
    </row>
    <row r="5" spans="2:4" ht="45">
      <c r="B5" s="4">
        <v>1</v>
      </c>
      <c r="C5" s="62" t="s">
        <v>134</v>
      </c>
      <c r="D5" s="3"/>
    </row>
    <row r="6" spans="2:4" ht="30">
      <c r="B6" s="4">
        <v>2</v>
      </c>
      <c r="C6" s="62" t="s">
        <v>133</v>
      </c>
      <c r="D6" s="23" t="s">
        <v>137</v>
      </c>
    </row>
    <row r="7" spans="2:4" ht="30">
      <c r="B7" s="4">
        <v>3</v>
      </c>
      <c r="C7" s="62" t="s">
        <v>151</v>
      </c>
      <c r="D7" s="3"/>
    </row>
    <row r="8" spans="2:4">
      <c r="B8" s="4">
        <v>4</v>
      </c>
      <c r="C8" s="3" t="s">
        <v>139</v>
      </c>
      <c r="D8" s="23" t="s">
        <v>143</v>
      </c>
    </row>
    <row r="9" spans="2:4" ht="45">
      <c r="B9" s="4">
        <v>5</v>
      </c>
      <c r="C9" s="62" t="s">
        <v>140</v>
      </c>
      <c r="D9" s="23" t="s">
        <v>143</v>
      </c>
    </row>
    <row r="10" spans="2:4" ht="30">
      <c r="B10" s="4">
        <v>6</v>
      </c>
      <c r="C10" s="62" t="s">
        <v>142</v>
      </c>
      <c r="D10" s="64" t="s">
        <v>144</v>
      </c>
    </row>
    <row r="11" spans="2:4" ht="45">
      <c r="B11" s="4">
        <v>7</v>
      </c>
      <c r="C11" s="62" t="s">
        <v>147</v>
      </c>
      <c r="D11" s="3" t="s">
        <v>24</v>
      </c>
    </row>
    <row r="12" spans="2:4">
      <c r="B12" s="4">
        <v>8</v>
      </c>
      <c r="C12" s="3" t="s">
        <v>148</v>
      </c>
      <c r="D12" s="3"/>
    </row>
    <row r="13" spans="2:4" ht="30">
      <c r="B13" s="4">
        <v>9</v>
      </c>
      <c r="C13" s="62" t="s">
        <v>149</v>
      </c>
      <c r="D13" s="23" t="s">
        <v>150</v>
      </c>
    </row>
    <row r="14" spans="2:4" ht="45">
      <c r="B14" s="4">
        <v>10</v>
      </c>
      <c r="C14" s="62" t="s">
        <v>152</v>
      </c>
      <c r="D14" s="65" t="s">
        <v>153</v>
      </c>
    </row>
    <row r="15" spans="2:4">
      <c r="B15" s="4"/>
      <c r="C15" s="3"/>
      <c r="D15" s="3"/>
    </row>
    <row r="16" spans="2:4">
      <c r="B16" s="4"/>
      <c r="C16" s="3"/>
      <c r="D16" s="3"/>
    </row>
    <row r="17" spans="2:4">
      <c r="B17" s="4"/>
      <c r="C17" s="13" t="s">
        <v>145</v>
      </c>
      <c r="D17" s="3"/>
    </row>
    <row r="18" spans="2:4">
      <c r="B18" s="4"/>
      <c r="C18" s="3"/>
      <c r="D18" s="3"/>
    </row>
    <row r="19" spans="2:4" ht="30">
      <c r="B19" s="4">
        <v>1</v>
      </c>
      <c r="C19" s="62" t="s">
        <v>146</v>
      </c>
      <c r="D19" s="3"/>
    </row>
    <row r="20" spans="2:4">
      <c r="B20" s="4">
        <v>2</v>
      </c>
      <c r="C20" s="3" t="s">
        <v>154</v>
      </c>
      <c r="D20" s="3"/>
    </row>
    <row r="21" spans="2:4">
      <c r="B21" s="4">
        <v>3</v>
      </c>
      <c r="C21" s="62" t="s">
        <v>155</v>
      </c>
      <c r="D21" s="3"/>
    </row>
    <row r="22" spans="2:4" ht="30">
      <c r="B22" s="4">
        <v>4</v>
      </c>
      <c r="C22" s="62" t="s">
        <v>156</v>
      </c>
      <c r="D22" s="3"/>
    </row>
    <row r="23" spans="2:4" ht="30">
      <c r="B23" s="4">
        <v>5</v>
      </c>
      <c r="C23" s="62" t="s">
        <v>157</v>
      </c>
      <c r="D23" s="3"/>
    </row>
    <row r="24" spans="2:4" ht="30">
      <c r="B24" s="4">
        <v>6</v>
      </c>
      <c r="C24" s="62" t="s">
        <v>158</v>
      </c>
      <c r="D24" s="3"/>
    </row>
    <row r="25" spans="2:4">
      <c r="B25" s="4">
        <v>7</v>
      </c>
      <c r="C25" s="3" t="s">
        <v>159</v>
      </c>
      <c r="D25"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3:C21"/>
  <sheetViews>
    <sheetView workbookViewId="0">
      <selection activeCell="B12" sqref="B12"/>
    </sheetView>
  </sheetViews>
  <sheetFormatPr defaultRowHeight="15"/>
  <cols>
    <col min="2" max="2" width="9.140625" style="1"/>
    <col min="3" max="3" width="54.7109375" customWidth="1"/>
  </cols>
  <sheetData>
    <row r="3" spans="2:3">
      <c r="B3" s="5" t="s">
        <v>2</v>
      </c>
    </row>
    <row r="4" spans="2:3">
      <c r="B4" s="4">
        <v>1</v>
      </c>
      <c r="C4" s="3" t="s">
        <v>3</v>
      </c>
    </row>
    <row r="5" spans="2:3">
      <c r="B5" s="4">
        <v>2</v>
      </c>
      <c r="C5" s="3" t="s">
        <v>4</v>
      </c>
    </row>
    <row r="6" spans="2:3">
      <c r="B6" s="4">
        <v>3</v>
      </c>
      <c r="C6" s="3" t="s">
        <v>6</v>
      </c>
    </row>
    <row r="7" spans="2:3">
      <c r="B7" s="4">
        <v>4</v>
      </c>
      <c r="C7" s="3" t="s">
        <v>7</v>
      </c>
    </row>
    <row r="8" spans="2:3">
      <c r="B8" s="4">
        <v>5</v>
      </c>
      <c r="C8" s="3" t="s">
        <v>8</v>
      </c>
    </row>
    <row r="9" spans="2:3">
      <c r="B9" s="4">
        <v>6</v>
      </c>
      <c r="C9" s="3" t="s">
        <v>9</v>
      </c>
    </row>
    <row r="10" spans="2:3">
      <c r="B10" s="4">
        <v>7</v>
      </c>
      <c r="C10" s="3" t="s">
        <v>10</v>
      </c>
    </row>
    <row r="11" spans="2:3">
      <c r="B11" s="4">
        <v>8</v>
      </c>
      <c r="C11" s="3" t="s">
        <v>12</v>
      </c>
    </row>
    <row r="12" spans="2:3">
      <c r="B12" s="4"/>
      <c r="C12" s="3"/>
    </row>
    <row r="13" spans="2:3">
      <c r="B13" s="4"/>
      <c r="C13" s="3"/>
    </row>
    <row r="14" spans="2:3">
      <c r="B14" s="4"/>
      <c r="C14" s="3"/>
    </row>
    <row r="15" spans="2:3">
      <c r="B15" s="4"/>
      <c r="C15" s="3"/>
    </row>
    <row r="16" spans="2:3">
      <c r="B16" s="4"/>
      <c r="C16" s="3"/>
    </row>
    <row r="17" spans="2:3">
      <c r="B17" s="4">
        <v>1</v>
      </c>
      <c r="C17" s="3" t="s">
        <v>5</v>
      </c>
    </row>
    <row r="18" spans="2:3">
      <c r="B18" s="4">
        <v>2</v>
      </c>
      <c r="C18" s="3"/>
    </row>
    <row r="19" spans="2:3">
      <c r="B19" s="4">
        <v>3</v>
      </c>
      <c r="C19" s="3" t="s">
        <v>11</v>
      </c>
    </row>
    <row r="20" spans="2:3">
      <c r="B20" s="4"/>
      <c r="C20" s="3"/>
    </row>
    <row r="21" spans="2:3">
      <c r="B21" s="4"/>
      <c r="C2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Industry Info</vt:lpstr>
      <vt:lpstr>BalanceSheet</vt:lpstr>
      <vt:lpstr>P&amp;L</vt:lpstr>
      <vt:lpstr>Comparison Ratio</vt:lpstr>
      <vt:lpstr>Conclusion</vt:lpstr>
      <vt:lpstr>Draft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2010-01-21T18:04:25Z</dcterms:modified>
</cp:coreProperties>
</file>
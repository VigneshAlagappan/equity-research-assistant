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P41" i="18"/>
  <c r="P40"/>
  <c r="P48" s="1"/>
  <c r="P38"/>
  <c r="P36"/>
  <c r="P34"/>
  <c r="P33"/>
  <c r="P32"/>
  <c r="P31"/>
  <c r="P29"/>
  <c r="P25"/>
  <c r="P26" s="1"/>
  <c r="P27"/>
  <c r="P24"/>
  <c r="P23"/>
  <c r="P22"/>
  <c r="P21"/>
  <c r="P20"/>
  <c r="P18"/>
  <c r="P16"/>
  <c r="P15"/>
  <c r="P14"/>
  <c r="P13"/>
  <c r="P12"/>
  <c r="P10"/>
  <c r="P9"/>
  <c r="P7"/>
  <c r="P6"/>
  <c r="F12"/>
  <c r="O12"/>
  <c r="N12"/>
  <c r="M12"/>
  <c r="L12"/>
  <c r="K12"/>
  <c r="AD48"/>
  <c r="C48"/>
  <c r="D48"/>
  <c r="E48"/>
  <c r="F48"/>
  <c r="H48"/>
  <c r="I48"/>
  <c r="J48"/>
  <c r="K48"/>
  <c r="L48"/>
  <c r="M48"/>
  <c r="N48"/>
  <c r="O48"/>
  <c r="G48"/>
  <c r="T189"/>
  <c r="H188"/>
  <c r="D187"/>
  <c r="I186"/>
  <c r="J186" s="1"/>
  <c r="J187" s="1"/>
  <c r="H186"/>
  <c r="H184"/>
  <c r="D184"/>
  <c r="H183"/>
  <c r="H182"/>
  <c r="I182" s="1"/>
  <c r="J182" s="1"/>
  <c r="I183" s="1"/>
  <c r="J183" s="1"/>
  <c r="I184" s="1"/>
  <c r="J184" s="1"/>
  <c r="J185" s="1"/>
  <c r="Q48" l="1"/>
  <c r="D189"/>
  <c r="I188"/>
  <c r="J188" s="1"/>
  <c r="J189" s="1"/>
  <c r="H83"/>
  <c r="I83"/>
  <c r="J83"/>
  <c r="K83"/>
  <c r="L83"/>
  <c r="M83"/>
  <c r="N83"/>
  <c r="O83"/>
  <c r="P83"/>
  <c r="G83"/>
  <c r="H39"/>
  <c r="I39"/>
  <c r="J39"/>
  <c r="K39"/>
  <c r="L39"/>
  <c r="M39"/>
  <c r="N39"/>
  <c r="O39"/>
  <c r="P39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H11"/>
  <c r="I11"/>
  <c r="J11"/>
  <c r="K11"/>
  <c r="L11"/>
  <c r="M11"/>
  <c r="N11"/>
  <c r="O11"/>
  <c r="P11"/>
  <c r="H122"/>
  <c r="I122"/>
  <c r="J122"/>
  <c r="K122"/>
  <c r="L122"/>
  <c r="M122"/>
  <c r="N122"/>
  <c r="O122"/>
  <c r="P122"/>
  <c r="G122"/>
  <c r="H121"/>
  <c r="I121"/>
  <c r="J121"/>
  <c r="K121"/>
  <c r="L121"/>
  <c r="M121"/>
  <c r="N121"/>
  <c r="O121"/>
  <c r="P121"/>
  <c r="G121"/>
  <c r="AD14"/>
  <c r="R14"/>
  <c r="S14" s="1"/>
  <c r="T14" s="1"/>
  <c r="U14" s="1"/>
  <c r="V14" s="1"/>
  <c r="W14" s="1"/>
  <c r="X14" s="1"/>
  <c r="Y14" s="1"/>
  <c r="Z14" s="1"/>
  <c r="AA14" s="1"/>
  <c r="AB14" s="1"/>
  <c r="Q14"/>
  <c r="T183"/>
  <c r="T182"/>
  <c r="O183"/>
  <c r="O186" s="1"/>
  <c r="O182"/>
  <c r="H89"/>
  <c r="I89"/>
  <c r="J89"/>
  <c r="K89"/>
  <c r="L89"/>
  <c r="M89"/>
  <c r="N89"/>
  <c r="O89"/>
  <c r="P89"/>
  <c r="G89"/>
  <c r="H86"/>
  <c r="I86"/>
  <c r="J86"/>
  <c r="K86"/>
  <c r="L86"/>
  <c r="M86"/>
  <c r="N86"/>
  <c r="O86"/>
  <c r="P86"/>
  <c r="G86"/>
  <c r="H87"/>
  <c r="I87"/>
  <c r="J87"/>
  <c r="K87"/>
  <c r="L87"/>
  <c r="M87"/>
  <c r="N87"/>
  <c r="O87"/>
  <c r="P87"/>
  <c r="G87"/>
  <c r="H117"/>
  <c r="H118" s="1"/>
  <c r="I117"/>
  <c r="I118" s="1"/>
  <c r="J117"/>
  <c r="J118" s="1"/>
  <c r="K117"/>
  <c r="K118" s="1"/>
  <c r="L117"/>
  <c r="L118" s="1"/>
  <c r="M117"/>
  <c r="M118" s="1"/>
  <c r="N117"/>
  <c r="N118" s="1"/>
  <c r="O117"/>
  <c r="O118" s="1"/>
  <c r="P117"/>
  <c r="P118" s="1"/>
  <c r="G117"/>
  <c r="G118" s="1"/>
  <c r="Q83" l="1"/>
  <c r="Q122"/>
  <c r="Q121"/>
  <c r="Q89"/>
  <c r="AC14"/>
  <c r="AE14"/>
  <c r="Q86"/>
  <c r="Q118"/>
  <c r="Q117"/>
  <c r="Q87"/>
  <c r="P82"/>
  <c r="P81"/>
  <c r="E82"/>
  <c r="F82"/>
  <c r="H82"/>
  <c r="I82"/>
  <c r="J82"/>
  <c r="K82"/>
  <c r="L82"/>
  <c r="M82"/>
  <c r="N82"/>
  <c r="O82"/>
  <c r="G82"/>
  <c r="G81"/>
  <c r="H115"/>
  <c r="I115"/>
  <c r="J115"/>
  <c r="K115"/>
  <c r="L115"/>
  <c r="M115"/>
  <c r="N115"/>
  <c r="O115"/>
  <c r="P115"/>
  <c r="G115"/>
  <c r="H114"/>
  <c r="I114"/>
  <c r="J114"/>
  <c r="K114"/>
  <c r="L114"/>
  <c r="M114"/>
  <c r="N114"/>
  <c r="O114"/>
  <c r="P114"/>
  <c r="G114"/>
  <c r="H111"/>
  <c r="I111"/>
  <c r="J111"/>
  <c r="K111"/>
  <c r="L111"/>
  <c r="M111"/>
  <c r="N111"/>
  <c r="O111"/>
  <c r="P111"/>
  <c r="G111"/>
  <c r="H112"/>
  <c r="I112"/>
  <c r="J112"/>
  <c r="K112"/>
  <c r="L112"/>
  <c r="M112"/>
  <c r="N112"/>
  <c r="O112"/>
  <c r="P112"/>
  <c r="G112"/>
  <c r="H110"/>
  <c r="I110"/>
  <c r="J110"/>
  <c r="K110"/>
  <c r="L110"/>
  <c r="M110"/>
  <c r="N110"/>
  <c r="O110"/>
  <c r="P110"/>
  <c r="G110"/>
  <c r="H109"/>
  <c r="I109"/>
  <c r="J109"/>
  <c r="K109"/>
  <c r="L109"/>
  <c r="M109"/>
  <c r="N109"/>
  <c r="O109"/>
  <c r="P109"/>
  <c r="G109"/>
  <c r="R155"/>
  <c r="H106"/>
  <c r="I106"/>
  <c r="J106"/>
  <c r="K106"/>
  <c r="L106"/>
  <c r="M106"/>
  <c r="N106"/>
  <c r="O106"/>
  <c r="P106"/>
  <c r="G106"/>
  <c r="H105"/>
  <c r="I105"/>
  <c r="J105"/>
  <c r="K105"/>
  <c r="L105"/>
  <c r="M105"/>
  <c r="N105"/>
  <c r="O105"/>
  <c r="P105"/>
  <c r="G105"/>
  <c r="H104"/>
  <c r="I104"/>
  <c r="J104"/>
  <c r="K104"/>
  <c r="L104"/>
  <c r="M104"/>
  <c r="N104"/>
  <c r="O104"/>
  <c r="P104"/>
  <c r="G104"/>
  <c r="B106"/>
  <c r="B105"/>
  <c r="K170"/>
  <c r="K169"/>
  <c r="K168"/>
  <c r="S40"/>
  <c r="AD32"/>
  <c r="R32"/>
  <c r="S32" s="1"/>
  <c r="T32" s="1"/>
  <c r="U32" s="1"/>
  <c r="V32" s="1"/>
  <c r="W32" s="1"/>
  <c r="X32" s="1"/>
  <c r="Y32" s="1"/>
  <c r="Z32" s="1"/>
  <c r="AA32" s="1"/>
  <c r="AB32" s="1"/>
  <c r="Q32"/>
  <c r="G94"/>
  <c r="H94"/>
  <c r="I94"/>
  <c r="J94"/>
  <c r="K94"/>
  <c r="L94"/>
  <c r="M94"/>
  <c r="N94"/>
  <c r="O94"/>
  <c r="P94"/>
  <c r="S187"/>
  <c r="N186"/>
  <c r="S184"/>
  <c r="T184" s="1"/>
  <c r="N184"/>
  <c r="O184" s="1"/>
  <c r="O189" s="1"/>
  <c r="F102"/>
  <c r="H102"/>
  <c r="I102"/>
  <c r="J102"/>
  <c r="K102"/>
  <c r="L102"/>
  <c r="M102"/>
  <c r="N102"/>
  <c r="O102"/>
  <c r="P102"/>
  <c r="G102"/>
  <c r="F101"/>
  <c r="H101"/>
  <c r="I101"/>
  <c r="J101"/>
  <c r="K101"/>
  <c r="L101"/>
  <c r="M101"/>
  <c r="N101"/>
  <c r="O101"/>
  <c r="P101"/>
  <c r="G101"/>
  <c r="Q112" l="1"/>
  <c r="T187"/>
  <c r="Q82"/>
  <c r="Q109"/>
  <c r="Q115"/>
  <c r="Q114"/>
  <c r="Q110"/>
  <c r="Q111"/>
  <c r="Q104"/>
  <c r="Q105"/>
  <c r="Q106"/>
  <c r="Q94"/>
  <c r="AC32"/>
  <c r="AE32"/>
  <c r="N189"/>
  <c r="S189"/>
  <c r="Q102"/>
  <c r="Q101"/>
  <c r="R9"/>
  <c r="R10"/>
  <c r="R12"/>
  <c r="R13"/>
  <c r="R15"/>
  <c r="R16"/>
  <c r="R18"/>
  <c r="R20"/>
  <c r="R21"/>
  <c r="R22"/>
  <c r="R23"/>
  <c r="R25"/>
  <c r="R27"/>
  <c r="R29"/>
  <c r="R31"/>
  <c r="S31" s="1"/>
  <c r="T31" s="1"/>
  <c r="U31" s="1"/>
  <c r="V31" s="1"/>
  <c r="W31" s="1"/>
  <c r="X31" s="1"/>
  <c r="Y31" s="1"/>
  <c r="Z31" s="1"/>
  <c r="AA31" s="1"/>
  <c r="AB31" s="1"/>
  <c r="R33"/>
  <c r="R34"/>
  <c r="R36"/>
  <c r="R38"/>
  <c r="R7"/>
  <c r="R6"/>
  <c r="AD9"/>
  <c r="AD10"/>
  <c r="AD11"/>
  <c r="AD12"/>
  <c r="AD13"/>
  <c r="AD15"/>
  <c r="AD16"/>
  <c r="AD18"/>
  <c r="AD20"/>
  <c r="AD21"/>
  <c r="AD22"/>
  <c r="AD23"/>
  <c r="AD25"/>
  <c r="AD27"/>
  <c r="AD29"/>
  <c r="AD31"/>
  <c r="AD33"/>
  <c r="AD34"/>
  <c r="AD36"/>
  <c r="AD38"/>
  <c r="AD40"/>
  <c r="AD41"/>
  <c r="AD44"/>
  <c r="AD45"/>
  <c r="AD47"/>
  <c r="AD49"/>
  <c r="AD50"/>
  <c r="AD51"/>
  <c r="AD53"/>
  <c r="AD54"/>
  <c r="AD55"/>
  <c r="AD57"/>
  <c r="AD58"/>
  <c r="AD59"/>
  <c r="AD60"/>
  <c r="AD62"/>
  <c r="AD63"/>
  <c r="AD65"/>
  <c r="AD67"/>
  <c r="AD68"/>
  <c r="AD69"/>
  <c r="AD70"/>
  <c r="AD71"/>
  <c r="AD73"/>
  <c r="AD74"/>
  <c r="AD75"/>
  <c r="AD7"/>
  <c r="AD6"/>
  <c r="G91" l="1"/>
  <c r="F91"/>
  <c r="H91"/>
  <c r="I91"/>
  <c r="J91"/>
  <c r="K91"/>
  <c r="L91"/>
  <c r="M91"/>
  <c r="N91"/>
  <c r="O91"/>
  <c r="P91"/>
  <c r="Q91" l="1"/>
  <c r="H85"/>
  <c r="I85"/>
  <c r="J85"/>
  <c r="K85"/>
  <c r="L85"/>
  <c r="M85"/>
  <c r="N85"/>
  <c r="O85"/>
  <c r="P85"/>
  <c r="H88"/>
  <c r="I88"/>
  <c r="J88"/>
  <c r="K88"/>
  <c r="L88"/>
  <c r="M88"/>
  <c r="N88"/>
  <c r="O88"/>
  <c r="P88"/>
  <c r="G88"/>
  <c r="G85"/>
  <c r="S29"/>
  <c r="Q29"/>
  <c r="L30"/>
  <c r="K30"/>
  <c r="J30"/>
  <c r="I30"/>
  <c r="H30"/>
  <c r="G30"/>
  <c r="T29" l="1"/>
  <c r="Q88"/>
  <c r="Q85"/>
  <c r="H93"/>
  <c r="I93"/>
  <c r="J93"/>
  <c r="K93"/>
  <c r="L93"/>
  <c r="M93"/>
  <c r="N93"/>
  <c r="O93"/>
  <c r="P93"/>
  <c r="G93"/>
  <c r="H92"/>
  <c r="I92"/>
  <c r="J92"/>
  <c r="K92"/>
  <c r="L92"/>
  <c r="M92"/>
  <c r="N92"/>
  <c r="O92"/>
  <c r="P92"/>
  <c r="G92"/>
  <c r="U29" l="1"/>
  <c r="Q92"/>
  <c r="Q93"/>
  <c r="AE62"/>
  <c r="V29" l="1"/>
  <c r="C163"/>
  <c r="D163"/>
  <c r="E163"/>
  <c r="F163"/>
  <c r="G163"/>
  <c r="H163"/>
  <c r="I163"/>
  <c r="J163"/>
  <c r="K163"/>
  <c r="L163"/>
  <c r="M163"/>
  <c r="N163"/>
  <c r="O163"/>
  <c r="P163"/>
  <c r="C9" i="15"/>
  <c r="D63" i="18"/>
  <c r="E63"/>
  <c r="E96" s="1"/>
  <c r="E97" s="1"/>
  <c r="F63"/>
  <c r="F96" s="1"/>
  <c r="F97" s="1"/>
  <c r="G63"/>
  <c r="G96" s="1"/>
  <c r="G97" s="1"/>
  <c r="H63"/>
  <c r="H96" s="1"/>
  <c r="H97" s="1"/>
  <c r="I63"/>
  <c r="I96" s="1"/>
  <c r="I97" s="1"/>
  <c r="J63"/>
  <c r="J96" s="1"/>
  <c r="J97" s="1"/>
  <c r="K63"/>
  <c r="K96" s="1"/>
  <c r="K97" s="1"/>
  <c r="L63"/>
  <c r="L96" s="1"/>
  <c r="L97" s="1"/>
  <c r="M63"/>
  <c r="M96" s="1"/>
  <c r="M97" s="1"/>
  <c r="N63"/>
  <c r="N96" s="1"/>
  <c r="N97" s="1"/>
  <c r="O63"/>
  <c r="O96" s="1"/>
  <c r="O97" s="1"/>
  <c r="P63"/>
  <c r="P96" s="1"/>
  <c r="C63"/>
  <c r="S41"/>
  <c r="S63" s="1"/>
  <c r="S96" s="1"/>
  <c r="S97" s="1"/>
  <c r="Q41"/>
  <c r="W29" l="1"/>
  <c r="Q163"/>
  <c r="N98"/>
  <c r="N99" s="1"/>
  <c r="J98"/>
  <c r="J99" s="1"/>
  <c r="L98"/>
  <c r="L99" s="1"/>
  <c r="H98"/>
  <c r="H99" s="1"/>
  <c r="M98"/>
  <c r="M99" s="1"/>
  <c r="I98"/>
  <c r="I99" s="1"/>
  <c r="F98"/>
  <c r="F99" s="1"/>
  <c r="O98"/>
  <c r="O99" s="1"/>
  <c r="K98"/>
  <c r="K99" s="1"/>
  <c r="G98"/>
  <c r="G99" s="1"/>
  <c r="P97"/>
  <c r="Q96"/>
  <c r="T41"/>
  <c r="U41" s="1"/>
  <c r="V41" s="1"/>
  <c r="W41" s="1"/>
  <c r="X29" l="1"/>
  <c r="P98"/>
  <c r="Q97"/>
  <c r="U63"/>
  <c r="X41"/>
  <c r="W63"/>
  <c r="V63"/>
  <c r="T63"/>
  <c r="C73"/>
  <c r="D73"/>
  <c r="E73"/>
  <c r="F73"/>
  <c r="G73"/>
  <c r="G119" s="1"/>
  <c r="H73"/>
  <c r="H119" s="1"/>
  <c r="I73"/>
  <c r="I119" s="1"/>
  <c r="J73"/>
  <c r="J119" s="1"/>
  <c r="K73"/>
  <c r="K119" s="1"/>
  <c r="L73"/>
  <c r="L119" s="1"/>
  <c r="M73"/>
  <c r="M119" s="1"/>
  <c r="N73"/>
  <c r="N119" s="1"/>
  <c r="O73"/>
  <c r="O119" s="1"/>
  <c r="C74"/>
  <c r="D74"/>
  <c r="E74"/>
  <c r="F74"/>
  <c r="G74"/>
  <c r="H74"/>
  <c r="I74"/>
  <c r="J74"/>
  <c r="K74"/>
  <c r="L74"/>
  <c r="M74"/>
  <c r="N74"/>
  <c r="O74"/>
  <c r="C75"/>
  <c r="D75"/>
  <c r="E75"/>
  <c r="F75"/>
  <c r="G75"/>
  <c r="H75"/>
  <c r="I75"/>
  <c r="J75"/>
  <c r="K75"/>
  <c r="L75"/>
  <c r="M75"/>
  <c r="N75"/>
  <c r="O75"/>
  <c r="P75"/>
  <c r="P74"/>
  <c r="P73"/>
  <c r="P119" s="1"/>
  <c r="E81"/>
  <c r="F81"/>
  <c r="H81"/>
  <c r="I81"/>
  <c r="J81"/>
  <c r="K81"/>
  <c r="L81"/>
  <c r="M81"/>
  <c r="N81"/>
  <c r="O81"/>
  <c r="E79"/>
  <c r="E80"/>
  <c r="F80"/>
  <c r="G80"/>
  <c r="H80"/>
  <c r="I80"/>
  <c r="J80"/>
  <c r="K80"/>
  <c r="L80"/>
  <c r="M80"/>
  <c r="N80"/>
  <c r="O80"/>
  <c r="F79"/>
  <c r="G79"/>
  <c r="H79"/>
  <c r="I79"/>
  <c r="J79"/>
  <c r="K79"/>
  <c r="L79"/>
  <c r="M79"/>
  <c r="N79"/>
  <c r="O79"/>
  <c r="P80"/>
  <c r="G39"/>
  <c r="G28"/>
  <c r="G11"/>
  <c r="G8"/>
  <c r="G26"/>
  <c r="Q119" l="1"/>
  <c r="Y29"/>
  <c r="Q75"/>
  <c r="Y41"/>
  <c r="X63"/>
  <c r="Q73"/>
  <c r="Q74"/>
  <c r="Q80"/>
  <c r="Q81"/>
  <c r="P79"/>
  <c r="Q79" s="1"/>
  <c r="C175"/>
  <c r="D175"/>
  <c r="E175"/>
  <c r="F175"/>
  <c r="C176"/>
  <c r="D176"/>
  <c r="E176"/>
  <c r="F176"/>
  <c r="C177"/>
  <c r="D177"/>
  <c r="E177"/>
  <c r="F177"/>
  <c r="H177"/>
  <c r="I177"/>
  <c r="J177"/>
  <c r="K177"/>
  <c r="L177"/>
  <c r="M177"/>
  <c r="N177"/>
  <c r="O177"/>
  <c r="P177"/>
  <c r="G177"/>
  <c r="H176"/>
  <c r="I176"/>
  <c r="J176"/>
  <c r="K176"/>
  <c r="L176"/>
  <c r="M176"/>
  <c r="N176"/>
  <c r="O176"/>
  <c r="P176"/>
  <c r="G176"/>
  <c r="H175"/>
  <c r="I175"/>
  <c r="J175"/>
  <c r="K175"/>
  <c r="L175"/>
  <c r="M175"/>
  <c r="N175"/>
  <c r="O175"/>
  <c r="P175"/>
  <c r="G175"/>
  <c r="H45"/>
  <c r="I45"/>
  <c r="J45"/>
  <c r="K45"/>
  <c r="L45"/>
  <c r="M45"/>
  <c r="N45"/>
  <c r="O45"/>
  <c r="P45"/>
  <c r="C45"/>
  <c r="D45"/>
  <c r="E45"/>
  <c r="F45"/>
  <c r="G45"/>
  <c r="G47"/>
  <c r="G162" s="1"/>
  <c r="H44"/>
  <c r="H156" s="1"/>
  <c r="I44"/>
  <c r="I156" s="1"/>
  <c r="J44"/>
  <c r="J156" s="1"/>
  <c r="K44"/>
  <c r="K156" s="1"/>
  <c r="L44"/>
  <c r="L156" s="1"/>
  <c r="M44"/>
  <c r="M156" s="1"/>
  <c r="N44"/>
  <c r="N156" s="1"/>
  <c r="O44"/>
  <c r="O156" s="1"/>
  <c r="P44"/>
  <c r="P156" s="1"/>
  <c r="C44"/>
  <c r="C156" s="1"/>
  <c r="D44"/>
  <c r="D156" s="1"/>
  <c r="E44"/>
  <c r="E156" s="1"/>
  <c r="F44"/>
  <c r="F156" s="1"/>
  <c r="G44"/>
  <c r="G156" s="1"/>
  <c r="M28"/>
  <c r="L28"/>
  <c r="K28"/>
  <c r="J28"/>
  <c r="I28"/>
  <c r="H28"/>
  <c r="M26"/>
  <c r="L26"/>
  <c r="K26"/>
  <c r="J26"/>
  <c r="I26"/>
  <c r="H26"/>
  <c r="I8"/>
  <c r="J8"/>
  <c r="K8"/>
  <c r="L8"/>
  <c r="M8"/>
  <c r="N8"/>
  <c r="O8"/>
  <c r="P8"/>
  <c r="H8"/>
  <c r="Q40"/>
  <c r="S36"/>
  <c r="S86" s="1"/>
  <c r="Q36"/>
  <c r="Q156" l="1"/>
  <c r="Z29"/>
  <c r="Z41"/>
  <c r="Y63"/>
  <c r="T36"/>
  <c r="T86" s="1"/>
  <c r="Q177"/>
  <c r="Q45"/>
  <c r="Q44"/>
  <c r="Q176"/>
  <c r="Q175"/>
  <c r="Q31"/>
  <c r="Q34"/>
  <c r="AA29" l="1"/>
  <c r="AA41"/>
  <c r="Z63"/>
  <c r="U36"/>
  <c r="U86" s="1"/>
  <c r="I70"/>
  <c r="J70"/>
  <c r="K70"/>
  <c r="L70"/>
  <c r="M70"/>
  <c r="N70"/>
  <c r="O70"/>
  <c r="P70"/>
  <c r="I71"/>
  <c r="J71"/>
  <c r="K71"/>
  <c r="L71"/>
  <c r="M71"/>
  <c r="N71"/>
  <c r="O71"/>
  <c r="P71"/>
  <c r="I65"/>
  <c r="I67" s="1"/>
  <c r="J65"/>
  <c r="J67" s="1"/>
  <c r="K65"/>
  <c r="K67" s="1"/>
  <c r="L65"/>
  <c r="L67" s="1"/>
  <c r="M65"/>
  <c r="M67" s="1"/>
  <c r="N65"/>
  <c r="N67" s="1"/>
  <c r="O65"/>
  <c r="O67" s="1"/>
  <c r="P65"/>
  <c r="P67" s="1"/>
  <c r="I68"/>
  <c r="J68"/>
  <c r="K68"/>
  <c r="L68"/>
  <c r="M68"/>
  <c r="N68"/>
  <c r="O68"/>
  <c r="P68"/>
  <c r="I69"/>
  <c r="J69"/>
  <c r="K69"/>
  <c r="L69"/>
  <c r="M69"/>
  <c r="N69"/>
  <c r="O69"/>
  <c r="P69"/>
  <c r="C68"/>
  <c r="D68"/>
  <c r="E68"/>
  <c r="F68"/>
  <c r="G68"/>
  <c r="C69"/>
  <c r="D69"/>
  <c r="E69"/>
  <c r="F69"/>
  <c r="G69"/>
  <c r="C70"/>
  <c r="D70"/>
  <c r="E70"/>
  <c r="F70"/>
  <c r="G70"/>
  <c r="C71"/>
  <c r="D71"/>
  <c r="E71"/>
  <c r="F71"/>
  <c r="G71"/>
  <c r="H71"/>
  <c r="H70"/>
  <c r="S23"/>
  <c r="Q23"/>
  <c r="S22"/>
  <c r="T22" s="1"/>
  <c r="U22" s="1"/>
  <c r="V22" s="1"/>
  <c r="W22" s="1"/>
  <c r="X22" s="1"/>
  <c r="Y22" s="1"/>
  <c r="Z22" s="1"/>
  <c r="AA22" s="1"/>
  <c r="AB22" s="1"/>
  <c r="S21"/>
  <c r="Q20"/>
  <c r="C65"/>
  <c r="C67" s="1"/>
  <c r="D65"/>
  <c r="D67" s="1"/>
  <c r="E65"/>
  <c r="E67" s="1"/>
  <c r="F65"/>
  <c r="F67" s="1"/>
  <c r="G65"/>
  <c r="G67" s="1"/>
  <c r="H65"/>
  <c r="H67" s="1"/>
  <c r="H69"/>
  <c r="H68"/>
  <c r="T23" l="1"/>
  <c r="S89"/>
  <c r="AB29"/>
  <c r="AE31"/>
  <c r="AC31"/>
  <c r="AC22"/>
  <c r="AE22"/>
  <c r="AB41"/>
  <c r="AE41" s="1"/>
  <c r="AA63"/>
  <c r="V36"/>
  <c r="V86" s="1"/>
  <c r="Q70"/>
  <c r="Q71"/>
  <c r="Q69"/>
  <c r="Q67"/>
  <c r="Q68"/>
  <c r="Q22"/>
  <c r="Q21"/>
  <c r="Q65"/>
  <c r="S20"/>
  <c r="S48" s="1"/>
  <c r="T21"/>
  <c r="Q63"/>
  <c r="Q155"/>
  <c r="S83" l="1"/>
  <c r="U23"/>
  <c r="T89"/>
  <c r="AE29"/>
  <c r="AC29"/>
  <c r="T20"/>
  <c r="S65"/>
  <c r="AB63"/>
  <c r="AC41"/>
  <c r="U21"/>
  <c r="C19" i="15"/>
  <c r="S9" i="18"/>
  <c r="T9" s="1"/>
  <c r="U9" s="1"/>
  <c r="V9" s="1"/>
  <c r="W9" s="1"/>
  <c r="X9" s="1"/>
  <c r="Y9" s="1"/>
  <c r="Z9" s="1"/>
  <c r="AA9" s="1"/>
  <c r="AB9" s="1"/>
  <c r="AE9" s="1"/>
  <c r="Q38"/>
  <c r="Q33"/>
  <c r="Q27"/>
  <c r="Q25"/>
  <c r="Q18"/>
  <c r="Q16"/>
  <c r="Q15"/>
  <c r="Q13"/>
  <c r="Q12"/>
  <c r="Q10"/>
  <c r="Q9"/>
  <c r="Q7"/>
  <c r="Q6"/>
  <c r="S18"/>
  <c r="S25"/>
  <c r="S27"/>
  <c r="S33"/>
  <c r="T33" s="1"/>
  <c r="U33" s="1"/>
  <c r="V33" s="1"/>
  <c r="W33" s="1"/>
  <c r="X33" s="1"/>
  <c r="Y33" s="1"/>
  <c r="Z33" s="1"/>
  <c r="AA33" s="1"/>
  <c r="AB33" s="1"/>
  <c r="AE33" s="1"/>
  <c r="S34"/>
  <c r="T34" s="1"/>
  <c r="U34" s="1"/>
  <c r="V34" s="1"/>
  <c r="W34" s="1"/>
  <c r="X34" s="1"/>
  <c r="Y34" s="1"/>
  <c r="Z34" s="1"/>
  <c r="AA34" s="1"/>
  <c r="AB34" s="1"/>
  <c r="AE34" s="1"/>
  <c r="W36"/>
  <c r="W86" s="1"/>
  <c r="O61"/>
  <c r="O160" s="1"/>
  <c r="O60"/>
  <c r="O58"/>
  <c r="O57"/>
  <c r="O55"/>
  <c r="O161" s="1"/>
  <c r="O54"/>
  <c r="O53"/>
  <c r="O51"/>
  <c r="O50"/>
  <c r="O158" s="1"/>
  <c r="O49"/>
  <c r="O47"/>
  <c r="T65" l="1"/>
  <c r="S111"/>
  <c r="S121"/>
  <c r="S112"/>
  <c r="S122"/>
  <c r="V23"/>
  <c r="U89"/>
  <c r="S105"/>
  <c r="S106"/>
  <c r="S104"/>
  <c r="S94"/>
  <c r="P99"/>
  <c r="Q99" s="1"/>
  <c r="Q98"/>
  <c r="S85"/>
  <c r="S102"/>
  <c r="S101"/>
  <c r="T18"/>
  <c r="S143"/>
  <c r="AE63"/>
  <c r="O157"/>
  <c r="O162"/>
  <c r="U20"/>
  <c r="AC63"/>
  <c r="T27"/>
  <c r="X36"/>
  <c r="X86" s="1"/>
  <c r="T25"/>
  <c r="T83" s="1"/>
  <c r="S79"/>
  <c r="V21"/>
  <c r="AC33"/>
  <c r="AC34"/>
  <c r="AC9"/>
  <c r="O59"/>
  <c r="O159" s="1"/>
  <c r="D55"/>
  <c r="E55"/>
  <c r="F55"/>
  <c r="G55"/>
  <c r="G161" s="1"/>
  <c r="H55"/>
  <c r="H161" s="1"/>
  <c r="I55"/>
  <c r="I161" s="1"/>
  <c r="J55"/>
  <c r="J161" s="1"/>
  <c r="K55"/>
  <c r="K161" s="1"/>
  <c r="L55"/>
  <c r="L161" s="1"/>
  <c r="M55"/>
  <c r="M161" s="1"/>
  <c r="N55"/>
  <c r="N161" s="1"/>
  <c r="P55"/>
  <c r="C55"/>
  <c r="C54"/>
  <c r="T112" l="1"/>
  <c r="T122"/>
  <c r="T111"/>
  <c r="T121"/>
  <c r="W23"/>
  <c r="V89"/>
  <c r="T143"/>
  <c r="R143" s="1"/>
  <c r="P167" s="1"/>
  <c r="T104"/>
  <c r="T106"/>
  <c r="T105"/>
  <c r="T94"/>
  <c r="T85"/>
  <c r="T102"/>
  <c r="T101"/>
  <c r="U18"/>
  <c r="V20"/>
  <c r="U65"/>
  <c r="U27"/>
  <c r="U25"/>
  <c r="T79"/>
  <c r="Y36"/>
  <c r="Y86" s="1"/>
  <c r="W21"/>
  <c r="P161"/>
  <c r="Q161" s="1"/>
  <c r="Q55"/>
  <c r="D54"/>
  <c r="E54"/>
  <c r="F54"/>
  <c r="G54"/>
  <c r="H54"/>
  <c r="I54"/>
  <c r="J54"/>
  <c r="K54"/>
  <c r="L54"/>
  <c r="M54"/>
  <c r="N54"/>
  <c r="P54"/>
  <c r="D53"/>
  <c r="E53"/>
  <c r="F53"/>
  <c r="G53"/>
  <c r="H53"/>
  <c r="I53"/>
  <c r="J53"/>
  <c r="K53"/>
  <c r="L53"/>
  <c r="M53"/>
  <c r="N53"/>
  <c r="P53"/>
  <c r="C53"/>
  <c r="U111" l="1"/>
  <c r="U121"/>
  <c r="U112"/>
  <c r="U122"/>
  <c r="U83"/>
  <c r="X23"/>
  <c r="W89"/>
  <c r="U106"/>
  <c r="U105"/>
  <c r="U104"/>
  <c r="U94"/>
  <c r="U85"/>
  <c r="U102"/>
  <c r="U101"/>
  <c r="V18"/>
  <c r="W20"/>
  <c r="V65"/>
  <c r="V27"/>
  <c r="V25"/>
  <c r="V83" s="1"/>
  <c r="U79"/>
  <c r="Z36"/>
  <c r="Z86" s="1"/>
  <c r="X21"/>
  <c r="Q53"/>
  <c r="Q54"/>
  <c r="C46" i="15"/>
  <c r="V112" i="18" l="1"/>
  <c r="V122"/>
  <c r="V111"/>
  <c r="V121"/>
  <c r="Y23"/>
  <c r="X89"/>
  <c r="V94"/>
  <c r="V106"/>
  <c r="V105"/>
  <c r="V104"/>
  <c r="V85"/>
  <c r="V102"/>
  <c r="V101"/>
  <c r="W18"/>
  <c r="X20"/>
  <c r="W65"/>
  <c r="W27"/>
  <c r="W25"/>
  <c r="V79"/>
  <c r="AA36"/>
  <c r="AA86" s="1"/>
  <c r="Y21"/>
  <c r="S155"/>
  <c r="C47"/>
  <c r="D47"/>
  <c r="E47"/>
  <c r="F47"/>
  <c r="H47"/>
  <c r="I47"/>
  <c r="J47"/>
  <c r="K47"/>
  <c r="L47"/>
  <c r="L162" s="1"/>
  <c r="M47"/>
  <c r="N47"/>
  <c r="N162" s="1"/>
  <c r="P47"/>
  <c r="D61"/>
  <c r="D160" s="1"/>
  <c r="E61"/>
  <c r="E160" s="1"/>
  <c r="F61"/>
  <c r="F160" s="1"/>
  <c r="G61"/>
  <c r="H61"/>
  <c r="H160" s="1"/>
  <c r="I61"/>
  <c r="I160" s="1"/>
  <c r="J61"/>
  <c r="J160" s="1"/>
  <c r="K61"/>
  <c r="K160" s="1"/>
  <c r="L61"/>
  <c r="L160" s="1"/>
  <c r="M61"/>
  <c r="M160" s="1"/>
  <c r="N61"/>
  <c r="P61"/>
  <c r="D60"/>
  <c r="E60"/>
  <c r="F60"/>
  <c r="G60"/>
  <c r="H60"/>
  <c r="I60"/>
  <c r="J60"/>
  <c r="K60"/>
  <c r="L60"/>
  <c r="M60"/>
  <c r="N60"/>
  <c r="P60"/>
  <c r="D58"/>
  <c r="E58"/>
  <c r="F58"/>
  <c r="G58"/>
  <c r="H58"/>
  <c r="I58"/>
  <c r="J58"/>
  <c r="K58"/>
  <c r="L58"/>
  <c r="M58"/>
  <c r="N58"/>
  <c r="P58"/>
  <c r="D57"/>
  <c r="D59" s="1"/>
  <c r="D159" s="1"/>
  <c r="E57"/>
  <c r="E59" s="1"/>
  <c r="E159" s="1"/>
  <c r="F57"/>
  <c r="G57"/>
  <c r="H57"/>
  <c r="I57"/>
  <c r="J57"/>
  <c r="K57"/>
  <c r="L57"/>
  <c r="M57"/>
  <c r="N57"/>
  <c r="P57"/>
  <c r="D51"/>
  <c r="E51"/>
  <c r="F51"/>
  <c r="G51"/>
  <c r="H51"/>
  <c r="I51"/>
  <c r="J51"/>
  <c r="K51"/>
  <c r="L51"/>
  <c r="M51"/>
  <c r="N51"/>
  <c r="P51"/>
  <c r="D50"/>
  <c r="D158" s="1"/>
  <c r="E50"/>
  <c r="E158" s="1"/>
  <c r="F50"/>
  <c r="F158" s="1"/>
  <c r="G50"/>
  <c r="H50"/>
  <c r="H158" s="1"/>
  <c r="I50"/>
  <c r="I158" s="1"/>
  <c r="J50"/>
  <c r="J158" s="1"/>
  <c r="K50"/>
  <c r="K158" s="1"/>
  <c r="L50"/>
  <c r="L158" s="1"/>
  <c r="M50"/>
  <c r="M158" s="1"/>
  <c r="N50"/>
  <c r="P50"/>
  <c r="C61"/>
  <c r="C160" s="1"/>
  <c r="C60"/>
  <c r="C58"/>
  <c r="C57"/>
  <c r="C51"/>
  <c r="C50"/>
  <c r="C158" s="1"/>
  <c r="D49"/>
  <c r="E49"/>
  <c r="F49"/>
  <c r="G49"/>
  <c r="H49"/>
  <c r="I49"/>
  <c r="J49"/>
  <c r="K49"/>
  <c r="L49"/>
  <c r="M49"/>
  <c r="N49"/>
  <c r="P49"/>
  <c r="C49"/>
  <c r="S15"/>
  <c r="S109" s="1"/>
  <c r="S16"/>
  <c r="S117" s="1"/>
  <c r="S118" s="1"/>
  <c r="S38"/>
  <c r="S87" s="1"/>
  <c r="S10"/>
  <c r="S12"/>
  <c r="S13"/>
  <c r="S7"/>
  <c r="S6"/>
  <c r="W111" l="1"/>
  <c r="W121"/>
  <c r="W83"/>
  <c r="W112"/>
  <c r="W122"/>
  <c r="X83"/>
  <c r="Z23"/>
  <c r="Y89"/>
  <c r="S81"/>
  <c r="S82"/>
  <c r="S115"/>
  <c r="S114"/>
  <c r="S88"/>
  <c r="S110"/>
  <c r="H162"/>
  <c r="H157"/>
  <c r="W94"/>
  <c r="W105"/>
  <c r="W104"/>
  <c r="W106"/>
  <c r="S93"/>
  <c r="S98"/>
  <c r="S99" s="1"/>
  <c r="W85"/>
  <c r="W102"/>
  <c r="W101"/>
  <c r="S91"/>
  <c r="S92"/>
  <c r="X18"/>
  <c r="D157"/>
  <c r="D161" s="1"/>
  <c r="D162"/>
  <c r="E157"/>
  <c r="E161" s="1"/>
  <c r="E162"/>
  <c r="C157"/>
  <c r="C161" s="1"/>
  <c r="C162"/>
  <c r="P157"/>
  <c r="P162"/>
  <c r="Q162" s="1"/>
  <c r="K157"/>
  <c r="K162"/>
  <c r="F157"/>
  <c r="F161" s="1"/>
  <c r="F162"/>
  <c r="J157"/>
  <c r="J162"/>
  <c r="M157"/>
  <c r="M162"/>
  <c r="I157"/>
  <c r="I162"/>
  <c r="Q125"/>
  <c r="Y20"/>
  <c r="X65"/>
  <c r="H59"/>
  <c r="H159" s="1"/>
  <c r="X27"/>
  <c r="T12"/>
  <c r="T15"/>
  <c r="T109" s="1"/>
  <c r="T13"/>
  <c r="T10"/>
  <c r="T16"/>
  <c r="T117" s="1"/>
  <c r="T118" s="1"/>
  <c r="T6"/>
  <c r="T7"/>
  <c r="X25"/>
  <c r="W79"/>
  <c r="T38"/>
  <c r="T87" s="1"/>
  <c r="S80"/>
  <c r="AB36"/>
  <c r="F59"/>
  <c r="F159" s="1"/>
  <c r="L59"/>
  <c r="L159" s="1"/>
  <c r="K59"/>
  <c r="K159" s="1"/>
  <c r="J59"/>
  <c r="J159" s="1"/>
  <c r="Z21"/>
  <c r="C59"/>
  <c r="C159" s="1"/>
  <c r="T155"/>
  <c r="I59"/>
  <c r="I159" s="1"/>
  <c r="Q49"/>
  <c r="G158"/>
  <c r="Q50"/>
  <c r="Q51"/>
  <c r="Q58"/>
  <c r="Q60"/>
  <c r="G157"/>
  <c r="Q47"/>
  <c r="G160"/>
  <c r="Q61"/>
  <c r="G59"/>
  <c r="Q57"/>
  <c r="N158"/>
  <c r="N157"/>
  <c r="N160"/>
  <c r="P158"/>
  <c r="L157"/>
  <c r="N59"/>
  <c r="M59"/>
  <c r="M159" s="1"/>
  <c r="P160"/>
  <c r="P59"/>
  <c r="S58"/>
  <c r="C6" i="12"/>
  <c r="C26" i="15"/>
  <c r="C58"/>
  <c r="C57"/>
  <c r="C54"/>
  <c r="C53"/>
  <c r="C50"/>
  <c r="C49"/>
  <c r="C45"/>
  <c r="X111" i="18" l="1"/>
  <c r="X121"/>
  <c r="X112"/>
  <c r="X122"/>
  <c r="Y83"/>
  <c r="AE36"/>
  <c r="AB86"/>
  <c r="AC86" s="1"/>
  <c r="AA23"/>
  <c r="Z89"/>
  <c r="T115"/>
  <c r="T114"/>
  <c r="T88"/>
  <c r="T110"/>
  <c r="T82"/>
  <c r="X104"/>
  <c r="X105"/>
  <c r="X106"/>
  <c r="X94"/>
  <c r="X85"/>
  <c r="X102"/>
  <c r="X101"/>
  <c r="T91"/>
  <c r="T92"/>
  <c r="T93"/>
  <c r="Y18"/>
  <c r="Z20"/>
  <c r="Y65"/>
  <c r="S57"/>
  <c r="S74"/>
  <c r="S53"/>
  <c r="S55"/>
  <c r="S161" s="1"/>
  <c r="S61"/>
  <c r="S160" s="1"/>
  <c r="S71"/>
  <c r="S73"/>
  <c r="S119" s="1"/>
  <c r="S45"/>
  <c r="S44"/>
  <c r="S156" s="1"/>
  <c r="S54"/>
  <c r="S50"/>
  <c r="S51"/>
  <c r="S60"/>
  <c r="S49"/>
  <c r="S75"/>
  <c r="S47"/>
  <c r="Y27"/>
  <c r="U15"/>
  <c r="U109" s="1"/>
  <c r="U13"/>
  <c r="U12"/>
  <c r="S59"/>
  <c r="U16"/>
  <c r="U117" s="1"/>
  <c r="U118" s="1"/>
  <c r="U10"/>
  <c r="U7"/>
  <c r="U6"/>
  <c r="AC36"/>
  <c r="Y25"/>
  <c r="X79"/>
  <c r="U38"/>
  <c r="U87" s="1"/>
  <c r="T81"/>
  <c r="T80"/>
  <c r="T40"/>
  <c r="S68"/>
  <c r="S69"/>
  <c r="S70"/>
  <c r="S67"/>
  <c r="AA21"/>
  <c r="U155"/>
  <c r="Q158"/>
  <c r="Q157"/>
  <c r="Q160"/>
  <c r="G159"/>
  <c r="Q59"/>
  <c r="N159"/>
  <c r="P159"/>
  <c r="C16" i="15"/>
  <c r="C21"/>
  <c r="C10"/>
  <c r="T96" i="18" l="1"/>
  <c r="T97" s="1"/>
  <c r="T98" s="1"/>
  <c r="T99" s="1"/>
  <c r="T48"/>
  <c r="Y111"/>
  <c r="Y121"/>
  <c r="Y112"/>
  <c r="Y122"/>
  <c r="AB23"/>
  <c r="AA89"/>
  <c r="U88"/>
  <c r="U110"/>
  <c r="U115"/>
  <c r="U114"/>
  <c r="U82"/>
  <c r="Y106"/>
  <c r="Y105"/>
  <c r="Y104"/>
  <c r="Y94"/>
  <c r="T57"/>
  <c r="Y85"/>
  <c r="Y102"/>
  <c r="Y101"/>
  <c r="U91"/>
  <c r="U92"/>
  <c r="U93"/>
  <c r="T53"/>
  <c r="Z18"/>
  <c r="AA20"/>
  <c r="Z65"/>
  <c r="T55"/>
  <c r="T161" s="1"/>
  <c r="T61"/>
  <c r="T160" s="1"/>
  <c r="T71"/>
  <c r="T73"/>
  <c r="T119" s="1"/>
  <c r="T44"/>
  <c r="T156" s="1"/>
  <c r="T45"/>
  <c r="T50"/>
  <c r="T49"/>
  <c r="T60"/>
  <c r="T75"/>
  <c r="T54"/>
  <c r="T51"/>
  <c r="T47"/>
  <c r="T58"/>
  <c r="T74"/>
  <c r="Z27"/>
  <c r="V13"/>
  <c r="V12"/>
  <c r="V15"/>
  <c r="V109" s="1"/>
  <c r="V10"/>
  <c r="V16"/>
  <c r="V117" s="1"/>
  <c r="V118" s="1"/>
  <c r="V6"/>
  <c r="V7"/>
  <c r="V38"/>
  <c r="V87" s="1"/>
  <c r="U81"/>
  <c r="U80"/>
  <c r="Z25"/>
  <c r="Z83" s="1"/>
  <c r="Y79"/>
  <c r="U40"/>
  <c r="T70"/>
  <c r="T69"/>
  <c r="T68"/>
  <c r="T67"/>
  <c r="AB21"/>
  <c r="AE21" s="1"/>
  <c r="S159"/>
  <c r="V155"/>
  <c r="S157"/>
  <c r="S158"/>
  <c r="Q159"/>
  <c r="D31" i="8"/>
  <c r="D29"/>
  <c r="D28"/>
  <c r="D13"/>
  <c r="D30" s="1"/>
  <c r="E14"/>
  <c r="F14" s="1"/>
  <c r="G14" s="1"/>
  <c r="H14" s="1"/>
  <c r="I14" s="1"/>
  <c r="U96" i="18" l="1"/>
  <c r="U97" s="1"/>
  <c r="U98" s="1"/>
  <c r="U99" s="1"/>
  <c r="U48"/>
  <c r="Z111"/>
  <c r="Z121"/>
  <c r="Z112"/>
  <c r="Z122"/>
  <c r="AE23"/>
  <c r="AB89"/>
  <c r="AC89" s="1"/>
  <c r="AC23"/>
  <c r="V82"/>
  <c r="V114"/>
  <c r="V115"/>
  <c r="V88"/>
  <c r="V110"/>
  <c r="Z106"/>
  <c r="Z105"/>
  <c r="Z104"/>
  <c r="Z94"/>
  <c r="U57"/>
  <c r="T59"/>
  <c r="T159" s="1"/>
  <c r="Z85"/>
  <c r="Z102"/>
  <c r="Z101"/>
  <c r="V91"/>
  <c r="V93"/>
  <c r="V92"/>
  <c r="AA18"/>
  <c r="AB20"/>
  <c r="AA65"/>
  <c r="U75"/>
  <c r="U74"/>
  <c r="U53"/>
  <c r="U61"/>
  <c r="U160" s="1"/>
  <c r="U60"/>
  <c r="U55"/>
  <c r="U161" s="1"/>
  <c r="U58"/>
  <c r="U49"/>
  <c r="U71"/>
  <c r="U73"/>
  <c r="U119" s="1"/>
  <c r="U45"/>
  <c r="U44"/>
  <c r="U156" s="1"/>
  <c r="U54"/>
  <c r="U50"/>
  <c r="U51"/>
  <c r="U47"/>
  <c r="AA27"/>
  <c r="W12"/>
  <c r="W15"/>
  <c r="W109" s="1"/>
  <c r="W13"/>
  <c r="W16"/>
  <c r="W117" s="1"/>
  <c r="W118" s="1"/>
  <c r="W10"/>
  <c r="W7"/>
  <c r="W6"/>
  <c r="AA25"/>
  <c r="Z79"/>
  <c r="W38"/>
  <c r="W87" s="1"/>
  <c r="V80"/>
  <c r="V81"/>
  <c r="V40"/>
  <c r="U70"/>
  <c r="U68"/>
  <c r="U69"/>
  <c r="U67"/>
  <c r="AC21"/>
  <c r="W155"/>
  <c r="T157"/>
  <c r="T158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V96" i="18" l="1"/>
  <c r="V97" s="1"/>
  <c r="V98" s="1"/>
  <c r="V99" s="1"/>
  <c r="V48"/>
  <c r="AA111"/>
  <c r="AA121"/>
  <c r="AA112"/>
  <c r="AA122"/>
  <c r="AE20"/>
  <c r="AA83"/>
  <c r="W115"/>
  <c r="W114"/>
  <c r="W88"/>
  <c r="W110"/>
  <c r="W82"/>
  <c r="AA105"/>
  <c r="AA104"/>
  <c r="AA106"/>
  <c r="AA94"/>
  <c r="U59"/>
  <c r="U159" s="1"/>
  <c r="AA85"/>
  <c r="AA102"/>
  <c r="AA101"/>
  <c r="V60"/>
  <c r="W91"/>
  <c r="W93"/>
  <c r="W92"/>
  <c r="AB18"/>
  <c r="V75"/>
  <c r="V51"/>
  <c r="V58"/>
  <c r="AC20"/>
  <c r="AB65"/>
  <c r="V49"/>
  <c r="V57"/>
  <c r="V54"/>
  <c r="V74"/>
  <c r="V50"/>
  <c r="V55"/>
  <c r="V161" s="1"/>
  <c r="V71"/>
  <c r="V73"/>
  <c r="V119" s="1"/>
  <c r="V44"/>
  <c r="V156" s="1"/>
  <c r="V45"/>
  <c r="V53"/>
  <c r="V61"/>
  <c r="V160" s="1"/>
  <c r="V47"/>
  <c r="AB27"/>
  <c r="AB122" s="1"/>
  <c r="AC122" s="1"/>
  <c r="X15"/>
  <c r="X109" s="1"/>
  <c r="X13"/>
  <c r="X12"/>
  <c r="X10"/>
  <c r="X16"/>
  <c r="X117" s="1"/>
  <c r="X118" s="1"/>
  <c r="X6"/>
  <c r="X7"/>
  <c r="X38"/>
  <c r="X87" s="1"/>
  <c r="W81"/>
  <c r="W80"/>
  <c r="AB25"/>
  <c r="AB83" s="1"/>
  <c r="AC83" s="1"/>
  <c r="AA79"/>
  <c r="W40"/>
  <c r="V70"/>
  <c r="V68"/>
  <c r="V69"/>
  <c r="V67"/>
  <c r="X155"/>
  <c r="U157"/>
  <c r="U158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W96" i="18" l="1"/>
  <c r="W97" s="1"/>
  <c r="W98" s="1"/>
  <c r="W99" s="1"/>
  <c r="W48"/>
  <c r="AB111"/>
  <c r="AC111" s="1"/>
  <c r="AB121"/>
  <c r="AC121" s="1"/>
  <c r="X88"/>
  <c r="X110"/>
  <c r="X115"/>
  <c r="X114"/>
  <c r="AE27"/>
  <c r="AB112"/>
  <c r="AC112" s="1"/>
  <c r="X82"/>
  <c r="AB104"/>
  <c r="AC104" s="1"/>
  <c r="AB106"/>
  <c r="AC106" s="1"/>
  <c r="AB105"/>
  <c r="AC105" s="1"/>
  <c r="N32" i="9"/>
  <c r="N33" s="1"/>
  <c r="N34" s="1"/>
  <c r="N35" s="1"/>
  <c r="N36" s="1"/>
  <c r="N37" s="1"/>
  <c r="N38" s="1"/>
  <c r="N39" s="1"/>
  <c r="N40" s="1"/>
  <c r="N41" s="1"/>
  <c r="N42" s="1"/>
  <c r="M45"/>
  <c r="AB94" i="18"/>
  <c r="AC94" s="1"/>
  <c r="V59"/>
  <c r="V159" s="1"/>
  <c r="W58"/>
  <c r="AB85"/>
  <c r="AC85" s="1"/>
  <c r="AB102"/>
  <c r="AC102" s="1"/>
  <c r="AB101"/>
  <c r="AC101" s="1"/>
  <c r="X91"/>
  <c r="X93"/>
  <c r="X92"/>
  <c r="AE25"/>
  <c r="AE18"/>
  <c r="AC18"/>
  <c r="S145"/>
  <c r="AE65"/>
  <c r="AC65"/>
  <c r="M32" i="9"/>
  <c r="M33" s="1"/>
  <c r="M34" s="1"/>
  <c r="M35" s="1"/>
  <c r="M36" s="1"/>
  <c r="M37" s="1"/>
  <c r="M38" s="1"/>
  <c r="M39" s="1"/>
  <c r="M40" s="1"/>
  <c r="M41" s="1"/>
  <c r="P32"/>
  <c r="W61" i="18"/>
  <c r="W160" s="1"/>
  <c r="W60"/>
  <c r="W55"/>
  <c r="W161" s="1"/>
  <c r="W57"/>
  <c r="W54"/>
  <c r="W74"/>
  <c r="W53"/>
  <c r="W75"/>
  <c r="W71"/>
  <c r="W73"/>
  <c r="W119" s="1"/>
  <c r="W45"/>
  <c r="W44"/>
  <c r="W156" s="1"/>
  <c r="W49"/>
  <c r="W50"/>
  <c r="W51"/>
  <c r="W47"/>
  <c r="AC27"/>
  <c r="Y12"/>
  <c r="Y15"/>
  <c r="Y109" s="1"/>
  <c r="Y13"/>
  <c r="Y10"/>
  <c r="Y16"/>
  <c r="Y117" s="1"/>
  <c r="Y118" s="1"/>
  <c r="Y7"/>
  <c r="Y6"/>
  <c r="AC25"/>
  <c r="AB79"/>
  <c r="AC79" s="1"/>
  <c r="Y38"/>
  <c r="Y87" s="1"/>
  <c r="X81"/>
  <c r="X80"/>
  <c r="O31" i="9"/>
  <c r="O32" s="1"/>
  <c r="X40" i="18"/>
  <c r="W70"/>
  <c r="W68"/>
  <c r="W69"/>
  <c r="W67"/>
  <c r="Y155"/>
  <c r="V157"/>
  <c r="V158"/>
  <c r="P31" i="11"/>
  <c r="N32"/>
  <c r="T19" i="9"/>
  <c r="D22"/>
  <c r="X96" i="18" l="1"/>
  <c r="X97" s="1"/>
  <c r="X98" s="1"/>
  <c r="X99" s="1"/>
  <c r="X48"/>
  <c r="Y115"/>
  <c r="Y114"/>
  <c r="Y88"/>
  <c r="Y110"/>
  <c r="Y82"/>
  <c r="W59"/>
  <c r="W159" s="1"/>
  <c r="X51"/>
  <c r="Y91"/>
  <c r="Y92"/>
  <c r="Y93"/>
  <c r="T145"/>
  <c r="R145" s="1"/>
  <c r="X53"/>
  <c r="X60"/>
  <c r="X47"/>
  <c r="X55"/>
  <c r="X161" s="1"/>
  <c r="X50"/>
  <c r="X49"/>
  <c r="X71"/>
  <c r="X73"/>
  <c r="X119" s="1"/>
  <c r="X45"/>
  <c r="X44"/>
  <c r="X156" s="1"/>
  <c r="X75"/>
  <c r="X54"/>
  <c r="X61"/>
  <c r="X160" s="1"/>
  <c r="X58"/>
  <c r="X57"/>
  <c r="X74"/>
  <c r="Z13"/>
  <c r="Z12"/>
  <c r="Z15"/>
  <c r="Z109" s="1"/>
  <c r="Z10"/>
  <c r="Z16"/>
  <c r="Z117" s="1"/>
  <c r="Z118" s="1"/>
  <c r="Z6"/>
  <c r="Z7"/>
  <c r="Z38"/>
  <c r="Z87" s="1"/>
  <c r="Y81"/>
  <c r="Y80"/>
  <c r="Y40"/>
  <c r="X70"/>
  <c r="X68"/>
  <c r="X69"/>
  <c r="X67"/>
  <c r="Z155"/>
  <c r="W157"/>
  <c r="W158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Y96" i="18" l="1"/>
  <c r="Y97" s="1"/>
  <c r="Y98" s="1"/>
  <c r="Y99" s="1"/>
  <c r="Y48"/>
  <c r="Z88"/>
  <c r="Z110"/>
  <c r="Z114"/>
  <c r="Z115"/>
  <c r="Z82"/>
  <c r="Z91"/>
  <c r="Z92"/>
  <c r="Z93"/>
  <c r="X59"/>
  <c r="X159" s="1"/>
  <c r="Y71"/>
  <c r="Y73"/>
  <c r="Y119" s="1"/>
  <c r="Y44"/>
  <c r="Y156" s="1"/>
  <c r="Y45"/>
  <c r="Y55"/>
  <c r="Y161" s="1"/>
  <c r="Y61"/>
  <c r="Y160" s="1"/>
  <c r="Y60"/>
  <c r="Y58"/>
  <c r="Y49"/>
  <c r="Y47"/>
  <c r="Y54"/>
  <c r="Y50"/>
  <c r="Y51"/>
  <c r="Y57"/>
  <c r="Y74"/>
  <c r="Y53"/>
  <c r="Y75"/>
  <c r="AA12"/>
  <c r="AA15"/>
  <c r="AA109" s="1"/>
  <c r="AA13"/>
  <c r="AA10"/>
  <c r="AA16"/>
  <c r="AA117" s="1"/>
  <c r="AA118" s="1"/>
  <c r="AA7"/>
  <c r="AA6"/>
  <c r="AA38"/>
  <c r="AA87" s="1"/>
  <c r="Z80"/>
  <c r="Z81"/>
  <c r="Z40"/>
  <c r="Y70"/>
  <c r="Y68"/>
  <c r="Y69"/>
  <c r="Y67"/>
  <c r="AA155"/>
  <c r="X157"/>
  <c r="X158"/>
  <c r="N34" i="11"/>
  <c r="O33"/>
  <c r="D25" i="8"/>
  <c r="D23"/>
  <c r="Z96" i="18" l="1"/>
  <c r="Z97" s="1"/>
  <c r="Z98" s="1"/>
  <c r="Z99" s="1"/>
  <c r="Z48"/>
  <c r="AA82"/>
  <c r="AA114"/>
  <c r="AA115"/>
  <c r="AA88"/>
  <c r="AA110"/>
  <c r="AA91"/>
  <c r="AA92"/>
  <c r="AA93"/>
  <c r="Y59"/>
  <c r="Y159" s="1"/>
  <c r="Z71"/>
  <c r="Z73"/>
  <c r="Z119" s="1"/>
  <c r="Z45"/>
  <c r="Z44"/>
  <c r="Z156" s="1"/>
  <c r="Z49"/>
  <c r="Z60"/>
  <c r="Z50"/>
  <c r="Z55"/>
  <c r="Z161" s="1"/>
  <c r="Z58"/>
  <c r="Z57"/>
  <c r="Z75"/>
  <c r="Z61"/>
  <c r="Z160" s="1"/>
  <c r="Z47"/>
  <c r="Z54"/>
  <c r="Z74"/>
  <c r="Z53"/>
  <c r="Z51"/>
  <c r="AB15"/>
  <c r="AB13"/>
  <c r="AE13" s="1"/>
  <c r="AB12"/>
  <c r="AB110" s="1"/>
  <c r="AC110" s="1"/>
  <c r="AB10"/>
  <c r="AB16"/>
  <c r="AB6"/>
  <c r="AE6" s="1"/>
  <c r="AB7"/>
  <c r="AE7" s="1"/>
  <c r="AB38"/>
  <c r="AB87" s="1"/>
  <c r="AC87" s="1"/>
  <c r="AA81"/>
  <c r="AA80"/>
  <c r="AA40"/>
  <c r="Z70"/>
  <c r="Z68"/>
  <c r="Z69"/>
  <c r="Z67"/>
  <c r="AB155"/>
  <c r="Y157"/>
  <c r="Y158"/>
  <c r="N35" i="11"/>
  <c r="O34"/>
  <c r="D35" i="8"/>
  <c r="E5"/>
  <c r="E18" s="1"/>
  <c r="D18"/>
  <c r="D19"/>
  <c r="D21"/>
  <c r="D20"/>
  <c r="AA96" i="18" l="1"/>
  <c r="AA97" s="1"/>
  <c r="AA98" s="1"/>
  <c r="AA99" s="1"/>
  <c r="AA48"/>
  <c r="AE16"/>
  <c r="AB117"/>
  <c r="AB115"/>
  <c r="AC115" s="1"/>
  <c r="AB114"/>
  <c r="AC114" s="1"/>
  <c r="AE15"/>
  <c r="AB109"/>
  <c r="AC109" s="1"/>
  <c r="AB82"/>
  <c r="AC82" s="1"/>
  <c r="AE10"/>
  <c r="AB91"/>
  <c r="AC91" s="1"/>
  <c r="AE12"/>
  <c r="AB88"/>
  <c r="AC88" s="1"/>
  <c r="AE38"/>
  <c r="AB92"/>
  <c r="AC92" s="1"/>
  <c r="AB93"/>
  <c r="AC93" s="1"/>
  <c r="Z59"/>
  <c r="Z159" s="1"/>
  <c r="AA71"/>
  <c r="AA73"/>
  <c r="AA119" s="1"/>
  <c r="AA44"/>
  <c r="AA156" s="1"/>
  <c r="AA45"/>
  <c r="AA53"/>
  <c r="AA61"/>
  <c r="AA160" s="1"/>
  <c r="AA47"/>
  <c r="AA55"/>
  <c r="AA161" s="1"/>
  <c r="AA58"/>
  <c r="AA74"/>
  <c r="AA49"/>
  <c r="AA50"/>
  <c r="AA51"/>
  <c r="AA54"/>
  <c r="AA75"/>
  <c r="AA57"/>
  <c r="AA60"/>
  <c r="AC15"/>
  <c r="AC13"/>
  <c r="S139"/>
  <c r="AC12"/>
  <c r="AC10"/>
  <c r="AC16"/>
  <c r="AC7"/>
  <c r="AC6"/>
  <c r="AB81"/>
  <c r="AC81" s="1"/>
  <c r="AB80"/>
  <c r="AC80" s="1"/>
  <c r="AC38"/>
  <c r="AB40"/>
  <c r="AA70"/>
  <c r="AA68"/>
  <c r="AA69"/>
  <c r="AA67"/>
  <c r="AC155"/>
  <c r="AE155" s="1"/>
  <c r="Z157"/>
  <c r="Z158"/>
  <c r="N36" i="11"/>
  <c r="O35"/>
  <c r="F5" i="8"/>
  <c r="G5" s="1"/>
  <c r="H5" s="1"/>
  <c r="I5" s="1"/>
  <c r="AB96" i="18" l="1"/>
  <c r="AB97" s="1"/>
  <c r="AB98" s="1"/>
  <c r="AB99" s="1"/>
  <c r="AB48"/>
  <c r="AC117"/>
  <c r="AB118"/>
  <c r="AC118" s="1"/>
  <c r="AE40"/>
  <c r="T139"/>
  <c r="T140" s="1"/>
  <c r="AA59"/>
  <c r="AA159" s="1"/>
  <c r="AB71"/>
  <c r="AB73"/>
  <c r="AB44"/>
  <c r="AB156" s="1"/>
  <c r="AC156" s="1"/>
  <c r="AE156" s="1"/>
  <c r="AB45"/>
  <c r="AB53"/>
  <c r="AB58"/>
  <c r="AB47"/>
  <c r="AE47" s="1"/>
  <c r="AB55"/>
  <c r="AB51"/>
  <c r="AB74"/>
  <c r="AB50"/>
  <c r="AE50" s="1"/>
  <c r="AB49"/>
  <c r="AB60"/>
  <c r="AB75"/>
  <c r="AB54"/>
  <c r="AB61"/>
  <c r="AB57"/>
  <c r="S140"/>
  <c r="AB70"/>
  <c r="AB68"/>
  <c r="AC40"/>
  <c r="AB69"/>
  <c r="AB67"/>
  <c r="AA157"/>
  <c r="AA158"/>
  <c r="N37" i="11"/>
  <c r="O36"/>
  <c r="F18" i="8"/>
  <c r="G18"/>
  <c r="AE48" i="18" l="1"/>
  <c r="AC48"/>
  <c r="AE73"/>
  <c r="AB119"/>
  <c r="AC119" s="1"/>
  <c r="AC96"/>
  <c r="R139"/>
  <c r="R140"/>
  <c r="AC74"/>
  <c r="AE74"/>
  <c r="AC45"/>
  <c r="AE45"/>
  <c r="S136"/>
  <c r="AE60"/>
  <c r="AB160"/>
  <c r="AC160" s="1"/>
  <c r="AE160" s="1"/>
  <c r="AE61"/>
  <c r="AC44"/>
  <c r="AE44"/>
  <c r="AC58"/>
  <c r="AE58"/>
  <c r="S130"/>
  <c r="AE57"/>
  <c r="S129"/>
  <c r="AE51"/>
  <c r="AB161"/>
  <c r="AC161" s="1"/>
  <c r="AE161" s="1"/>
  <c r="AE55"/>
  <c r="AC54"/>
  <c r="AE54"/>
  <c r="S127"/>
  <c r="AE49"/>
  <c r="S132"/>
  <c r="AE53"/>
  <c r="AC75"/>
  <c r="AE75"/>
  <c r="S152"/>
  <c r="AE71"/>
  <c r="S150"/>
  <c r="AE70"/>
  <c r="S149"/>
  <c r="AE69"/>
  <c r="S147"/>
  <c r="AE67"/>
  <c r="S148"/>
  <c r="AE68"/>
  <c r="AC60"/>
  <c r="S133"/>
  <c r="AC49"/>
  <c r="AC51"/>
  <c r="T129" s="1"/>
  <c r="AC53"/>
  <c r="S134"/>
  <c r="AC71"/>
  <c r="AC57"/>
  <c r="S137"/>
  <c r="AB59"/>
  <c r="AC55"/>
  <c r="AC61"/>
  <c r="AC73"/>
  <c r="AC69"/>
  <c r="AC68"/>
  <c r="AC67"/>
  <c r="AC70"/>
  <c r="S126"/>
  <c r="AC47"/>
  <c r="T126" s="1"/>
  <c r="AB157"/>
  <c r="AC50"/>
  <c r="T128" s="1"/>
  <c r="AB158"/>
  <c r="S128"/>
  <c r="N38" i="11"/>
  <c r="O37"/>
  <c r="H18" i="8"/>
  <c r="P170" i="18" l="1"/>
  <c r="M170"/>
  <c r="AC97"/>
  <c r="T137"/>
  <c r="R137" s="1"/>
  <c r="T127"/>
  <c r="R127" s="1"/>
  <c r="T136"/>
  <c r="R136" s="1"/>
  <c r="T132"/>
  <c r="R132" s="1"/>
  <c r="T134"/>
  <c r="R134" s="1"/>
  <c r="T152"/>
  <c r="R152" s="1"/>
  <c r="T149"/>
  <c r="R149" s="1"/>
  <c r="AC59"/>
  <c r="AE59"/>
  <c r="T130"/>
  <c r="R130" s="1"/>
  <c r="R129"/>
  <c r="T133"/>
  <c r="R133" s="1"/>
  <c r="T147"/>
  <c r="R147" s="1"/>
  <c r="AB159"/>
  <c r="AC159" s="1"/>
  <c r="AE159" s="1"/>
  <c r="T150"/>
  <c r="R150" s="1"/>
  <c r="T148"/>
  <c r="R148" s="1"/>
  <c r="R126"/>
  <c r="P171" s="1"/>
  <c r="P172" s="1"/>
  <c r="AC158"/>
  <c r="AE158" s="1"/>
  <c r="AC157"/>
  <c r="AE157" s="1"/>
  <c r="R128"/>
  <c r="N39" i="11"/>
  <c r="O38"/>
  <c r="I18" i="8"/>
  <c r="P169" i="18" l="1"/>
  <c r="M169"/>
  <c r="P168"/>
  <c r="M168"/>
  <c r="AC99"/>
  <c r="AC98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5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<sst xmlns="http://schemas.openxmlformats.org/spreadsheetml/2006/main" count="561" uniqueCount="393">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</sst>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9" tint="-0.249977111117893"/>
      <name val="Cambria"/>
      <family val="1"/>
      <scheme val="major"/>
    </font>
    <font>
      <b/>
      <sz val="10"/>
      <color theme="9" tint="-0.249977111117893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0" fontId="8" fillId="5" borderId="1" xfId="2" applyNumberFormat="1" applyFont="1" applyFill="1" applyBorder="1"/>
    <xf numFmtId="166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/>
    <xf numFmtId="177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0226560"/>
        <c:axId val="80232448"/>
      </c:lineChart>
      <c:catAx>
        <c:axId val="80226560"/>
        <c:scaling>
          <c:orientation val="minMax"/>
        </c:scaling>
        <c:axPos val="b"/>
        <c:tickLblPos val="nextTo"/>
        <c:crossAx val="80232448"/>
        <c:crosses val="autoZero"/>
        <c:auto val="1"/>
        <c:lblAlgn val="ctr"/>
        <c:lblOffset val="100"/>
      </c:catAx>
      <c:valAx>
        <c:axId val="80232448"/>
        <c:scaling>
          <c:orientation val="minMax"/>
        </c:scaling>
        <c:axPos val="l"/>
        <c:majorGridlines/>
        <c:numFmt formatCode="General" sourceLinked="1"/>
        <c:tickLblPos val="nextTo"/>
        <c:crossAx val="8022656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320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G190"/>
  <sheetViews>
    <sheetView tabSelected="1" zoomScale="80" zoomScaleNormal="80" workbookViewId="0">
      <pane xSplit="2" ySplit="3" topLeftCell="C117" activePane="bottomRight" state="frozen"/>
      <selection pane="topRight" activeCell="C1" sqref="C1"/>
      <selection pane="bottomLeft" activeCell="A5" sqref="A5"/>
      <selection pane="bottomRight" activeCell="P112" sqref="G109:P112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2" style="104" bestFit="1" customWidth="1"/>
    <col min="8" max="11" width="10.28515625" style="104" bestFit="1" customWidth="1"/>
    <col min="12" max="16" width="11.285156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328</v>
      </c>
      <c r="L1" s="164">
        <v>0.05</v>
      </c>
    </row>
    <row r="2" spans="2:31">
      <c r="B2" s="153" t="s">
        <v>316</v>
      </c>
      <c r="C2" s="120"/>
      <c r="F2" s="104" t="s">
        <v>253</v>
      </c>
      <c r="H2" s="126">
        <v>2013</v>
      </c>
      <c r="J2" s="104" t="s">
        <v>329</v>
      </c>
      <c r="L2" s="164">
        <v>0.08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82" t="s">
        <v>292</v>
      </c>
      <c r="AE2" s="183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84" t="s">
        <v>293</v>
      </c>
      <c r="AE3" s="185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7"/>
      <c r="F6" s="147">
        <v>224.03</v>
      </c>
      <c r="G6" s="147">
        <v>236</v>
      </c>
      <c r="H6" s="147">
        <v>266</v>
      </c>
      <c r="I6" s="147">
        <v>294</v>
      </c>
      <c r="J6" s="147">
        <v>306</v>
      </c>
      <c r="K6" s="147">
        <v>351.93</v>
      </c>
      <c r="L6" s="147">
        <v>371.36</v>
      </c>
      <c r="M6" s="147">
        <v>306.22000000000003</v>
      </c>
      <c r="N6" s="147">
        <v>356.92</v>
      </c>
      <c r="O6" s="147">
        <v>154.66999999999999</v>
      </c>
      <c r="P6" s="179">
        <f>O6</f>
        <v>154.66999999999999</v>
      </c>
      <c r="Q6" s="118">
        <f>((P6/G6)^(1/($H$2-$H$1) ))-1</f>
        <v>-4.5863623603392245E-2</v>
      </c>
      <c r="R6" s="31">
        <f>$L$2</f>
        <v>0.08</v>
      </c>
      <c r="S6" s="154">
        <f>P6*(1+$R6)</f>
        <v>167.0436</v>
      </c>
      <c r="T6" s="154">
        <f>S6*(1+$R6)</f>
        <v>180.40708800000002</v>
      </c>
      <c r="U6" s="154">
        <f t="shared" ref="U6:AB6" si="0">T6*(1+$R6)</f>
        <v>194.83965504000003</v>
      </c>
      <c r="V6" s="154">
        <f t="shared" si="0"/>
        <v>210.42682744320004</v>
      </c>
      <c r="W6" s="154">
        <f t="shared" si="0"/>
        <v>227.26097363865605</v>
      </c>
      <c r="X6" s="154">
        <f t="shared" si="0"/>
        <v>245.44185152974856</v>
      </c>
      <c r="Y6" s="154">
        <f t="shared" si="0"/>
        <v>265.07719965212846</v>
      </c>
      <c r="Z6" s="154">
        <f t="shared" si="0"/>
        <v>286.28337562429874</v>
      </c>
      <c r="AA6" s="154">
        <f t="shared" si="0"/>
        <v>309.18604567424268</v>
      </c>
      <c r="AB6" s="154">
        <f t="shared" si="0"/>
        <v>333.92092932818213</v>
      </c>
      <c r="AC6" s="138">
        <f>((AB6/G6)^(1/($AB$3-$H$1) ))-1</f>
        <v>1.8434831184843681E-2</v>
      </c>
      <c r="AD6" s="31">
        <f>$L$1</f>
        <v>0.05</v>
      </c>
      <c r="AE6" s="146">
        <f t="shared" ref="AE6:AE41" si="1">(AB6*(1+AD6))/($C$1-AD6)</f>
        <v>2062.4527987917136</v>
      </c>
    </row>
    <row r="7" spans="2:31">
      <c r="B7" s="20" t="s">
        <v>240</v>
      </c>
      <c r="C7" s="141"/>
      <c r="D7" s="141"/>
      <c r="E7" s="147"/>
      <c r="F7" s="147">
        <v>348</v>
      </c>
      <c r="G7" s="147">
        <v>360</v>
      </c>
      <c r="H7" s="147">
        <v>390</v>
      </c>
      <c r="I7" s="147">
        <v>417</v>
      </c>
      <c r="J7" s="147">
        <v>430</v>
      </c>
      <c r="K7" s="147">
        <v>475.57</v>
      </c>
      <c r="L7" s="147">
        <v>495</v>
      </c>
      <c r="M7" s="147">
        <v>553.5</v>
      </c>
      <c r="N7" s="147">
        <v>604.20000000000005</v>
      </c>
      <c r="O7" s="147">
        <v>649.23</v>
      </c>
      <c r="P7" s="179">
        <f>O7</f>
        <v>649.23</v>
      </c>
      <c r="Q7" s="118">
        <f>((P7/G7)^(1/($H$2-$H$1) ))-1</f>
        <v>6.7714448928861692E-2</v>
      </c>
      <c r="R7" s="31">
        <f>$L$2</f>
        <v>0.08</v>
      </c>
      <c r="S7" s="154">
        <f t="shared" ref="S7:S16" si="2">P7*(1+$R7)</f>
        <v>701.16840000000002</v>
      </c>
      <c r="T7" s="154">
        <f t="shared" ref="T7:AB7" si="3">S7*(1+$R7)</f>
        <v>757.26187200000004</v>
      </c>
      <c r="U7" s="154">
        <f t="shared" si="3"/>
        <v>817.84282176000011</v>
      </c>
      <c r="V7" s="154">
        <f t="shared" si="3"/>
        <v>883.27024750080022</v>
      </c>
      <c r="W7" s="154">
        <f t="shared" si="3"/>
        <v>953.93186730086427</v>
      </c>
      <c r="X7" s="154">
        <f t="shared" si="3"/>
        <v>1030.2464166849334</v>
      </c>
      <c r="Y7" s="154">
        <f t="shared" si="3"/>
        <v>1112.6661300197281</v>
      </c>
      <c r="Z7" s="154">
        <f t="shared" si="3"/>
        <v>1201.6794204213065</v>
      </c>
      <c r="AA7" s="154">
        <f t="shared" si="3"/>
        <v>1297.8137740550112</v>
      </c>
      <c r="AB7" s="154">
        <f t="shared" si="3"/>
        <v>1401.6388759794122</v>
      </c>
      <c r="AC7" s="138">
        <f>((AB7/G7)^(1/($AB$3-$H$1) ))-1</f>
        <v>7.4163005975429463E-2</v>
      </c>
      <c r="AD7" s="31">
        <f>$L$1</f>
        <v>0.05</v>
      </c>
      <c r="AE7" s="146">
        <f t="shared" si="1"/>
        <v>8657.1812928140189</v>
      </c>
    </row>
    <row r="8" spans="2:31">
      <c r="B8" s="20"/>
      <c r="C8" s="141"/>
      <c r="D8" s="141"/>
      <c r="E8" s="147"/>
      <c r="F8" s="147"/>
      <c r="G8" s="148">
        <f>(G7-F7)/G7</f>
        <v>3.3333333333333333E-2</v>
      </c>
      <c r="H8" s="151">
        <f>(H7-G7)/H7</f>
        <v>7.6923076923076927E-2</v>
      </c>
      <c r="I8" s="151">
        <f t="shared" ref="I8:P8" si="4">(I7-H7)/I7</f>
        <v>6.4748201438848921E-2</v>
      </c>
      <c r="J8" s="151">
        <f t="shared" si="4"/>
        <v>3.0232558139534883E-2</v>
      </c>
      <c r="K8" s="151">
        <f t="shared" si="4"/>
        <v>9.5821855878209294E-2</v>
      </c>
      <c r="L8" s="151">
        <f t="shared" si="4"/>
        <v>3.9252525252525268E-2</v>
      </c>
      <c r="M8" s="151">
        <f t="shared" si="4"/>
        <v>0.10569105691056911</v>
      </c>
      <c r="N8" s="151">
        <f t="shared" si="4"/>
        <v>8.3912611717974248E-2</v>
      </c>
      <c r="O8" s="151">
        <f t="shared" si="4"/>
        <v>6.9359086918349383E-2</v>
      </c>
      <c r="P8" s="180">
        <f t="shared" si="4"/>
        <v>0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>
        <v>230</v>
      </c>
      <c r="G9" s="147">
        <v>224</v>
      </c>
      <c r="H9" s="147">
        <v>261</v>
      </c>
      <c r="I9" s="147">
        <v>292</v>
      </c>
      <c r="J9" s="147">
        <v>341.8</v>
      </c>
      <c r="K9" s="147">
        <v>317.89</v>
      </c>
      <c r="L9" s="147">
        <v>438.89</v>
      </c>
      <c r="M9" s="147">
        <v>502.88</v>
      </c>
      <c r="N9" s="147">
        <v>518.6</v>
      </c>
      <c r="O9" s="147">
        <v>563.5</v>
      </c>
      <c r="P9" s="179">
        <f>O9</f>
        <v>563.5</v>
      </c>
      <c r="Q9" s="118">
        <f t="shared" ref="Q9:Q16" si="5">((P9/G9)^(1/($H$2-$H$1) ))-1</f>
        <v>0.10793992176911904</v>
      </c>
      <c r="R9" s="31">
        <f t="shared" ref="R9:R38" si="6">$L$2</f>
        <v>0.08</v>
      </c>
      <c r="S9" s="154">
        <f t="shared" ref="S9" si="7">P9*(1+$R9)</f>
        <v>608.58000000000004</v>
      </c>
      <c r="T9" s="154">
        <f t="shared" ref="T9" si="8">S9*(1+$R9)</f>
        <v>657.26640000000009</v>
      </c>
      <c r="U9" s="154">
        <f t="shared" ref="U9" si="9">T9*(1+$R9)</f>
        <v>709.84771200000012</v>
      </c>
      <c r="V9" s="154">
        <f t="shared" ref="V9" si="10">U9*(1+$R9)</f>
        <v>766.63552896000022</v>
      </c>
      <c r="W9" s="154">
        <f t="shared" ref="W9" si="11">V9*(1+$R9)</f>
        <v>827.96637127680026</v>
      </c>
      <c r="X9" s="154">
        <f t="shared" ref="X9" si="12">W9*(1+$R9)</f>
        <v>894.20368097894436</v>
      </c>
      <c r="Y9" s="154">
        <f t="shared" ref="Y9" si="13">X9*(1+$R9)</f>
        <v>965.73997545726002</v>
      </c>
      <c r="Z9" s="154">
        <f t="shared" ref="Z9" si="14">Y9*(1+$R9)</f>
        <v>1042.999173493841</v>
      </c>
      <c r="AA9" s="154">
        <f t="shared" ref="AA9" si="15">Z9*(1+$R9)</f>
        <v>1126.4391073733484</v>
      </c>
      <c r="AB9" s="154">
        <f t="shared" ref="AB9" si="16">AA9*(1+$R9)</f>
        <v>1216.5542359632163</v>
      </c>
      <c r="AC9" s="138">
        <f>((AB9/G9)^(1/($AB$3-$H$1) ))-1</f>
        <v>9.3145765197553354E-2</v>
      </c>
      <c r="AD9" s="31">
        <f t="shared" ref="AD9:AD74" si="17">$L$1</f>
        <v>0.05</v>
      </c>
      <c r="AE9" s="146">
        <f t="shared" si="1"/>
        <v>7514.0114574198669</v>
      </c>
    </row>
    <row r="10" spans="2:31">
      <c r="B10" s="20" t="s">
        <v>4</v>
      </c>
      <c r="C10" s="141"/>
      <c r="D10" s="141"/>
      <c r="E10" s="147"/>
      <c r="F10" s="147">
        <v>4.2</v>
      </c>
      <c r="G10" s="147">
        <v>3.7</v>
      </c>
      <c r="H10" s="147">
        <v>2.7</v>
      </c>
      <c r="I10" s="147">
        <v>2.79</v>
      </c>
      <c r="J10" s="147">
        <v>2.79</v>
      </c>
      <c r="K10" s="147">
        <v>2.79</v>
      </c>
      <c r="L10" s="147">
        <v>0</v>
      </c>
      <c r="M10" s="147">
        <v>0</v>
      </c>
      <c r="N10" s="147">
        <v>0</v>
      </c>
      <c r="O10" s="147">
        <v>0</v>
      </c>
      <c r="P10" s="179">
        <f>O10</f>
        <v>0</v>
      </c>
      <c r="Q10" s="118">
        <f t="shared" si="5"/>
        <v>-1</v>
      </c>
      <c r="R10" s="31">
        <f t="shared" si="6"/>
        <v>0.08</v>
      </c>
      <c r="S10" s="154">
        <f t="shared" si="2"/>
        <v>0</v>
      </c>
      <c r="T10" s="154">
        <f t="shared" ref="T10:AB10" si="18">S10*(1+$R10)</f>
        <v>0</v>
      </c>
      <c r="U10" s="154">
        <f t="shared" si="18"/>
        <v>0</v>
      </c>
      <c r="V10" s="154">
        <f t="shared" si="18"/>
        <v>0</v>
      </c>
      <c r="W10" s="154">
        <f t="shared" si="18"/>
        <v>0</v>
      </c>
      <c r="X10" s="154">
        <f t="shared" si="18"/>
        <v>0</v>
      </c>
      <c r="Y10" s="154">
        <f t="shared" si="18"/>
        <v>0</v>
      </c>
      <c r="Z10" s="154">
        <f t="shared" si="18"/>
        <v>0</v>
      </c>
      <c r="AA10" s="154">
        <f t="shared" si="18"/>
        <v>0</v>
      </c>
      <c r="AB10" s="154">
        <f t="shared" si="18"/>
        <v>0</v>
      </c>
      <c r="AC10" s="138">
        <f t="shared" ref="AC10:AC40" si="19">((AB10/G10)^(1/($AB$3-$H$1) ))-1</f>
        <v>-1</v>
      </c>
      <c r="AD10" s="31">
        <f t="shared" si="17"/>
        <v>0.05</v>
      </c>
      <c r="AE10" s="146">
        <f t="shared" si="1"/>
        <v>0</v>
      </c>
    </row>
    <row r="11" spans="2:31">
      <c r="B11" s="20"/>
      <c r="C11" s="141"/>
      <c r="D11" s="141"/>
      <c r="E11" s="147"/>
      <c r="F11" s="147"/>
      <c r="G11" s="148">
        <f>(G10-F10)/G10</f>
        <v>-0.13513513513513511</v>
      </c>
      <c r="H11" s="148">
        <f t="shared" ref="H11:P11" si="20">(H10-G10)/H10</f>
        <v>-0.37037037037037035</v>
      </c>
      <c r="I11" s="148">
        <f t="shared" si="20"/>
        <v>3.2258064516128983E-2</v>
      </c>
      <c r="J11" s="148">
        <f t="shared" si="20"/>
        <v>0</v>
      </c>
      <c r="K11" s="148">
        <f t="shared" si="20"/>
        <v>0</v>
      </c>
      <c r="L11" s="148" t="e">
        <f t="shared" si="20"/>
        <v>#DIV/0!</v>
      </c>
      <c r="M11" s="148" t="e">
        <f t="shared" si="20"/>
        <v>#DIV/0!</v>
      </c>
      <c r="N11" s="148" t="e">
        <f t="shared" si="20"/>
        <v>#DIV/0!</v>
      </c>
      <c r="O11" s="148" t="e">
        <f t="shared" si="20"/>
        <v>#DIV/0!</v>
      </c>
      <c r="P11" s="181" t="e">
        <f t="shared" si="20"/>
        <v>#DIV/0!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>
      <c r="B12" s="20" t="s">
        <v>2</v>
      </c>
      <c r="C12" s="141"/>
      <c r="D12" s="141"/>
      <c r="E12" s="147"/>
      <c r="F12" s="147">
        <f>27+1</f>
        <v>28</v>
      </c>
      <c r="G12" s="147">
        <v>29.68</v>
      </c>
      <c r="H12" s="147">
        <v>39.840000000000003</v>
      </c>
      <c r="I12" s="147">
        <v>50.8</v>
      </c>
      <c r="J12" s="147">
        <v>25.15</v>
      </c>
      <c r="K12" s="147">
        <f>35.46+220</f>
        <v>255.46</v>
      </c>
      <c r="L12" s="147">
        <f>35.62+490.14</f>
        <v>525.76</v>
      </c>
      <c r="M12" s="147">
        <f>19.39+599.87</f>
        <v>619.26</v>
      </c>
      <c r="N12" s="147">
        <f>48.99+500.01</f>
        <v>549</v>
      </c>
      <c r="O12" s="147">
        <f>574.59</f>
        <v>574.59</v>
      </c>
      <c r="P12" s="179">
        <f>O12</f>
        <v>574.59</v>
      </c>
      <c r="Q12" s="118">
        <f t="shared" si="5"/>
        <v>0.38991499643881511</v>
      </c>
      <c r="R12" s="31">
        <f t="shared" si="6"/>
        <v>0.08</v>
      </c>
      <c r="S12" s="154">
        <f t="shared" si="2"/>
        <v>620.55720000000008</v>
      </c>
      <c r="T12" s="154">
        <f t="shared" ref="T12:AB12" si="21">S12*(1+$R12)</f>
        <v>670.20177600000011</v>
      </c>
      <c r="U12" s="154">
        <f t="shared" si="21"/>
        <v>723.81791808000014</v>
      </c>
      <c r="V12" s="154">
        <f t="shared" si="21"/>
        <v>781.72335152640017</v>
      </c>
      <c r="W12" s="154">
        <f t="shared" si="21"/>
        <v>844.26121964851222</v>
      </c>
      <c r="X12" s="154">
        <f t="shared" si="21"/>
        <v>911.80211722039326</v>
      </c>
      <c r="Y12" s="154">
        <f t="shared" si="21"/>
        <v>984.74628659802477</v>
      </c>
      <c r="Z12" s="154">
        <f t="shared" si="21"/>
        <v>1063.5259895258669</v>
      </c>
      <c r="AA12" s="154">
        <f t="shared" si="21"/>
        <v>1148.6080686879363</v>
      </c>
      <c r="AB12" s="154">
        <f t="shared" si="21"/>
        <v>1240.4967141829713</v>
      </c>
      <c r="AC12" s="138">
        <f t="shared" si="19"/>
        <v>0.21709007862402707</v>
      </c>
      <c r="AD12" s="31">
        <f t="shared" si="17"/>
        <v>0.05</v>
      </c>
      <c r="AE12" s="146">
        <f t="shared" si="1"/>
        <v>7661.8914699536481</v>
      </c>
    </row>
    <row r="13" spans="2:31">
      <c r="B13" s="20" t="s">
        <v>218</v>
      </c>
      <c r="C13" s="141"/>
      <c r="D13" s="141"/>
      <c r="E13" s="147"/>
      <c r="F13" s="147">
        <v>85</v>
      </c>
      <c r="G13" s="147">
        <v>129</v>
      </c>
      <c r="H13" s="147">
        <v>108</v>
      </c>
      <c r="I13" s="147">
        <v>42.5</v>
      </c>
      <c r="J13" s="147">
        <v>20.58</v>
      </c>
      <c r="K13" s="147">
        <v>0.52</v>
      </c>
      <c r="L13" s="147">
        <v>0</v>
      </c>
      <c r="M13" s="147">
        <v>0</v>
      </c>
      <c r="N13" s="147">
        <v>0</v>
      </c>
      <c r="O13" s="147">
        <v>0</v>
      </c>
      <c r="P13" s="179">
        <f>O13</f>
        <v>0</v>
      </c>
      <c r="Q13" s="118">
        <f t="shared" si="5"/>
        <v>-1</v>
      </c>
      <c r="R13" s="31">
        <f t="shared" si="6"/>
        <v>0.08</v>
      </c>
      <c r="S13" s="154">
        <f t="shared" si="2"/>
        <v>0</v>
      </c>
      <c r="T13" s="154">
        <f t="shared" ref="T13:AB13" si="22">S13*(1+$R13)</f>
        <v>0</v>
      </c>
      <c r="U13" s="154">
        <f t="shared" si="22"/>
        <v>0</v>
      </c>
      <c r="V13" s="154">
        <f t="shared" si="22"/>
        <v>0</v>
      </c>
      <c r="W13" s="154">
        <f t="shared" si="22"/>
        <v>0</v>
      </c>
      <c r="X13" s="154">
        <f t="shared" si="22"/>
        <v>0</v>
      </c>
      <c r="Y13" s="154">
        <f t="shared" si="22"/>
        <v>0</v>
      </c>
      <c r="Z13" s="154">
        <f t="shared" si="22"/>
        <v>0</v>
      </c>
      <c r="AA13" s="154">
        <f t="shared" si="22"/>
        <v>0</v>
      </c>
      <c r="AB13" s="154">
        <f t="shared" si="22"/>
        <v>0</v>
      </c>
      <c r="AC13" s="138">
        <f t="shared" si="19"/>
        <v>-1</v>
      </c>
      <c r="AD13" s="31">
        <f t="shared" si="17"/>
        <v>0.05</v>
      </c>
      <c r="AE13" s="146">
        <f t="shared" si="1"/>
        <v>0</v>
      </c>
    </row>
    <row r="14" spans="2:31">
      <c r="B14" s="20" t="s">
        <v>374</v>
      </c>
      <c r="C14" s="141"/>
      <c r="D14" s="141"/>
      <c r="E14" s="147"/>
      <c r="F14" s="147">
        <v>156</v>
      </c>
      <c r="G14" s="147">
        <v>166</v>
      </c>
      <c r="H14" s="147">
        <v>214</v>
      </c>
      <c r="I14" s="147">
        <v>255.5</v>
      </c>
      <c r="J14" s="147">
        <v>225</v>
      </c>
      <c r="K14" s="147">
        <v>267.3</v>
      </c>
      <c r="L14" s="147">
        <v>208.63</v>
      </c>
      <c r="M14" s="147">
        <v>244.2</v>
      </c>
      <c r="N14" s="147">
        <v>300.92</v>
      </c>
      <c r="O14" s="147">
        <v>315.76</v>
      </c>
      <c r="P14" s="179">
        <f>O14</f>
        <v>315.76</v>
      </c>
      <c r="Q14" s="118">
        <f t="shared" ref="Q14" si="23">((P14/G14)^(1/($H$2-$H$1) ))-1</f>
        <v>7.4057839824761107E-2</v>
      </c>
      <c r="R14" s="31">
        <f t="shared" si="6"/>
        <v>0.08</v>
      </c>
      <c r="S14" s="154">
        <f t="shared" ref="S14" si="24">P14*(1+$R14)</f>
        <v>341.02080000000001</v>
      </c>
      <c r="T14" s="154">
        <f t="shared" ref="T14" si="25">S14*(1+$R14)</f>
        <v>368.30246400000004</v>
      </c>
      <c r="U14" s="154">
        <f t="shared" ref="U14" si="26">T14*(1+$R14)</f>
        <v>397.76666112000009</v>
      </c>
      <c r="V14" s="154">
        <f t="shared" ref="V14" si="27">U14*(1+$R14)</f>
        <v>429.58799400960015</v>
      </c>
      <c r="W14" s="154">
        <f t="shared" ref="W14" si="28">V14*(1+$R14)</f>
        <v>463.95503353036821</v>
      </c>
      <c r="X14" s="154">
        <f t="shared" ref="X14" si="29">W14*(1+$R14)</f>
        <v>501.07143621279772</v>
      </c>
      <c r="Y14" s="154">
        <f t="shared" ref="Y14" si="30">X14*(1+$R14)</f>
        <v>541.1571511098216</v>
      </c>
      <c r="Z14" s="154">
        <f t="shared" ref="Z14" si="31">Y14*(1+$R14)</f>
        <v>584.44972319860733</v>
      </c>
      <c r="AA14" s="154">
        <f t="shared" ref="AA14" si="32">Z14*(1+$R14)</f>
        <v>631.20570105449599</v>
      </c>
      <c r="AB14" s="154">
        <f t="shared" ref="AB14" si="33">AA14*(1+$R14)</f>
        <v>681.70215713885568</v>
      </c>
      <c r="AC14" s="138">
        <f t="shared" ref="AC14" si="34">((AB14/G14)^(1/($AB$3-$H$1) ))-1</f>
        <v>7.7181205700431077E-2</v>
      </c>
      <c r="AD14" s="31">
        <f t="shared" si="17"/>
        <v>0.05</v>
      </c>
      <c r="AE14" s="146">
        <f t="shared" ref="AE14" si="35">(AB14*(1+AD14))/($C$1-AD14)</f>
        <v>4210.5133235046978</v>
      </c>
    </row>
    <row r="15" spans="2:31">
      <c r="B15" s="20" t="s">
        <v>19</v>
      </c>
      <c r="C15" s="141"/>
      <c r="D15" s="141"/>
      <c r="E15" s="147"/>
      <c r="F15" s="147">
        <v>314.61</v>
      </c>
      <c r="G15" s="147">
        <v>327</v>
      </c>
      <c r="H15" s="147">
        <v>405.3</v>
      </c>
      <c r="I15" s="147">
        <v>495.3</v>
      </c>
      <c r="J15" s="147">
        <v>398.08</v>
      </c>
      <c r="K15" s="147">
        <v>465.07</v>
      </c>
      <c r="L15" s="147">
        <v>404.85</v>
      </c>
      <c r="M15" s="147">
        <v>442</v>
      </c>
      <c r="N15" s="147">
        <v>568.86</v>
      </c>
      <c r="O15" s="147">
        <v>1109.8</v>
      </c>
      <c r="P15" s="179">
        <f>O15</f>
        <v>1109.8</v>
      </c>
      <c r="Q15" s="118">
        <f t="shared" si="5"/>
        <v>0.14542413487534467</v>
      </c>
      <c r="R15" s="31">
        <f t="shared" si="6"/>
        <v>0.08</v>
      </c>
      <c r="S15" s="154">
        <f t="shared" si="2"/>
        <v>1198.5840000000001</v>
      </c>
      <c r="T15" s="154">
        <f t="shared" ref="T15:AB15" si="36">S15*(1+$R15)</f>
        <v>1294.4707200000003</v>
      </c>
      <c r="U15" s="154">
        <f t="shared" si="36"/>
        <v>1398.0283776000003</v>
      </c>
      <c r="V15" s="154">
        <f t="shared" si="36"/>
        <v>1509.8706478080005</v>
      </c>
      <c r="W15" s="154">
        <f t="shared" si="36"/>
        <v>1630.6602996326408</v>
      </c>
      <c r="X15" s="154">
        <f t="shared" si="36"/>
        <v>1761.1131236032522</v>
      </c>
      <c r="Y15" s="154">
        <f t="shared" si="36"/>
        <v>1902.0021734915126</v>
      </c>
      <c r="Z15" s="154">
        <f t="shared" si="36"/>
        <v>2054.1623473708337</v>
      </c>
      <c r="AA15" s="154">
        <f t="shared" si="36"/>
        <v>2218.4953351605004</v>
      </c>
      <c r="AB15" s="154">
        <f t="shared" si="36"/>
        <v>2395.9749619733407</v>
      </c>
      <c r="AC15" s="138">
        <f t="shared" si="19"/>
        <v>0.11051101245417394</v>
      </c>
      <c r="AD15" s="31">
        <f t="shared" si="17"/>
        <v>0.05</v>
      </c>
      <c r="AE15" s="146">
        <f t="shared" si="1"/>
        <v>14798.668882776517</v>
      </c>
    </row>
    <row r="16" spans="2:31">
      <c r="B16" s="20" t="s">
        <v>23</v>
      </c>
      <c r="C16" s="141"/>
      <c r="D16" s="141"/>
      <c r="E16" s="147"/>
      <c r="F16" s="147">
        <v>96.48</v>
      </c>
      <c r="G16" s="147">
        <v>85.11</v>
      </c>
      <c r="H16" s="147">
        <v>146.38</v>
      </c>
      <c r="I16" s="147">
        <v>248.5</v>
      </c>
      <c r="J16" s="147">
        <v>279.10000000000002</v>
      </c>
      <c r="K16" s="147">
        <v>333.89</v>
      </c>
      <c r="L16" s="147">
        <v>357</v>
      </c>
      <c r="M16" s="147">
        <v>416.61</v>
      </c>
      <c r="N16" s="147">
        <v>460.6</v>
      </c>
      <c r="O16" s="147">
        <v>492.15</v>
      </c>
      <c r="P16" s="179">
        <f>O16</f>
        <v>492.15</v>
      </c>
      <c r="Q16" s="118">
        <f t="shared" si="5"/>
        <v>0.21528924755048173</v>
      </c>
      <c r="R16" s="31">
        <f t="shared" si="6"/>
        <v>0.08</v>
      </c>
      <c r="S16" s="154">
        <f t="shared" si="2"/>
        <v>531.52200000000005</v>
      </c>
      <c r="T16" s="154">
        <f t="shared" ref="T16:AB16" si="37">S16*(1+$R16)</f>
        <v>574.04376000000013</v>
      </c>
      <c r="U16" s="154">
        <f t="shared" si="37"/>
        <v>619.96726080000019</v>
      </c>
      <c r="V16" s="154">
        <f t="shared" si="37"/>
        <v>669.56464166400031</v>
      </c>
      <c r="W16" s="154">
        <f t="shared" si="37"/>
        <v>723.12981299712033</v>
      </c>
      <c r="X16" s="154">
        <f t="shared" si="37"/>
        <v>780.98019803688999</v>
      </c>
      <c r="Y16" s="154">
        <f t="shared" si="37"/>
        <v>843.45861387984121</v>
      </c>
      <c r="Z16" s="154">
        <f t="shared" si="37"/>
        <v>910.93530299022859</v>
      </c>
      <c r="AA16" s="154">
        <f t="shared" si="37"/>
        <v>983.81012722944695</v>
      </c>
      <c r="AB16" s="154">
        <f t="shared" si="37"/>
        <v>1062.5149374078028</v>
      </c>
      <c r="AC16" s="138">
        <f t="shared" si="19"/>
        <v>0.14209667189741193</v>
      </c>
      <c r="AD16" s="31">
        <f t="shared" si="17"/>
        <v>0.05</v>
      </c>
      <c r="AE16" s="146">
        <f t="shared" si="1"/>
        <v>6562.5922604599591</v>
      </c>
    </row>
    <row r="17" spans="2:31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79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>
      <c r="B18" s="20" t="s">
        <v>278</v>
      </c>
      <c r="C18" s="141"/>
      <c r="D18" s="141"/>
      <c r="E18" s="147"/>
      <c r="F18" s="147">
        <v>167</v>
      </c>
      <c r="G18" s="147">
        <v>145</v>
      </c>
      <c r="H18" s="147">
        <v>132</v>
      </c>
      <c r="I18" s="147">
        <v>125</v>
      </c>
      <c r="J18" s="147">
        <v>118</v>
      </c>
      <c r="K18" s="147">
        <v>119.48</v>
      </c>
      <c r="L18" s="147">
        <v>111.3</v>
      </c>
      <c r="M18" s="147">
        <v>120.32</v>
      </c>
      <c r="N18" s="147">
        <v>112.52</v>
      </c>
      <c r="O18" s="147">
        <v>126.12</v>
      </c>
      <c r="P18" s="179">
        <f>O18</f>
        <v>126.12</v>
      </c>
      <c r="Q18" s="118">
        <f>((P18/G18)^(1/($H$2-$H$1) ))-1</f>
        <v>-1.538048315522933E-2</v>
      </c>
      <c r="R18" s="31">
        <f t="shared" si="6"/>
        <v>0.08</v>
      </c>
      <c r="S18" s="154">
        <f t="shared" ref="S18:S34" si="38">P18*(1+$R18)</f>
        <v>136.20960000000002</v>
      </c>
      <c r="T18" s="154">
        <f t="shared" ref="T18:T34" si="39">S18*(1+$R18)</f>
        <v>147.10636800000003</v>
      </c>
      <c r="U18" s="154">
        <f t="shared" ref="U18:U34" si="40">T18*(1+$R18)</f>
        <v>158.87487744000003</v>
      </c>
      <c r="V18" s="154">
        <f t="shared" ref="V18:V34" si="41">U18*(1+$R18)</f>
        <v>171.58486763520006</v>
      </c>
      <c r="W18" s="154">
        <f t="shared" ref="W18:W36" si="42">V18*(1+$R18)</f>
        <v>185.31165704601608</v>
      </c>
      <c r="X18" s="154">
        <f t="shared" ref="X18:X36" si="43">W18*(1+$R18)</f>
        <v>200.13658960969738</v>
      </c>
      <c r="Y18" s="154">
        <f t="shared" ref="Y18:Y36" si="44">X18*(1+$R18)</f>
        <v>216.14751677847318</v>
      </c>
      <c r="Z18" s="154">
        <f t="shared" ref="Z18:Z36" si="45">Y18*(1+$R18)</f>
        <v>233.43931812075104</v>
      </c>
      <c r="AA18" s="154">
        <f t="shared" ref="AA18:AA36" si="46">Z18*(1+$R18)</f>
        <v>252.11446357041115</v>
      </c>
      <c r="AB18" s="154">
        <f t="shared" ref="AB18:AB36" si="47">AA18*(1+$R18)</f>
        <v>272.28362065604404</v>
      </c>
      <c r="AC18" s="138">
        <f t="shared" si="19"/>
        <v>3.3719756391797473E-2</v>
      </c>
      <c r="AD18" s="31">
        <f t="shared" si="17"/>
        <v>0.05</v>
      </c>
      <c r="AE18" s="146">
        <f t="shared" si="1"/>
        <v>1681.7517746402723</v>
      </c>
    </row>
    <row r="19" spans="2:31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79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>
      <c r="B20" s="20" t="s">
        <v>284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79">
        <f t="shared" ref="P20:P25" si="48">O20</f>
        <v>0</v>
      </c>
      <c r="Q20" s="118" t="e">
        <f>((P20/G20)^(1/($H$2-$H$1) ))-1</f>
        <v>#DIV/0!</v>
      </c>
      <c r="R20" s="31">
        <f t="shared" si="6"/>
        <v>0.08</v>
      </c>
      <c r="S20" s="154">
        <f t="shared" ref="S20:S22" si="49">P20*(1+$R20)</f>
        <v>0</v>
      </c>
      <c r="T20" s="154">
        <f t="shared" ref="T20:T22" si="50">S20*(1+$R20)</f>
        <v>0</v>
      </c>
      <c r="U20" s="154">
        <f t="shared" ref="U20:U22" si="51">T20*(1+$R20)</f>
        <v>0</v>
      </c>
      <c r="V20" s="154">
        <f t="shared" ref="V20:V22" si="52">U20*(1+$R20)</f>
        <v>0</v>
      </c>
      <c r="W20" s="154">
        <f t="shared" ref="W20:W22" si="53">V20*(1+$R20)</f>
        <v>0</v>
      </c>
      <c r="X20" s="154">
        <f t="shared" ref="X20:X22" si="54">W20*(1+$R20)</f>
        <v>0</v>
      </c>
      <c r="Y20" s="154">
        <f t="shared" ref="Y20:Y22" si="55">X20*(1+$R20)</f>
        <v>0</v>
      </c>
      <c r="Z20" s="154">
        <f t="shared" ref="Z20:Z22" si="56">Y20*(1+$R20)</f>
        <v>0</v>
      </c>
      <c r="AA20" s="154">
        <f t="shared" ref="AA20:AA22" si="57">Z20*(1+$R20)</f>
        <v>0</v>
      </c>
      <c r="AB20" s="154">
        <f t="shared" ref="AB20:AB22" si="58">AA20*(1+$R20)</f>
        <v>0</v>
      </c>
      <c r="AC20" s="138" t="e">
        <f t="shared" ref="AC20:AC22" si="59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>
      <c r="B21" s="20" t="s">
        <v>285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79">
        <f t="shared" si="48"/>
        <v>0</v>
      </c>
      <c r="Q21" s="118" t="e">
        <f>((P21/G21)^(1/($H$2-$H$1) ))-1</f>
        <v>#DIV/0!</v>
      </c>
      <c r="R21" s="31">
        <f t="shared" si="6"/>
        <v>0.08</v>
      </c>
      <c r="S21" s="154">
        <f t="shared" si="49"/>
        <v>0</v>
      </c>
      <c r="T21" s="154">
        <f t="shared" si="50"/>
        <v>0</v>
      </c>
      <c r="U21" s="154">
        <f t="shared" si="51"/>
        <v>0</v>
      </c>
      <c r="V21" s="154">
        <f t="shared" si="52"/>
        <v>0</v>
      </c>
      <c r="W21" s="154">
        <f t="shared" si="53"/>
        <v>0</v>
      </c>
      <c r="X21" s="154">
        <f t="shared" si="54"/>
        <v>0</v>
      </c>
      <c r="Y21" s="154">
        <f t="shared" si="55"/>
        <v>0</v>
      </c>
      <c r="Z21" s="154">
        <f t="shared" si="56"/>
        <v>0</v>
      </c>
      <c r="AA21" s="154">
        <f t="shared" si="57"/>
        <v>0</v>
      </c>
      <c r="AB21" s="154">
        <f t="shared" si="58"/>
        <v>0</v>
      </c>
      <c r="AC21" s="138" t="e">
        <f t="shared" si="59"/>
        <v>#DIV/0!</v>
      </c>
      <c r="AD21" s="31">
        <f t="shared" si="17"/>
        <v>0.05</v>
      </c>
      <c r="AE21" s="146">
        <f t="shared" si="1"/>
        <v>0</v>
      </c>
    </row>
    <row r="22" spans="2:31">
      <c r="B22" s="20" t="s">
        <v>286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79">
        <f t="shared" si="48"/>
        <v>0</v>
      </c>
      <c r="Q22" s="118" t="e">
        <f>((P22/G22)^(1/($H$2-$H$1) ))-1</f>
        <v>#DIV/0!</v>
      </c>
      <c r="R22" s="31">
        <f t="shared" si="6"/>
        <v>0.08</v>
      </c>
      <c r="S22" s="154">
        <f t="shared" si="49"/>
        <v>0</v>
      </c>
      <c r="T22" s="154">
        <f t="shared" si="50"/>
        <v>0</v>
      </c>
      <c r="U22" s="154">
        <f t="shared" si="51"/>
        <v>0</v>
      </c>
      <c r="V22" s="154">
        <f t="shared" si="52"/>
        <v>0</v>
      </c>
      <c r="W22" s="154">
        <f t="shared" si="53"/>
        <v>0</v>
      </c>
      <c r="X22" s="154">
        <f t="shared" si="54"/>
        <v>0</v>
      </c>
      <c r="Y22" s="154">
        <f t="shared" si="55"/>
        <v>0</v>
      </c>
      <c r="Z22" s="154">
        <f t="shared" si="56"/>
        <v>0</v>
      </c>
      <c r="AA22" s="154">
        <f t="shared" si="57"/>
        <v>0</v>
      </c>
      <c r="AB22" s="154">
        <f t="shared" si="58"/>
        <v>0</v>
      </c>
      <c r="AC22" s="138" t="e">
        <f t="shared" si="59"/>
        <v>#DIV/0!</v>
      </c>
      <c r="AD22" s="31">
        <f t="shared" si="17"/>
        <v>0.05</v>
      </c>
      <c r="AE22" s="146">
        <f t="shared" si="1"/>
        <v>0</v>
      </c>
    </row>
    <row r="23" spans="2:31">
      <c r="B23" s="20" t="s">
        <v>296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79">
        <f t="shared" si="48"/>
        <v>0</v>
      </c>
      <c r="Q23" s="118" t="e">
        <f>((P23/G23)^(1/($H$2-$H$1) ))-1</f>
        <v>#DIV/0!</v>
      </c>
      <c r="R23" s="31">
        <f t="shared" si="6"/>
        <v>0.08</v>
      </c>
      <c r="S23" s="154">
        <f t="shared" ref="S23" si="60">P23*(1+$R23)</f>
        <v>0</v>
      </c>
      <c r="T23" s="154">
        <f t="shared" ref="T23" si="61">S23*(1+$R23)</f>
        <v>0</v>
      </c>
      <c r="U23" s="154">
        <f t="shared" ref="U23" si="62">T23*(1+$R23)</f>
        <v>0</v>
      </c>
      <c r="V23" s="154">
        <f t="shared" ref="V23" si="63">U23*(1+$R23)</f>
        <v>0</v>
      </c>
      <c r="W23" s="154">
        <f t="shared" ref="W23" si="64">V23*(1+$R23)</f>
        <v>0</v>
      </c>
      <c r="X23" s="154">
        <f t="shared" ref="X23" si="65">W23*(1+$R23)</f>
        <v>0</v>
      </c>
      <c r="Y23" s="154">
        <f t="shared" ref="Y23" si="66">X23*(1+$R23)</f>
        <v>0</v>
      </c>
      <c r="Z23" s="154">
        <f t="shared" ref="Z23" si="67">Y23*(1+$R23)</f>
        <v>0</v>
      </c>
      <c r="AA23" s="154">
        <f t="shared" ref="AA23" si="68">Z23*(1+$R23)</f>
        <v>0</v>
      </c>
      <c r="AB23" s="154">
        <f t="shared" ref="AB23" si="69">AA23*(1+$R23)</f>
        <v>0</v>
      </c>
      <c r="AC23" s="138" t="e">
        <f t="shared" ref="AC23" si="70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79">
        <f t="shared" si="48"/>
        <v>0</v>
      </c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>
      <c r="B25" s="20" t="s">
        <v>89</v>
      </c>
      <c r="C25" s="141"/>
      <c r="D25" s="141"/>
      <c r="E25" s="147"/>
      <c r="F25" s="147">
        <v>1233</v>
      </c>
      <c r="G25" s="147">
        <v>1352</v>
      </c>
      <c r="H25" s="147">
        <v>1510</v>
      </c>
      <c r="I25" s="147">
        <v>1853</v>
      </c>
      <c r="J25" s="147">
        <v>1913</v>
      </c>
      <c r="K25" s="147">
        <v>2315</v>
      </c>
      <c r="L25" s="147">
        <v>2381</v>
      </c>
      <c r="M25" s="147">
        <v>2862</v>
      </c>
      <c r="N25" s="147">
        <v>3165</v>
      </c>
      <c r="O25" s="147">
        <v>3205</v>
      </c>
      <c r="P25" s="179">
        <f t="shared" si="48"/>
        <v>3205</v>
      </c>
      <c r="Q25" s="118">
        <f>((P25/G25)^(1/($H$2-$H$1) ))-1</f>
        <v>0.10065230933208014</v>
      </c>
      <c r="R25" s="31">
        <f t="shared" si="6"/>
        <v>0.08</v>
      </c>
      <c r="S25" s="154">
        <f t="shared" si="38"/>
        <v>3461.4</v>
      </c>
      <c r="T25" s="154">
        <f t="shared" si="39"/>
        <v>3738.3120000000004</v>
      </c>
      <c r="U25" s="154">
        <f t="shared" si="40"/>
        <v>4037.3769600000005</v>
      </c>
      <c r="V25" s="154">
        <f t="shared" si="41"/>
        <v>4360.367116800001</v>
      </c>
      <c r="W25" s="154">
        <f t="shared" si="42"/>
        <v>4709.196486144001</v>
      </c>
      <c r="X25" s="154">
        <f t="shared" si="43"/>
        <v>5085.9322050355213</v>
      </c>
      <c r="Y25" s="154">
        <f t="shared" si="44"/>
        <v>5492.806781438363</v>
      </c>
      <c r="Z25" s="154">
        <f t="shared" si="45"/>
        <v>5932.2313239534324</v>
      </c>
      <c r="AA25" s="154">
        <f t="shared" si="46"/>
        <v>6406.8098298697078</v>
      </c>
      <c r="AB25" s="154">
        <f t="shared" si="47"/>
        <v>6919.3546162592847</v>
      </c>
      <c r="AC25" s="138">
        <f t="shared" si="19"/>
        <v>8.9733917331351387E-2</v>
      </c>
      <c r="AD25" s="31">
        <f t="shared" si="17"/>
        <v>0.05</v>
      </c>
      <c r="AE25" s="146">
        <f t="shared" si="1"/>
        <v>42737.190276895592</v>
      </c>
    </row>
    <row r="26" spans="2:31" s="123" customFormat="1">
      <c r="B26" s="23"/>
      <c r="C26" s="149"/>
      <c r="D26" s="149"/>
      <c r="E26" s="150"/>
      <c r="F26" s="150"/>
      <c r="G26" s="148">
        <f>(G25-F25)/G25</f>
        <v>8.8017751479289946E-2</v>
      </c>
      <c r="H26" s="148">
        <f>(H25-G25)/H25</f>
        <v>0.10463576158940398</v>
      </c>
      <c r="I26" s="148">
        <f t="shared" ref="I26" si="71">(I25-H25)/I25</f>
        <v>0.18510523475445223</v>
      </c>
      <c r="J26" s="148">
        <f t="shared" ref="J26" si="72">(J25-I25)/J25</f>
        <v>3.1364349189754309E-2</v>
      </c>
      <c r="K26" s="148">
        <f t="shared" ref="K26" si="73">(K25-J25)/K25</f>
        <v>0.17365010799136069</v>
      </c>
      <c r="L26" s="148">
        <f t="shared" ref="L26" si="74">(L25-K25)/L25</f>
        <v>2.771944561108778E-2</v>
      </c>
      <c r="M26" s="148">
        <f t="shared" ref="M26" si="75">(M25-L25)/M25</f>
        <v>0.16806429070580015</v>
      </c>
      <c r="N26" s="148">
        <f t="shared" ref="N26" si="76">(N25-M25)/N25</f>
        <v>9.5734597156398107E-2</v>
      </c>
      <c r="O26" s="148">
        <f t="shared" ref="O26" si="77">(O25-N25)/O25</f>
        <v>1.2480499219968799E-2</v>
      </c>
      <c r="P26" s="181">
        <f t="shared" ref="P26" si="78">(P25-O25)/P25</f>
        <v>0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>
      <c r="B27" s="20" t="s">
        <v>262</v>
      </c>
      <c r="C27" s="141"/>
      <c r="D27" s="141"/>
      <c r="E27" s="147"/>
      <c r="F27" s="147">
        <v>1011</v>
      </c>
      <c r="G27" s="147">
        <v>1129</v>
      </c>
      <c r="H27" s="147">
        <v>1277</v>
      </c>
      <c r="I27" s="147">
        <v>1598</v>
      </c>
      <c r="J27" s="147">
        <v>1548</v>
      </c>
      <c r="K27" s="147">
        <v>1874</v>
      </c>
      <c r="L27" s="147">
        <v>1769</v>
      </c>
      <c r="M27" s="147">
        <v>2098</v>
      </c>
      <c r="N27" s="147">
        <v>2436</v>
      </c>
      <c r="O27" s="147">
        <v>2510</v>
      </c>
      <c r="P27" s="179">
        <f>O27</f>
        <v>2510</v>
      </c>
      <c r="Q27" s="118">
        <f>((P27/G27)^(1/($H$2-$H$1) ))-1</f>
        <v>9.2831762021700515E-2</v>
      </c>
      <c r="R27" s="31">
        <f t="shared" si="6"/>
        <v>0.08</v>
      </c>
      <c r="S27" s="154">
        <f t="shared" si="38"/>
        <v>2710.8</v>
      </c>
      <c r="T27" s="154">
        <f t="shared" si="39"/>
        <v>2927.6640000000002</v>
      </c>
      <c r="U27" s="154">
        <f t="shared" si="40"/>
        <v>3161.8771200000006</v>
      </c>
      <c r="V27" s="154">
        <f t="shared" si="41"/>
        <v>3414.8272896000008</v>
      </c>
      <c r="W27" s="154">
        <f t="shared" si="42"/>
        <v>3688.0134727680011</v>
      </c>
      <c r="X27" s="154">
        <f t="shared" si="43"/>
        <v>3983.0545505894415</v>
      </c>
      <c r="Y27" s="154">
        <f t="shared" si="44"/>
        <v>4301.6989146365968</v>
      </c>
      <c r="Z27" s="154">
        <f t="shared" si="45"/>
        <v>4645.8348278075246</v>
      </c>
      <c r="AA27" s="154">
        <f t="shared" si="46"/>
        <v>5017.5016140321268</v>
      </c>
      <c r="AB27" s="154">
        <f t="shared" si="47"/>
        <v>5418.9017431546972</v>
      </c>
      <c r="AC27" s="138">
        <f t="shared" si="19"/>
        <v>8.6059312687388978E-2</v>
      </c>
      <c r="AD27" s="31">
        <f t="shared" si="17"/>
        <v>0.05</v>
      </c>
      <c r="AE27" s="146">
        <f t="shared" si="1"/>
        <v>33469.687237131962</v>
      </c>
    </row>
    <row r="28" spans="2:31" s="123" customFormat="1">
      <c r="B28" s="23"/>
      <c r="C28" s="149"/>
      <c r="D28" s="149"/>
      <c r="E28" s="150"/>
      <c r="F28" s="150"/>
      <c r="G28" s="148">
        <f t="shared" ref="G28:M28" si="79">(G27-F27)/G27</f>
        <v>0.10451727192205491</v>
      </c>
      <c r="H28" s="148">
        <f t="shared" si="79"/>
        <v>0.11589663273296789</v>
      </c>
      <c r="I28" s="148">
        <f t="shared" si="79"/>
        <v>0.20087609511889862</v>
      </c>
      <c r="J28" s="148">
        <f t="shared" si="79"/>
        <v>-3.2299741602067181E-2</v>
      </c>
      <c r="K28" s="148">
        <f t="shared" si="79"/>
        <v>0.17395944503735325</v>
      </c>
      <c r="L28" s="148">
        <f t="shared" si="79"/>
        <v>-5.9355568117580554E-2</v>
      </c>
      <c r="M28" s="148">
        <f t="shared" si="79"/>
        <v>0.15681601525262154</v>
      </c>
      <c r="N28" s="148">
        <f t="shared" ref="N28" si="80">(N27-M27)/N27</f>
        <v>0.13875205254515599</v>
      </c>
      <c r="O28" s="148">
        <f t="shared" ref="O28" si="81">(O27-N27)/O27</f>
        <v>2.9482071713147411E-2</v>
      </c>
      <c r="P28" s="181">
        <f t="shared" ref="P28" si="82">(P27-O27)/P27</f>
        <v>0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>
      <c r="B29" s="20" t="s">
        <v>325</v>
      </c>
      <c r="C29" s="149"/>
      <c r="D29" s="149"/>
      <c r="E29" s="150"/>
      <c r="F29" s="147">
        <v>2.57</v>
      </c>
      <c r="G29" s="147">
        <v>2.87</v>
      </c>
      <c r="H29" s="147">
        <v>3.01</v>
      </c>
      <c r="I29" s="147">
        <v>4.0999999999999996</v>
      </c>
      <c r="J29" s="147">
        <v>3.7</v>
      </c>
      <c r="K29" s="147">
        <v>3.65</v>
      </c>
      <c r="L29" s="147">
        <v>3.45</v>
      </c>
      <c r="M29" s="147">
        <v>2.42</v>
      </c>
      <c r="N29" s="147">
        <v>1.91</v>
      </c>
      <c r="O29" s="147">
        <v>1.83</v>
      </c>
      <c r="P29" s="179">
        <f>O29</f>
        <v>1.83</v>
      </c>
      <c r="Q29" s="118">
        <f>((P29/G29)^(1/($H$2-$H$1) ))-1</f>
        <v>-4.8770159380522204E-2</v>
      </c>
      <c r="R29" s="31">
        <f t="shared" si="6"/>
        <v>0.08</v>
      </c>
      <c r="S29" s="154">
        <f t="shared" ref="S29" si="83">P29*(1+$R29)</f>
        <v>1.9764000000000002</v>
      </c>
      <c r="T29" s="154">
        <f t="shared" ref="T29" si="84">S29*(1+$R29)</f>
        <v>2.1345120000000004</v>
      </c>
      <c r="U29" s="154">
        <f t="shared" ref="U29" si="85">T29*(1+$R29)</f>
        <v>2.3052729600000008</v>
      </c>
      <c r="V29" s="154">
        <f t="shared" ref="V29" si="86">U29*(1+$R29)</f>
        <v>2.4896947968000012</v>
      </c>
      <c r="W29" s="154">
        <f t="shared" ref="W29" si="87">V29*(1+$R29)</f>
        <v>2.6888703805440013</v>
      </c>
      <c r="X29" s="154">
        <f t="shared" ref="X29" si="88">W29*(1+$R29)</f>
        <v>2.9039800109875218</v>
      </c>
      <c r="Y29" s="154">
        <f t="shared" ref="Y29" si="89">X29*(1+$R29)</f>
        <v>3.1362984118665236</v>
      </c>
      <c r="Z29" s="154">
        <f t="shared" ref="Z29" si="90">Y29*(1+$R29)</f>
        <v>3.3872022848158458</v>
      </c>
      <c r="AA29" s="154">
        <f t="shared" ref="AA29" si="91">Z29*(1+$R29)</f>
        <v>3.6581784676011138</v>
      </c>
      <c r="AB29" s="154">
        <f t="shared" ref="AB29" si="92">AA29*(1+$R29)</f>
        <v>3.9508327450092033</v>
      </c>
      <c r="AC29" s="138">
        <f t="shared" ref="AC29" si="93">((AB29/G29)^(1/($AB$3-$H$1) ))-1</f>
        <v>1.6964091123020886E-2</v>
      </c>
      <c r="AD29" s="31">
        <f t="shared" si="17"/>
        <v>0.05</v>
      </c>
      <c r="AE29" s="146">
        <f t="shared" ref="AE29" si="94">(AB29*(1+AD29))/($C$1-AD29)</f>
        <v>24.402202248586256</v>
      </c>
    </row>
    <row r="30" spans="2:31" s="123" customFormat="1">
      <c r="B30" s="23"/>
      <c r="C30" s="149"/>
      <c r="D30" s="149"/>
      <c r="E30" s="150"/>
      <c r="F30" s="150"/>
      <c r="G30" s="148">
        <f t="shared" ref="G30:L30" si="95">(G29-F29)/G29</f>
        <v>0.10452961672473876</v>
      </c>
      <c r="H30" s="148">
        <f t="shared" si="95"/>
        <v>4.6511627906976639E-2</v>
      </c>
      <c r="I30" s="148">
        <f t="shared" si="95"/>
        <v>0.26585365853658538</v>
      </c>
      <c r="J30" s="148">
        <f t="shared" si="95"/>
        <v>-0.10810810810810796</v>
      </c>
      <c r="K30" s="148">
        <f t="shared" si="95"/>
        <v>-1.3698630136986375E-2</v>
      </c>
      <c r="L30" s="148">
        <f t="shared" si="95"/>
        <v>-5.7971014492753541E-2</v>
      </c>
      <c r="M30" s="148">
        <f t="shared" ref="M30" si="96">(M29-L29)/M29</f>
        <v>-0.42561983471074394</v>
      </c>
      <c r="N30" s="148">
        <f t="shared" ref="N30" si="97">(N29-M29)/N29</f>
        <v>-0.26701570680628273</v>
      </c>
      <c r="O30" s="148">
        <f t="shared" ref="O30" si="98">(O29-N29)/O29</f>
        <v>-4.3715846994535436E-2</v>
      </c>
      <c r="P30" s="181">
        <f t="shared" ref="P30" si="99">(P29-O29)/P29</f>
        <v>0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>
      <c r="B31" s="20" t="s">
        <v>333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79">
        <f>O31</f>
        <v>0</v>
      </c>
      <c r="Q31" s="118" t="e">
        <f>((P31/G31)^(1/($H$2-$H$1) ))-1</f>
        <v>#DIV/0!</v>
      </c>
      <c r="R31" s="31">
        <f t="shared" si="6"/>
        <v>0.08</v>
      </c>
      <c r="S31" s="154">
        <f>P31*(1+$R31)</f>
        <v>0</v>
      </c>
      <c r="T31" s="154">
        <f>S31*(1+$R31)</f>
        <v>0</v>
      </c>
      <c r="U31" s="154">
        <f t="shared" ref="U31:AB32" si="100">T31*(1+$R31)</f>
        <v>0</v>
      </c>
      <c r="V31" s="154">
        <f t="shared" si="100"/>
        <v>0</v>
      </c>
      <c r="W31" s="154">
        <f t="shared" si="100"/>
        <v>0</v>
      </c>
      <c r="X31" s="154">
        <f t="shared" si="100"/>
        <v>0</v>
      </c>
      <c r="Y31" s="154">
        <f t="shared" si="100"/>
        <v>0</v>
      </c>
      <c r="Z31" s="154">
        <f t="shared" si="100"/>
        <v>0</v>
      </c>
      <c r="AA31" s="154">
        <f t="shared" si="100"/>
        <v>0</v>
      </c>
      <c r="AB31" s="154">
        <f t="shared" si="100"/>
        <v>0</v>
      </c>
      <c r="AC31" s="138" t="e">
        <f t="shared" ref="AC31" si="101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>
      <c r="B32" s="20" t="s">
        <v>332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79">
        <f>O32</f>
        <v>0</v>
      </c>
      <c r="Q32" s="118" t="e">
        <f>((P32/G32)^(1/($H$2-$H$1) ))-1</f>
        <v>#DIV/0!</v>
      </c>
      <c r="R32" s="31">
        <f t="shared" si="6"/>
        <v>0.08</v>
      </c>
      <c r="S32" s="154">
        <f>P32*(1+$R32)</f>
        <v>0</v>
      </c>
      <c r="T32" s="154">
        <f>S32*(1+$R32)</f>
        <v>0</v>
      </c>
      <c r="U32" s="154">
        <f t="shared" si="100"/>
        <v>0</v>
      </c>
      <c r="V32" s="154">
        <f t="shared" si="100"/>
        <v>0</v>
      </c>
      <c r="W32" s="154">
        <f t="shared" si="100"/>
        <v>0</v>
      </c>
      <c r="X32" s="154">
        <f t="shared" si="100"/>
        <v>0</v>
      </c>
      <c r="Y32" s="154">
        <f t="shared" si="100"/>
        <v>0</v>
      </c>
      <c r="Z32" s="154">
        <f t="shared" si="100"/>
        <v>0</v>
      </c>
      <c r="AA32" s="154">
        <f t="shared" si="100"/>
        <v>0</v>
      </c>
      <c r="AB32" s="154">
        <f t="shared" si="100"/>
        <v>0</v>
      </c>
      <c r="AC32" s="138" t="e">
        <f t="shared" ref="AC32" si="102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>
      <c r="B33" s="20" t="s">
        <v>317</v>
      </c>
      <c r="C33" s="141"/>
      <c r="D33" s="141"/>
      <c r="E33" s="147"/>
      <c r="F33" s="147">
        <v>683</v>
      </c>
      <c r="G33" s="147">
        <v>774</v>
      </c>
      <c r="H33" s="147">
        <v>872</v>
      </c>
      <c r="I33" s="147">
        <v>1178</v>
      </c>
      <c r="J33" s="147">
        <v>1083.6099999999999</v>
      </c>
      <c r="K33" s="147">
        <v>1326</v>
      </c>
      <c r="L33" s="147">
        <v>1102</v>
      </c>
      <c r="M33" s="147">
        <v>1409</v>
      </c>
      <c r="N33" s="147">
        <v>1722</v>
      </c>
      <c r="O33" s="147">
        <v>1837</v>
      </c>
      <c r="P33" s="179">
        <f>O33</f>
        <v>1837</v>
      </c>
      <c r="Q33" s="118">
        <f>((P33/G33)^(1/($H$2-$H$1) ))-1</f>
        <v>0.10079786174124261</v>
      </c>
      <c r="R33" s="31">
        <f t="shared" si="6"/>
        <v>0.08</v>
      </c>
      <c r="S33" s="154">
        <f t="shared" si="38"/>
        <v>1983.96</v>
      </c>
      <c r="T33" s="154">
        <f t="shared" si="39"/>
        <v>2142.6768000000002</v>
      </c>
      <c r="U33" s="154">
        <f t="shared" si="40"/>
        <v>2314.0909440000005</v>
      </c>
      <c r="V33" s="154">
        <f t="shared" si="41"/>
        <v>2499.2182195200007</v>
      </c>
      <c r="W33" s="154">
        <f t="shared" si="42"/>
        <v>2699.155677081601</v>
      </c>
      <c r="X33" s="154">
        <f t="shared" si="43"/>
        <v>2915.0881312481292</v>
      </c>
      <c r="Y33" s="154">
        <f t="shared" si="44"/>
        <v>3148.2951817479798</v>
      </c>
      <c r="Z33" s="154">
        <f t="shared" si="45"/>
        <v>3400.1587962878184</v>
      </c>
      <c r="AA33" s="154">
        <f t="shared" si="46"/>
        <v>3672.171499990844</v>
      </c>
      <c r="AB33" s="154">
        <f t="shared" si="47"/>
        <v>3965.945219990112</v>
      </c>
      <c r="AC33" s="138">
        <f t="shared" si="19"/>
        <v>8.9802176895817931E-2</v>
      </c>
      <c r="AD33" s="31">
        <f t="shared" si="17"/>
        <v>0.05</v>
      </c>
      <c r="AE33" s="146">
        <f t="shared" si="1"/>
        <v>24495.544005821281</v>
      </c>
    </row>
    <row r="34" spans="2:31">
      <c r="B34" s="20" t="s">
        <v>309</v>
      </c>
      <c r="C34" s="141"/>
      <c r="D34" s="141"/>
      <c r="E34" s="147"/>
      <c r="F34" s="147">
        <v>65</v>
      </c>
      <c r="G34" s="147">
        <v>65</v>
      </c>
      <c r="H34" s="147">
        <v>67</v>
      </c>
      <c r="I34" s="147">
        <v>71</v>
      </c>
      <c r="J34" s="147">
        <v>90.4</v>
      </c>
      <c r="K34" s="147">
        <v>96</v>
      </c>
      <c r="L34" s="147">
        <v>105</v>
      </c>
      <c r="M34" s="147">
        <v>103</v>
      </c>
      <c r="N34" s="147">
        <v>108</v>
      </c>
      <c r="O34" s="147">
        <v>128.4</v>
      </c>
      <c r="P34" s="179">
        <f>O34</f>
        <v>128.4</v>
      </c>
      <c r="Q34" s="118">
        <f>((P34/G34)^(1/($H$2-$H$1) ))-1</f>
        <v>7.8574591607777799E-2</v>
      </c>
      <c r="R34" s="31">
        <f t="shared" si="6"/>
        <v>0.08</v>
      </c>
      <c r="S34" s="154">
        <f t="shared" si="38"/>
        <v>138.67200000000003</v>
      </c>
      <c r="T34" s="154">
        <f t="shared" si="39"/>
        <v>149.76576000000003</v>
      </c>
      <c r="U34" s="154">
        <f t="shared" si="40"/>
        <v>161.74702080000003</v>
      </c>
      <c r="V34" s="154">
        <f t="shared" si="41"/>
        <v>174.68678246400003</v>
      </c>
      <c r="W34" s="154">
        <f t="shared" si="42"/>
        <v>188.66172506112005</v>
      </c>
      <c r="X34" s="154">
        <f t="shared" si="43"/>
        <v>203.75466306600967</v>
      </c>
      <c r="Y34" s="154">
        <f t="shared" si="44"/>
        <v>220.05503611129046</v>
      </c>
      <c r="Z34" s="154">
        <f t="shared" si="45"/>
        <v>237.65943900019371</v>
      </c>
      <c r="AA34" s="154">
        <f t="shared" si="46"/>
        <v>256.67219412020921</v>
      </c>
      <c r="AB34" s="154">
        <f t="shared" si="47"/>
        <v>277.20596964982599</v>
      </c>
      <c r="AC34" s="138">
        <f t="shared" si="19"/>
        <v>7.9324571884092032E-2</v>
      </c>
      <c r="AD34" s="31">
        <f t="shared" si="17"/>
        <v>0.05</v>
      </c>
      <c r="AE34" s="146">
        <f t="shared" si="1"/>
        <v>1712.154518425396</v>
      </c>
    </row>
    <row r="35" spans="2:31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79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>
      <c r="B36" s="20" t="s">
        <v>279</v>
      </c>
      <c r="C36" s="141"/>
      <c r="D36" s="141"/>
      <c r="E36" s="147"/>
      <c r="F36" s="147">
        <v>211</v>
      </c>
      <c r="G36" s="147">
        <v>214</v>
      </c>
      <c r="H36" s="147">
        <v>213</v>
      </c>
      <c r="I36" s="147">
        <v>221</v>
      </c>
      <c r="J36" s="147">
        <v>331</v>
      </c>
      <c r="K36" s="147">
        <v>412.5</v>
      </c>
      <c r="L36" s="147">
        <v>608</v>
      </c>
      <c r="M36" s="147">
        <v>735</v>
      </c>
      <c r="N36" s="147">
        <v>683</v>
      </c>
      <c r="O36" s="147">
        <v>622</v>
      </c>
      <c r="P36" s="179">
        <f>O36</f>
        <v>622</v>
      </c>
      <c r="Q36" s="118">
        <f>((P36/G36)^(1/($H$2-$H$1) ))-1</f>
        <v>0.12586492691917206</v>
      </c>
      <c r="R36" s="31">
        <f t="shared" si="6"/>
        <v>0.08</v>
      </c>
      <c r="S36" s="154">
        <f t="shared" ref="S36" si="103">P36*(1+$R36)</f>
        <v>671.76</v>
      </c>
      <c r="T36" s="154">
        <f t="shared" ref="T36" si="104">S36*(1+$R36)</f>
        <v>725.50080000000003</v>
      </c>
      <c r="U36" s="154">
        <f t="shared" ref="U36" si="105">T36*(1+$R36)</f>
        <v>783.54086400000006</v>
      </c>
      <c r="V36" s="154">
        <f t="shared" ref="V36" si="106">U36*(1+$R36)</f>
        <v>846.22413312000015</v>
      </c>
      <c r="W36" s="154">
        <f t="shared" si="42"/>
        <v>913.92206376960019</v>
      </c>
      <c r="X36" s="154">
        <f t="shared" si="43"/>
        <v>987.03582887116829</v>
      </c>
      <c r="Y36" s="154">
        <f t="shared" si="44"/>
        <v>1065.9986951808619</v>
      </c>
      <c r="Z36" s="154">
        <f t="shared" si="45"/>
        <v>1151.278590795331</v>
      </c>
      <c r="AA36" s="154">
        <f t="shared" si="46"/>
        <v>1243.3808780589575</v>
      </c>
      <c r="AB36" s="154">
        <f t="shared" si="47"/>
        <v>1342.8513483036741</v>
      </c>
      <c r="AC36" s="138">
        <f t="shared" si="19"/>
        <v>0.10148780420929127</v>
      </c>
      <c r="AD36" s="31">
        <f t="shared" si="17"/>
        <v>0.05</v>
      </c>
      <c r="AE36" s="146">
        <f t="shared" si="1"/>
        <v>8294.0818571697528</v>
      </c>
    </row>
    <row r="37" spans="2:31" s="123" customFormat="1">
      <c r="B37" s="23"/>
      <c r="C37" s="149"/>
      <c r="D37" s="149"/>
      <c r="E37" s="150"/>
      <c r="F37" s="150"/>
      <c r="G37" s="148">
        <f t="shared" ref="G37" si="107">(G36-F36)/G36</f>
        <v>1.4018691588785047E-2</v>
      </c>
      <c r="H37" s="148">
        <f t="shared" ref="H37" si="108">(H36-G36)/H36</f>
        <v>-4.6948356807511738E-3</v>
      </c>
      <c r="I37" s="148">
        <f t="shared" ref="I37" si="109">(I36-H36)/I36</f>
        <v>3.6199095022624438E-2</v>
      </c>
      <c r="J37" s="148">
        <f t="shared" ref="J37" si="110">(J36-I36)/J36</f>
        <v>0.33232628398791542</v>
      </c>
      <c r="K37" s="148">
        <f t="shared" ref="K37" si="111">(K36-J36)/K36</f>
        <v>0.19757575757575757</v>
      </c>
      <c r="L37" s="148">
        <f t="shared" ref="L37" si="112">(L36-K36)/L36</f>
        <v>0.32154605263157893</v>
      </c>
      <c r="M37" s="148">
        <f t="shared" ref="M37" si="113">(M36-L36)/M36</f>
        <v>0.17278911564625851</v>
      </c>
      <c r="N37" s="148">
        <f t="shared" ref="N37" si="114">(N36-M36)/N36</f>
        <v>-7.6134699853587118E-2</v>
      </c>
      <c r="O37" s="148">
        <f t="shared" ref="O37" si="115">(O36-N36)/O36</f>
        <v>-9.8070739549839234E-2</v>
      </c>
      <c r="P37" s="181">
        <f t="shared" ref="P37" si="116">(P36-O36)/P36</f>
        <v>0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>
      <c r="B38" s="20" t="s">
        <v>257</v>
      </c>
      <c r="C38" s="141"/>
      <c r="D38" s="141"/>
      <c r="E38" s="147"/>
      <c r="F38" s="147">
        <v>138</v>
      </c>
      <c r="G38" s="147">
        <v>127</v>
      </c>
      <c r="H38" s="147">
        <v>147</v>
      </c>
      <c r="I38" s="147">
        <v>155</v>
      </c>
      <c r="J38" s="147">
        <v>218</v>
      </c>
      <c r="K38" s="147">
        <v>262</v>
      </c>
      <c r="L38" s="147">
        <v>381</v>
      </c>
      <c r="M38" s="147">
        <v>490</v>
      </c>
      <c r="N38" s="147">
        <v>481</v>
      </c>
      <c r="O38" s="147">
        <v>447</v>
      </c>
      <c r="P38" s="179">
        <f>O38</f>
        <v>447</v>
      </c>
      <c r="Q38" s="118">
        <f>((P38/G38)^(1/($H$2-$H$1) ))-1</f>
        <v>0.15006568307517787</v>
      </c>
      <c r="R38" s="31">
        <f t="shared" si="6"/>
        <v>0.08</v>
      </c>
      <c r="S38" s="154">
        <f>P38*(1+$R38)</f>
        <v>482.76000000000005</v>
      </c>
      <c r="T38" s="154">
        <f t="shared" ref="T38:AB38" si="117">S38*(1+$R38)</f>
        <v>521.38080000000014</v>
      </c>
      <c r="U38" s="154">
        <f t="shared" si="117"/>
        <v>563.09126400000014</v>
      </c>
      <c r="V38" s="154">
        <f t="shared" si="117"/>
        <v>608.13856512000018</v>
      </c>
      <c r="W38" s="154">
        <f t="shared" si="117"/>
        <v>656.78965032960025</v>
      </c>
      <c r="X38" s="154">
        <f t="shared" si="117"/>
        <v>709.33282235596835</v>
      </c>
      <c r="Y38" s="154">
        <f t="shared" si="117"/>
        <v>766.07944814444591</v>
      </c>
      <c r="Z38" s="154">
        <f t="shared" si="117"/>
        <v>827.36580399600166</v>
      </c>
      <c r="AA38" s="154">
        <f t="shared" si="117"/>
        <v>893.55506831568186</v>
      </c>
      <c r="AB38" s="154">
        <f t="shared" si="117"/>
        <v>965.03947378093653</v>
      </c>
      <c r="AC38" s="138">
        <f t="shared" si="19"/>
        <v>0.11264035678308981</v>
      </c>
      <c r="AD38" s="31">
        <f t="shared" si="17"/>
        <v>0.05</v>
      </c>
      <c r="AE38" s="146">
        <f t="shared" si="1"/>
        <v>5960.5379262940205</v>
      </c>
    </row>
    <row r="39" spans="2:31" s="123" customFormat="1">
      <c r="B39" s="23"/>
      <c r="C39" s="149"/>
      <c r="D39" s="149"/>
      <c r="E39" s="150"/>
      <c r="F39" s="150"/>
      <c r="G39" s="148">
        <f>(G38-F38)/G38</f>
        <v>-8.6614173228346455E-2</v>
      </c>
      <c r="H39" s="148">
        <f t="shared" ref="H39:P39" si="118">(H38-G38)/H38</f>
        <v>0.1360544217687075</v>
      </c>
      <c r="I39" s="148">
        <f t="shared" si="118"/>
        <v>5.1612903225806452E-2</v>
      </c>
      <c r="J39" s="148">
        <f t="shared" si="118"/>
        <v>0.28899082568807338</v>
      </c>
      <c r="K39" s="148">
        <f t="shared" si="118"/>
        <v>0.16793893129770993</v>
      </c>
      <c r="L39" s="148">
        <f t="shared" si="118"/>
        <v>0.31233595800524933</v>
      </c>
      <c r="M39" s="148">
        <f t="shared" si="118"/>
        <v>0.22244897959183674</v>
      </c>
      <c r="N39" s="148">
        <f t="shared" si="118"/>
        <v>-1.8711018711018712E-2</v>
      </c>
      <c r="O39" s="148">
        <f t="shared" si="118"/>
        <v>-7.6062639821029079E-2</v>
      </c>
      <c r="P39" s="181">
        <f t="shared" si="118"/>
        <v>0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>
      <c r="B40" s="20" t="s">
        <v>239</v>
      </c>
      <c r="C40" s="142">
        <v>1</v>
      </c>
      <c r="D40" s="142">
        <v>1</v>
      </c>
      <c r="E40" s="143">
        <v>1</v>
      </c>
      <c r="F40" s="147">
        <v>12.36</v>
      </c>
      <c r="G40" s="147">
        <v>12.36</v>
      </c>
      <c r="H40" s="147">
        <v>12.36</v>
      </c>
      <c r="I40" s="147">
        <v>12.36</v>
      </c>
      <c r="J40" s="147">
        <v>12.36</v>
      </c>
      <c r="K40" s="147">
        <v>12.36</v>
      </c>
      <c r="L40" s="147">
        <v>12.36</v>
      </c>
      <c r="M40" s="147">
        <v>24.82</v>
      </c>
      <c r="N40" s="147">
        <v>24.72</v>
      </c>
      <c r="O40" s="147">
        <v>49.45</v>
      </c>
      <c r="P40" s="179">
        <f>O40</f>
        <v>49.45</v>
      </c>
      <c r="Q40" s="118">
        <f>((P40/G40)^(1/($H$2-$H$1) ))-1</f>
        <v>0.1665552537119257</v>
      </c>
      <c r="R40" s="31">
        <v>0.15</v>
      </c>
      <c r="S40" s="154">
        <f>P40*(1+$R40)</f>
        <v>56.8675</v>
      </c>
      <c r="T40" s="154">
        <f t="shared" ref="T40:AB40" si="119">S40*(1+$R40)</f>
        <v>65.397624999999991</v>
      </c>
      <c r="U40" s="154">
        <f t="shared" si="119"/>
        <v>75.207268749999983</v>
      </c>
      <c r="V40" s="154">
        <f t="shared" si="119"/>
        <v>86.488359062499967</v>
      </c>
      <c r="W40" s="154">
        <f t="shared" si="119"/>
        <v>99.461612921874959</v>
      </c>
      <c r="X40" s="154">
        <f t="shared" si="119"/>
        <v>114.38085486015619</v>
      </c>
      <c r="Y40" s="154">
        <f t="shared" si="119"/>
        <v>131.53798308917962</v>
      </c>
      <c r="Z40" s="154">
        <f t="shared" si="119"/>
        <v>151.26868055255656</v>
      </c>
      <c r="AA40" s="154">
        <f t="shared" si="119"/>
        <v>173.95898263544004</v>
      </c>
      <c r="AB40" s="154">
        <f t="shared" si="119"/>
        <v>200.05283003075604</v>
      </c>
      <c r="AC40" s="138">
        <f t="shared" si="19"/>
        <v>0.15781246952428796</v>
      </c>
      <c r="AD40" s="31">
        <f t="shared" si="17"/>
        <v>0.05</v>
      </c>
      <c r="AE40" s="146">
        <f t="shared" si="1"/>
        <v>1235.6204207781993</v>
      </c>
    </row>
    <row r="41" spans="2:31">
      <c r="B41" s="20" t="s">
        <v>283</v>
      </c>
      <c r="C41" s="145"/>
      <c r="D41" s="145"/>
      <c r="E41" s="145"/>
      <c r="F41" s="147">
        <v>8.25</v>
      </c>
      <c r="G41" s="147">
        <v>8.25</v>
      </c>
      <c r="H41" s="147">
        <v>8.25</v>
      </c>
      <c r="I41" s="147">
        <v>9</v>
      </c>
      <c r="J41" s="147">
        <v>14</v>
      </c>
      <c r="K41" s="173">
        <v>15</v>
      </c>
      <c r="L41" s="173">
        <v>25</v>
      </c>
      <c r="M41" s="173">
        <v>15</v>
      </c>
      <c r="N41" s="173">
        <v>15</v>
      </c>
      <c r="O41" s="173">
        <v>10.5</v>
      </c>
      <c r="P41" s="179">
        <f>O41</f>
        <v>10.5</v>
      </c>
      <c r="Q41" s="118">
        <f>((P41/G41)^(1/($H$2-$H$1) ))-1</f>
        <v>2.7158019334815542E-2</v>
      </c>
      <c r="R41" s="31">
        <v>0.05</v>
      </c>
      <c r="S41" s="154">
        <f t="shared" ref="S41" si="120">P41*(1+$R41)</f>
        <v>11.025</v>
      </c>
      <c r="T41" s="154">
        <f t="shared" ref="T41" si="121">S41*(1+$R41)</f>
        <v>11.576250000000002</v>
      </c>
      <c r="U41" s="154">
        <f t="shared" ref="U41" si="122">T41*(1+$R41)</f>
        <v>12.155062500000001</v>
      </c>
      <c r="V41" s="154">
        <f t="shared" ref="V41" si="123">U41*(1+$R41)</f>
        <v>12.762815625000002</v>
      </c>
      <c r="W41" s="154">
        <f t="shared" ref="W41" si="124">V41*(1+$R41)</f>
        <v>13.400956406250003</v>
      </c>
      <c r="X41" s="154">
        <f t="shared" ref="X41" si="125">W41*(1+$R41)</f>
        <v>14.071004226562504</v>
      </c>
      <c r="Y41" s="154">
        <f t="shared" ref="Y41" si="126">X41*(1+$R41)</f>
        <v>14.774554437890631</v>
      </c>
      <c r="Z41" s="154">
        <f t="shared" ref="Z41" si="127">Y41*(1+$R41)</f>
        <v>15.513282159785163</v>
      </c>
      <c r="AA41" s="154">
        <f t="shared" ref="AA41" si="128">Z41*(1+$R41)</f>
        <v>16.288946267774421</v>
      </c>
      <c r="AB41" s="154">
        <f t="shared" ref="AB41" si="129">AA41*(1+$R41)</f>
        <v>17.103393581163143</v>
      </c>
      <c r="AC41" s="138">
        <f t="shared" ref="AC41" si="130">((AB41/G41)^(1/($AB$3-$H$1) ))-1</f>
        <v>3.9117477527791378E-2</v>
      </c>
      <c r="AD41" s="31">
        <f t="shared" si="17"/>
        <v>0.05</v>
      </c>
      <c r="AE41" s="146">
        <f t="shared" si="1"/>
        <v>105.63860741306648</v>
      </c>
    </row>
    <row r="42" spans="2:31">
      <c r="B42" s="20"/>
      <c r="C42" s="20"/>
      <c r="D42" s="20"/>
      <c r="E42" s="127"/>
      <c r="F42" s="127"/>
      <c r="G42" s="127"/>
      <c r="H42" s="20"/>
      <c r="I42" s="20"/>
      <c r="J42" s="20"/>
      <c r="K42" s="20"/>
      <c r="L42" s="20"/>
      <c r="M42" s="20"/>
      <c r="N42" s="20"/>
      <c r="O42" s="20"/>
      <c r="P42" s="20"/>
      <c r="Q42" s="128"/>
      <c r="R42" s="128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9"/>
      <c r="AD42" s="137"/>
      <c r="AE42" s="154"/>
    </row>
    <row r="43" spans="2:31">
      <c r="B43" s="108" t="s">
        <v>243</v>
      </c>
      <c r="C43" s="20"/>
      <c r="D43" s="20"/>
      <c r="E43" s="127"/>
      <c r="F43" s="127"/>
      <c r="G43" s="127"/>
      <c r="H43" s="20"/>
      <c r="I43" s="20"/>
      <c r="J43" s="20"/>
      <c r="K43" s="20"/>
      <c r="L43" s="20"/>
      <c r="M43" s="20"/>
      <c r="N43" s="20"/>
      <c r="O43" s="20"/>
      <c r="P43" s="20"/>
      <c r="Q43" s="128"/>
      <c r="R43" s="128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9"/>
      <c r="AD43" s="137"/>
      <c r="AE43" s="154"/>
    </row>
    <row r="44" spans="2:31">
      <c r="B44" s="20" t="s">
        <v>304</v>
      </c>
      <c r="C44" s="133">
        <f t="shared" ref="C44:P44" si="131">C25/C40</f>
        <v>0</v>
      </c>
      <c r="D44" s="133">
        <f t="shared" si="131"/>
        <v>0</v>
      </c>
      <c r="E44" s="133">
        <f t="shared" si="131"/>
        <v>0</v>
      </c>
      <c r="F44" s="133">
        <f t="shared" si="131"/>
        <v>99.757281553398059</v>
      </c>
      <c r="G44" s="133">
        <f t="shared" si="131"/>
        <v>109.38511326860842</v>
      </c>
      <c r="H44" s="133">
        <f t="shared" si="131"/>
        <v>122.16828478964402</v>
      </c>
      <c r="I44" s="133">
        <f t="shared" si="131"/>
        <v>149.91909385113269</v>
      </c>
      <c r="J44" s="133">
        <f t="shared" si="131"/>
        <v>154.77346278317154</v>
      </c>
      <c r="K44" s="133">
        <f t="shared" si="131"/>
        <v>187.29773462783172</v>
      </c>
      <c r="L44" s="133">
        <f t="shared" si="131"/>
        <v>192.63754045307445</v>
      </c>
      <c r="M44" s="133">
        <f t="shared" si="131"/>
        <v>115.3102336825141</v>
      </c>
      <c r="N44" s="133">
        <f t="shared" si="131"/>
        <v>128.03398058252426</v>
      </c>
      <c r="O44" s="133">
        <f t="shared" si="131"/>
        <v>64.812942366026292</v>
      </c>
      <c r="P44" s="133">
        <f t="shared" si="131"/>
        <v>64.812942366026292</v>
      </c>
      <c r="Q44" s="118">
        <f>((P44/G44)^(1/($H$2-$H$1) ))-1</f>
        <v>-5.6493633002076327E-2</v>
      </c>
      <c r="R44" s="128"/>
      <c r="S44" s="158">
        <f t="shared" ref="S44:AB44" si="132">S25/S40</f>
        <v>60.867806743746428</v>
      </c>
      <c r="T44" s="158">
        <f t="shared" si="132"/>
        <v>57.1628098115184</v>
      </c>
      <c r="U44" s="158">
        <f t="shared" si="132"/>
        <v>53.683334431686852</v>
      </c>
      <c r="V44" s="158">
        <f t="shared" si="132"/>
        <v>50.415653205410273</v>
      </c>
      <c r="W44" s="158">
        <f t="shared" si="132"/>
        <v>47.346874314646172</v>
      </c>
      <c r="X44" s="158">
        <f t="shared" si="132"/>
        <v>44.464890660711191</v>
      </c>
      <c r="Y44" s="158">
        <f t="shared" si="132"/>
        <v>41.758332098754856</v>
      </c>
      <c r="Z44" s="158">
        <f t="shared" si="132"/>
        <v>39.216520579700216</v>
      </c>
      <c r="AA44" s="158">
        <f t="shared" si="132"/>
        <v>36.829428022674996</v>
      </c>
      <c r="AB44" s="158">
        <f t="shared" si="132"/>
        <v>34.587636751729562</v>
      </c>
      <c r="AC44" s="138">
        <f t="shared" ref="AC44" si="133">((AB44/G44)^(1/($AB$3-$H$1) ))-1</f>
        <v>-5.879929089113034E-2</v>
      </c>
      <c r="AD44" s="31">
        <f t="shared" si="17"/>
        <v>0.05</v>
      </c>
      <c r="AE44" s="146">
        <f t="shared" ref="AE44:AE45" si="134">(AB44*(1+AD44))/($C$1-AD44)</f>
        <v>213.62952111362381</v>
      </c>
    </row>
    <row r="45" spans="2:31">
      <c r="B45" s="20" t="s">
        <v>305</v>
      </c>
      <c r="C45" s="133">
        <f t="shared" ref="C45:P45" si="135">C27/C40</f>
        <v>0</v>
      </c>
      <c r="D45" s="133">
        <f t="shared" si="135"/>
        <v>0</v>
      </c>
      <c r="E45" s="133">
        <f t="shared" si="135"/>
        <v>0</v>
      </c>
      <c r="F45" s="133">
        <f t="shared" si="135"/>
        <v>81.796116504854368</v>
      </c>
      <c r="G45" s="133">
        <f t="shared" si="135"/>
        <v>91.343042071197416</v>
      </c>
      <c r="H45" s="133">
        <f t="shared" si="135"/>
        <v>103.31715210355988</v>
      </c>
      <c r="I45" s="133">
        <f t="shared" si="135"/>
        <v>129.28802588996766</v>
      </c>
      <c r="J45" s="133">
        <f t="shared" si="135"/>
        <v>125.24271844660194</v>
      </c>
      <c r="K45" s="133">
        <f t="shared" si="135"/>
        <v>151.61812297734627</v>
      </c>
      <c r="L45" s="133">
        <f t="shared" si="135"/>
        <v>143.12297734627833</v>
      </c>
      <c r="M45" s="133">
        <f t="shared" si="135"/>
        <v>84.528605962933113</v>
      </c>
      <c r="N45" s="133">
        <f t="shared" si="135"/>
        <v>98.543689320388353</v>
      </c>
      <c r="O45" s="133">
        <f t="shared" si="135"/>
        <v>50.758341759352881</v>
      </c>
      <c r="P45" s="133">
        <f t="shared" si="135"/>
        <v>50.758341759352881</v>
      </c>
      <c r="Q45" s="118">
        <f>((P45/G45)^(1/($H$2-$H$1) ))-1</f>
        <v>-6.3197599475584565E-2</v>
      </c>
      <c r="R45" s="128"/>
      <c r="S45" s="158">
        <f t="shared" ref="S45:AB45" si="136">S27/S40</f>
        <v>47.668703565305321</v>
      </c>
      <c r="T45" s="158">
        <f t="shared" si="136"/>
        <v>44.767130304808482</v>
      </c>
      <c r="U45" s="158">
        <f t="shared" si="136"/>
        <v>42.042174547124496</v>
      </c>
      <c r="V45" s="158">
        <f t="shared" si="136"/>
        <v>39.483085661647358</v>
      </c>
      <c r="W45" s="158">
        <f t="shared" si="136"/>
        <v>37.079767403981869</v>
      </c>
      <c r="X45" s="158">
        <f t="shared" si="136"/>
        <v>34.822738083739502</v>
      </c>
      <c r="Y45" s="158">
        <f t="shared" si="136"/>
        <v>32.703093156903186</v>
      </c>
      <c r="Z45" s="158">
        <f t="shared" si="136"/>
        <v>30.712470095178642</v>
      </c>
      <c r="AA45" s="158">
        <f t="shared" si="136"/>
        <v>28.843015393732991</v>
      </c>
      <c r="AB45" s="158">
        <f t="shared" si="136"/>
        <v>27.087353587157939</v>
      </c>
      <c r="AC45" s="138">
        <f t="shared" ref="AC45" si="137">((AB45/G45)^(1/($AB$3-$H$1) ))-1</f>
        <v>-6.1973038575392492E-2</v>
      </c>
      <c r="AD45" s="31">
        <f t="shared" si="17"/>
        <v>0.05</v>
      </c>
      <c r="AE45" s="146">
        <f t="shared" si="134"/>
        <v>167.30424274421082</v>
      </c>
    </row>
    <row r="46" spans="2:31">
      <c r="B46" s="20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28"/>
      <c r="R46" s="12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19"/>
      <c r="AD46" s="137"/>
      <c r="AE46" s="146"/>
    </row>
    <row r="47" spans="2:31">
      <c r="B47" s="20" t="s">
        <v>258</v>
      </c>
      <c r="C47" s="25">
        <f t="shared" ref="C47:P47" si="138">C38/C40</f>
        <v>0</v>
      </c>
      <c r="D47" s="25">
        <f t="shared" si="138"/>
        <v>0</v>
      </c>
      <c r="E47" s="25">
        <f t="shared" si="138"/>
        <v>0</v>
      </c>
      <c r="F47" s="133">
        <f t="shared" si="138"/>
        <v>11.165048543689322</v>
      </c>
      <c r="G47" s="133">
        <f t="shared" si="138"/>
        <v>10.275080906148867</v>
      </c>
      <c r="H47" s="133">
        <f t="shared" si="138"/>
        <v>11.893203883495147</v>
      </c>
      <c r="I47" s="133">
        <f t="shared" si="138"/>
        <v>12.540453074433657</v>
      </c>
      <c r="J47" s="133">
        <f t="shared" si="138"/>
        <v>17.637540453074436</v>
      </c>
      <c r="K47" s="133">
        <f t="shared" si="138"/>
        <v>21.197411003236247</v>
      </c>
      <c r="L47" s="133">
        <f t="shared" si="138"/>
        <v>30.825242718446603</v>
      </c>
      <c r="M47" s="133">
        <f t="shared" si="138"/>
        <v>19.742143432715551</v>
      </c>
      <c r="N47" s="133">
        <f t="shared" si="138"/>
        <v>19.457928802588999</v>
      </c>
      <c r="O47" s="133">
        <f t="shared" si="138"/>
        <v>9.0394337714863493</v>
      </c>
      <c r="P47" s="133">
        <f t="shared" si="138"/>
        <v>9.0394337714863493</v>
      </c>
      <c r="Q47" s="118">
        <f>((P47/G47)^(1/($H$2-$H$1) ))-1</f>
        <v>-1.4135267561719678E-2</v>
      </c>
      <c r="R47" s="128"/>
      <c r="S47" s="158">
        <f t="shared" ref="S47:AB47" si="139">S38/S40</f>
        <v>8.489207368004573</v>
      </c>
      <c r="T47" s="158">
        <f t="shared" si="139"/>
        <v>7.9724730064738623</v>
      </c>
      <c r="U47" s="158">
        <f t="shared" si="139"/>
        <v>7.4871920408624097</v>
      </c>
      <c r="V47" s="158">
        <f t="shared" si="139"/>
        <v>7.0314499166360038</v>
      </c>
      <c r="W47" s="158">
        <f t="shared" si="139"/>
        <v>6.6034486173625089</v>
      </c>
      <c r="X47" s="158">
        <f t="shared" si="139"/>
        <v>6.201499571088271</v>
      </c>
      <c r="Y47" s="158">
        <f t="shared" si="139"/>
        <v>5.8240169885002899</v>
      </c>
      <c r="Z47" s="158">
        <f t="shared" si="139"/>
        <v>5.4695116065915768</v>
      </c>
      <c r="AA47" s="158">
        <f t="shared" si="139"/>
        <v>5.1365848131468725</v>
      </c>
      <c r="AB47" s="158">
        <f t="shared" si="139"/>
        <v>4.8239231288683682</v>
      </c>
      <c r="AC47" s="138">
        <f t="shared" ref="AC47:AC61" si="140">((AB47/G47)^(1/($AB$3-$H$1) ))-1</f>
        <v>-3.9015051167792469E-2</v>
      </c>
      <c r="AD47" s="31">
        <f t="shared" si="17"/>
        <v>0.05</v>
      </c>
      <c r="AE47" s="146">
        <f t="shared" ref="AE47:AE75" si="141">(AB47*(1+AD47))/($C$1-AD47)</f>
        <v>29.794819325363456</v>
      </c>
    </row>
    <row r="48" spans="2:31">
      <c r="B48" s="20" t="s">
        <v>389</v>
      </c>
      <c r="C48" s="133">
        <f t="shared" ref="C48:F48" si="142">C20/C40</f>
        <v>0</v>
      </c>
      <c r="D48" s="133">
        <f t="shared" si="142"/>
        <v>0</v>
      </c>
      <c r="E48" s="133">
        <f t="shared" si="142"/>
        <v>0</v>
      </c>
      <c r="F48" s="133">
        <f t="shared" si="142"/>
        <v>0</v>
      </c>
      <c r="G48" s="133">
        <f>G20/G40</f>
        <v>0</v>
      </c>
      <c r="H48" s="133">
        <f t="shared" ref="H48:P48" si="143">H20/H40</f>
        <v>0</v>
      </c>
      <c r="I48" s="133">
        <f t="shared" si="143"/>
        <v>0</v>
      </c>
      <c r="J48" s="133">
        <f t="shared" si="143"/>
        <v>0</v>
      </c>
      <c r="K48" s="133">
        <f t="shared" si="143"/>
        <v>0</v>
      </c>
      <c r="L48" s="133">
        <f t="shared" si="143"/>
        <v>0</v>
      </c>
      <c r="M48" s="133">
        <f t="shared" si="143"/>
        <v>0</v>
      </c>
      <c r="N48" s="133">
        <f t="shared" si="143"/>
        <v>0</v>
      </c>
      <c r="O48" s="133">
        <f t="shared" si="143"/>
        <v>0</v>
      </c>
      <c r="P48" s="133">
        <f t="shared" si="143"/>
        <v>0</v>
      </c>
      <c r="Q48" s="118" t="e">
        <f>((P48/G48)^(1/($H$2-$H$1) ))-1</f>
        <v>#DIV/0!</v>
      </c>
      <c r="R48" s="128"/>
      <c r="S48" s="133">
        <f t="shared" ref="S48:AB48" si="144">S20/S40</f>
        <v>0</v>
      </c>
      <c r="T48" s="133">
        <f t="shared" si="144"/>
        <v>0</v>
      </c>
      <c r="U48" s="133">
        <f t="shared" si="144"/>
        <v>0</v>
      </c>
      <c r="V48" s="133">
        <f t="shared" si="144"/>
        <v>0</v>
      </c>
      <c r="W48" s="133">
        <f t="shared" si="144"/>
        <v>0</v>
      </c>
      <c r="X48" s="133">
        <f t="shared" si="144"/>
        <v>0</v>
      </c>
      <c r="Y48" s="133">
        <f t="shared" si="144"/>
        <v>0</v>
      </c>
      <c r="Z48" s="133">
        <f t="shared" si="144"/>
        <v>0</v>
      </c>
      <c r="AA48" s="133">
        <f t="shared" si="144"/>
        <v>0</v>
      </c>
      <c r="AB48" s="133">
        <f t="shared" si="144"/>
        <v>0</v>
      </c>
      <c r="AC48" s="138" t="e">
        <f t="shared" ref="AC48" si="145">((AB48/G48)^(1/($AB$3-$H$1) ))-1</f>
        <v>#DIV/0!</v>
      </c>
      <c r="AD48" s="31">
        <f t="shared" si="17"/>
        <v>0.05</v>
      </c>
      <c r="AE48" s="146">
        <f t="shared" si="141"/>
        <v>0</v>
      </c>
    </row>
    <row r="49" spans="2:31">
      <c r="B49" s="20" t="s">
        <v>245</v>
      </c>
      <c r="C49" s="25">
        <f t="shared" ref="C49:P49" si="146">C7/C40</f>
        <v>0</v>
      </c>
      <c r="D49" s="25">
        <f t="shared" si="146"/>
        <v>0</v>
      </c>
      <c r="E49" s="25">
        <f t="shared" si="146"/>
        <v>0</v>
      </c>
      <c r="F49" s="133">
        <f t="shared" si="146"/>
        <v>28.155339805825243</v>
      </c>
      <c r="G49" s="133">
        <f t="shared" si="146"/>
        <v>29.126213592233011</v>
      </c>
      <c r="H49" s="133">
        <f t="shared" si="146"/>
        <v>31.55339805825243</v>
      </c>
      <c r="I49" s="133">
        <f t="shared" si="146"/>
        <v>33.737864077669904</v>
      </c>
      <c r="J49" s="133">
        <f t="shared" si="146"/>
        <v>34.789644012944983</v>
      </c>
      <c r="K49" s="133">
        <f t="shared" si="146"/>
        <v>38.476537216828483</v>
      </c>
      <c r="L49" s="133">
        <f t="shared" si="146"/>
        <v>40.04854368932039</v>
      </c>
      <c r="M49" s="133">
        <f t="shared" si="146"/>
        <v>22.300564061240934</v>
      </c>
      <c r="N49" s="133">
        <f t="shared" si="146"/>
        <v>24.441747572815537</v>
      </c>
      <c r="O49" s="133">
        <f t="shared" si="146"/>
        <v>13.12901921132457</v>
      </c>
      <c r="P49" s="133">
        <f t="shared" si="146"/>
        <v>13.12901921132457</v>
      </c>
      <c r="Q49" s="118">
        <f>((P49/G49)^(1/($H$2-$H$1) ))-1</f>
        <v>-8.4728781143076581E-2</v>
      </c>
      <c r="R49" s="128"/>
      <c r="S49" s="158">
        <f t="shared" ref="S49:AB49" si="147">S7/S40</f>
        <v>12.329861520200467</v>
      </c>
      <c r="T49" s="158">
        <f t="shared" si="147"/>
        <v>11.579348210275223</v>
      </c>
      <c r="U49" s="158">
        <f t="shared" si="147"/>
        <v>10.874518319214994</v>
      </c>
      <c r="V49" s="158">
        <f t="shared" si="147"/>
        <v>10.212591117175823</v>
      </c>
      <c r="W49" s="158">
        <f t="shared" si="147"/>
        <v>9.5909551361303382</v>
      </c>
      <c r="X49" s="158">
        <f t="shared" si="147"/>
        <v>9.0071578669745787</v>
      </c>
      <c r="Y49" s="158">
        <f t="shared" si="147"/>
        <v>8.4588960837674314</v>
      </c>
      <c r="Z49" s="158">
        <f t="shared" si="147"/>
        <v>7.944006756929415</v>
      </c>
      <c r="AA49" s="158">
        <f t="shared" si="147"/>
        <v>7.4604585195511044</v>
      </c>
      <c r="AB49" s="158">
        <f t="shared" si="147"/>
        <v>7.006343653143646</v>
      </c>
      <c r="AC49" s="138">
        <f t="shared" si="140"/>
        <v>-7.2247851660491968E-2</v>
      </c>
      <c r="AD49" s="31">
        <f t="shared" si="17"/>
        <v>0.05</v>
      </c>
      <c r="AE49" s="146">
        <f t="shared" si="141"/>
        <v>43.274475504710757</v>
      </c>
    </row>
    <row r="50" spans="2:31">
      <c r="B50" s="20" t="s">
        <v>246</v>
      </c>
      <c r="C50" s="127">
        <f t="shared" ref="C50:P50" si="148">C6/C40</f>
        <v>0</v>
      </c>
      <c r="D50" s="127">
        <f t="shared" si="148"/>
        <v>0</v>
      </c>
      <c r="E50" s="127">
        <f t="shared" si="148"/>
        <v>0</v>
      </c>
      <c r="F50" s="144">
        <f t="shared" si="148"/>
        <v>18.125404530744337</v>
      </c>
      <c r="G50" s="144">
        <f t="shared" si="148"/>
        <v>19.093851132686083</v>
      </c>
      <c r="H50" s="144">
        <f t="shared" si="148"/>
        <v>21.521035598705502</v>
      </c>
      <c r="I50" s="144">
        <f t="shared" si="148"/>
        <v>23.786407766990294</v>
      </c>
      <c r="J50" s="144">
        <f t="shared" si="148"/>
        <v>24.757281553398059</v>
      </c>
      <c r="K50" s="144">
        <f t="shared" si="148"/>
        <v>28.473300970873787</v>
      </c>
      <c r="L50" s="144">
        <f t="shared" si="148"/>
        <v>30.045307443365697</v>
      </c>
      <c r="M50" s="144">
        <f t="shared" si="148"/>
        <v>12.337630942788076</v>
      </c>
      <c r="N50" s="144">
        <f t="shared" si="148"/>
        <v>14.438511326860842</v>
      </c>
      <c r="O50" s="144">
        <f t="shared" si="148"/>
        <v>3.1278058645096052</v>
      </c>
      <c r="P50" s="144">
        <f t="shared" si="148"/>
        <v>3.1278058645096052</v>
      </c>
      <c r="Q50" s="118">
        <f>((P50/G50)^(1/($H$2-$H$1) ))-1</f>
        <v>-0.18209071249682396</v>
      </c>
      <c r="R50" s="128"/>
      <c r="S50" s="157">
        <f t="shared" ref="S50:AB50" si="149">S6/S40</f>
        <v>2.9374176814524993</v>
      </c>
      <c r="T50" s="157">
        <f t="shared" si="149"/>
        <v>2.7586183443206087</v>
      </c>
      <c r="U50" s="157">
        <f t="shared" si="149"/>
        <v>2.5907024451010936</v>
      </c>
      <c r="V50" s="157">
        <f t="shared" si="149"/>
        <v>2.4330075136601579</v>
      </c>
      <c r="W50" s="157">
        <f t="shared" si="149"/>
        <v>2.2849114041330183</v>
      </c>
      <c r="X50" s="157">
        <f t="shared" si="149"/>
        <v>2.1458298404031826</v>
      </c>
      <c r="Y50" s="157">
        <f t="shared" si="149"/>
        <v>2.0152141109873369</v>
      </c>
      <c r="Z50" s="157">
        <f t="shared" si="149"/>
        <v>1.8925489042315859</v>
      </c>
      <c r="AA50" s="157">
        <f t="shared" si="149"/>
        <v>1.7773502752783592</v>
      </c>
      <c r="AB50" s="157">
        <f t="shared" si="149"/>
        <v>1.6691637367831551</v>
      </c>
      <c r="AC50" s="138">
        <f t="shared" si="140"/>
        <v>-0.12038014964263644</v>
      </c>
      <c r="AD50" s="31">
        <f t="shared" si="17"/>
        <v>0.05</v>
      </c>
      <c r="AE50" s="146">
        <f t="shared" si="141"/>
        <v>10.309540727190077</v>
      </c>
    </row>
    <row r="51" spans="2:31">
      <c r="B51" s="20" t="s">
        <v>247</v>
      </c>
      <c r="C51" s="127">
        <f t="shared" ref="C51:P51" si="150">C10/C40</f>
        <v>0</v>
      </c>
      <c r="D51" s="127">
        <f t="shared" si="150"/>
        <v>0</v>
      </c>
      <c r="E51" s="127">
        <f t="shared" si="150"/>
        <v>0</v>
      </c>
      <c r="F51" s="144">
        <f t="shared" si="150"/>
        <v>0.33980582524271846</v>
      </c>
      <c r="G51" s="144">
        <f t="shared" si="150"/>
        <v>0.29935275080906154</v>
      </c>
      <c r="H51" s="144">
        <f t="shared" si="150"/>
        <v>0.21844660194174759</v>
      </c>
      <c r="I51" s="144">
        <f t="shared" si="150"/>
        <v>0.22572815533980584</v>
      </c>
      <c r="J51" s="144">
        <f t="shared" si="150"/>
        <v>0.22572815533980584</v>
      </c>
      <c r="K51" s="144">
        <f t="shared" si="150"/>
        <v>0.22572815533980584</v>
      </c>
      <c r="L51" s="144">
        <f t="shared" si="150"/>
        <v>0</v>
      </c>
      <c r="M51" s="144">
        <f t="shared" si="150"/>
        <v>0</v>
      </c>
      <c r="N51" s="144">
        <f t="shared" si="150"/>
        <v>0</v>
      </c>
      <c r="O51" s="144">
        <f t="shared" si="150"/>
        <v>0</v>
      </c>
      <c r="P51" s="144">
        <f t="shared" si="150"/>
        <v>0</v>
      </c>
      <c r="Q51" s="118">
        <f>((P51/G51)^(1/($H$2-$H$1) ))-1</f>
        <v>-1</v>
      </c>
      <c r="R51" s="128"/>
      <c r="S51" s="157">
        <f t="shared" ref="S51:AB51" si="151">S10/S40</f>
        <v>0</v>
      </c>
      <c r="T51" s="157">
        <f t="shared" si="151"/>
        <v>0</v>
      </c>
      <c r="U51" s="157">
        <f t="shared" si="151"/>
        <v>0</v>
      </c>
      <c r="V51" s="157">
        <f t="shared" si="151"/>
        <v>0</v>
      </c>
      <c r="W51" s="157">
        <f t="shared" si="151"/>
        <v>0</v>
      </c>
      <c r="X51" s="157">
        <f t="shared" si="151"/>
        <v>0</v>
      </c>
      <c r="Y51" s="157">
        <f t="shared" si="151"/>
        <v>0</v>
      </c>
      <c r="Z51" s="157">
        <f t="shared" si="151"/>
        <v>0</v>
      </c>
      <c r="AA51" s="157">
        <f t="shared" si="151"/>
        <v>0</v>
      </c>
      <c r="AB51" s="157">
        <f t="shared" si="151"/>
        <v>0</v>
      </c>
      <c r="AC51" s="138">
        <f t="shared" si="140"/>
        <v>-1</v>
      </c>
      <c r="AD51" s="31">
        <f t="shared" si="17"/>
        <v>0.05</v>
      </c>
      <c r="AE51" s="146">
        <f t="shared" si="141"/>
        <v>0</v>
      </c>
    </row>
    <row r="52" spans="2:31">
      <c r="B52" s="20"/>
      <c r="C52" s="127"/>
      <c r="D52" s="127"/>
      <c r="E52" s="12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28"/>
      <c r="R52" s="128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39"/>
      <c r="AD52" s="137"/>
      <c r="AE52" s="146"/>
    </row>
    <row r="53" spans="2:31">
      <c r="B53" s="20" t="s">
        <v>271</v>
      </c>
      <c r="C53" s="127">
        <f t="shared" ref="C53:P53" si="152">(C7-C10)/C40</f>
        <v>0</v>
      </c>
      <c r="D53" s="127">
        <f t="shared" si="152"/>
        <v>0</v>
      </c>
      <c r="E53" s="127">
        <f t="shared" si="152"/>
        <v>0</v>
      </c>
      <c r="F53" s="144">
        <f t="shared" si="152"/>
        <v>27.815533980582526</v>
      </c>
      <c r="G53" s="144">
        <f t="shared" si="152"/>
        <v>28.826860841423951</v>
      </c>
      <c r="H53" s="144">
        <f t="shared" si="152"/>
        <v>31.334951456310684</v>
      </c>
      <c r="I53" s="144">
        <f t="shared" si="152"/>
        <v>33.512135922330096</v>
      </c>
      <c r="J53" s="144">
        <f t="shared" si="152"/>
        <v>34.563915857605181</v>
      </c>
      <c r="K53" s="144">
        <f t="shared" si="152"/>
        <v>38.250809061488674</v>
      </c>
      <c r="L53" s="144">
        <f t="shared" si="152"/>
        <v>40.04854368932039</v>
      </c>
      <c r="M53" s="144">
        <f t="shared" si="152"/>
        <v>22.300564061240934</v>
      </c>
      <c r="N53" s="144">
        <f t="shared" si="152"/>
        <v>24.441747572815537</v>
      </c>
      <c r="O53" s="144">
        <f t="shared" si="152"/>
        <v>13.12901921132457</v>
      </c>
      <c r="P53" s="144">
        <f t="shared" si="152"/>
        <v>13.12901921132457</v>
      </c>
      <c r="Q53" s="118">
        <f>((P53/G53)^(1/($H$2-$H$1) ))-1</f>
        <v>-8.3677552437594338E-2</v>
      </c>
      <c r="R53" s="128"/>
      <c r="S53" s="157">
        <f t="shared" ref="S53:AB53" si="153">(S7-S10)/S40</f>
        <v>12.329861520200467</v>
      </c>
      <c r="T53" s="157">
        <f t="shared" si="153"/>
        <v>11.579348210275223</v>
      </c>
      <c r="U53" s="157">
        <f t="shared" si="153"/>
        <v>10.874518319214994</v>
      </c>
      <c r="V53" s="157">
        <f t="shared" si="153"/>
        <v>10.212591117175823</v>
      </c>
      <c r="W53" s="157">
        <f t="shared" si="153"/>
        <v>9.5909551361303382</v>
      </c>
      <c r="X53" s="157">
        <f t="shared" si="153"/>
        <v>9.0071578669745787</v>
      </c>
      <c r="Y53" s="157">
        <f t="shared" si="153"/>
        <v>8.4588960837674314</v>
      </c>
      <c r="Z53" s="157">
        <f t="shared" si="153"/>
        <v>7.944006756929415</v>
      </c>
      <c r="AA53" s="157">
        <f t="shared" si="153"/>
        <v>7.4604585195511044</v>
      </c>
      <c r="AB53" s="157">
        <f t="shared" si="153"/>
        <v>7.006343653143646</v>
      </c>
      <c r="AC53" s="138">
        <f t="shared" si="140"/>
        <v>-7.1743263478367236E-2</v>
      </c>
      <c r="AD53" s="31">
        <f t="shared" si="17"/>
        <v>0.05</v>
      </c>
      <c r="AE53" s="146">
        <f t="shared" si="141"/>
        <v>43.274475504710757</v>
      </c>
    </row>
    <row r="54" spans="2:31">
      <c r="B54" s="20" t="s">
        <v>272</v>
      </c>
      <c r="C54" s="127">
        <f t="shared" ref="C54:P54" si="154">(C7-C10-C9)/C40</f>
        <v>0</v>
      </c>
      <c r="D54" s="127">
        <f t="shared" si="154"/>
        <v>0</v>
      </c>
      <c r="E54" s="127">
        <f t="shared" si="154"/>
        <v>0</v>
      </c>
      <c r="F54" s="144">
        <f t="shared" si="154"/>
        <v>9.2071197411003247</v>
      </c>
      <c r="G54" s="144">
        <f t="shared" si="154"/>
        <v>10.703883495145632</v>
      </c>
      <c r="H54" s="144">
        <f t="shared" si="154"/>
        <v>10.218446601941748</v>
      </c>
      <c r="I54" s="144">
        <f t="shared" si="154"/>
        <v>9.8875404530744326</v>
      </c>
      <c r="J54" s="144">
        <f t="shared" si="154"/>
        <v>6.9101941747572795</v>
      </c>
      <c r="K54" s="144">
        <f t="shared" si="154"/>
        <v>12.531553398058252</v>
      </c>
      <c r="L54" s="144">
        <f t="shared" si="154"/>
        <v>4.5396440129449855</v>
      </c>
      <c r="M54" s="144">
        <f t="shared" si="154"/>
        <v>2.0394842868654313</v>
      </c>
      <c r="N54" s="144">
        <f t="shared" si="154"/>
        <v>3.4627831715210369</v>
      </c>
      <c r="O54" s="144">
        <f t="shared" si="154"/>
        <v>1.7336703741152681</v>
      </c>
      <c r="P54" s="144">
        <f t="shared" si="154"/>
        <v>1.7336703741152681</v>
      </c>
      <c r="Q54" s="118">
        <f>((P54/G54)^(1/($H$2-$H$1) ))-1</f>
        <v>-0.18311983579400903</v>
      </c>
      <c r="R54" s="128"/>
      <c r="S54" s="157">
        <f t="shared" ref="S54:AB54" si="155">(S7-S10-S9)/S40</f>
        <v>1.628142612212599</v>
      </c>
      <c r="T54" s="157">
        <f t="shared" si="155"/>
        <v>1.5290382792953103</v>
      </c>
      <c r="U54" s="157">
        <f t="shared" si="155"/>
        <v>1.4359663840338572</v>
      </c>
      <c r="V54" s="157">
        <f t="shared" si="155"/>
        <v>1.3485597345709273</v>
      </c>
      <c r="W54" s="157">
        <f t="shared" si="155"/>
        <v>1.2664734898579144</v>
      </c>
      <c r="X54" s="157">
        <f t="shared" si="155"/>
        <v>1.18938379917091</v>
      </c>
      <c r="Y54" s="157">
        <f t="shared" si="155"/>
        <v>1.1169865244387676</v>
      </c>
      <c r="Z54" s="157">
        <f t="shared" si="155"/>
        <v>1.0489960403424945</v>
      </c>
      <c r="AA54" s="157">
        <f t="shared" si="155"/>
        <v>0.98514410745208192</v>
      </c>
      <c r="AB54" s="157">
        <f t="shared" si="155"/>
        <v>0.9251788139549989</v>
      </c>
      <c r="AC54" s="138">
        <f t="shared" si="140"/>
        <v>-0.1209045827125107</v>
      </c>
      <c r="AD54" s="31">
        <f t="shared" si="17"/>
        <v>0.05</v>
      </c>
      <c r="AE54" s="146">
        <f t="shared" si="141"/>
        <v>5.7143397332514647</v>
      </c>
    </row>
    <row r="55" spans="2:31">
      <c r="B55" s="20" t="s">
        <v>277</v>
      </c>
      <c r="C55" s="127">
        <f t="shared" ref="C55:P55" si="156">(C7+C15-C10-C9)/C40</f>
        <v>0</v>
      </c>
      <c r="D55" s="127">
        <f t="shared" si="156"/>
        <v>0</v>
      </c>
      <c r="E55" s="127">
        <f t="shared" si="156"/>
        <v>0</v>
      </c>
      <c r="F55" s="144">
        <f t="shared" si="156"/>
        <v>34.661003236245953</v>
      </c>
      <c r="G55" s="144">
        <f t="shared" si="156"/>
        <v>37.160194174757279</v>
      </c>
      <c r="H55" s="144">
        <f t="shared" si="156"/>
        <v>43.009708737864074</v>
      </c>
      <c r="I55" s="144">
        <f t="shared" si="156"/>
        <v>49.960355987055017</v>
      </c>
      <c r="J55" s="144">
        <f t="shared" si="156"/>
        <v>39.117313915857601</v>
      </c>
      <c r="K55" s="144">
        <f t="shared" si="156"/>
        <v>50.158576051779939</v>
      </c>
      <c r="L55" s="144">
        <f t="shared" si="156"/>
        <v>37.294498381877027</v>
      </c>
      <c r="M55" s="144">
        <f t="shared" si="156"/>
        <v>19.847703464947624</v>
      </c>
      <c r="N55" s="144">
        <f t="shared" si="156"/>
        <v>26.474919093851131</v>
      </c>
      <c r="O55" s="144">
        <f t="shared" si="156"/>
        <v>24.17654196157735</v>
      </c>
      <c r="P55" s="144">
        <f t="shared" si="156"/>
        <v>24.17654196157735</v>
      </c>
      <c r="Q55" s="118">
        <f>((P55/G55)^(1/($H$2-$H$1) ))-1</f>
        <v>-4.6639055843506583E-2</v>
      </c>
      <c r="R55" s="128"/>
      <c r="S55" s="157">
        <f t="shared" ref="S55:AB55" si="157">(S7+S15-S10-S9)/S40</f>
        <v>22.704926363916119</v>
      </c>
      <c r="T55" s="157">
        <f t="shared" si="157"/>
        <v>21.322887367851671</v>
      </c>
      <c r="U55" s="157">
        <f t="shared" si="157"/>
        <v>20.024972484591132</v>
      </c>
      <c r="V55" s="157">
        <f t="shared" si="157"/>
        <v>18.806061115963853</v>
      </c>
      <c r="W55" s="157">
        <f t="shared" si="157"/>
        <v>17.661344352383445</v>
      </c>
      <c r="X55" s="157">
        <f t="shared" si="157"/>
        <v>16.586306000499242</v>
      </c>
      <c r="Y55" s="157">
        <f t="shared" si="157"/>
        <v>15.576704765686248</v>
      </c>
      <c r="Z55" s="157">
        <f t="shared" si="157"/>
        <v>14.628557519079257</v>
      </c>
      <c r="AA55" s="157">
        <f t="shared" si="157"/>
        <v>13.738123583135302</v>
      </c>
      <c r="AB55" s="157">
        <f t="shared" si="157"/>
        <v>12.901889973727068</v>
      </c>
      <c r="AC55" s="138">
        <f t="shared" si="140"/>
        <v>-5.4155471802886268E-2</v>
      </c>
      <c r="AD55" s="31">
        <f t="shared" si="17"/>
        <v>0.05</v>
      </c>
      <c r="AE55" s="146">
        <f t="shared" si="141"/>
        <v>79.688143955373079</v>
      </c>
    </row>
    <row r="56" spans="2:31">
      <c r="B56" s="20"/>
      <c r="C56" s="127"/>
      <c r="D56" s="127"/>
      <c r="E56" s="12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137"/>
      <c r="AE56" s="154"/>
    </row>
    <row r="57" spans="2:31">
      <c r="B57" s="20" t="s">
        <v>248</v>
      </c>
      <c r="C57" s="127">
        <f t="shared" ref="C57:P57" si="158">C12/C40</f>
        <v>0</v>
      </c>
      <c r="D57" s="127">
        <f t="shared" si="158"/>
        <v>0</v>
      </c>
      <c r="E57" s="127">
        <f t="shared" si="158"/>
        <v>0</v>
      </c>
      <c r="F57" s="144">
        <f t="shared" si="158"/>
        <v>2.2653721682847898</v>
      </c>
      <c r="G57" s="144">
        <f t="shared" si="158"/>
        <v>2.4012944983818771</v>
      </c>
      <c r="H57" s="144">
        <f t="shared" si="158"/>
        <v>3.2233009708737868</v>
      </c>
      <c r="I57" s="144">
        <f t="shared" si="158"/>
        <v>4.1100323624595472</v>
      </c>
      <c r="J57" s="144">
        <f t="shared" si="158"/>
        <v>2.0347896440129452</v>
      </c>
      <c r="K57" s="144">
        <f t="shared" si="158"/>
        <v>20.668284789644016</v>
      </c>
      <c r="L57" s="144">
        <f t="shared" si="158"/>
        <v>42.537216828478968</v>
      </c>
      <c r="M57" s="144">
        <f t="shared" si="158"/>
        <v>24.950040290088637</v>
      </c>
      <c r="N57" s="144">
        <f t="shared" si="158"/>
        <v>22.208737864077673</v>
      </c>
      <c r="O57" s="144">
        <f t="shared" si="158"/>
        <v>11.619615773508594</v>
      </c>
      <c r="P57" s="144">
        <f t="shared" si="158"/>
        <v>11.619615773508594</v>
      </c>
      <c r="Q57" s="118">
        <f>((P57/G57)^(1/($H$2-$H$1) ))-1</f>
        <v>0.19146949277899084</v>
      </c>
      <c r="R57" s="128"/>
      <c r="S57" s="157">
        <f t="shared" ref="S57:AB57" si="159">S12/S40</f>
        <v>10.912334813381985</v>
      </c>
      <c r="T57" s="157">
        <f t="shared" si="159"/>
        <v>10.248105737784824</v>
      </c>
      <c r="U57" s="157">
        <f t="shared" si="159"/>
        <v>9.6243079972240082</v>
      </c>
      <c r="V57" s="157">
        <f t="shared" si="159"/>
        <v>9.0384805539147237</v>
      </c>
      <c r="W57" s="157">
        <f t="shared" si="159"/>
        <v>8.4883121723720887</v>
      </c>
      <c r="X57" s="157">
        <f t="shared" si="159"/>
        <v>7.9716323010103105</v>
      </c>
      <c r="Y57" s="157">
        <f t="shared" si="159"/>
        <v>7.4864025087749004</v>
      </c>
      <c r="Z57" s="157">
        <f t="shared" si="159"/>
        <v>7.0307084430233857</v>
      </c>
      <c r="AA57" s="157">
        <f t="shared" si="159"/>
        <v>6.6027522769263109</v>
      </c>
      <c r="AB57" s="157">
        <f t="shared" si="159"/>
        <v>6.2008456165916668</v>
      </c>
      <c r="AC57" s="138">
        <f t="shared" si="140"/>
        <v>5.1197936332551874E-2</v>
      </c>
      <c r="AD57" s="31">
        <f t="shared" si="17"/>
        <v>0.05</v>
      </c>
      <c r="AE57" s="146">
        <f t="shared" si="141"/>
        <v>38.299340573066182</v>
      </c>
    </row>
    <row r="58" spans="2:31">
      <c r="B58" s="20" t="s">
        <v>255</v>
      </c>
      <c r="C58" s="127">
        <f t="shared" ref="C58:P58" si="160">C13/C40</f>
        <v>0</v>
      </c>
      <c r="D58" s="127">
        <f t="shared" si="160"/>
        <v>0</v>
      </c>
      <c r="E58" s="127">
        <f t="shared" si="160"/>
        <v>0</v>
      </c>
      <c r="F58" s="144">
        <f t="shared" si="160"/>
        <v>6.8770226537216832</v>
      </c>
      <c r="G58" s="144">
        <f t="shared" si="160"/>
        <v>10.436893203883496</v>
      </c>
      <c r="H58" s="144">
        <f t="shared" si="160"/>
        <v>8.7378640776699026</v>
      </c>
      <c r="I58" s="144">
        <f t="shared" si="160"/>
        <v>3.4385113268608416</v>
      </c>
      <c r="J58" s="144">
        <f t="shared" si="160"/>
        <v>1.6650485436893203</v>
      </c>
      <c r="K58" s="144">
        <f t="shared" si="160"/>
        <v>4.2071197411003243E-2</v>
      </c>
      <c r="L58" s="144">
        <f t="shared" si="160"/>
        <v>0</v>
      </c>
      <c r="M58" s="144">
        <f t="shared" si="160"/>
        <v>0</v>
      </c>
      <c r="N58" s="144">
        <f t="shared" si="160"/>
        <v>0</v>
      </c>
      <c r="O58" s="144">
        <f t="shared" si="160"/>
        <v>0</v>
      </c>
      <c r="P58" s="144">
        <f t="shared" si="160"/>
        <v>0</v>
      </c>
      <c r="Q58" s="118">
        <f>((P58/G58)^(1/($H$2-$H$1) ))-1</f>
        <v>-1</v>
      </c>
      <c r="R58" s="128"/>
      <c r="S58" s="157">
        <f t="shared" ref="S58:AB58" si="161">S13/S40</f>
        <v>0</v>
      </c>
      <c r="T58" s="157">
        <f t="shared" si="161"/>
        <v>0</v>
      </c>
      <c r="U58" s="157">
        <f t="shared" si="161"/>
        <v>0</v>
      </c>
      <c r="V58" s="157">
        <f t="shared" si="161"/>
        <v>0</v>
      </c>
      <c r="W58" s="157">
        <f t="shared" si="161"/>
        <v>0</v>
      </c>
      <c r="X58" s="157">
        <f t="shared" si="161"/>
        <v>0</v>
      </c>
      <c r="Y58" s="157">
        <f t="shared" si="161"/>
        <v>0</v>
      </c>
      <c r="Z58" s="157">
        <f t="shared" si="161"/>
        <v>0</v>
      </c>
      <c r="AA58" s="157">
        <f t="shared" si="161"/>
        <v>0</v>
      </c>
      <c r="AB58" s="157">
        <f t="shared" si="161"/>
        <v>0</v>
      </c>
      <c r="AC58" s="138">
        <f t="shared" si="140"/>
        <v>-1</v>
      </c>
      <c r="AD58" s="31">
        <f t="shared" si="17"/>
        <v>0.05</v>
      </c>
      <c r="AE58" s="146">
        <f t="shared" si="141"/>
        <v>0</v>
      </c>
    </row>
    <row r="59" spans="2:31">
      <c r="B59" s="20" t="s">
        <v>256</v>
      </c>
      <c r="C59" s="127">
        <f>(C57+C58)</f>
        <v>0</v>
      </c>
      <c r="D59" s="127">
        <f t="shared" ref="D59:P59" si="162">(D57+D58)</f>
        <v>0</v>
      </c>
      <c r="E59" s="127">
        <f t="shared" si="162"/>
        <v>0</v>
      </c>
      <c r="F59" s="144">
        <f t="shared" si="162"/>
        <v>9.142394822006473</v>
      </c>
      <c r="G59" s="144">
        <f t="shared" si="162"/>
        <v>12.838187702265373</v>
      </c>
      <c r="H59" s="144">
        <f t="shared" si="162"/>
        <v>11.961165048543689</v>
      </c>
      <c r="I59" s="144">
        <f t="shared" si="162"/>
        <v>7.5485436893203888</v>
      </c>
      <c r="J59" s="144">
        <f t="shared" si="162"/>
        <v>3.6998381877022655</v>
      </c>
      <c r="K59" s="144">
        <f t="shared" si="162"/>
        <v>20.710355987055021</v>
      </c>
      <c r="L59" s="144">
        <f t="shared" si="162"/>
        <v>42.537216828478968</v>
      </c>
      <c r="M59" s="144">
        <f t="shared" si="162"/>
        <v>24.950040290088637</v>
      </c>
      <c r="N59" s="144">
        <f t="shared" si="162"/>
        <v>22.208737864077673</v>
      </c>
      <c r="O59" s="144">
        <f t="shared" ref="O59" si="163">(O57+O58)</f>
        <v>11.619615773508594</v>
      </c>
      <c r="P59" s="144">
        <f t="shared" si="162"/>
        <v>11.619615773508594</v>
      </c>
      <c r="Q59" s="118">
        <f>((P59/G59)^(1/($H$2-$H$1) ))-1</f>
        <v>-1.1019882267997327E-2</v>
      </c>
      <c r="R59" s="128"/>
      <c r="S59" s="157">
        <f t="shared" ref="S59:AB59" si="164">(S57+S58)</f>
        <v>10.912334813381985</v>
      </c>
      <c r="T59" s="157">
        <f t="shared" si="164"/>
        <v>10.248105737784824</v>
      </c>
      <c r="U59" s="157">
        <f t="shared" si="164"/>
        <v>9.6243079972240082</v>
      </c>
      <c r="V59" s="157">
        <f t="shared" si="164"/>
        <v>9.0384805539147237</v>
      </c>
      <c r="W59" s="157">
        <f t="shared" si="164"/>
        <v>8.4883121723720887</v>
      </c>
      <c r="X59" s="157">
        <f t="shared" si="164"/>
        <v>7.9716323010103105</v>
      </c>
      <c r="Y59" s="157">
        <f t="shared" si="164"/>
        <v>7.4864025087749004</v>
      </c>
      <c r="Z59" s="157">
        <f t="shared" si="164"/>
        <v>7.0307084430233857</v>
      </c>
      <c r="AA59" s="157">
        <f t="shared" si="164"/>
        <v>6.6027522769263109</v>
      </c>
      <c r="AB59" s="157">
        <f t="shared" si="164"/>
        <v>6.2008456165916668</v>
      </c>
      <c r="AC59" s="138">
        <f t="shared" si="140"/>
        <v>-3.7577778382380966E-2</v>
      </c>
      <c r="AD59" s="31">
        <f t="shared" si="17"/>
        <v>0.05</v>
      </c>
      <c r="AE59" s="146">
        <f t="shared" si="141"/>
        <v>38.299340573066182</v>
      </c>
    </row>
    <row r="60" spans="2:31">
      <c r="B60" s="20" t="s">
        <v>249</v>
      </c>
      <c r="C60" s="127">
        <f t="shared" ref="C60:P60" si="165">C15/C40</f>
        <v>0</v>
      </c>
      <c r="D60" s="127">
        <f t="shared" si="165"/>
        <v>0</v>
      </c>
      <c r="E60" s="127">
        <f t="shared" si="165"/>
        <v>0</v>
      </c>
      <c r="F60" s="144">
        <f t="shared" si="165"/>
        <v>25.453883495145632</v>
      </c>
      <c r="G60" s="144">
        <f t="shared" si="165"/>
        <v>26.456310679611651</v>
      </c>
      <c r="H60" s="144">
        <f t="shared" si="165"/>
        <v>32.791262135922331</v>
      </c>
      <c r="I60" s="144">
        <f t="shared" si="165"/>
        <v>40.072815533980588</v>
      </c>
      <c r="J60" s="144">
        <f t="shared" si="165"/>
        <v>32.207119741100321</v>
      </c>
      <c r="K60" s="144">
        <f t="shared" si="165"/>
        <v>37.627022653721681</v>
      </c>
      <c r="L60" s="144">
        <f t="shared" si="165"/>
        <v>32.754854368932044</v>
      </c>
      <c r="M60" s="144">
        <f t="shared" si="165"/>
        <v>17.80821917808219</v>
      </c>
      <c r="N60" s="144">
        <f t="shared" si="165"/>
        <v>23.012135922330099</v>
      </c>
      <c r="O60" s="144">
        <f t="shared" si="165"/>
        <v>22.442871587462079</v>
      </c>
      <c r="P60" s="144">
        <f t="shared" si="165"/>
        <v>22.442871587462079</v>
      </c>
      <c r="Q60" s="118">
        <f>((P60/G60)^(1/($H$2-$H$1) ))-1</f>
        <v>-1.811411741479263E-2</v>
      </c>
      <c r="R60" s="128"/>
      <c r="S60" s="157">
        <f t="shared" ref="S60:AB60" si="166">S15/S40</f>
        <v>21.076783751703523</v>
      </c>
      <c r="T60" s="157">
        <f t="shared" si="166"/>
        <v>19.793849088556357</v>
      </c>
      <c r="U60" s="157">
        <f t="shared" si="166"/>
        <v>18.589006100557278</v>
      </c>
      <c r="V60" s="157">
        <f t="shared" si="166"/>
        <v>17.457501381392927</v>
      </c>
      <c r="W60" s="157">
        <f t="shared" si="166"/>
        <v>16.394870862525533</v>
      </c>
      <c r="X60" s="157">
        <f t="shared" si="166"/>
        <v>15.39692220132833</v>
      </c>
      <c r="Y60" s="157">
        <f t="shared" si="166"/>
        <v>14.459718241247476</v>
      </c>
      <c r="Z60" s="157">
        <f t="shared" si="166"/>
        <v>13.57956147873676</v>
      </c>
      <c r="AA60" s="157">
        <f t="shared" si="166"/>
        <v>12.752979475683219</v>
      </c>
      <c r="AB60" s="157">
        <f t="shared" si="166"/>
        <v>11.976711159772069</v>
      </c>
      <c r="AC60" s="138">
        <f t="shared" si="140"/>
        <v>-4.0854161027950364E-2</v>
      </c>
      <c r="AD60" s="31">
        <f t="shared" si="17"/>
        <v>0.05</v>
      </c>
      <c r="AE60" s="146">
        <f t="shared" si="141"/>
        <v>73.973804222121615</v>
      </c>
    </row>
    <row r="61" spans="2:31">
      <c r="B61" s="20" t="s">
        <v>250</v>
      </c>
      <c r="C61" s="127">
        <f t="shared" ref="C61:P61" si="167">C16/C40</f>
        <v>0</v>
      </c>
      <c r="D61" s="127">
        <f t="shared" si="167"/>
        <v>0</v>
      </c>
      <c r="E61" s="127">
        <f t="shared" si="167"/>
        <v>0</v>
      </c>
      <c r="F61" s="144">
        <f t="shared" si="167"/>
        <v>7.8058252427184476</v>
      </c>
      <c r="G61" s="144">
        <f t="shared" si="167"/>
        <v>6.8859223300970873</v>
      </c>
      <c r="H61" s="144">
        <f t="shared" si="167"/>
        <v>11.843042071197411</v>
      </c>
      <c r="I61" s="144">
        <f t="shared" si="167"/>
        <v>20.105177993527509</v>
      </c>
      <c r="J61" s="144">
        <f t="shared" si="167"/>
        <v>22.580906148867317</v>
      </c>
      <c r="K61" s="144">
        <f t="shared" si="167"/>
        <v>27.013754045307444</v>
      </c>
      <c r="L61" s="144">
        <f t="shared" si="167"/>
        <v>28.88349514563107</v>
      </c>
      <c r="M61" s="144">
        <f t="shared" si="167"/>
        <v>16.785253827558421</v>
      </c>
      <c r="N61" s="144">
        <f t="shared" si="167"/>
        <v>18.632686084142396</v>
      </c>
      <c r="O61" s="144">
        <f t="shared" si="167"/>
        <v>9.9524772497472185</v>
      </c>
      <c r="P61" s="144">
        <f t="shared" si="167"/>
        <v>9.9524772497472185</v>
      </c>
      <c r="Q61" s="118">
        <f>((P61/G61)^(1/($H$2-$H$1) ))-1</f>
        <v>4.1775984192336191E-2</v>
      </c>
      <c r="R61" s="128"/>
      <c r="S61" s="157">
        <f t="shared" ref="S61:AB61" si="168">S16/S40</f>
        <v>9.3466742867191286</v>
      </c>
      <c r="T61" s="157">
        <f t="shared" si="168"/>
        <v>8.7777462866579672</v>
      </c>
      <c r="U61" s="157">
        <f t="shared" si="168"/>
        <v>8.2434486866005265</v>
      </c>
      <c r="V61" s="157">
        <f t="shared" si="168"/>
        <v>7.7416735491552799</v>
      </c>
      <c r="W61" s="157">
        <f t="shared" si="168"/>
        <v>7.2704412461632195</v>
      </c>
      <c r="X61" s="157">
        <f t="shared" si="168"/>
        <v>6.8278926485706766</v>
      </c>
      <c r="Y61" s="157">
        <f t="shared" si="168"/>
        <v>6.4122817917011572</v>
      </c>
      <c r="Z61" s="157">
        <f t="shared" si="168"/>
        <v>6.0219689869889139</v>
      </c>
      <c r="AA61" s="157">
        <f t="shared" si="168"/>
        <v>5.6554143529982843</v>
      </c>
      <c r="AB61" s="157">
        <f t="shared" si="168"/>
        <v>5.3111717402070848</v>
      </c>
      <c r="AC61" s="138">
        <f t="shared" si="140"/>
        <v>-1.3573698712480819E-2</v>
      </c>
      <c r="AD61" s="137"/>
      <c r="AE61" s="146">
        <f t="shared" si="141"/>
        <v>24.141689728214022</v>
      </c>
    </row>
    <row r="62" spans="2:31">
      <c r="B62" s="20"/>
      <c r="C62" s="127"/>
      <c r="D62" s="127"/>
      <c r="E62" s="12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28"/>
      <c r="R62" s="128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39"/>
      <c r="AD62" s="31">
        <f t="shared" si="17"/>
        <v>0.05</v>
      </c>
      <c r="AE62" s="146">
        <f t="shared" si="141"/>
        <v>0</v>
      </c>
    </row>
    <row r="63" spans="2:31">
      <c r="B63" s="20" t="s">
        <v>283</v>
      </c>
      <c r="C63" s="159">
        <f>C41</f>
        <v>0</v>
      </c>
      <c r="D63" s="159">
        <f t="shared" ref="D63:P63" si="169">D41</f>
        <v>0</v>
      </c>
      <c r="E63" s="159">
        <f t="shared" si="169"/>
        <v>0</v>
      </c>
      <c r="F63" s="159">
        <f t="shared" si="169"/>
        <v>8.25</v>
      </c>
      <c r="G63" s="159">
        <f t="shared" si="169"/>
        <v>8.25</v>
      </c>
      <c r="H63" s="159">
        <f t="shared" si="169"/>
        <v>8.25</v>
      </c>
      <c r="I63" s="159">
        <f t="shared" si="169"/>
        <v>9</v>
      </c>
      <c r="J63" s="159">
        <f t="shared" si="169"/>
        <v>14</v>
      </c>
      <c r="K63" s="159">
        <f t="shared" si="169"/>
        <v>15</v>
      </c>
      <c r="L63" s="159">
        <f t="shared" si="169"/>
        <v>25</v>
      </c>
      <c r="M63" s="159">
        <f t="shared" si="169"/>
        <v>15</v>
      </c>
      <c r="N63" s="159">
        <f t="shared" si="169"/>
        <v>15</v>
      </c>
      <c r="O63" s="159">
        <f t="shared" si="169"/>
        <v>10.5</v>
      </c>
      <c r="P63" s="159">
        <f t="shared" si="169"/>
        <v>10.5</v>
      </c>
      <c r="Q63" s="118">
        <f>((P63/G63)^(1/($H$2-$H$1) ))-1</f>
        <v>2.7158019334815542E-2</v>
      </c>
      <c r="R63" s="128"/>
      <c r="S63" s="159">
        <f t="shared" ref="S63:AB63" si="170">S41</f>
        <v>11.025</v>
      </c>
      <c r="T63" s="159">
        <f t="shared" si="170"/>
        <v>11.576250000000002</v>
      </c>
      <c r="U63" s="159">
        <f t="shared" si="170"/>
        <v>12.155062500000001</v>
      </c>
      <c r="V63" s="159">
        <f t="shared" si="170"/>
        <v>12.762815625000002</v>
      </c>
      <c r="W63" s="159">
        <f t="shared" si="170"/>
        <v>13.400956406250003</v>
      </c>
      <c r="X63" s="159">
        <f t="shared" si="170"/>
        <v>14.071004226562504</v>
      </c>
      <c r="Y63" s="159">
        <f t="shared" si="170"/>
        <v>14.774554437890631</v>
      </c>
      <c r="Z63" s="159">
        <f t="shared" si="170"/>
        <v>15.513282159785163</v>
      </c>
      <c r="AA63" s="159">
        <f t="shared" si="170"/>
        <v>16.288946267774421</v>
      </c>
      <c r="AB63" s="159">
        <f t="shared" si="170"/>
        <v>17.103393581163143</v>
      </c>
      <c r="AC63" s="138">
        <f t="shared" ref="AC63" si="171">((AB63/G63)^(1/($AB$3-$H$1) ))-1</f>
        <v>3.9117477527791378E-2</v>
      </c>
      <c r="AD63" s="31">
        <f t="shared" si="17"/>
        <v>0.05</v>
      </c>
      <c r="AE63" s="146">
        <f t="shared" si="141"/>
        <v>105.63860741306648</v>
      </c>
    </row>
    <row r="64" spans="2:31">
      <c r="B64" s="20"/>
      <c r="C64" s="127"/>
      <c r="D64" s="127"/>
      <c r="E64" s="12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28"/>
      <c r="R64" s="128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39"/>
      <c r="AD64" s="137"/>
      <c r="AE64" s="154"/>
    </row>
    <row r="65" spans="2:31">
      <c r="B65" s="20" t="s">
        <v>318</v>
      </c>
      <c r="C65" s="127">
        <f t="shared" ref="C65:P65" si="172">C20+C21</f>
        <v>0</v>
      </c>
      <c r="D65" s="127">
        <f t="shared" si="172"/>
        <v>0</v>
      </c>
      <c r="E65" s="127">
        <f t="shared" si="172"/>
        <v>0</v>
      </c>
      <c r="F65" s="144">
        <f t="shared" si="172"/>
        <v>0</v>
      </c>
      <c r="G65" s="144">
        <f t="shared" si="172"/>
        <v>0</v>
      </c>
      <c r="H65" s="144">
        <f t="shared" si="172"/>
        <v>0</v>
      </c>
      <c r="I65" s="144">
        <f t="shared" si="172"/>
        <v>0</v>
      </c>
      <c r="J65" s="144">
        <f t="shared" si="172"/>
        <v>0</v>
      </c>
      <c r="K65" s="144">
        <f t="shared" si="172"/>
        <v>0</v>
      </c>
      <c r="L65" s="144">
        <f t="shared" si="172"/>
        <v>0</v>
      </c>
      <c r="M65" s="144">
        <f t="shared" si="172"/>
        <v>0</v>
      </c>
      <c r="N65" s="144">
        <f t="shared" si="172"/>
        <v>0</v>
      </c>
      <c r="O65" s="144">
        <f t="shared" si="172"/>
        <v>0</v>
      </c>
      <c r="P65" s="144">
        <f t="shared" si="172"/>
        <v>0</v>
      </c>
      <c r="Q65" s="118" t="e">
        <f>((P65/G65)^(1/($H$2-$H$1) ))-1</f>
        <v>#DIV/0!</v>
      </c>
      <c r="R65" s="128"/>
      <c r="S65" s="144">
        <f t="shared" ref="S65:AB65" si="173">S20+S21</f>
        <v>0</v>
      </c>
      <c r="T65" s="144">
        <f t="shared" si="173"/>
        <v>0</v>
      </c>
      <c r="U65" s="144">
        <f t="shared" si="173"/>
        <v>0</v>
      </c>
      <c r="V65" s="144">
        <f t="shared" si="173"/>
        <v>0</v>
      </c>
      <c r="W65" s="144">
        <f t="shared" si="173"/>
        <v>0</v>
      </c>
      <c r="X65" s="144">
        <f t="shared" si="173"/>
        <v>0</v>
      </c>
      <c r="Y65" s="144">
        <f t="shared" si="173"/>
        <v>0</v>
      </c>
      <c r="Z65" s="144">
        <f t="shared" si="173"/>
        <v>0</v>
      </c>
      <c r="AA65" s="144">
        <f t="shared" si="173"/>
        <v>0</v>
      </c>
      <c r="AB65" s="144">
        <f t="shared" si="173"/>
        <v>0</v>
      </c>
      <c r="AC65" s="138" t="e">
        <f t="shared" ref="AC65:AC70" si="174">((AB65/G65)^(1/($AB$3-$H$1) ))-1</f>
        <v>#DIV/0!</v>
      </c>
      <c r="AD65" s="31">
        <f t="shared" si="17"/>
        <v>0.05</v>
      </c>
      <c r="AE65" s="146">
        <f t="shared" si="141"/>
        <v>0</v>
      </c>
    </row>
    <row r="66" spans="2:31">
      <c r="B66" s="20"/>
      <c r="C66" s="127"/>
      <c r="D66" s="127"/>
      <c r="E66" s="12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28"/>
      <c r="R66" s="128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39"/>
      <c r="AD66" s="137"/>
      <c r="AE66" s="146"/>
    </row>
    <row r="67" spans="2:31">
      <c r="B67" s="20" t="s">
        <v>319</v>
      </c>
      <c r="C67" s="127">
        <f t="shared" ref="C67:P67" si="175">C65/C40</f>
        <v>0</v>
      </c>
      <c r="D67" s="127">
        <f t="shared" si="175"/>
        <v>0</v>
      </c>
      <c r="E67" s="127">
        <f t="shared" si="175"/>
        <v>0</v>
      </c>
      <c r="F67" s="144">
        <f t="shared" si="175"/>
        <v>0</v>
      </c>
      <c r="G67" s="144">
        <f t="shared" si="175"/>
        <v>0</v>
      </c>
      <c r="H67" s="144">
        <f t="shared" si="175"/>
        <v>0</v>
      </c>
      <c r="I67" s="144">
        <f t="shared" si="175"/>
        <v>0</v>
      </c>
      <c r="J67" s="144">
        <f t="shared" si="175"/>
        <v>0</v>
      </c>
      <c r="K67" s="144">
        <f t="shared" si="175"/>
        <v>0</v>
      </c>
      <c r="L67" s="144">
        <f t="shared" si="175"/>
        <v>0</v>
      </c>
      <c r="M67" s="144">
        <f t="shared" si="175"/>
        <v>0</v>
      </c>
      <c r="N67" s="144">
        <f t="shared" si="175"/>
        <v>0</v>
      </c>
      <c r="O67" s="144">
        <f t="shared" si="175"/>
        <v>0</v>
      </c>
      <c r="P67" s="144">
        <f t="shared" si="175"/>
        <v>0</v>
      </c>
      <c r="Q67" s="118" t="e">
        <f>((P67/G67)^(1/($H$2-$H$1) ))-1</f>
        <v>#DIV/0!</v>
      </c>
      <c r="R67" s="128"/>
      <c r="S67" s="146">
        <f t="shared" ref="S67:AB67" si="176">S65/S40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74"/>
        <v>#DIV/0!</v>
      </c>
      <c r="AD67" s="31">
        <f t="shared" si="17"/>
        <v>0.05</v>
      </c>
      <c r="AE67" s="146">
        <f t="shared" si="141"/>
        <v>0</v>
      </c>
    </row>
    <row r="68" spans="2:31">
      <c r="B68" s="20" t="s">
        <v>288</v>
      </c>
      <c r="C68" s="127">
        <f t="shared" ref="C68:P68" si="177">C20/C40</f>
        <v>0</v>
      </c>
      <c r="D68" s="127">
        <f t="shared" si="177"/>
        <v>0</v>
      </c>
      <c r="E68" s="127">
        <f t="shared" si="177"/>
        <v>0</v>
      </c>
      <c r="F68" s="144">
        <f t="shared" si="177"/>
        <v>0</v>
      </c>
      <c r="G68" s="144">
        <f t="shared" si="177"/>
        <v>0</v>
      </c>
      <c r="H68" s="144">
        <f t="shared" si="177"/>
        <v>0</v>
      </c>
      <c r="I68" s="144">
        <f t="shared" si="177"/>
        <v>0</v>
      </c>
      <c r="J68" s="144">
        <f t="shared" si="177"/>
        <v>0</v>
      </c>
      <c r="K68" s="144">
        <f t="shared" si="177"/>
        <v>0</v>
      </c>
      <c r="L68" s="144">
        <f t="shared" si="177"/>
        <v>0</v>
      </c>
      <c r="M68" s="144">
        <f t="shared" si="177"/>
        <v>0</v>
      </c>
      <c r="N68" s="144">
        <f t="shared" si="177"/>
        <v>0</v>
      </c>
      <c r="O68" s="144">
        <f t="shared" si="177"/>
        <v>0</v>
      </c>
      <c r="P68" s="144">
        <f t="shared" si="177"/>
        <v>0</v>
      </c>
      <c r="Q68" s="118" t="e">
        <f>((P68/G68)^(1/($H$2-$H$1) ))-1</f>
        <v>#DIV/0!</v>
      </c>
      <c r="R68" s="128"/>
      <c r="S68" s="146">
        <f t="shared" ref="S68:AB68" si="178">S20/S40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si="174"/>
        <v>#DIV/0!</v>
      </c>
      <c r="AD68" s="31">
        <f t="shared" si="17"/>
        <v>0.05</v>
      </c>
      <c r="AE68" s="146">
        <f t="shared" si="141"/>
        <v>0</v>
      </c>
    </row>
    <row r="69" spans="2:31">
      <c r="B69" s="20" t="s">
        <v>289</v>
      </c>
      <c r="C69" s="127">
        <f t="shared" ref="C69:P69" si="179">C21/C40</f>
        <v>0</v>
      </c>
      <c r="D69" s="127">
        <f t="shared" si="179"/>
        <v>0</v>
      </c>
      <c r="E69" s="127">
        <f t="shared" si="179"/>
        <v>0</v>
      </c>
      <c r="F69" s="144">
        <f t="shared" si="179"/>
        <v>0</v>
      </c>
      <c r="G69" s="144">
        <f t="shared" si="179"/>
        <v>0</v>
      </c>
      <c r="H69" s="144">
        <f t="shared" si="179"/>
        <v>0</v>
      </c>
      <c r="I69" s="144">
        <f t="shared" si="179"/>
        <v>0</v>
      </c>
      <c r="J69" s="144">
        <f t="shared" si="179"/>
        <v>0</v>
      </c>
      <c r="K69" s="144">
        <f t="shared" si="179"/>
        <v>0</v>
      </c>
      <c r="L69" s="144">
        <f t="shared" si="179"/>
        <v>0</v>
      </c>
      <c r="M69" s="144">
        <f t="shared" si="179"/>
        <v>0</v>
      </c>
      <c r="N69" s="144">
        <f t="shared" si="179"/>
        <v>0</v>
      </c>
      <c r="O69" s="144">
        <f t="shared" si="179"/>
        <v>0</v>
      </c>
      <c r="P69" s="144">
        <f t="shared" si="179"/>
        <v>0</v>
      </c>
      <c r="Q69" s="118" t="e">
        <f>((P69/G69)^(1/($H$2-$H$1) ))-1</f>
        <v>#DIV/0!</v>
      </c>
      <c r="R69" s="128"/>
      <c r="S69" s="146">
        <f t="shared" ref="S69:AB69" si="180">S21/S40</f>
        <v>0</v>
      </c>
      <c r="T69" s="146">
        <f t="shared" si="180"/>
        <v>0</v>
      </c>
      <c r="U69" s="146">
        <f t="shared" si="180"/>
        <v>0</v>
      </c>
      <c r="V69" s="146">
        <f t="shared" si="180"/>
        <v>0</v>
      </c>
      <c r="W69" s="146">
        <f t="shared" si="180"/>
        <v>0</v>
      </c>
      <c r="X69" s="146">
        <f t="shared" si="180"/>
        <v>0</v>
      </c>
      <c r="Y69" s="146">
        <f t="shared" si="180"/>
        <v>0</v>
      </c>
      <c r="Z69" s="146">
        <f t="shared" si="180"/>
        <v>0</v>
      </c>
      <c r="AA69" s="146">
        <f t="shared" si="180"/>
        <v>0</v>
      </c>
      <c r="AB69" s="146">
        <f t="shared" si="180"/>
        <v>0</v>
      </c>
      <c r="AC69" s="138" t="e">
        <f t="shared" si="174"/>
        <v>#DIV/0!</v>
      </c>
      <c r="AD69" s="31">
        <f t="shared" si="17"/>
        <v>0.05</v>
      </c>
      <c r="AE69" s="146">
        <f t="shared" si="141"/>
        <v>0</v>
      </c>
    </row>
    <row r="70" spans="2:31">
      <c r="B70" s="20" t="s">
        <v>290</v>
      </c>
      <c r="C70" s="127">
        <f t="shared" ref="C70:P70" si="181">C22/C40</f>
        <v>0</v>
      </c>
      <c r="D70" s="127">
        <f t="shared" si="181"/>
        <v>0</v>
      </c>
      <c r="E70" s="127">
        <f t="shared" si="181"/>
        <v>0</v>
      </c>
      <c r="F70" s="144">
        <f t="shared" si="181"/>
        <v>0</v>
      </c>
      <c r="G70" s="144">
        <f t="shared" si="181"/>
        <v>0</v>
      </c>
      <c r="H70" s="144">
        <f t="shared" si="181"/>
        <v>0</v>
      </c>
      <c r="I70" s="144">
        <f t="shared" si="181"/>
        <v>0</v>
      </c>
      <c r="J70" s="144">
        <f t="shared" si="181"/>
        <v>0</v>
      </c>
      <c r="K70" s="144">
        <f t="shared" si="181"/>
        <v>0</v>
      </c>
      <c r="L70" s="144">
        <f t="shared" si="181"/>
        <v>0</v>
      </c>
      <c r="M70" s="144">
        <f t="shared" si="181"/>
        <v>0</v>
      </c>
      <c r="N70" s="144">
        <f t="shared" si="181"/>
        <v>0</v>
      </c>
      <c r="O70" s="144">
        <f t="shared" si="181"/>
        <v>0</v>
      </c>
      <c r="P70" s="144">
        <f t="shared" si="181"/>
        <v>0</v>
      </c>
      <c r="Q70" s="118" t="e">
        <f>((P70/G70)^(1/($H$2-$H$1) ))-1</f>
        <v>#DIV/0!</v>
      </c>
      <c r="R70" s="128"/>
      <c r="S70" s="146">
        <f t="shared" ref="S70:AB70" si="182">S22/S40</f>
        <v>0</v>
      </c>
      <c r="T70" s="146">
        <f t="shared" si="182"/>
        <v>0</v>
      </c>
      <c r="U70" s="146">
        <f t="shared" si="182"/>
        <v>0</v>
      </c>
      <c r="V70" s="146">
        <f t="shared" si="182"/>
        <v>0</v>
      </c>
      <c r="W70" s="146">
        <f t="shared" si="182"/>
        <v>0</v>
      </c>
      <c r="X70" s="146">
        <f t="shared" si="182"/>
        <v>0</v>
      </c>
      <c r="Y70" s="146">
        <f t="shared" si="182"/>
        <v>0</v>
      </c>
      <c r="Z70" s="146">
        <f t="shared" si="182"/>
        <v>0</v>
      </c>
      <c r="AA70" s="146">
        <f t="shared" si="182"/>
        <v>0</v>
      </c>
      <c r="AB70" s="146">
        <f t="shared" si="182"/>
        <v>0</v>
      </c>
      <c r="AC70" s="138" t="e">
        <f t="shared" si="174"/>
        <v>#DIV/0!</v>
      </c>
      <c r="AD70" s="31">
        <f t="shared" si="17"/>
        <v>0.05</v>
      </c>
      <c r="AE70" s="146">
        <f t="shared" si="141"/>
        <v>0</v>
      </c>
    </row>
    <row r="71" spans="2:31">
      <c r="B71" s="20" t="s">
        <v>297</v>
      </c>
      <c r="C71" s="127">
        <f t="shared" ref="C71:P71" si="183">C23/C40</f>
        <v>0</v>
      </c>
      <c r="D71" s="127">
        <f t="shared" si="183"/>
        <v>0</v>
      </c>
      <c r="E71" s="127">
        <f t="shared" si="183"/>
        <v>0</v>
      </c>
      <c r="F71" s="144">
        <f t="shared" si="183"/>
        <v>0</v>
      </c>
      <c r="G71" s="144">
        <f t="shared" si="183"/>
        <v>0</v>
      </c>
      <c r="H71" s="144">
        <f t="shared" si="183"/>
        <v>0</v>
      </c>
      <c r="I71" s="144">
        <f t="shared" si="183"/>
        <v>0</v>
      </c>
      <c r="J71" s="144">
        <f t="shared" si="183"/>
        <v>0</v>
      </c>
      <c r="K71" s="144">
        <f t="shared" si="183"/>
        <v>0</v>
      </c>
      <c r="L71" s="144">
        <f t="shared" si="183"/>
        <v>0</v>
      </c>
      <c r="M71" s="144">
        <f t="shared" si="183"/>
        <v>0</v>
      </c>
      <c r="N71" s="144">
        <f t="shared" si="183"/>
        <v>0</v>
      </c>
      <c r="O71" s="144">
        <f t="shared" si="183"/>
        <v>0</v>
      </c>
      <c r="P71" s="144">
        <f t="shared" si="183"/>
        <v>0</v>
      </c>
      <c r="Q71" s="118" t="e">
        <f>((P71/G71)^(1/($H$2-$H$1) ))-1</f>
        <v>#DIV/0!</v>
      </c>
      <c r="R71" s="128"/>
      <c r="S71" s="146">
        <f t="shared" ref="S71:AB71" si="184">S23/S40</f>
        <v>0</v>
      </c>
      <c r="T71" s="146">
        <f t="shared" si="184"/>
        <v>0</v>
      </c>
      <c r="U71" s="146">
        <f t="shared" si="184"/>
        <v>0</v>
      </c>
      <c r="V71" s="146">
        <f t="shared" si="184"/>
        <v>0</v>
      </c>
      <c r="W71" s="146">
        <f t="shared" si="184"/>
        <v>0</v>
      </c>
      <c r="X71" s="146">
        <f t="shared" si="184"/>
        <v>0</v>
      </c>
      <c r="Y71" s="146">
        <f t="shared" si="184"/>
        <v>0</v>
      </c>
      <c r="Z71" s="146">
        <f t="shared" si="184"/>
        <v>0</v>
      </c>
      <c r="AA71" s="146">
        <f t="shared" si="184"/>
        <v>0</v>
      </c>
      <c r="AB71" s="146">
        <f t="shared" si="184"/>
        <v>0</v>
      </c>
      <c r="AC71" s="138" t="e">
        <f t="shared" ref="AC71" si="185">((AB71/G71)^(1/($AB$3-$H$1) ))-1</f>
        <v>#DIV/0!</v>
      </c>
      <c r="AD71" s="31">
        <f t="shared" si="17"/>
        <v>0.05</v>
      </c>
      <c r="AE71" s="146">
        <f t="shared" si="141"/>
        <v>0</v>
      </c>
    </row>
    <row r="72" spans="2:31">
      <c r="B72" s="20"/>
      <c r="C72" s="127"/>
      <c r="D72" s="127"/>
      <c r="E72" s="12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137"/>
      <c r="AE72" s="154"/>
    </row>
    <row r="73" spans="2:31">
      <c r="B73" s="20" t="s">
        <v>312</v>
      </c>
      <c r="C73" s="144">
        <f t="shared" ref="C73:P73" si="186">C36/C40</f>
        <v>0</v>
      </c>
      <c r="D73" s="144">
        <f t="shared" si="186"/>
        <v>0</v>
      </c>
      <c r="E73" s="144">
        <f t="shared" si="186"/>
        <v>0</v>
      </c>
      <c r="F73" s="144">
        <f t="shared" si="186"/>
        <v>17.071197411003237</v>
      </c>
      <c r="G73" s="144">
        <f t="shared" si="186"/>
        <v>17.313915857605178</v>
      </c>
      <c r="H73" s="144">
        <f t="shared" si="186"/>
        <v>17.233009708737864</v>
      </c>
      <c r="I73" s="144">
        <f t="shared" si="186"/>
        <v>17.880258899676377</v>
      </c>
      <c r="J73" s="144">
        <f t="shared" si="186"/>
        <v>26.779935275080906</v>
      </c>
      <c r="K73" s="144">
        <f t="shared" si="186"/>
        <v>33.373786407766993</v>
      </c>
      <c r="L73" s="144">
        <f t="shared" si="186"/>
        <v>49.190938511326863</v>
      </c>
      <c r="M73" s="144">
        <f t="shared" si="186"/>
        <v>29.613215149073326</v>
      </c>
      <c r="N73" s="144">
        <f t="shared" si="186"/>
        <v>27.629449838187703</v>
      </c>
      <c r="O73" s="144">
        <f t="shared" si="186"/>
        <v>12.578361981799796</v>
      </c>
      <c r="P73" s="144">
        <f t="shared" si="186"/>
        <v>12.578361981799796</v>
      </c>
      <c r="Q73" s="118">
        <f>((P73/G73)^(1/($H$2-$H$1) ))-1</f>
        <v>-3.4880753966242795E-2</v>
      </c>
      <c r="R73" s="128"/>
      <c r="S73" s="144">
        <f t="shared" ref="S73:AB73" si="187">S36/S40</f>
        <v>11.812722556820679</v>
      </c>
      <c r="T73" s="144">
        <f t="shared" si="187"/>
        <v>11.093687270753335</v>
      </c>
      <c r="U73" s="144">
        <f t="shared" si="187"/>
        <v>10.418419349924873</v>
      </c>
      <c r="V73" s="144">
        <f t="shared" si="187"/>
        <v>9.7842546938424917</v>
      </c>
      <c r="W73" s="144">
        <f t="shared" si="187"/>
        <v>9.1886913646520796</v>
      </c>
      <c r="X73" s="144">
        <f t="shared" si="187"/>
        <v>8.629379716368911</v>
      </c>
      <c r="Y73" s="144">
        <f t="shared" si="187"/>
        <v>8.1041131249377614</v>
      </c>
      <c r="Z73" s="144">
        <f t="shared" si="187"/>
        <v>7.6108192825502465</v>
      </c>
      <c r="AA73" s="144">
        <f t="shared" si="187"/>
        <v>7.1475520218732758</v>
      </c>
      <c r="AB73" s="144">
        <f t="shared" si="187"/>
        <v>6.7124836379331629</v>
      </c>
      <c r="AC73" s="138">
        <f t="shared" ref="AC73:AC75" si="188">((AB73/G73)^(1/($AB$3-$H$1) ))-1</f>
        <v>-4.8647485493172327E-2</v>
      </c>
      <c r="AD73" s="31">
        <f t="shared" si="17"/>
        <v>0.05</v>
      </c>
      <c r="AE73" s="146">
        <f t="shared" si="141"/>
        <v>41.45945776370484</v>
      </c>
    </row>
    <row r="74" spans="2:31">
      <c r="B74" s="20" t="s">
        <v>313</v>
      </c>
      <c r="C74" s="144">
        <f t="shared" ref="C74:P74" si="189">C38/C40</f>
        <v>0</v>
      </c>
      <c r="D74" s="144">
        <f t="shared" si="189"/>
        <v>0</v>
      </c>
      <c r="E74" s="144">
        <f t="shared" si="189"/>
        <v>0</v>
      </c>
      <c r="F74" s="144">
        <f t="shared" si="189"/>
        <v>11.165048543689322</v>
      </c>
      <c r="G74" s="144">
        <f t="shared" si="189"/>
        <v>10.275080906148867</v>
      </c>
      <c r="H74" s="144">
        <f t="shared" si="189"/>
        <v>11.893203883495147</v>
      </c>
      <c r="I74" s="144">
        <f t="shared" si="189"/>
        <v>12.540453074433657</v>
      </c>
      <c r="J74" s="144">
        <f t="shared" si="189"/>
        <v>17.637540453074436</v>
      </c>
      <c r="K74" s="144">
        <f t="shared" si="189"/>
        <v>21.197411003236247</v>
      </c>
      <c r="L74" s="144">
        <f t="shared" si="189"/>
        <v>30.825242718446603</v>
      </c>
      <c r="M74" s="144">
        <f t="shared" si="189"/>
        <v>19.742143432715551</v>
      </c>
      <c r="N74" s="144">
        <f t="shared" si="189"/>
        <v>19.457928802588999</v>
      </c>
      <c r="O74" s="144">
        <f t="shared" si="189"/>
        <v>9.0394337714863493</v>
      </c>
      <c r="P74" s="144">
        <f t="shared" si="189"/>
        <v>9.0394337714863493</v>
      </c>
      <c r="Q74" s="118">
        <f>((P74/G74)^(1/($H$2-$H$1) ))-1</f>
        <v>-1.4135267561719678E-2</v>
      </c>
      <c r="R74" s="128"/>
      <c r="S74" s="144">
        <f t="shared" ref="S74:AB74" si="190">S38/S40</f>
        <v>8.489207368004573</v>
      </c>
      <c r="T74" s="144">
        <f t="shared" si="190"/>
        <v>7.9724730064738623</v>
      </c>
      <c r="U74" s="144">
        <f t="shared" si="190"/>
        <v>7.4871920408624097</v>
      </c>
      <c r="V74" s="144">
        <f t="shared" si="190"/>
        <v>7.0314499166360038</v>
      </c>
      <c r="W74" s="144">
        <f t="shared" si="190"/>
        <v>6.6034486173625089</v>
      </c>
      <c r="X74" s="144">
        <f t="shared" si="190"/>
        <v>6.201499571088271</v>
      </c>
      <c r="Y74" s="144">
        <f t="shared" si="190"/>
        <v>5.8240169885002899</v>
      </c>
      <c r="Z74" s="144">
        <f t="shared" si="190"/>
        <v>5.4695116065915768</v>
      </c>
      <c r="AA74" s="144">
        <f t="shared" si="190"/>
        <v>5.1365848131468725</v>
      </c>
      <c r="AB74" s="144">
        <f t="shared" si="190"/>
        <v>4.8239231288683682</v>
      </c>
      <c r="AC74" s="138">
        <f t="shared" si="188"/>
        <v>-3.9015051167792469E-2</v>
      </c>
      <c r="AD74" s="31">
        <f t="shared" si="17"/>
        <v>0.05</v>
      </c>
      <c r="AE74" s="146">
        <f t="shared" si="141"/>
        <v>29.794819325363456</v>
      </c>
    </row>
    <row r="75" spans="2:31">
      <c r="B75" s="20" t="s">
        <v>314</v>
      </c>
      <c r="C75" s="144">
        <f t="shared" ref="C75:P75" si="191">C6/C40</f>
        <v>0</v>
      </c>
      <c r="D75" s="144">
        <f t="shared" si="191"/>
        <v>0</v>
      </c>
      <c r="E75" s="144">
        <f t="shared" si="191"/>
        <v>0</v>
      </c>
      <c r="F75" s="144">
        <f t="shared" si="191"/>
        <v>18.125404530744337</v>
      </c>
      <c r="G75" s="144">
        <f t="shared" si="191"/>
        <v>19.093851132686083</v>
      </c>
      <c r="H75" s="144">
        <f t="shared" si="191"/>
        <v>21.521035598705502</v>
      </c>
      <c r="I75" s="144">
        <f t="shared" si="191"/>
        <v>23.786407766990294</v>
      </c>
      <c r="J75" s="144">
        <f t="shared" si="191"/>
        <v>24.757281553398059</v>
      </c>
      <c r="K75" s="144">
        <f t="shared" si="191"/>
        <v>28.473300970873787</v>
      </c>
      <c r="L75" s="144">
        <f t="shared" si="191"/>
        <v>30.045307443365697</v>
      </c>
      <c r="M75" s="144">
        <f t="shared" si="191"/>
        <v>12.337630942788076</v>
      </c>
      <c r="N75" s="144">
        <f t="shared" si="191"/>
        <v>14.438511326860842</v>
      </c>
      <c r="O75" s="144">
        <f t="shared" si="191"/>
        <v>3.1278058645096052</v>
      </c>
      <c r="P75" s="144">
        <f t="shared" si="191"/>
        <v>3.1278058645096052</v>
      </c>
      <c r="Q75" s="118">
        <f>((P75/G75)^(1/($H$2-$H$1) ))-1</f>
        <v>-0.18209071249682396</v>
      </c>
      <c r="R75" s="128"/>
      <c r="S75" s="144">
        <f t="shared" ref="S75:AB75" si="192">S6/S40</f>
        <v>2.9374176814524993</v>
      </c>
      <c r="T75" s="144">
        <f t="shared" si="192"/>
        <v>2.7586183443206087</v>
      </c>
      <c r="U75" s="144">
        <f t="shared" si="192"/>
        <v>2.5907024451010936</v>
      </c>
      <c r="V75" s="144">
        <f t="shared" si="192"/>
        <v>2.4330075136601579</v>
      </c>
      <c r="W75" s="144">
        <f t="shared" si="192"/>
        <v>2.2849114041330183</v>
      </c>
      <c r="X75" s="144">
        <f t="shared" si="192"/>
        <v>2.1458298404031826</v>
      </c>
      <c r="Y75" s="144">
        <f t="shared" si="192"/>
        <v>2.0152141109873369</v>
      </c>
      <c r="Z75" s="144">
        <f t="shared" si="192"/>
        <v>1.8925489042315859</v>
      </c>
      <c r="AA75" s="144">
        <f t="shared" si="192"/>
        <v>1.7773502752783592</v>
      </c>
      <c r="AB75" s="144">
        <f t="shared" si="192"/>
        <v>1.6691637367831551</v>
      </c>
      <c r="AC75" s="138">
        <f t="shared" si="188"/>
        <v>-0.12038014964263644</v>
      </c>
      <c r="AD75" s="31">
        <f t="shared" ref="AD75" si="193">$L$1</f>
        <v>0.05</v>
      </c>
      <c r="AE75" s="146">
        <f t="shared" si="141"/>
        <v>10.309540727190077</v>
      </c>
    </row>
    <row r="76" spans="2:31">
      <c r="B76" s="20"/>
      <c r="C76" s="127"/>
      <c r="D76" s="127"/>
      <c r="E76" s="12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28"/>
      <c r="R76" s="128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39"/>
      <c r="AD76" s="20"/>
      <c r="AE76" s="154"/>
    </row>
    <row r="77" spans="2:31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20"/>
      <c r="AE77" s="154"/>
    </row>
    <row r="78" spans="2:31">
      <c r="B78" s="108" t="s">
        <v>311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>
      <c r="B79" s="20" t="s">
        <v>310</v>
      </c>
      <c r="C79" s="152"/>
      <c r="D79" s="152"/>
      <c r="E79" s="152" t="e">
        <f t="shared" ref="E79:P79" si="194">E36/E25</f>
        <v>#DIV/0!</v>
      </c>
      <c r="F79" s="152">
        <f t="shared" si="194"/>
        <v>0.17112733171127331</v>
      </c>
      <c r="G79" s="152">
        <f t="shared" si="194"/>
        <v>0.15828402366863906</v>
      </c>
      <c r="H79" s="152">
        <f t="shared" si="194"/>
        <v>0.14105960264900663</v>
      </c>
      <c r="I79" s="152">
        <f t="shared" si="194"/>
        <v>0.11926605504587157</v>
      </c>
      <c r="J79" s="152">
        <f t="shared" si="194"/>
        <v>0.1730266596968113</v>
      </c>
      <c r="K79" s="152">
        <f t="shared" si="194"/>
        <v>0.17818574514038876</v>
      </c>
      <c r="L79" s="152">
        <f t="shared" si="194"/>
        <v>0.25535489290214197</v>
      </c>
      <c r="M79" s="152">
        <f t="shared" si="194"/>
        <v>0.25681341719077566</v>
      </c>
      <c r="N79" s="152">
        <f t="shared" si="194"/>
        <v>0.21579778830963664</v>
      </c>
      <c r="O79" s="152">
        <f t="shared" si="194"/>
        <v>0.19407176287051481</v>
      </c>
      <c r="P79" s="152">
        <f t="shared" si="194"/>
        <v>0.19407176287051481</v>
      </c>
      <c r="Q79" s="118">
        <f t="shared" ref="Q79:Q122" si="195">((P79/G79)^(1/($H$2-$H$1) ))-1</f>
        <v>2.2906977410869889E-2</v>
      </c>
      <c r="R79" s="152"/>
      <c r="S79" s="152">
        <f t="shared" ref="S79:AB79" si="196">S36/S25</f>
        <v>0.19407176287051481</v>
      </c>
      <c r="T79" s="152">
        <f t="shared" si="196"/>
        <v>0.19407176287051481</v>
      </c>
      <c r="U79" s="152">
        <f t="shared" si="196"/>
        <v>0.19407176287051481</v>
      </c>
      <c r="V79" s="152">
        <f t="shared" si="196"/>
        <v>0.19407176287051481</v>
      </c>
      <c r="W79" s="152">
        <f t="shared" si="196"/>
        <v>0.19407176287051481</v>
      </c>
      <c r="X79" s="152">
        <f t="shared" si="196"/>
        <v>0.19407176287051484</v>
      </c>
      <c r="Y79" s="152">
        <f t="shared" si="196"/>
        <v>0.19407176287051486</v>
      </c>
      <c r="Z79" s="152">
        <f t="shared" si="196"/>
        <v>0.19407176287051486</v>
      </c>
      <c r="AA79" s="152">
        <f t="shared" si="196"/>
        <v>0.19407176287051484</v>
      </c>
      <c r="AB79" s="152">
        <f t="shared" si="196"/>
        <v>0.19407176287051484</v>
      </c>
      <c r="AC79" s="138">
        <f t="shared" ref="AC79:AC109" si="197">((AB79/G79)^(1/($AB$3-$H$1) ))-1</f>
        <v>1.0786015458456033E-2</v>
      </c>
      <c r="AD79" s="146"/>
      <c r="AE79" s="146"/>
    </row>
    <row r="80" spans="2:31">
      <c r="B80" s="20" t="s">
        <v>267</v>
      </c>
      <c r="C80" s="152"/>
      <c r="D80" s="152"/>
      <c r="E80" s="152" t="e">
        <f t="shared" ref="E80:P80" si="198">E38/E25</f>
        <v>#DIV/0!</v>
      </c>
      <c r="F80" s="152">
        <f t="shared" si="198"/>
        <v>0.11192214111922141</v>
      </c>
      <c r="G80" s="152">
        <f t="shared" si="198"/>
        <v>9.3934911242603544E-2</v>
      </c>
      <c r="H80" s="152">
        <f t="shared" si="198"/>
        <v>9.7350993377483444E-2</v>
      </c>
      <c r="I80" s="152">
        <f t="shared" si="198"/>
        <v>8.3648138154344312E-2</v>
      </c>
      <c r="J80" s="152">
        <f t="shared" si="198"/>
        <v>0.11395713538944068</v>
      </c>
      <c r="K80" s="152">
        <f t="shared" si="198"/>
        <v>0.11317494600431965</v>
      </c>
      <c r="L80" s="152">
        <f t="shared" si="198"/>
        <v>0.16001679966400673</v>
      </c>
      <c r="M80" s="152">
        <f t="shared" si="198"/>
        <v>0.17120894479385046</v>
      </c>
      <c r="N80" s="152">
        <f t="shared" si="198"/>
        <v>0.15197472353870459</v>
      </c>
      <c r="O80" s="152">
        <f t="shared" si="198"/>
        <v>0.13946957878315133</v>
      </c>
      <c r="P80" s="152">
        <f t="shared" si="198"/>
        <v>0.13946957878315133</v>
      </c>
      <c r="Q80" s="118">
        <f t="shared" si="195"/>
        <v>4.4894625963292301E-2</v>
      </c>
      <c r="R80" s="152"/>
      <c r="S80" s="152">
        <f t="shared" ref="S80:AB80" si="199">S38/S25</f>
        <v>0.13946957878315133</v>
      </c>
      <c r="T80" s="152">
        <f t="shared" si="199"/>
        <v>0.13946957878315136</v>
      </c>
      <c r="U80" s="152">
        <f t="shared" si="199"/>
        <v>0.13946957878315133</v>
      </c>
      <c r="V80" s="152">
        <f t="shared" si="199"/>
        <v>0.13946957878315133</v>
      </c>
      <c r="W80" s="152">
        <f t="shared" si="199"/>
        <v>0.13946957878315136</v>
      </c>
      <c r="X80" s="152">
        <f t="shared" si="199"/>
        <v>0.13946957878315136</v>
      </c>
      <c r="Y80" s="152">
        <f t="shared" si="199"/>
        <v>0.13946957878315139</v>
      </c>
      <c r="Z80" s="152">
        <f t="shared" si="199"/>
        <v>0.13946957878315139</v>
      </c>
      <c r="AA80" s="152">
        <f t="shared" si="199"/>
        <v>0.13946957878315139</v>
      </c>
      <c r="AB80" s="152">
        <f t="shared" si="199"/>
        <v>0.13946957878315139</v>
      </c>
      <c r="AC80" s="138">
        <f t="shared" si="197"/>
        <v>2.1020213363491358E-2</v>
      </c>
      <c r="AD80" s="146"/>
      <c r="AE80" s="146"/>
    </row>
    <row r="81" spans="2:31">
      <c r="B81" s="20" t="s">
        <v>360</v>
      </c>
      <c r="C81" s="152"/>
      <c r="D81" s="152"/>
      <c r="E81" s="152" t="e">
        <f t="shared" ref="E81:O81" si="200">E38/E7</f>
        <v>#DIV/0!</v>
      </c>
      <c r="F81" s="152">
        <f t="shared" si="200"/>
        <v>0.39655172413793105</v>
      </c>
      <c r="G81" s="152">
        <f>G38/G7</f>
        <v>0.3527777777777778</v>
      </c>
      <c r="H81" s="152">
        <f t="shared" si="200"/>
        <v>0.37692307692307692</v>
      </c>
      <c r="I81" s="152">
        <f t="shared" si="200"/>
        <v>0.37170263788968827</v>
      </c>
      <c r="J81" s="152">
        <f t="shared" si="200"/>
        <v>0.50697674418604655</v>
      </c>
      <c r="K81" s="152">
        <f t="shared" si="200"/>
        <v>0.55091784595327709</v>
      </c>
      <c r="L81" s="152">
        <f t="shared" si="200"/>
        <v>0.76969696969696966</v>
      </c>
      <c r="M81" s="152">
        <f t="shared" si="200"/>
        <v>0.88527551942186089</v>
      </c>
      <c r="N81" s="152">
        <f t="shared" si="200"/>
        <v>0.79609400860642165</v>
      </c>
      <c r="O81" s="152">
        <f t="shared" si="200"/>
        <v>0.68850792477242273</v>
      </c>
      <c r="P81" s="152">
        <f t="shared" ref="P81" si="201">P38/P7</f>
        <v>0.68850792477242273</v>
      </c>
      <c r="Q81" s="118">
        <f t="shared" si="195"/>
        <v>7.7128518986449457E-2</v>
      </c>
      <c r="R81" s="20"/>
      <c r="S81" s="152">
        <f t="shared" ref="S81" si="202">S38/S7</f>
        <v>0.68850792477242273</v>
      </c>
      <c r="T81" s="152">
        <f t="shared" ref="T81:AB81" si="203">T38/T7</f>
        <v>0.68850792477242284</v>
      </c>
      <c r="U81" s="152">
        <f t="shared" si="203"/>
        <v>0.68850792477242284</v>
      </c>
      <c r="V81" s="152">
        <f t="shared" si="203"/>
        <v>0.68850792477242273</v>
      </c>
      <c r="W81" s="152">
        <f t="shared" si="203"/>
        <v>0.68850792477242273</v>
      </c>
      <c r="X81" s="152">
        <f t="shared" si="203"/>
        <v>0.68850792477242284</v>
      </c>
      <c r="Y81" s="152">
        <f t="shared" si="203"/>
        <v>0.68850792477242295</v>
      </c>
      <c r="Z81" s="152">
        <f t="shared" si="203"/>
        <v>0.68850792477242284</v>
      </c>
      <c r="AA81" s="152">
        <f t="shared" si="203"/>
        <v>0.68850792477242284</v>
      </c>
      <c r="AB81" s="152">
        <f t="shared" si="203"/>
        <v>0.68850792477242295</v>
      </c>
      <c r="AC81" s="138">
        <f t="shared" si="197"/>
        <v>3.5820774494760954E-2</v>
      </c>
      <c r="AD81" s="146"/>
      <c r="AE81" s="146"/>
    </row>
    <row r="82" spans="2:31">
      <c r="B82" s="20" t="s">
        <v>361</v>
      </c>
      <c r="C82" s="152"/>
      <c r="D82" s="152"/>
      <c r="E82" s="152" t="e">
        <f t="shared" ref="E82:F82" si="204">(E38)/(E7+E10)</f>
        <v>#DIV/0!</v>
      </c>
      <c r="F82" s="152">
        <f t="shared" si="204"/>
        <v>0.39182282793867124</v>
      </c>
      <c r="G82" s="152">
        <f>(G38)/(G7+G10)</f>
        <v>0.34918889194390984</v>
      </c>
      <c r="H82" s="152">
        <f t="shared" ref="H82:O82" si="205">(H38)/(H7+H10)</f>
        <v>0.37433155080213903</v>
      </c>
      <c r="I82" s="152">
        <f t="shared" si="205"/>
        <v>0.36923223516520165</v>
      </c>
      <c r="J82" s="152">
        <f t="shared" si="205"/>
        <v>0.50370849603733914</v>
      </c>
      <c r="K82" s="152">
        <f t="shared" si="205"/>
        <v>0.54770465758006526</v>
      </c>
      <c r="L82" s="152">
        <f t="shared" si="205"/>
        <v>0.76969696969696966</v>
      </c>
      <c r="M82" s="152">
        <f t="shared" si="205"/>
        <v>0.88527551942186089</v>
      </c>
      <c r="N82" s="152">
        <f t="shared" si="205"/>
        <v>0.79609400860642165</v>
      </c>
      <c r="O82" s="152">
        <f t="shared" si="205"/>
        <v>0.68850792477242273</v>
      </c>
      <c r="P82" s="152">
        <f t="shared" ref="P82" si="206">(P38)/(P7+P10)</f>
        <v>0.68850792477242273</v>
      </c>
      <c r="Q82" s="118">
        <f t="shared" si="195"/>
        <v>7.8352990485756724E-2</v>
      </c>
      <c r="R82" s="20"/>
      <c r="S82" s="152">
        <f t="shared" ref="S82:AB82" si="207">(S38)/(S7+S10)</f>
        <v>0.68850792477242273</v>
      </c>
      <c r="T82" s="152">
        <f t="shared" si="207"/>
        <v>0.68850792477242284</v>
      </c>
      <c r="U82" s="152">
        <f t="shared" si="207"/>
        <v>0.68850792477242284</v>
      </c>
      <c r="V82" s="152">
        <f t="shared" si="207"/>
        <v>0.68850792477242273</v>
      </c>
      <c r="W82" s="152">
        <f t="shared" si="207"/>
        <v>0.68850792477242273</v>
      </c>
      <c r="X82" s="152">
        <f t="shared" si="207"/>
        <v>0.68850792477242284</v>
      </c>
      <c r="Y82" s="152">
        <f t="shared" si="207"/>
        <v>0.68850792477242295</v>
      </c>
      <c r="Z82" s="152">
        <f t="shared" si="207"/>
        <v>0.68850792477242284</v>
      </c>
      <c r="AA82" s="152">
        <f t="shared" si="207"/>
        <v>0.68850792477242284</v>
      </c>
      <c r="AB82" s="152">
        <f t="shared" si="207"/>
        <v>0.68850792477242295</v>
      </c>
      <c r="AC82" s="138">
        <f t="shared" si="197"/>
        <v>3.6378377127455952E-2</v>
      </c>
      <c r="AD82" s="146"/>
      <c r="AE82" s="146"/>
    </row>
    <row r="83" spans="2:31">
      <c r="B83" s="20" t="s">
        <v>377</v>
      </c>
      <c r="C83" s="152"/>
      <c r="D83" s="152"/>
      <c r="E83" s="152"/>
      <c r="F83" s="152"/>
      <c r="G83" s="152">
        <f>G20/G25</f>
        <v>0</v>
      </c>
      <c r="H83" s="152">
        <f t="shared" ref="H83:P83" si="208">H20/H25</f>
        <v>0</v>
      </c>
      <c r="I83" s="152">
        <f t="shared" si="208"/>
        <v>0</v>
      </c>
      <c r="J83" s="152">
        <f t="shared" si="208"/>
        <v>0</v>
      </c>
      <c r="K83" s="152">
        <f t="shared" si="208"/>
        <v>0</v>
      </c>
      <c r="L83" s="152">
        <f t="shared" si="208"/>
        <v>0</v>
      </c>
      <c r="M83" s="152">
        <f t="shared" si="208"/>
        <v>0</v>
      </c>
      <c r="N83" s="152">
        <f t="shared" si="208"/>
        <v>0</v>
      </c>
      <c r="O83" s="152">
        <f t="shared" si="208"/>
        <v>0</v>
      </c>
      <c r="P83" s="152">
        <f t="shared" si="208"/>
        <v>0</v>
      </c>
      <c r="Q83" s="118" t="e">
        <f t="shared" si="195"/>
        <v>#DIV/0!</v>
      </c>
      <c r="R83" s="20"/>
      <c r="S83" s="152">
        <f t="shared" ref="S83:AB83" si="209">S20/S25</f>
        <v>0</v>
      </c>
      <c r="T83" s="152">
        <f t="shared" si="209"/>
        <v>0</v>
      </c>
      <c r="U83" s="152">
        <f t="shared" si="209"/>
        <v>0</v>
      </c>
      <c r="V83" s="152">
        <f t="shared" si="209"/>
        <v>0</v>
      </c>
      <c r="W83" s="152">
        <f t="shared" si="209"/>
        <v>0</v>
      </c>
      <c r="X83" s="152">
        <f t="shared" si="209"/>
        <v>0</v>
      </c>
      <c r="Y83" s="152">
        <f t="shared" si="209"/>
        <v>0</v>
      </c>
      <c r="Z83" s="152">
        <f t="shared" si="209"/>
        <v>0</v>
      </c>
      <c r="AA83" s="152">
        <f t="shared" si="209"/>
        <v>0</v>
      </c>
      <c r="AB83" s="152">
        <f t="shared" si="209"/>
        <v>0</v>
      </c>
      <c r="AC83" s="138" t="e">
        <f t="shared" si="197"/>
        <v>#DIV/0!</v>
      </c>
      <c r="AD83" s="146"/>
      <c r="AE83" s="146"/>
    </row>
    <row r="84" spans="2:31">
      <c r="B84" s="20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20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3"/>
      <c r="AD84" s="146"/>
      <c r="AE84" s="146"/>
    </row>
    <row r="85" spans="2:31">
      <c r="B85" s="20" t="s">
        <v>324</v>
      </c>
      <c r="C85" s="152"/>
      <c r="D85" s="152"/>
      <c r="E85" s="152"/>
      <c r="F85" s="152"/>
      <c r="G85" s="152">
        <f>G29/G25</f>
        <v>2.1227810650887575E-3</v>
      </c>
      <c r="H85" s="152">
        <f t="shared" ref="H85:P85" si="210">H29/H25</f>
        <v>1.9933774834437084E-3</v>
      </c>
      <c r="I85" s="152">
        <f t="shared" si="210"/>
        <v>2.2126281705342685E-3</v>
      </c>
      <c r="J85" s="152">
        <f t="shared" si="210"/>
        <v>1.934134866701516E-3</v>
      </c>
      <c r="K85" s="152">
        <f t="shared" si="210"/>
        <v>1.5766738660907126E-3</v>
      </c>
      <c r="L85" s="152">
        <f t="shared" si="210"/>
        <v>1.4489710205795885E-3</v>
      </c>
      <c r="M85" s="152">
        <f t="shared" si="210"/>
        <v>8.4556254367575124E-4</v>
      </c>
      <c r="N85" s="152">
        <f t="shared" si="210"/>
        <v>6.0347551342812002E-4</v>
      </c>
      <c r="O85" s="152">
        <f t="shared" si="210"/>
        <v>5.7098283931357257E-4</v>
      </c>
      <c r="P85" s="152">
        <f t="shared" si="210"/>
        <v>5.7098283931357257E-4</v>
      </c>
      <c r="Q85" s="118">
        <f t="shared" si="195"/>
        <v>-0.13575810221420226</v>
      </c>
      <c r="R85" s="20"/>
      <c r="S85" s="152">
        <f t="shared" ref="S85:AB85" si="211">S29/S25</f>
        <v>5.7098283931357257E-4</v>
      </c>
      <c r="T85" s="152">
        <f t="shared" si="211"/>
        <v>5.7098283931357257E-4</v>
      </c>
      <c r="U85" s="152">
        <f t="shared" si="211"/>
        <v>5.7098283931357268E-4</v>
      </c>
      <c r="V85" s="152">
        <f t="shared" si="211"/>
        <v>5.7098283931357268E-4</v>
      </c>
      <c r="W85" s="152">
        <f t="shared" si="211"/>
        <v>5.7098283931357268E-4</v>
      </c>
      <c r="X85" s="152">
        <f t="shared" si="211"/>
        <v>5.7098283931357279E-4</v>
      </c>
      <c r="Y85" s="152">
        <f t="shared" si="211"/>
        <v>5.7098283931357279E-4</v>
      </c>
      <c r="Z85" s="152">
        <f t="shared" si="211"/>
        <v>5.7098283931357279E-4</v>
      </c>
      <c r="AA85" s="152">
        <f t="shared" si="211"/>
        <v>5.7098283931357279E-4</v>
      </c>
      <c r="AB85" s="152">
        <f t="shared" si="211"/>
        <v>5.7098283931357279E-4</v>
      </c>
      <c r="AC85" s="138">
        <f t="shared" si="197"/>
        <v>-6.6777609699931628E-2</v>
      </c>
      <c r="AD85" s="146"/>
      <c r="AE85" s="146"/>
    </row>
    <row r="86" spans="2:31">
      <c r="B86" s="20" t="s">
        <v>370</v>
      </c>
      <c r="C86" s="152"/>
      <c r="D86" s="152"/>
      <c r="E86" s="152"/>
      <c r="F86" s="152"/>
      <c r="G86" s="152">
        <f>G29/G36</f>
        <v>1.3411214953271029E-2</v>
      </c>
      <c r="H86" s="152">
        <f t="shared" ref="H86:P86" si="212">H29/H36</f>
        <v>1.4131455399061032E-2</v>
      </c>
      <c r="I86" s="152">
        <f t="shared" si="212"/>
        <v>1.8552036199095023E-2</v>
      </c>
      <c r="J86" s="152">
        <f t="shared" si="212"/>
        <v>1.1178247734138974E-2</v>
      </c>
      <c r="K86" s="152">
        <f t="shared" si="212"/>
        <v>8.8484848484848486E-3</v>
      </c>
      <c r="L86" s="152">
        <f t="shared" si="212"/>
        <v>5.6743421052631582E-3</v>
      </c>
      <c r="M86" s="152">
        <f t="shared" si="212"/>
        <v>3.2925170068027212E-3</v>
      </c>
      <c r="N86" s="152">
        <f t="shared" si="212"/>
        <v>2.7964860907759882E-3</v>
      </c>
      <c r="O86" s="152">
        <f t="shared" si="212"/>
        <v>2.9421221864951771E-3</v>
      </c>
      <c r="P86" s="152">
        <f t="shared" si="212"/>
        <v>2.9421221864951771E-3</v>
      </c>
      <c r="Q86" s="118">
        <f t="shared" ref="Q86" si="213">((P86/G86)^(1/($H$2-$H$1) ))-1</f>
        <v>-0.1551119340555065</v>
      </c>
      <c r="R86" s="20"/>
      <c r="S86" s="152">
        <f t="shared" ref="S86:AB86" si="214">S29/S36</f>
        <v>2.9421221864951771E-3</v>
      </c>
      <c r="T86" s="152">
        <f t="shared" si="214"/>
        <v>2.9421221864951775E-3</v>
      </c>
      <c r="U86" s="152">
        <f t="shared" si="214"/>
        <v>2.9421221864951775E-3</v>
      </c>
      <c r="V86" s="152">
        <f t="shared" si="214"/>
        <v>2.9421221864951775E-3</v>
      </c>
      <c r="W86" s="152">
        <f t="shared" si="214"/>
        <v>2.9421221864951775E-3</v>
      </c>
      <c r="X86" s="152">
        <f t="shared" si="214"/>
        <v>2.9421221864951779E-3</v>
      </c>
      <c r="Y86" s="152">
        <f t="shared" si="214"/>
        <v>2.9421221864951775E-3</v>
      </c>
      <c r="Z86" s="152">
        <f t="shared" si="214"/>
        <v>2.9421221864951775E-3</v>
      </c>
      <c r="AA86" s="152">
        <f t="shared" si="214"/>
        <v>2.9421221864951775E-3</v>
      </c>
      <c r="AB86" s="152">
        <f t="shared" si="214"/>
        <v>2.9421221864951779E-3</v>
      </c>
      <c r="AC86" s="138">
        <f t="shared" ref="AC86" si="215">((AB86/G86)^(1/($AB$3-$H$1) ))-1</f>
        <v>-7.6735950015303311E-2</v>
      </c>
      <c r="AD86" s="146"/>
      <c r="AE86" s="146"/>
    </row>
    <row r="87" spans="2:31" ht="12" customHeight="1">
      <c r="B87" s="20" t="s">
        <v>369</v>
      </c>
      <c r="C87" s="152"/>
      <c r="D87" s="152"/>
      <c r="E87" s="152"/>
      <c r="F87" s="152"/>
      <c r="G87" s="171">
        <f t="shared" ref="G87:P87" si="216">G29/G38</f>
        <v>2.2598425196850395E-2</v>
      </c>
      <c r="H87" s="171">
        <f t="shared" si="216"/>
        <v>2.0476190476190474E-2</v>
      </c>
      <c r="I87" s="171">
        <f t="shared" si="216"/>
        <v>2.6451612903225803E-2</v>
      </c>
      <c r="J87" s="171">
        <f t="shared" si="216"/>
        <v>1.6972477064220184E-2</v>
      </c>
      <c r="K87" s="171">
        <f t="shared" si="216"/>
        <v>1.3931297709923664E-2</v>
      </c>
      <c r="L87" s="171">
        <f t="shared" si="216"/>
        <v>9.0551181102362203E-3</v>
      </c>
      <c r="M87" s="171">
        <f t="shared" si="216"/>
        <v>4.9387755102040815E-3</v>
      </c>
      <c r="N87" s="171">
        <f t="shared" si="216"/>
        <v>3.9708939708939708E-3</v>
      </c>
      <c r="O87" s="171">
        <f t="shared" si="216"/>
        <v>4.0939597315436246E-3</v>
      </c>
      <c r="P87" s="171">
        <f t="shared" si="216"/>
        <v>4.0939597315436246E-3</v>
      </c>
      <c r="Q87" s="118">
        <f t="shared" ref="Q87" si="217">((P87/G87)^(1/($H$2-$H$1) ))-1</f>
        <v>-0.17289085778477442</v>
      </c>
      <c r="R87" s="20"/>
      <c r="S87" s="171">
        <f t="shared" ref="S87:AB87" si="218">S29/S38</f>
        <v>4.0939597315436237E-3</v>
      </c>
      <c r="T87" s="171">
        <f t="shared" si="218"/>
        <v>4.0939597315436237E-3</v>
      </c>
      <c r="U87" s="171">
        <f t="shared" si="218"/>
        <v>4.0939597315436246E-3</v>
      </c>
      <c r="V87" s="171">
        <f t="shared" si="218"/>
        <v>4.0939597315436246E-3</v>
      </c>
      <c r="W87" s="171">
        <f t="shared" si="218"/>
        <v>4.0939597315436246E-3</v>
      </c>
      <c r="X87" s="171">
        <f t="shared" si="218"/>
        <v>4.0939597315436246E-3</v>
      </c>
      <c r="Y87" s="171">
        <f t="shared" si="218"/>
        <v>4.0939597315436246E-3</v>
      </c>
      <c r="Z87" s="171">
        <f t="shared" si="218"/>
        <v>4.0939597315436246E-3</v>
      </c>
      <c r="AA87" s="171">
        <f t="shared" si="218"/>
        <v>4.0939597315436246E-3</v>
      </c>
      <c r="AB87" s="171">
        <f t="shared" si="218"/>
        <v>4.0939597315436246E-3</v>
      </c>
      <c r="AC87" s="138">
        <f t="shared" ref="AC87" si="219">((AB87/G87)^(1/($AB$3-$H$1) ))-1</f>
        <v>-8.5990288844718821E-2</v>
      </c>
      <c r="AD87" s="146"/>
      <c r="AE87" s="146"/>
    </row>
    <row r="88" spans="2:31" ht="12" customHeight="1">
      <c r="B88" s="20" t="s">
        <v>326</v>
      </c>
      <c r="C88" s="152"/>
      <c r="D88" s="152"/>
      <c r="E88" s="152"/>
      <c r="F88" s="152"/>
      <c r="G88" s="171">
        <f t="shared" ref="G88:P88" si="220">G29/G12</f>
        <v>9.6698113207547176E-2</v>
      </c>
      <c r="H88" s="171">
        <f t="shared" si="220"/>
        <v>7.5552208835341347E-2</v>
      </c>
      <c r="I88" s="171">
        <f t="shared" si="220"/>
        <v>8.070866141732283E-2</v>
      </c>
      <c r="J88" s="171">
        <f t="shared" si="220"/>
        <v>0.14711729622266403</v>
      </c>
      <c r="K88" s="171">
        <f t="shared" si="220"/>
        <v>1.4287951146950598E-2</v>
      </c>
      <c r="L88" s="171">
        <f t="shared" si="220"/>
        <v>6.5619293974437014E-3</v>
      </c>
      <c r="M88" s="171">
        <f t="shared" si="220"/>
        <v>3.907890062332461E-3</v>
      </c>
      <c r="N88" s="171">
        <f t="shared" si="220"/>
        <v>3.4790528233151182E-3</v>
      </c>
      <c r="O88" s="171">
        <f t="shared" si="220"/>
        <v>3.184879653318018E-3</v>
      </c>
      <c r="P88" s="171">
        <f t="shared" si="220"/>
        <v>3.184879653318018E-3</v>
      </c>
      <c r="Q88" s="118">
        <f t="shared" si="195"/>
        <v>-0.31562013284504375</v>
      </c>
      <c r="R88" s="20"/>
      <c r="S88" s="152">
        <f t="shared" ref="S88:AB88" si="221">S29/S12</f>
        <v>3.184879653318018E-3</v>
      </c>
      <c r="T88" s="152">
        <f t="shared" si="221"/>
        <v>3.184879653318018E-3</v>
      </c>
      <c r="U88" s="152">
        <f t="shared" si="221"/>
        <v>3.1848796533180184E-3</v>
      </c>
      <c r="V88" s="152">
        <f t="shared" si="221"/>
        <v>3.1848796533180189E-3</v>
      </c>
      <c r="W88" s="152">
        <f t="shared" si="221"/>
        <v>3.1848796533180189E-3</v>
      </c>
      <c r="X88" s="152">
        <f t="shared" si="221"/>
        <v>3.1848796533180189E-3</v>
      </c>
      <c r="Y88" s="152">
        <f t="shared" si="221"/>
        <v>3.1848796533180189E-3</v>
      </c>
      <c r="Z88" s="152">
        <f t="shared" si="221"/>
        <v>3.1848796533180189E-3</v>
      </c>
      <c r="AA88" s="152">
        <f t="shared" si="221"/>
        <v>3.1848796533180189E-3</v>
      </c>
      <c r="AB88" s="152">
        <f t="shared" si="221"/>
        <v>3.1848796533180189E-3</v>
      </c>
      <c r="AC88" s="138">
        <f t="shared" si="197"/>
        <v>-0.16442988979686479</v>
      </c>
      <c r="AD88" s="146"/>
      <c r="AE88" s="146"/>
    </row>
    <row r="89" spans="2:31" ht="12" customHeight="1">
      <c r="B89" s="20" t="s">
        <v>371</v>
      </c>
      <c r="C89" s="152"/>
      <c r="D89" s="152"/>
      <c r="E89" s="152"/>
      <c r="F89" s="152"/>
      <c r="G89" s="171" t="e">
        <f>G29/G23</f>
        <v>#DIV/0!</v>
      </c>
      <c r="H89" s="171" t="e">
        <f t="shared" ref="H89:P89" si="222">H29/H23</f>
        <v>#DIV/0!</v>
      </c>
      <c r="I89" s="171" t="e">
        <f t="shared" si="222"/>
        <v>#DIV/0!</v>
      </c>
      <c r="J89" s="171" t="e">
        <f t="shared" si="222"/>
        <v>#DIV/0!</v>
      </c>
      <c r="K89" s="171" t="e">
        <f t="shared" si="222"/>
        <v>#DIV/0!</v>
      </c>
      <c r="L89" s="171" t="e">
        <f t="shared" si="222"/>
        <v>#DIV/0!</v>
      </c>
      <c r="M89" s="171" t="e">
        <f t="shared" si="222"/>
        <v>#DIV/0!</v>
      </c>
      <c r="N89" s="171" t="e">
        <f t="shared" si="222"/>
        <v>#DIV/0!</v>
      </c>
      <c r="O89" s="171" t="e">
        <f t="shared" si="222"/>
        <v>#DIV/0!</v>
      </c>
      <c r="P89" s="171" t="e">
        <f t="shared" si="222"/>
        <v>#DIV/0!</v>
      </c>
      <c r="Q89" s="118" t="e">
        <f t="shared" ref="Q89" si="223">((P89/G89)^(1/($H$2-$H$1) ))-1</f>
        <v>#DIV/0!</v>
      </c>
      <c r="R89" s="20"/>
      <c r="S89" s="171" t="e">
        <f t="shared" ref="S89:AB89" si="224">S29/S23</f>
        <v>#DIV/0!</v>
      </c>
      <c r="T89" s="171" t="e">
        <f t="shared" si="224"/>
        <v>#DIV/0!</v>
      </c>
      <c r="U89" s="171" t="e">
        <f t="shared" si="224"/>
        <v>#DIV/0!</v>
      </c>
      <c r="V89" s="171" t="e">
        <f t="shared" si="224"/>
        <v>#DIV/0!</v>
      </c>
      <c r="W89" s="171" t="e">
        <f t="shared" si="224"/>
        <v>#DIV/0!</v>
      </c>
      <c r="X89" s="171" t="e">
        <f t="shared" si="224"/>
        <v>#DIV/0!</v>
      </c>
      <c r="Y89" s="171" t="e">
        <f t="shared" si="224"/>
        <v>#DIV/0!</v>
      </c>
      <c r="Z89" s="171" t="e">
        <f t="shared" si="224"/>
        <v>#DIV/0!</v>
      </c>
      <c r="AA89" s="171" t="e">
        <f t="shared" si="224"/>
        <v>#DIV/0!</v>
      </c>
      <c r="AB89" s="171" t="e">
        <f t="shared" si="224"/>
        <v>#DIV/0!</v>
      </c>
      <c r="AC89" s="138" t="e">
        <f t="shared" ref="AC89" si="225">((AB89/G89)^(1/($AB$3-$H$1) ))-1</f>
        <v>#DIV/0!</v>
      </c>
      <c r="AD89" s="146"/>
      <c r="AE89" s="146"/>
    </row>
    <row r="90" spans="2:31" ht="12" customHeight="1">
      <c r="B90" s="20"/>
      <c r="C90" s="152"/>
      <c r="D90" s="152"/>
      <c r="E90" s="152"/>
      <c r="F90" s="152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20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38"/>
      <c r="AD90" s="146"/>
      <c r="AE90" s="146"/>
    </row>
    <row r="91" spans="2:31">
      <c r="B91" s="20" t="s">
        <v>327</v>
      </c>
      <c r="C91" s="152"/>
      <c r="D91" s="152"/>
      <c r="E91" s="152"/>
      <c r="F91" s="163">
        <f>F12+F13-F10</f>
        <v>108.8</v>
      </c>
      <c r="G91" s="163">
        <f>G12+G13-G10</f>
        <v>154.98000000000002</v>
      </c>
      <c r="H91" s="163">
        <f t="shared" ref="H91:P91" si="226">H12+H13-H10</f>
        <v>145.14000000000001</v>
      </c>
      <c r="I91" s="163">
        <f t="shared" si="226"/>
        <v>90.509999999999991</v>
      </c>
      <c r="J91" s="163">
        <f t="shared" si="226"/>
        <v>42.94</v>
      </c>
      <c r="K91" s="163">
        <f t="shared" si="226"/>
        <v>253.19000000000003</v>
      </c>
      <c r="L91" s="163">
        <f t="shared" si="226"/>
        <v>525.76</v>
      </c>
      <c r="M91" s="163">
        <f t="shared" si="226"/>
        <v>619.26</v>
      </c>
      <c r="N91" s="163">
        <f t="shared" si="226"/>
        <v>549</v>
      </c>
      <c r="O91" s="163">
        <f t="shared" si="226"/>
        <v>574.59</v>
      </c>
      <c r="P91" s="163">
        <f t="shared" si="226"/>
        <v>574.59</v>
      </c>
      <c r="Q91" s="118">
        <f t="shared" si="195"/>
        <v>0.15672834679404479</v>
      </c>
      <c r="R91" s="20"/>
      <c r="S91" s="163">
        <f t="shared" ref="S91:AB91" si="227">S12+S13-S10</f>
        <v>620.55720000000008</v>
      </c>
      <c r="T91" s="163">
        <f t="shared" si="227"/>
        <v>670.20177600000011</v>
      </c>
      <c r="U91" s="163">
        <f t="shared" si="227"/>
        <v>723.81791808000014</v>
      </c>
      <c r="V91" s="163">
        <f t="shared" si="227"/>
        <v>781.72335152640017</v>
      </c>
      <c r="W91" s="163">
        <f t="shared" si="227"/>
        <v>844.26121964851222</v>
      </c>
      <c r="X91" s="163">
        <f t="shared" si="227"/>
        <v>911.80211722039326</v>
      </c>
      <c r="Y91" s="163">
        <f t="shared" si="227"/>
        <v>984.74628659802477</v>
      </c>
      <c r="Z91" s="163">
        <f t="shared" si="227"/>
        <v>1063.5259895258669</v>
      </c>
      <c r="AA91" s="163">
        <f t="shared" si="227"/>
        <v>1148.6080686879363</v>
      </c>
      <c r="AB91" s="163">
        <f t="shared" si="227"/>
        <v>1240.4967141829713</v>
      </c>
      <c r="AC91" s="138">
        <f t="shared" si="197"/>
        <v>0.11568901195260417</v>
      </c>
      <c r="AD91" s="146"/>
      <c r="AE91" s="146"/>
    </row>
    <row r="92" spans="2:31" ht="12" customHeight="1">
      <c r="B92" s="20" t="s">
        <v>322</v>
      </c>
      <c r="C92" s="20"/>
      <c r="D92" s="20"/>
      <c r="E92" s="20"/>
      <c r="F92" s="20"/>
      <c r="G92" s="152">
        <f t="shared" ref="G92:P92" si="228">G38/G18</f>
        <v>0.87586206896551722</v>
      </c>
      <c r="H92" s="152">
        <f t="shared" si="228"/>
        <v>1.1136363636363635</v>
      </c>
      <c r="I92" s="152">
        <f t="shared" si="228"/>
        <v>1.24</v>
      </c>
      <c r="J92" s="152">
        <f t="shared" si="228"/>
        <v>1.847457627118644</v>
      </c>
      <c r="K92" s="152">
        <f t="shared" si="228"/>
        <v>2.1928356210244391</v>
      </c>
      <c r="L92" s="152">
        <f t="shared" si="228"/>
        <v>3.4231805929919137</v>
      </c>
      <c r="M92" s="152">
        <f t="shared" si="228"/>
        <v>4.0724734042553195</v>
      </c>
      <c r="N92" s="152">
        <f t="shared" si="228"/>
        <v>4.2747955918947742</v>
      </c>
      <c r="O92" s="152">
        <f t="shared" si="228"/>
        <v>3.544243577545195</v>
      </c>
      <c r="P92" s="152">
        <f t="shared" si="228"/>
        <v>3.544243577545195</v>
      </c>
      <c r="Q92" s="118">
        <f t="shared" si="195"/>
        <v>0.16803055738787531</v>
      </c>
      <c r="R92" s="20"/>
      <c r="S92" s="152">
        <f t="shared" ref="S92:AB92" si="229">S38/S18</f>
        <v>3.5442435775451946</v>
      </c>
      <c r="T92" s="152">
        <f t="shared" si="229"/>
        <v>3.544243577545195</v>
      </c>
      <c r="U92" s="152">
        <f t="shared" si="229"/>
        <v>3.544243577545195</v>
      </c>
      <c r="V92" s="152">
        <f t="shared" si="229"/>
        <v>3.544243577545195</v>
      </c>
      <c r="W92" s="152">
        <f t="shared" si="229"/>
        <v>3.544243577545195</v>
      </c>
      <c r="X92" s="152">
        <f t="shared" si="229"/>
        <v>3.544243577545195</v>
      </c>
      <c r="Y92" s="152">
        <f t="shared" si="229"/>
        <v>3.5442435775451955</v>
      </c>
      <c r="Z92" s="152">
        <f t="shared" si="229"/>
        <v>3.5442435775451955</v>
      </c>
      <c r="AA92" s="152">
        <f t="shared" si="229"/>
        <v>3.5442435775451955</v>
      </c>
      <c r="AB92" s="152">
        <f t="shared" si="229"/>
        <v>3.5442435775451959</v>
      </c>
      <c r="AC92" s="138">
        <f t="shared" si="197"/>
        <v>7.634622430625182E-2</v>
      </c>
      <c r="AD92" s="20"/>
      <c r="AE92" s="20"/>
    </row>
    <row r="93" spans="2:31">
      <c r="B93" s="20" t="s">
        <v>323</v>
      </c>
      <c r="C93" s="20"/>
      <c r="D93" s="20"/>
      <c r="E93" s="20"/>
      <c r="F93" s="20"/>
      <c r="G93" s="152">
        <f t="shared" ref="G93:P93" si="230">G38/G25</f>
        <v>9.3934911242603544E-2</v>
      </c>
      <c r="H93" s="152">
        <f t="shared" si="230"/>
        <v>9.7350993377483444E-2</v>
      </c>
      <c r="I93" s="152">
        <f t="shared" si="230"/>
        <v>8.3648138154344312E-2</v>
      </c>
      <c r="J93" s="152">
        <f t="shared" si="230"/>
        <v>0.11395713538944068</v>
      </c>
      <c r="K93" s="152">
        <f t="shared" si="230"/>
        <v>0.11317494600431965</v>
      </c>
      <c r="L93" s="152">
        <f t="shared" si="230"/>
        <v>0.16001679966400673</v>
      </c>
      <c r="M93" s="152">
        <f t="shared" si="230"/>
        <v>0.17120894479385046</v>
      </c>
      <c r="N93" s="152">
        <f t="shared" si="230"/>
        <v>0.15197472353870459</v>
      </c>
      <c r="O93" s="152">
        <f t="shared" si="230"/>
        <v>0.13946957878315133</v>
      </c>
      <c r="P93" s="152">
        <f t="shared" si="230"/>
        <v>0.13946957878315133</v>
      </c>
      <c r="Q93" s="118">
        <f t="shared" si="195"/>
        <v>4.4894625963292301E-2</v>
      </c>
      <c r="R93" s="20"/>
      <c r="S93" s="152">
        <f t="shared" ref="S93:AB93" si="231">S38/S25</f>
        <v>0.13946957878315133</v>
      </c>
      <c r="T93" s="152">
        <f t="shared" si="231"/>
        <v>0.13946957878315136</v>
      </c>
      <c r="U93" s="152">
        <f t="shared" si="231"/>
        <v>0.13946957878315133</v>
      </c>
      <c r="V93" s="152">
        <f t="shared" si="231"/>
        <v>0.13946957878315133</v>
      </c>
      <c r="W93" s="152">
        <f t="shared" si="231"/>
        <v>0.13946957878315136</v>
      </c>
      <c r="X93" s="152">
        <f t="shared" si="231"/>
        <v>0.13946957878315136</v>
      </c>
      <c r="Y93" s="152">
        <f t="shared" si="231"/>
        <v>0.13946957878315139</v>
      </c>
      <c r="Z93" s="152">
        <f t="shared" si="231"/>
        <v>0.13946957878315139</v>
      </c>
      <c r="AA93" s="152">
        <f t="shared" si="231"/>
        <v>0.13946957878315139</v>
      </c>
      <c r="AB93" s="152">
        <f t="shared" si="231"/>
        <v>0.13946957878315139</v>
      </c>
      <c r="AC93" s="138">
        <f t="shared" si="197"/>
        <v>2.1020213363491358E-2</v>
      </c>
      <c r="AD93" s="20"/>
      <c r="AE93" s="20"/>
    </row>
    <row r="94" spans="2:31">
      <c r="B94" s="20" t="s">
        <v>349</v>
      </c>
      <c r="C94" s="20"/>
      <c r="D94" s="20"/>
      <c r="E94" s="152"/>
      <c r="F94" s="152"/>
      <c r="G94" s="152">
        <f t="shared" ref="G94:O94" si="232">G25/G18</f>
        <v>9.3241379310344836</v>
      </c>
      <c r="H94" s="152">
        <f t="shared" si="232"/>
        <v>11.439393939393939</v>
      </c>
      <c r="I94" s="152">
        <f t="shared" si="232"/>
        <v>14.824</v>
      </c>
      <c r="J94" s="152">
        <f t="shared" si="232"/>
        <v>16.211864406779661</v>
      </c>
      <c r="K94" s="152">
        <f t="shared" si="232"/>
        <v>19.375627720120523</v>
      </c>
      <c r="L94" s="152">
        <f t="shared" si="232"/>
        <v>21.392632524707999</v>
      </c>
      <c r="M94" s="152">
        <f t="shared" si="232"/>
        <v>23.78656914893617</v>
      </c>
      <c r="N94" s="152">
        <f t="shared" si="232"/>
        <v>28.128332740846073</v>
      </c>
      <c r="O94" s="152">
        <f t="shared" si="232"/>
        <v>25.412305740564541</v>
      </c>
      <c r="P94" s="152">
        <f>P25/P18</f>
        <v>25.412305740564541</v>
      </c>
      <c r="Q94" s="118">
        <f t="shared" si="195"/>
        <v>0.1178453102972592</v>
      </c>
      <c r="R94" s="20"/>
      <c r="S94" s="152">
        <f>S25/S18</f>
        <v>25.412305740564538</v>
      </c>
      <c r="T94" s="152">
        <f t="shared" ref="T94:AB94" si="233">T25/T18</f>
        <v>25.412305740564538</v>
      </c>
      <c r="U94" s="152">
        <f t="shared" si="233"/>
        <v>25.412305740564541</v>
      </c>
      <c r="V94" s="152">
        <f t="shared" si="233"/>
        <v>25.412305740564538</v>
      </c>
      <c r="W94" s="152">
        <f t="shared" si="233"/>
        <v>25.412305740564538</v>
      </c>
      <c r="X94" s="152">
        <f t="shared" si="233"/>
        <v>25.412305740564534</v>
      </c>
      <c r="Y94" s="152">
        <f t="shared" si="233"/>
        <v>25.412305740564534</v>
      </c>
      <c r="Z94" s="152">
        <f t="shared" si="233"/>
        <v>25.412305740564534</v>
      </c>
      <c r="AA94" s="152">
        <f t="shared" si="233"/>
        <v>25.412305740564538</v>
      </c>
      <c r="AB94" s="152">
        <f t="shared" si="233"/>
        <v>25.412305740564538</v>
      </c>
      <c r="AC94" s="138">
        <f t="shared" si="197"/>
        <v>5.4186988875080999E-2</v>
      </c>
      <c r="AD94" s="20"/>
      <c r="AE94" s="20"/>
    </row>
    <row r="95" spans="2:31">
      <c r="B95" s="20"/>
      <c r="C95" s="20"/>
      <c r="D95" s="20"/>
      <c r="E95" s="20"/>
      <c r="F95" s="20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28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28"/>
      <c r="AD95" s="20"/>
      <c r="AE95" s="20"/>
    </row>
    <row r="96" spans="2:31">
      <c r="B96" s="20" t="s">
        <v>335</v>
      </c>
      <c r="C96" s="20"/>
      <c r="D96" s="20"/>
      <c r="E96" s="165">
        <f t="shared" ref="E96:F96" si="234">E63*E40</f>
        <v>0</v>
      </c>
      <c r="F96" s="165">
        <f t="shared" si="234"/>
        <v>101.97</v>
      </c>
      <c r="G96" s="165">
        <f>G63*G40</f>
        <v>101.97</v>
      </c>
      <c r="H96" s="165">
        <f t="shared" ref="H96:P96" si="235">H63*H40</f>
        <v>101.97</v>
      </c>
      <c r="I96" s="165">
        <f t="shared" si="235"/>
        <v>111.24</v>
      </c>
      <c r="J96" s="165">
        <f t="shared" si="235"/>
        <v>173.04</v>
      </c>
      <c r="K96" s="165">
        <f t="shared" si="235"/>
        <v>185.39999999999998</v>
      </c>
      <c r="L96" s="165">
        <f t="shared" si="235"/>
        <v>309</v>
      </c>
      <c r="M96" s="165">
        <f t="shared" si="235"/>
        <v>372.3</v>
      </c>
      <c r="N96" s="165">
        <f t="shared" si="235"/>
        <v>370.79999999999995</v>
      </c>
      <c r="O96" s="165">
        <f t="shared" si="235"/>
        <v>519.22500000000002</v>
      </c>
      <c r="P96" s="165">
        <f t="shared" si="235"/>
        <v>519.22500000000002</v>
      </c>
      <c r="Q96" s="118">
        <f t="shared" si="195"/>
        <v>0.19823658384736476</v>
      </c>
      <c r="R96" s="20"/>
      <c r="S96" s="165">
        <f t="shared" ref="S96:AB96" si="236">S63*S40</f>
        <v>626.96418749999998</v>
      </c>
      <c r="T96" s="165">
        <f t="shared" si="236"/>
        <v>757.05925640625003</v>
      </c>
      <c r="U96" s="165">
        <f t="shared" si="236"/>
        <v>914.14905211054679</v>
      </c>
      <c r="V96" s="165">
        <f t="shared" si="236"/>
        <v>1103.8349804234851</v>
      </c>
      <c r="W96" s="165">
        <f t="shared" si="236"/>
        <v>1332.8807388613584</v>
      </c>
      <c r="X96" s="165">
        <f t="shared" si="236"/>
        <v>1609.4534921750901</v>
      </c>
      <c r="Y96" s="165">
        <f t="shared" si="236"/>
        <v>1943.4150918014216</v>
      </c>
      <c r="Z96" s="165">
        <f t="shared" si="236"/>
        <v>2346.6737233502167</v>
      </c>
      <c r="AA96" s="165">
        <f t="shared" si="236"/>
        <v>2833.6085209453863</v>
      </c>
      <c r="AB96" s="165">
        <f t="shared" si="236"/>
        <v>3421.5822890415543</v>
      </c>
      <c r="AC96" s="138">
        <f t="shared" si="197"/>
        <v>0.20310317278230094</v>
      </c>
      <c r="AD96" s="20"/>
      <c r="AE96" s="20"/>
    </row>
    <row r="97" spans="2:31">
      <c r="B97" s="20" t="s">
        <v>336</v>
      </c>
      <c r="C97" s="20"/>
      <c r="D97" s="20"/>
      <c r="E97" s="165">
        <f>(E96*0.17)+E96</f>
        <v>0</v>
      </c>
      <c r="F97" s="165">
        <f>(F96*0.17)+F96</f>
        <v>119.3049</v>
      </c>
      <c r="G97" s="165">
        <f t="shared" ref="G97:P97" si="237">(G96*0.17)+G96</f>
        <v>119.3049</v>
      </c>
      <c r="H97" s="165">
        <f t="shared" si="237"/>
        <v>119.3049</v>
      </c>
      <c r="I97" s="165">
        <f t="shared" si="237"/>
        <v>130.1508</v>
      </c>
      <c r="J97" s="165">
        <f t="shared" si="237"/>
        <v>202.45679999999999</v>
      </c>
      <c r="K97" s="165">
        <f t="shared" si="237"/>
        <v>216.91799999999998</v>
      </c>
      <c r="L97" s="165">
        <f t="shared" si="237"/>
        <v>361.53</v>
      </c>
      <c r="M97" s="165">
        <f t="shared" si="237"/>
        <v>435.59100000000001</v>
      </c>
      <c r="N97" s="165">
        <f t="shared" si="237"/>
        <v>433.83599999999996</v>
      </c>
      <c r="O97" s="165">
        <f t="shared" si="237"/>
        <v>607.49324999999999</v>
      </c>
      <c r="P97" s="165">
        <f t="shared" si="237"/>
        <v>607.49324999999999</v>
      </c>
      <c r="Q97" s="118">
        <f t="shared" si="195"/>
        <v>0.19823658384736476</v>
      </c>
      <c r="R97" s="20"/>
      <c r="S97" s="165">
        <f t="shared" ref="S97:AB97" si="238">(S96*0.17)+S96</f>
        <v>733.54809937499999</v>
      </c>
      <c r="T97" s="165">
        <f t="shared" si="238"/>
        <v>885.75932999531256</v>
      </c>
      <c r="U97" s="165">
        <f t="shared" si="238"/>
        <v>1069.5543909693397</v>
      </c>
      <c r="V97" s="165">
        <f t="shared" si="238"/>
        <v>1291.4869270954775</v>
      </c>
      <c r="W97" s="165">
        <f t="shared" si="238"/>
        <v>1559.4704644677893</v>
      </c>
      <c r="X97" s="165">
        <f t="shared" si="238"/>
        <v>1883.0605858448555</v>
      </c>
      <c r="Y97" s="165">
        <f t="shared" si="238"/>
        <v>2273.7956574076634</v>
      </c>
      <c r="Z97" s="165">
        <f t="shared" si="238"/>
        <v>2745.6082563197538</v>
      </c>
      <c r="AA97" s="165">
        <f t="shared" si="238"/>
        <v>3315.3219695061021</v>
      </c>
      <c r="AB97" s="165">
        <f t="shared" si="238"/>
        <v>4003.2512781786186</v>
      </c>
      <c r="AC97" s="138">
        <f t="shared" si="197"/>
        <v>0.20310317278230094</v>
      </c>
      <c r="AD97" s="20"/>
      <c r="AE97" s="20"/>
    </row>
    <row r="98" spans="2:31">
      <c r="B98" s="20" t="s">
        <v>337</v>
      </c>
      <c r="C98" s="20"/>
      <c r="D98" s="20"/>
      <c r="E98" s="20"/>
      <c r="F98" s="152">
        <f t="shared" ref="F98:P98" si="239">F97/F38</f>
        <v>0.86452826086956525</v>
      </c>
      <c r="G98" s="152">
        <f t="shared" si="239"/>
        <v>0.93940866141732282</v>
      </c>
      <c r="H98" s="152">
        <f t="shared" si="239"/>
        <v>0.8115979591836735</v>
      </c>
      <c r="I98" s="152">
        <f t="shared" si="239"/>
        <v>0.83968258064516132</v>
      </c>
      <c r="J98" s="152">
        <f t="shared" si="239"/>
        <v>0.92870091743119265</v>
      </c>
      <c r="K98" s="152">
        <f t="shared" si="239"/>
        <v>0.82793129770992357</v>
      </c>
      <c r="L98" s="152">
        <f t="shared" si="239"/>
        <v>0.94889763779527547</v>
      </c>
      <c r="M98" s="152">
        <f t="shared" si="239"/>
        <v>0.88896122448979598</v>
      </c>
      <c r="N98" s="152">
        <f t="shared" si="239"/>
        <v>0.9019459459459459</v>
      </c>
      <c r="O98" s="152">
        <f t="shared" si="239"/>
        <v>1.3590453020134228</v>
      </c>
      <c r="P98" s="152">
        <f t="shared" si="239"/>
        <v>1.3590453020134228</v>
      </c>
      <c r="Q98" s="118">
        <f t="shared" si="195"/>
        <v>4.1885347490224989E-2</v>
      </c>
      <c r="R98" s="20"/>
      <c r="S98" s="152">
        <f t="shared" ref="S98:AB98" si="240">S97/S38</f>
        <v>1.519488150167785</v>
      </c>
      <c r="T98" s="152">
        <f t="shared" si="240"/>
        <v>1.6988721678959262</v>
      </c>
      <c r="U98" s="152">
        <f t="shared" si="240"/>
        <v>1.8994334654947505</v>
      </c>
      <c r="V98" s="152">
        <f t="shared" si="240"/>
        <v>2.1236721385045469</v>
      </c>
      <c r="W98" s="152">
        <f t="shared" si="240"/>
        <v>2.374383432633556</v>
      </c>
      <c r="X98" s="152">
        <f t="shared" si="240"/>
        <v>2.6546925878750174</v>
      </c>
      <c r="Y98" s="152">
        <f t="shared" si="240"/>
        <v>2.9680937961658178</v>
      </c>
      <c r="Z98" s="152">
        <f t="shared" si="240"/>
        <v>3.3184937582131715</v>
      </c>
      <c r="AA98" s="152">
        <f t="shared" si="240"/>
        <v>3.7102603824466698</v>
      </c>
      <c r="AB98" s="152">
        <f t="shared" si="240"/>
        <v>4.1482772331521796</v>
      </c>
      <c r="AC98" s="138">
        <f t="shared" si="197"/>
        <v>8.1304633116815017E-2</v>
      </c>
      <c r="AD98" s="20"/>
      <c r="AE98" s="20"/>
    </row>
    <row r="99" spans="2:31">
      <c r="B99" s="20" t="s">
        <v>330</v>
      </c>
      <c r="C99" s="20"/>
      <c r="D99" s="20"/>
      <c r="E99" s="20"/>
      <c r="F99" s="152">
        <f>1-F98</f>
        <v>0.13547173913043475</v>
      </c>
      <c r="G99" s="152">
        <f>1-G98</f>
        <v>6.0591338582677179E-2</v>
      </c>
      <c r="H99" s="152">
        <f t="shared" ref="H99:P99" si="241">1-H98</f>
        <v>0.1884020408163265</v>
      </c>
      <c r="I99" s="152">
        <f t="shared" si="241"/>
        <v>0.16031741935483868</v>
      </c>
      <c r="J99" s="152">
        <f t="shared" si="241"/>
        <v>7.1299082568807348E-2</v>
      </c>
      <c r="K99" s="152">
        <f t="shared" si="241"/>
        <v>0.17206870229007643</v>
      </c>
      <c r="L99" s="152">
        <f t="shared" si="241"/>
        <v>5.1102362204724527E-2</v>
      </c>
      <c r="M99" s="152">
        <f t="shared" si="241"/>
        <v>0.11103877551020402</v>
      </c>
      <c r="N99" s="152">
        <f t="shared" si="241"/>
        <v>9.8054054054054096E-2</v>
      </c>
      <c r="O99" s="152">
        <f t="shared" si="241"/>
        <v>-0.35904530201342277</v>
      </c>
      <c r="P99" s="152">
        <f t="shared" si="241"/>
        <v>-0.35904530201342277</v>
      </c>
      <c r="Q99" s="118">
        <f t="shared" si="195"/>
        <v>-2.2185963015962664</v>
      </c>
      <c r="R99" s="20"/>
      <c r="S99" s="152">
        <f t="shared" ref="S99:AB99" si="242">1-S98</f>
        <v>-0.51948815016778505</v>
      </c>
      <c r="T99" s="152">
        <f t="shared" si="242"/>
        <v>-0.69887216789592621</v>
      </c>
      <c r="U99" s="152">
        <f t="shared" si="242"/>
        <v>-0.89943346549475045</v>
      </c>
      <c r="V99" s="152">
        <f t="shared" si="242"/>
        <v>-1.1236721385045469</v>
      </c>
      <c r="W99" s="152">
        <f t="shared" si="242"/>
        <v>-1.374383432633556</v>
      </c>
      <c r="X99" s="152">
        <f t="shared" si="242"/>
        <v>-1.6546925878750174</v>
      </c>
      <c r="Y99" s="152">
        <f t="shared" si="242"/>
        <v>-1.9680937961658178</v>
      </c>
      <c r="Z99" s="152">
        <f t="shared" si="242"/>
        <v>-2.3184937582131715</v>
      </c>
      <c r="AA99" s="152">
        <f t="shared" si="242"/>
        <v>-2.7102603824466698</v>
      </c>
      <c r="AB99" s="152">
        <f t="shared" si="242"/>
        <v>-3.1482772331521796</v>
      </c>
      <c r="AC99" s="138">
        <f t="shared" si="197"/>
        <v>-2.2311132973877053</v>
      </c>
      <c r="AD99" s="20"/>
      <c r="AE99" s="20"/>
    </row>
    <row r="100" spans="2:31">
      <c r="B100" s="20"/>
      <c r="C100" s="20"/>
      <c r="D100" s="20"/>
      <c r="E100" s="20"/>
      <c r="F100" s="20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28"/>
      <c r="R100" s="20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28"/>
      <c r="AD100" s="20"/>
      <c r="AE100" s="20"/>
    </row>
    <row r="101" spans="2:31">
      <c r="B101" s="20" t="s">
        <v>334</v>
      </c>
      <c r="C101" s="152"/>
      <c r="D101" s="152"/>
      <c r="E101" s="152"/>
      <c r="F101" s="152">
        <f>F31/F25</f>
        <v>0</v>
      </c>
      <c r="G101" s="152">
        <f>G31/G25</f>
        <v>0</v>
      </c>
      <c r="H101" s="152">
        <f t="shared" ref="H101:P101" si="243">H31/H25</f>
        <v>0</v>
      </c>
      <c r="I101" s="152">
        <f t="shared" si="243"/>
        <v>0</v>
      </c>
      <c r="J101" s="152">
        <f t="shared" si="243"/>
        <v>0</v>
      </c>
      <c r="K101" s="152">
        <f t="shared" si="243"/>
        <v>0</v>
      </c>
      <c r="L101" s="152">
        <f t="shared" si="243"/>
        <v>0</v>
      </c>
      <c r="M101" s="152">
        <f t="shared" si="243"/>
        <v>0</v>
      </c>
      <c r="N101" s="152">
        <f t="shared" si="243"/>
        <v>0</v>
      </c>
      <c r="O101" s="152">
        <f t="shared" si="243"/>
        <v>0</v>
      </c>
      <c r="P101" s="152">
        <f t="shared" si="243"/>
        <v>0</v>
      </c>
      <c r="Q101" s="118" t="e">
        <f t="shared" si="195"/>
        <v>#DIV/0!</v>
      </c>
      <c r="R101" s="20"/>
      <c r="S101" s="152">
        <f t="shared" ref="S101:AB101" si="244">S31/S25</f>
        <v>0</v>
      </c>
      <c r="T101" s="152">
        <f t="shared" si="244"/>
        <v>0</v>
      </c>
      <c r="U101" s="152">
        <f t="shared" si="244"/>
        <v>0</v>
      </c>
      <c r="V101" s="152">
        <f t="shared" si="244"/>
        <v>0</v>
      </c>
      <c r="W101" s="152">
        <f t="shared" si="244"/>
        <v>0</v>
      </c>
      <c r="X101" s="152">
        <f t="shared" si="244"/>
        <v>0</v>
      </c>
      <c r="Y101" s="152">
        <f t="shared" si="244"/>
        <v>0</v>
      </c>
      <c r="Z101" s="152">
        <f t="shared" si="244"/>
        <v>0</v>
      </c>
      <c r="AA101" s="152">
        <f t="shared" si="244"/>
        <v>0</v>
      </c>
      <c r="AB101" s="152">
        <f t="shared" si="244"/>
        <v>0</v>
      </c>
      <c r="AC101" s="138" t="e">
        <f t="shared" si="197"/>
        <v>#DIV/0!</v>
      </c>
      <c r="AD101" s="20"/>
      <c r="AE101" s="20"/>
    </row>
    <row r="102" spans="2:31">
      <c r="B102" s="20" t="s">
        <v>331</v>
      </c>
      <c r="C102" s="152"/>
      <c r="D102" s="152"/>
      <c r="E102" s="152"/>
      <c r="F102" s="152">
        <f>F32/F25</f>
        <v>0</v>
      </c>
      <c r="G102" s="152">
        <f>G32/G25</f>
        <v>0</v>
      </c>
      <c r="H102" s="152">
        <f t="shared" ref="H102:P102" si="245">H32/H25</f>
        <v>0</v>
      </c>
      <c r="I102" s="152">
        <f t="shared" si="245"/>
        <v>0</v>
      </c>
      <c r="J102" s="152">
        <f t="shared" si="245"/>
        <v>0</v>
      </c>
      <c r="K102" s="152">
        <f t="shared" si="245"/>
        <v>0</v>
      </c>
      <c r="L102" s="152">
        <f t="shared" si="245"/>
        <v>0</v>
      </c>
      <c r="M102" s="152">
        <f t="shared" si="245"/>
        <v>0</v>
      </c>
      <c r="N102" s="152">
        <f t="shared" si="245"/>
        <v>0</v>
      </c>
      <c r="O102" s="152">
        <f t="shared" si="245"/>
        <v>0</v>
      </c>
      <c r="P102" s="152">
        <f t="shared" si="245"/>
        <v>0</v>
      </c>
      <c r="Q102" s="118" t="e">
        <f t="shared" si="195"/>
        <v>#DIV/0!</v>
      </c>
      <c r="R102" s="20"/>
      <c r="S102" s="152">
        <f t="shared" ref="S102:AB102" si="246">S32/S25</f>
        <v>0</v>
      </c>
      <c r="T102" s="152">
        <f t="shared" si="246"/>
        <v>0</v>
      </c>
      <c r="U102" s="152">
        <f t="shared" si="246"/>
        <v>0</v>
      </c>
      <c r="V102" s="152">
        <f t="shared" si="246"/>
        <v>0</v>
      </c>
      <c r="W102" s="152">
        <f t="shared" si="246"/>
        <v>0</v>
      </c>
      <c r="X102" s="152">
        <f t="shared" si="246"/>
        <v>0</v>
      </c>
      <c r="Y102" s="152">
        <f t="shared" si="246"/>
        <v>0</v>
      </c>
      <c r="Z102" s="152">
        <f t="shared" si="246"/>
        <v>0</v>
      </c>
      <c r="AA102" s="152">
        <f t="shared" si="246"/>
        <v>0</v>
      </c>
      <c r="AB102" s="152">
        <f t="shared" si="246"/>
        <v>0</v>
      </c>
      <c r="AC102" s="138" t="e">
        <f t="shared" si="197"/>
        <v>#DIV/0!</v>
      </c>
      <c r="AD102" s="20"/>
      <c r="AE102" s="20"/>
    </row>
    <row r="103" spans="2:31">
      <c r="B103" s="20"/>
      <c r="C103" s="20"/>
      <c r="D103" s="20"/>
      <c r="E103" s="20"/>
      <c r="F103" s="20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28"/>
      <c r="R103" s="20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28"/>
      <c r="AD103" s="20"/>
      <c r="AE103" s="20"/>
    </row>
    <row r="104" spans="2:31">
      <c r="B104" s="20" t="s">
        <v>355</v>
      </c>
      <c r="C104" s="20"/>
      <c r="D104" s="20"/>
      <c r="E104" s="20"/>
      <c r="F104" s="20"/>
      <c r="G104" s="152">
        <f>G27/G25</f>
        <v>0.8350591715976331</v>
      </c>
      <c r="H104" s="152">
        <f t="shared" ref="H104:P104" si="247">H27/H25</f>
        <v>0.84569536423841063</v>
      </c>
      <c r="I104" s="152">
        <f t="shared" si="247"/>
        <v>0.86238532110091748</v>
      </c>
      <c r="J104" s="152">
        <f t="shared" si="247"/>
        <v>0.80920020909566126</v>
      </c>
      <c r="K104" s="152">
        <f t="shared" si="247"/>
        <v>0.80950323974082072</v>
      </c>
      <c r="L104" s="152">
        <f t="shared" si="247"/>
        <v>0.74296514069718611</v>
      </c>
      <c r="M104" s="152">
        <f t="shared" si="247"/>
        <v>0.73305380852550661</v>
      </c>
      <c r="N104" s="152">
        <f t="shared" si="247"/>
        <v>0.76966824644549758</v>
      </c>
      <c r="O104" s="152">
        <f t="shared" si="247"/>
        <v>0.78315132605304216</v>
      </c>
      <c r="P104" s="152">
        <f t="shared" si="247"/>
        <v>0.78315132605304216</v>
      </c>
      <c r="Q104" s="118">
        <f t="shared" si="195"/>
        <v>-7.1053749163761948E-3</v>
      </c>
      <c r="R104" s="20"/>
      <c r="S104" s="152">
        <f t="shared" ref="S104:AB104" si="248">S27/S25</f>
        <v>0.78315132605304216</v>
      </c>
      <c r="T104" s="152">
        <f t="shared" si="248"/>
        <v>0.78315132605304205</v>
      </c>
      <c r="U104" s="152">
        <f t="shared" si="248"/>
        <v>0.78315132605304216</v>
      </c>
      <c r="V104" s="152">
        <f t="shared" si="248"/>
        <v>0.78315132605304216</v>
      </c>
      <c r="W104" s="152">
        <f t="shared" si="248"/>
        <v>0.78315132605304216</v>
      </c>
      <c r="X104" s="152">
        <f t="shared" si="248"/>
        <v>0.78315132605304227</v>
      </c>
      <c r="Y104" s="152">
        <f t="shared" si="248"/>
        <v>0.78315132605304216</v>
      </c>
      <c r="Z104" s="152">
        <f t="shared" si="248"/>
        <v>0.78315132605304216</v>
      </c>
      <c r="AA104" s="152">
        <f t="shared" si="248"/>
        <v>0.78315132605304216</v>
      </c>
      <c r="AB104" s="152">
        <f t="shared" si="248"/>
        <v>0.78315132605304216</v>
      </c>
      <c r="AC104" s="138">
        <f t="shared" si="197"/>
        <v>-3.3720200734517203E-3</v>
      </c>
      <c r="AD104" s="20"/>
      <c r="AE104" s="20"/>
    </row>
    <row r="105" spans="2:31">
      <c r="B105" s="20" t="str">
        <f>B33</f>
        <v>Top Expenses ( Raw material )</v>
      </c>
      <c r="C105" s="20"/>
      <c r="D105" s="20"/>
      <c r="E105" s="20"/>
      <c r="F105" s="20"/>
      <c r="G105" s="152">
        <f>G33/G25</f>
        <v>0.5724852071005917</v>
      </c>
      <c r="H105" s="152">
        <f t="shared" ref="H105:P105" si="249">H33/H25</f>
        <v>0.57748344370860927</v>
      </c>
      <c r="I105" s="152">
        <f t="shared" si="249"/>
        <v>0.63572584997301673</v>
      </c>
      <c r="J105" s="152">
        <f t="shared" si="249"/>
        <v>0.56644537375849446</v>
      </c>
      <c r="K105" s="152">
        <f t="shared" si="249"/>
        <v>0.57278617710583157</v>
      </c>
      <c r="L105" s="152">
        <f t="shared" si="249"/>
        <v>0.4628307433851323</v>
      </c>
      <c r="M105" s="152">
        <f t="shared" si="249"/>
        <v>0.49231306778476591</v>
      </c>
      <c r="N105" s="152">
        <f t="shared" si="249"/>
        <v>0.54407582938388621</v>
      </c>
      <c r="O105" s="152">
        <f t="shared" si="249"/>
        <v>0.57316692667706703</v>
      </c>
      <c r="P105" s="152">
        <f t="shared" si="249"/>
        <v>0.57316692667706703</v>
      </c>
      <c r="Q105" s="118">
        <f t="shared" si="195"/>
        <v>1.322419513669626E-4</v>
      </c>
      <c r="R105" s="20"/>
      <c r="S105" s="152">
        <f t="shared" ref="S105:AB105" si="250">S33/S25</f>
        <v>0.57316692667706703</v>
      </c>
      <c r="T105" s="152">
        <f t="shared" si="250"/>
        <v>0.57316692667706703</v>
      </c>
      <c r="U105" s="152">
        <f t="shared" si="250"/>
        <v>0.57316692667706715</v>
      </c>
      <c r="V105" s="152">
        <f t="shared" si="250"/>
        <v>0.57316692667706715</v>
      </c>
      <c r="W105" s="152">
        <f t="shared" si="250"/>
        <v>0.57316692667706715</v>
      </c>
      <c r="X105" s="152">
        <f t="shared" si="250"/>
        <v>0.57316692667706715</v>
      </c>
      <c r="Y105" s="152">
        <f t="shared" si="250"/>
        <v>0.57316692667706726</v>
      </c>
      <c r="Z105" s="152">
        <f t="shared" si="250"/>
        <v>0.57316692667706726</v>
      </c>
      <c r="AA105" s="152">
        <f t="shared" si="250"/>
        <v>0.57316692667706715</v>
      </c>
      <c r="AB105" s="152">
        <f t="shared" si="250"/>
        <v>0.57316692667706726</v>
      </c>
      <c r="AC105" s="138">
        <f t="shared" si="197"/>
        <v>6.2638744541931857E-5</v>
      </c>
      <c r="AD105" s="20"/>
      <c r="AE105" s="20"/>
    </row>
    <row r="106" spans="2:31">
      <c r="B106" s="20" t="str">
        <f>B34</f>
        <v>2nd highest Expenses Comp. ( Empl )</v>
      </c>
      <c r="C106" s="20"/>
      <c r="D106" s="20"/>
      <c r="E106" s="20"/>
      <c r="F106" s="20"/>
      <c r="G106" s="152">
        <f>G34/G25</f>
        <v>4.807692307692308E-2</v>
      </c>
      <c r="H106" s="152">
        <f t="shared" ref="H106:P106" si="251">H34/H25</f>
        <v>4.4370860927152318E-2</v>
      </c>
      <c r="I106" s="152">
        <f t="shared" si="251"/>
        <v>3.831624392876417E-2</v>
      </c>
      <c r="J106" s="152">
        <f t="shared" si="251"/>
        <v>4.7255619445896499E-2</v>
      </c>
      <c r="K106" s="152">
        <f t="shared" si="251"/>
        <v>4.1468682505399569E-2</v>
      </c>
      <c r="L106" s="152">
        <f t="shared" si="251"/>
        <v>4.4099118017639646E-2</v>
      </c>
      <c r="M106" s="152">
        <f t="shared" si="251"/>
        <v>3.5988819007686933E-2</v>
      </c>
      <c r="N106" s="152">
        <f t="shared" si="251"/>
        <v>3.4123222748815164E-2</v>
      </c>
      <c r="O106" s="152">
        <f t="shared" si="251"/>
        <v>4.0062402496099846E-2</v>
      </c>
      <c r="P106" s="152">
        <f t="shared" si="251"/>
        <v>4.0062402496099846E-2</v>
      </c>
      <c r="Q106" s="118">
        <f t="shared" si="195"/>
        <v>-2.0058757463290111E-2</v>
      </c>
      <c r="R106" s="20"/>
      <c r="S106" s="152">
        <f t="shared" ref="S106:AB106" si="252">S34/S25</f>
        <v>4.0062402496099853E-2</v>
      </c>
      <c r="T106" s="152">
        <f t="shared" si="252"/>
        <v>4.0062402496099846E-2</v>
      </c>
      <c r="U106" s="152">
        <f t="shared" si="252"/>
        <v>4.0062402496099846E-2</v>
      </c>
      <c r="V106" s="152">
        <f t="shared" si="252"/>
        <v>4.0062402496099846E-2</v>
      </c>
      <c r="W106" s="152">
        <f t="shared" si="252"/>
        <v>4.0062402496099846E-2</v>
      </c>
      <c r="X106" s="152">
        <f t="shared" si="252"/>
        <v>4.0062402496099846E-2</v>
      </c>
      <c r="Y106" s="152">
        <f t="shared" si="252"/>
        <v>4.0062402496099853E-2</v>
      </c>
      <c r="Z106" s="152">
        <f t="shared" si="252"/>
        <v>4.0062402496099853E-2</v>
      </c>
      <c r="AA106" s="152">
        <f t="shared" si="252"/>
        <v>4.0062402496099846E-2</v>
      </c>
      <c r="AB106" s="152">
        <f t="shared" si="252"/>
        <v>4.0062402496099853E-2</v>
      </c>
      <c r="AC106" s="138">
        <f t="shared" si="197"/>
        <v>-9.5521900178630048E-3</v>
      </c>
      <c r="AD106" s="20"/>
      <c r="AE106" s="20"/>
    </row>
    <row r="107" spans="2:31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128"/>
      <c r="R107" s="128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9"/>
      <c r="AD107" s="20"/>
      <c r="AE107" s="20"/>
    </row>
    <row r="108" spans="2:31">
      <c r="B108" s="108" t="s">
        <v>363</v>
      </c>
      <c r="C108" s="20"/>
      <c r="D108" s="20"/>
      <c r="E108" s="20"/>
      <c r="F108" s="20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118"/>
      <c r="R108" s="128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138"/>
      <c r="AD108" s="20"/>
      <c r="AE108" s="20"/>
    </row>
    <row r="109" spans="2:31">
      <c r="B109" s="20" t="s">
        <v>366</v>
      </c>
      <c r="C109" s="20"/>
      <c r="D109" s="20"/>
      <c r="E109" s="20"/>
      <c r="F109" s="20"/>
      <c r="G109" s="25">
        <f>G15/G9</f>
        <v>1.4598214285714286</v>
      </c>
      <c r="H109" s="25">
        <f t="shared" ref="H109:AB109" si="253">H15/H9</f>
        <v>1.5528735632183908</v>
      </c>
      <c r="I109" s="25">
        <f t="shared" si="253"/>
        <v>1.6962328767123287</v>
      </c>
      <c r="J109" s="25">
        <f t="shared" si="253"/>
        <v>1.164657694558221</v>
      </c>
      <c r="K109" s="25">
        <f t="shared" si="253"/>
        <v>1.4629903425713298</v>
      </c>
      <c r="L109" s="25">
        <f t="shared" si="253"/>
        <v>0.92244070268176548</v>
      </c>
      <c r="M109" s="25">
        <f t="shared" si="253"/>
        <v>0.8789373210308622</v>
      </c>
      <c r="N109" s="25">
        <f t="shared" si="253"/>
        <v>1.0969147705360587</v>
      </c>
      <c r="O109" s="25">
        <f t="shared" si="253"/>
        <v>1.9694764862466725</v>
      </c>
      <c r="P109" s="25">
        <f t="shared" si="253"/>
        <v>1.9694764862466725</v>
      </c>
      <c r="Q109" s="118">
        <f t="shared" si="195"/>
        <v>3.3832351709442987E-2</v>
      </c>
      <c r="R109" s="20"/>
      <c r="S109" s="20">
        <f t="shared" si="253"/>
        <v>1.9694764862466725</v>
      </c>
      <c r="T109" s="20">
        <f t="shared" si="253"/>
        <v>1.9694764862466727</v>
      </c>
      <c r="U109" s="20">
        <f t="shared" si="253"/>
        <v>1.9694764862466727</v>
      </c>
      <c r="V109" s="20">
        <f t="shared" si="253"/>
        <v>1.9694764862466727</v>
      </c>
      <c r="W109" s="20">
        <f t="shared" si="253"/>
        <v>1.9694764862466729</v>
      </c>
      <c r="X109" s="20">
        <f t="shared" si="253"/>
        <v>1.9694764862466729</v>
      </c>
      <c r="Y109" s="20">
        <f t="shared" si="253"/>
        <v>1.9694764862466729</v>
      </c>
      <c r="Z109" s="20">
        <f t="shared" si="253"/>
        <v>1.9694764862466727</v>
      </c>
      <c r="AA109" s="20">
        <f t="shared" si="253"/>
        <v>1.9694764862466725</v>
      </c>
      <c r="AB109" s="20">
        <f t="shared" si="253"/>
        <v>1.9694764862466725</v>
      </c>
      <c r="AC109" s="138">
        <f t="shared" si="197"/>
        <v>1.5885573369515127E-2</v>
      </c>
      <c r="AD109" s="20"/>
      <c r="AE109" s="20"/>
    </row>
    <row r="110" spans="2:31">
      <c r="B110" s="20" t="s">
        <v>356</v>
      </c>
      <c r="C110" s="20"/>
      <c r="D110" s="20"/>
      <c r="E110" s="20"/>
      <c r="F110" s="20"/>
      <c r="G110" s="25">
        <f>G12/G9</f>
        <v>0.13250000000000001</v>
      </c>
      <c r="H110" s="25">
        <f t="shared" ref="H110:P110" si="254">H12/H9</f>
        <v>0.15264367816091956</v>
      </c>
      <c r="I110" s="25">
        <f t="shared" si="254"/>
        <v>0.17397260273972601</v>
      </c>
      <c r="J110" s="25">
        <f t="shared" si="254"/>
        <v>7.3581041544763012E-2</v>
      </c>
      <c r="K110" s="25">
        <f t="shared" si="254"/>
        <v>0.80361131208908743</v>
      </c>
      <c r="L110" s="25">
        <f t="shared" si="254"/>
        <v>1.1979311444781153</v>
      </c>
      <c r="M110" s="25">
        <f t="shared" si="254"/>
        <v>1.2314269805917912</v>
      </c>
      <c r="N110" s="25">
        <f t="shared" si="254"/>
        <v>1.0586193598148861</v>
      </c>
      <c r="O110" s="25">
        <f t="shared" si="254"/>
        <v>1.0196805678793257</v>
      </c>
      <c r="P110" s="25">
        <f t="shared" si="254"/>
        <v>1.0196805678793257</v>
      </c>
      <c r="Q110" s="118">
        <f t="shared" si="195"/>
        <v>0.25450393936473414</v>
      </c>
      <c r="R110" s="128"/>
      <c r="S110" s="20">
        <f t="shared" ref="S110:AB110" si="255">S12/S9</f>
        <v>1.0196805678793257</v>
      </c>
      <c r="T110" s="20">
        <f t="shared" si="255"/>
        <v>1.0196805678793257</v>
      </c>
      <c r="U110" s="20">
        <f t="shared" si="255"/>
        <v>1.0196805678793257</v>
      </c>
      <c r="V110" s="20">
        <f t="shared" si="255"/>
        <v>1.0196805678793255</v>
      </c>
      <c r="W110" s="20">
        <f t="shared" si="255"/>
        <v>1.0196805678793255</v>
      </c>
      <c r="X110" s="20">
        <f t="shared" si="255"/>
        <v>1.0196805678793255</v>
      </c>
      <c r="Y110" s="20">
        <f t="shared" si="255"/>
        <v>1.0196805678793255</v>
      </c>
      <c r="Z110" s="20">
        <f t="shared" si="255"/>
        <v>1.0196805678793255</v>
      </c>
      <c r="AA110" s="20">
        <f t="shared" si="255"/>
        <v>1.0196805678793255</v>
      </c>
      <c r="AB110" s="20">
        <f t="shared" si="255"/>
        <v>1.0196805678793255</v>
      </c>
      <c r="AC110" s="118">
        <f t="shared" ref="AC110" si="256">((AB110/S110)^(1/($H$2-$H$1) ))-1</f>
        <v>0</v>
      </c>
      <c r="AD110" s="20"/>
      <c r="AE110" s="20"/>
    </row>
    <row r="111" spans="2:31">
      <c r="B111" s="20" t="s">
        <v>358</v>
      </c>
      <c r="C111" s="20"/>
      <c r="D111" s="20"/>
      <c r="E111" s="20"/>
      <c r="F111" s="20"/>
      <c r="G111" s="25">
        <f>G25/360</f>
        <v>3.7555555555555555</v>
      </c>
      <c r="H111" s="25">
        <f t="shared" ref="H111:P111" si="257">H25/360</f>
        <v>4.1944444444444446</v>
      </c>
      <c r="I111" s="25">
        <f t="shared" si="257"/>
        <v>5.1472222222222221</v>
      </c>
      <c r="J111" s="25">
        <f t="shared" si="257"/>
        <v>5.3138888888888891</v>
      </c>
      <c r="K111" s="25">
        <f t="shared" si="257"/>
        <v>6.4305555555555554</v>
      </c>
      <c r="L111" s="25">
        <f t="shared" si="257"/>
        <v>6.6138888888888889</v>
      </c>
      <c r="M111" s="25">
        <f t="shared" si="257"/>
        <v>7.95</v>
      </c>
      <c r="N111" s="25">
        <f t="shared" si="257"/>
        <v>8.7916666666666661</v>
      </c>
      <c r="O111" s="25">
        <f t="shared" si="257"/>
        <v>8.9027777777777786</v>
      </c>
      <c r="P111" s="25">
        <f t="shared" si="257"/>
        <v>8.9027777777777786</v>
      </c>
      <c r="Q111" s="118">
        <f t="shared" si="195"/>
        <v>0.10065230933208014</v>
      </c>
      <c r="R111" s="128"/>
      <c r="S111" s="25">
        <f t="shared" ref="S111:AB111" si="258">S25/360</f>
        <v>9.6150000000000002</v>
      </c>
      <c r="T111" s="25">
        <f t="shared" si="258"/>
        <v>10.384200000000002</v>
      </c>
      <c r="U111" s="25">
        <f t="shared" si="258"/>
        <v>11.214936000000002</v>
      </c>
      <c r="V111" s="25">
        <f t="shared" si="258"/>
        <v>12.112130880000002</v>
      </c>
      <c r="W111" s="25">
        <f t="shared" si="258"/>
        <v>13.081101350400003</v>
      </c>
      <c r="X111" s="25">
        <f t="shared" si="258"/>
        <v>14.127589458432004</v>
      </c>
      <c r="Y111" s="25">
        <f t="shared" si="258"/>
        <v>15.257796615106564</v>
      </c>
      <c r="Z111" s="25">
        <f t="shared" si="258"/>
        <v>16.47842034431509</v>
      </c>
      <c r="AA111" s="25">
        <f t="shared" si="258"/>
        <v>17.7966939718603</v>
      </c>
      <c r="AB111" s="25">
        <f t="shared" si="258"/>
        <v>19.220429489609124</v>
      </c>
      <c r="AC111" s="118">
        <f t="shared" ref="AC111:AC122" si="259">((AB111/S111)^(1/($H$2-$H$1) ))-1</f>
        <v>8.0000000000000071E-2</v>
      </c>
      <c r="AD111" s="20"/>
      <c r="AE111" s="20"/>
    </row>
    <row r="112" spans="2:31">
      <c r="B112" s="20" t="s">
        <v>357</v>
      </c>
      <c r="C112" s="20"/>
      <c r="D112" s="20"/>
      <c r="E112" s="20"/>
      <c r="F112" s="20"/>
      <c r="G112" s="25">
        <f>G27/360</f>
        <v>3.1361111111111111</v>
      </c>
      <c r="H112" s="25">
        <f t="shared" ref="H112:P112" si="260">H27/360</f>
        <v>3.5472222222222221</v>
      </c>
      <c r="I112" s="25">
        <f t="shared" si="260"/>
        <v>4.4388888888888891</v>
      </c>
      <c r="J112" s="25">
        <f t="shared" si="260"/>
        <v>4.3</v>
      </c>
      <c r="K112" s="25">
        <f t="shared" si="260"/>
        <v>5.2055555555555557</v>
      </c>
      <c r="L112" s="25">
        <f t="shared" si="260"/>
        <v>4.9138888888888888</v>
      </c>
      <c r="M112" s="25">
        <f t="shared" si="260"/>
        <v>5.8277777777777775</v>
      </c>
      <c r="N112" s="25">
        <f t="shared" si="260"/>
        <v>6.7666666666666666</v>
      </c>
      <c r="O112" s="25">
        <f t="shared" si="260"/>
        <v>6.9722222222222223</v>
      </c>
      <c r="P112" s="25">
        <f t="shared" si="260"/>
        <v>6.9722222222222223</v>
      </c>
      <c r="Q112" s="118">
        <f t="shared" si="195"/>
        <v>9.2831762021700515E-2</v>
      </c>
      <c r="R112" s="128"/>
      <c r="S112" s="25">
        <f t="shared" ref="S112:AB112" si="261">S27/360</f>
        <v>7.53</v>
      </c>
      <c r="T112" s="25">
        <f t="shared" si="261"/>
        <v>8.1324000000000005</v>
      </c>
      <c r="U112" s="25">
        <f t="shared" si="261"/>
        <v>8.7829920000000019</v>
      </c>
      <c r="V112" s="25">
        <f t="shared" si="261"/>
        <v>9.4856313600000028</v>
      </c>
      <c r="W112" s="25">
        <f t="shared" si="261"/>
        <v>10.244481868800003</v>
      </c>
      <c r="X112" s="25">
        <f t="shared" si="261"/>
        <v>11.064040418304005</v>
      </c>
      <c r="Y112" s="25">
        <f t="shared" si="261"/>
        <v>11.949163651768325</v>
      </c>
      <c r="Z112" s="25">
        <f t="shared" si="261"/>
        <v>12.905096743909791</v>
      </c>
      <c r="AA112" s="25">
        <f t="shared" si="261"/>
        <v>13.937504483422574</v>
      </c>
      <c r="AB112" s="25">
        <f t="shared" si="261"/>
        <v>15.052504842096381</v>
      </c>
      <c r="AC112" s="118">
        <f t="shared" si="259"/>
        <v>8.0000000000000071E-2</v>
      </c>
      <c r="AD112" s="20"/>
      <c r="AE112" s="20"/>
    </row>
    <row r="113" spans="2:31">
      <c r="B113" s="20"/>
      <c r="C113" s="20"/>
      <c r="D113" s="20"/>
      <c r="E113" s="20"/>
      <c r="F113" s="20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128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128"/>
      <c r="AD113" s="20"/>
      <c r="AE113" s="20"/>
    </row>
    <row r="114" spans="2:31">
      <c r="B114" s="20" t="s">
        <v>367</v>
      </c>
      <c r="C114" s="20"/>
      <c r="D114" s="20"/>
      <c r="E114" s="20"/>
      <c r="F114" s="20"/>
      <c r="G114" s="25">
        <f>G10/G7</f>
        <v>1.0277777777777778E-2</v>
      </c>
      <c r="H114" s="25">
        <f t="shared" ref="H114:P114" si="262">H10/H7</f>
        <v>6.9230769230769233E-3</v>
      </c>
      <c r="I114" s="25">
        <f t="shared" si="262"/>
        <v>6.6906474820143886E-3</v>
      </c>
      <c r="J114" s="25">
        <f t="shared" si="262"/>
        <v>6.4883720930232558E-3</v>
      </c>
      <c r="K114" s="25">
        <f t="shared" si="262"/>
        <v>5.8666442374413867E-3</v>
      </c>
      <c r="L114" s="25">
        <f t="shared" si="262"/>
        <v>0</v>
      </c>
      <c r="M114" s="25">
        <f t="shared" si="262"/>
        <v>0</v>
      </c>
      <c r="N114" s="25">
        <f t="shared" si="262"/>
        <v>0</v>
      </c>
      <c r="O114" s="25">
        <f t="shared" si="262"/>
        <v>0</v>
      </c>
      <c r="P114" s="25">
        <f t="shared" si="262"/>
        <v>0</v>
      </c>
      <c r="Q114" s="118">
        <f t="shared" si="195"/>
        <v>-1</v>
      </c>
      <c r="R114" s="128"/>
      <c r="S114" s="25">
        <f t="shared" ref="S114:AB114" si="263">S10/S7</f>
        <v>0</v>
      </c>
      <c r="T114" s="25">
        <f t="shared" si="263"/>
        <v>0</v>
      </c>
      <c r="U114" s="25">
        <f t="shared" si="263"/>
        <v>0</v>
      </c>
      <c r="V114" s="25">
        <f t="shared" si="263"/>
        <v>0</v>
      </c>
      <c r="W114" s="25">
        <f t="shared" si="263"/>
        <v>0</v>
      </c>
      <c r="X114" s="25">
        <f t="shared" si="263"/>
        <v>0</v>
      </c>
      <c r="Y114" s="25">
        <f t="shared" si="263"/>
        <v>0</v>
      </c>
      <c r="Z114" s="25">
        <f t="shared" si="263"/>
        <v>0</v>
      </c>
      <c r="AA114" s="25">
        <f t="shared" si="263"/>
        <v>0</v>
      </c>
      <c r="AB114" s="25">
        <f t="shared" si="263"/>
        <v>0</v>
      </c>
      <c r="AC114" s="118" t="e">
        <f t="shared" si="259"/>
        <v>#DIV/0!</v>
      </c>
      <c r="AD114" s="20"/>
      <c r="AE114" s="20"/>
    </row>
    <row r="115" spans="2:31">
      <c r="B115" s="20" t="s">
        <v>359</v>
      </c>
      <c r="C115" s="20"/>
      <c r="D115" s="20"/>
      <c r="E115" s="20"/>
      <c r="F115" s="20"/>
      <c r="G115" s="25">
        <f>G10/(G10+G7)</f>
        <v>1.0173219686554854E-2</v>
      </c>
      <c r="H115" s="25">
        <f t="shared" ref="H115:P115" si="264">H10/(H10+H7)</f>
        <v>6.8754774637127588E-3</v>
      </c>
      <c r="I115" s="25">
        <f t="shared" si="264"/>
        <v>6.6461802329736298E-3</v>
      </c>
      <c r="J115" s="25">
        <f t="shared" si="264"/>
        <v>6.4465445135053947E-3</v>
      </c>
      <c r="K115" s="25">
        <f t="shared" si="264"/>
        <v>5.8324274604900075E-3</v>
      </c>
      <c r="L115" s="25">
        <f t="shared" si="264"/>
        <v>0</v>
      </c>
      <c r="M115" s="25">
        <f t="shared" si="264"/>
        <v>0</v>
      </c>
      <c r="N115" s="25">
        <f t="shared" si="264"/>
        <v>0</v>
      </c>
      <c r="O115" s="25">
        <f t="shared" si="264"/>
        <v>0</v>
      </c>
      <c r="P115" s="25">
        <f t="shared" si="264"/>
        <v>0</v>
      </c>
      <c r="Q115" s="118">
        <f t="shared" si="195"/>
        <v>-1</v>
      </c>
      <c r="R115" s="128"/>
      <c r="S115" s="25">
        <f t="shared" ref="S115:AB115" si="265">S10/(S10+S7)</f>
        <v>0</v>
      </c>
      <c r="T115" s="25">
        <f t="shared" si="265"/>
        <v>0</v>
      </c>
      <c r="U115" s="25">
        <f t="shared" si="265"/>
        <v>0</v>
      </c>
      <c r="V115" s="25">
        <f t="shared" si="265"/>
        <v>0</v>
      </c>
      <c r="W115" s="25">
        <f t="shared" si="265"/>
        <v>0</v>
      </c>
      <c r="X115" s="25">
        <f t="shared" si="265"/>
        <v>0</v>
      </c>
      <c r="Y115" s="25">
        <f t="shared" si="265"/>
        <v>0</v>
      </c>
      <c r="Z115" s="25">
        <f t="shared" si="265"/>
        <v>0</v>
      </c>
      <c r="AA115" s="25">
        <f t="shared" si="265"/>
        <v>0</v>
      </c>
      <c r="AB115" s="25">
        <f t="shared" si="265"/>
        <v>0</v>
      </c>
      <c r="AC115" s="118" t="e">
        <f t="shared" si="259"/>
        <v>#DIV/0!</v>
      </c>
      <c r="AD115" s="20"/>
      <c r="AE115" s="20"/>
    </row>
    <row r="116" spans="2:31">
      <c r="B116" s="20"/>
      <c r="C116" s="20"/>
      <c r="D116" s="20"/>
      <c r="E116" s="20"/>
      <c r="F116" s="20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128"/>
      <c r="R116" s="128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137"/>
      <c r="AD116" s="20"/>
      <c r="AE116" s="20"/>
    </row>
    <row r="117" spans="2:31">
      <c r="B117" s="20" t="s">
        <v>364</v>
      </c>
      <c r="C117" s="20"/>
      <c r="D117" s="20"/>
      <c r="E117" s="20"/>
      <c r="F117" s="20"/>
      <c r="G117" s="25">
        <f>G16</f>
        <v>85.11</v>
      </c>
      <c r="H117" s="25">
        <f t="shared" ref="H117:P117" si="266">H16</f>
        <v>146.38</v>
      </c>
      <c r="I117" s="25">
        <f t="shared" si="266"/>
        <v>248.5</v>
      </c>
      <c r="J117" s="25">
        <f t="shared" si="266"/>
        <v>279.10000000000002</v>
      </c>
      <c r="K117" s="25">
        <f t="shared" si="266"/>
        <v>333.89</v>
      </c>
      <c r="L117" s="25">
        <f t="shared" si="266"/>
        <v>357</v>
      </c>
      <c r="M117" s="25">
        <f t="shared" si="266"/>
        <v>416.61</v>
      </c>
      <c r="N117" s="25">
        <f t="shared" si="266"/>
        <v>460.6</v>
      </c>
      <c r="O117" s="25">
        <f t="shared" si="266"/>
        <v>492.15</v>
      </c>
      <c r="P117" s="25">
        <f t="shared" si="266"/>
        <v>492.15</v>
      </c>
      <c r="Q117" s="118">
        <f t="shared" si="195"/>
        <v>0.21528924755048173</v>
      </c>
      <c r="R117" s="128"/>
      <c r="S117" s="25">
        <f t="shared" ref="S117:AB117" si="267">S16</f>
        <v>531.52200000000005</v>
      </c>
      <c r="T117" s="25">
        <f t="shared" si="267"/>
        <v>574.04376000000013</v>
      </c>
      <c r="U117" s="25">
        <f t="shared" si="267"/>
        <v>619.96726080000019</v>
      </c>
      <c r="V117" s="25">
        <f t="shared" si="267"/>
        <v>669.56464166400031</v>
      </c>
      <c r="W117" s="25">
        <f t="shared" si="267"/>
        <v>723.12981299712033</v>
      </c>
      <c r="X117" s="25">
        <f t="shared" si="267"/>
        <v>780.98019803688999</v>
      </c>
      <c r="Y117" s="25">
        <f t="shared" si="267"/>
        <v>843.45861387984121</v>
      </c>
      <c r="Z117" s="25">
        <f t="shared" si="267"/>
        <v>910.93530299022859</v>
      </c>
      <c r="AA117" s="25">
        <f t="shared" si="267"/>
        <v>983.81012722944695</v>
      </c>
      <c r="AB117" s="25">
        <f t="shared" si="267"/>
        <v>1062.5149374078028</v>
      </c>
      <c r="AC117" s="118">
        <f t="shared" si="259"/>
        <v>8.0000000000000071E-2</v>
      </c>
      <c r="AD117" s="20"/>
      <c r="AE117" s="20"/>
    </row>
    <row r="118" spans="2:31">
      <c r="B118" s="20" t="s">
        <v>365</v>
      </c>
      <c r="C118" s="20"/>
      <c r="D118" s="20"/>
      <c r="E118" s="20"/>
      <c r="F118" s="20"/>
      <c r="G118" s="119">
        <f t="shared" ref="G118:P118" si="268">G117*365/G25</f>
        <v>22.977181952662722</v>
      </c>
      <c r="H118" s="119">
        <f t="shared" si="268"/>
        <v>35.38324503311258</v>
      </c>
      <c r="I118" s="119">
        <f t="shared" si="268"/>
        <v>48.94900161899622</v>
      </c>
      <c r="J118" s="119">
        <f t="shared" si="268"/>
        <v>53.252221641400951</v>
      </c>
      <c r="K118" s="119">
        <f t="shared" si="268"/>
        <v>52.643563714902804</v>
      </c>
      <c r="L118" s="119">
        <f t="shared" si="268"/>
        <v>54.727005459890805</v>
      </c>
      <c r="M118" s="119">
        <f t="shared" si="268"/>
        <v>53.131603773584906</v>
      </c>
      <c r="N118" s="119">
        <f t="shared" si="268"/>
        <v>53.11816745655608</v>
      </c>
      <c r="O118" s="119">
        <f t="shared" si="268"/>
        <v>56.048283931357254</v>
      </c>
      <c r="P118" s="119">
        <f t="shared" si="268"/>
        <v>56.048283931357254</v>
      </c>
      <c r="Q118" s="118">
        <f t="shared" si="195"/>
        <v>0.10415363439156167</v>
      </c>
      <c r="R118" s="128"/>
      <c r="S118" s="119">
        <f t="shared" ref="S118:AB118" si="269">S117*365/S25</f>
        <v>56.048283931357261</v>
      </c>
      <c r="T118" s="119">
        <f t="shared" si="269"/>
        <v>56.048283931357261</v>
      </c>
      <c r="U118" s="119">
        <f t="shared" si="269"/>
        <v>56.048283931357268</v>
      </c>
      <c r="V118" s="119">
        <f t="shared" si="269"/>
        <v>56.048283931357268</v>
      </c>
      <c r="W118" s="119">
        <f t="shared" si="269"/>
        <v>56.048283931357261</v>
      </c>
      <c r="X118" s="119">
        <f t="shared" si="269"/>
        <v>56.048283931357268</v>
      </c>
      <c r="Y118" s="119">
        <f t="shared" si="269"/>
        <v>56.048283931357268</v>
      </c>
      <c r="Z118" s="119">
        <f t="shared" si="269"/>
        <v>56.048283931357275</v>
      </c>
      <c r="AA118" s="119">
        <f t="shared" si="269"/>
        <v>56.048283931357268</v>
      </c>
      <c r="AB118" s="119">
        <f t="shared" si="269"/>
        <v>56.048283931357268</v>
      </c>
      <c r="AC118" s="118">
        <f t="shared" si="259"/>
        <v>0</v>
      </c>
      <c r="AD118" s="20"/>
      <c r="AE118" s="20"/>
    </row>
    <row r="119" spans="2:31">
      <c r="B119" s="20" t="s">
        <v>368</v>
      </c>
      <c r="C119" s="20"/>
      <c r="D119" s="20"/>
      <c r="E119" s="20"/>
      <c r="F119" s="20"/>
      <c r="G119" s="133">
        <f>G73/G29</f>
        <v>6.032723295332814</v>
      </c>
      <c r="H119" s="133">
        <f t="shared" ref="H119:P119" si="270">H73/H29</f>
        <v>5.7252523949295231</v>
      </c>
      <c r="I119" s="133">
        <f t="shared" si="270"/>
        <v>4.3610387560186288</v>
      </c>
      <c r="J119" s="133">
        <f t="shared" si="270"/>
        <v>7.2378203446164608</v>
      </c>
      <c r="K119" s="133">
        <f t="shared" si="270"/>
        <v>9.1435031254156147</v>
      </c>
      <c r="L119" s="133">
        <f t="shared" si="270"/>
        <v>14.258243046761409</v>
      </c>
      <c r="M119" s="133">
        <f t="shared" si="270"/>
        <v>12.236865764079887</v>
      </c>
      <c r="N119" s="133">
        <f t="shared" si="270"/>
        <v>14.465680543553772</v>
      </c>
      <c r="O119" s="133">
        <f t="shared" si="270"/>
        <v>6.8734218479780305</v>
      </c>
      <c r="P119" s="133">
        <f t="shared" si="270"/>
        <v>6.8734218479780305</v>
      </c>
      <c r="Q119" s="118">
        <f t="shared" si="195"/>
        <v>1.4601524070390948E-2</v>
      </c>
      <c r="R119" s="128"/>
      <c r="S119" s="133">
        <f t="shared" ref="S119:AB119" si="271">S73/S29</f>
        <v>5.9768885634591573</v>
      </c>
      <c r="T119" s="133">
        <f t="shared" si="271"/>
        <v>5.1972944030079633</v>
      </c>
      <c r="U119" s="133">
        <f t="shared" si="271"/>
        <v>4.5193864373982287</v>
      </c>
      <c r="V119" s="133">
        <f t="shared" si="271"/>
        <v>3.9299012499115036</v>
      </c>
      <c r="W119" s="133">
        <f t="shared" si="271"/>
        <v>3.4173054347056553</v>
      </c>
      <c r="X119" s="133">
        <f t="shared" si="271"/>
        <v>2.9715699432223093</v>
      </c>
      <c r="Y119" s="133">
        <f t="shared" si="271"/>
        <v>2.5839738636715737</v>
      </c>
      <c r="Z119" s="133">
        <f t="shared" si="271"/>
        <v>2.2469337944970205</v>
      </c>
      <c r="AA119" s="133">
        <f t="shared" si="271"/>
        <v>1.9538554734756701</v>
      </c>
      <c r="AB119" s="133">
        <f t="shared" si="271"/>
        <v>1.6990047595440607</v>
      </c>
      <c r="AC119" s="118">
        <f t="shared" si="259"/>
        <v>-0.13043478260869557</v>
      </c>
      <c r="AD119" s="20"/>
      <c r="AE119" s="20"/>
    </row>
    <row r="120" spans="2:31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128"/>
      <c r="R120" s="128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>
      <c r="B121" s="20" t="s">
        <v>375</v>
      </c>
      <c r="C121" s="20"/>
      <c r="D121" s="20"/>
      <c r="E121" s="20"/>
      <c r="F121" s="20"/>
      <c r="G121" s="25">
        <f>G25/G14</f>
        <v>8.1445783132530121</v>
      </c>
      <c r="H121" s="25">
        <f t="shared" ref="H121:P121" si="272">H25/H14</f>
        <v>7.05607476635514</v>
      </c>
      <c r="I121" s="25">
        <f t="shared" si="272"/>
        <v>7.2524461839530332</v>
      </c>
      <c r="J121" s="25">
        <f t="shared" si="272"/>
        <v>8.5022222222222226</v>
      </c>
      <c r="K121" s="25">
        <f t="shared" si="272"/>
        <v>8.6606808829031046</v>
      </c>
      <c r="L121" s="25">
        <f t="shared" si="272"/>
        <v>11.41254853089201</v>
      </c>
      <c r="M121" s="25">
        <f t="shared" si="272"/>
        <v>11.719901719901721</v>
      </c>
      <c r="N121" s="25">
        <f t="shared" si="272"/>
        <v>10.517745580220657</v>
      </c>
      <c r="O121" s="25">
        <f t="shared" si="272"/>
        <v>10.150114010640994</v>
      </c>
      <c r="P121" s="25">
        <f t="shared" si="272"/>
        <v>10.150114010640994</v>
      </c>
      <c r="Q121" s="118">
        <f t="shared" si="195"/>
        <v>2.4760742411840786E-2</v>
      </c>
      <c r="R121" s="128"/>
      <c r="S121" s="20">
        <f t="shared" ref="S121" si="273">S25/S14</f>
        <v>10.150114010640992</v>
      </c>
      <c r="T121" s="20">
        <f t="shared" ref="T121:AB121" si="274">T25/T14</f>
        <v>10.150114010640992</v>
      </c>
      <c r="U121" s="20">
        <f t="shared" si="274"/>
        <v>10.150114010640992</v>
      </c>
      <c r="V121" s="20">
        <f t="shared" si="274"/>
        <v>10.150114010640992</v>
      </c>
      <c r="W121" s="20">
        <f t="shared" si="274"/>
        <v>10.150114010640991</v>
      </c>
      <c r="X121" s="20">
        <f t="shared" si="274"/>
        <v>10.150114010640991</v>
      </c>
      <c r="Y121" s="20">
        <f t="shared" si="274"/>
        <v>10.150114010640989</v>
      </c>
      <c r="Z121" s="20">
        <f t="shared" si="274"/>
        <v>10.150114010640989</v>
      </c>
      <c r="AA121" s="20">
        <f t="shared" si="274"/>
        <v>10.150114010640989</v>
      </c>
      <c r="AB121" s="20">
        <f t="shared" si="274"/>
        <v>10.150114010640991</v>
      </c>
      <c r="AC121" s="118">
        <f t="shared" si="259"/>
        <v>0</v>
      </c>
      <c r="AD121" s="20"/>
      <c r="AE121" s="20"/>
    </row>
    <row r="122" spans="2:31">
      <c r="B122" s="20" t="s">
        <v>376</v>
      </c>
      <c r="C122" s="20"/>
      <c r="D122" s="20"/>
      <c r="E122" s="20"/>
      <c r="F122" s="20"/>
      <c r="G122" s="25">
        <f>G27/G14</f>
        <v>6.8012048192771086</v>
      </c>
      <c r="H122" s="25">
        <f t="shared" ref="H122:P122" si="275">H27/H14</f>
        <v>5.9672897196261685</v>
      </c>
      <c r="I122" s="25">
        <f t="shared" si="275"/>
        <v>6.2544031311154598</v>
      </c>
      <c r="J122" s="25">
        <f t="shared" si="275"/>
        <v>6.88</v>
      </c>
      <c r="K122" s="25">
        <f t="shared" si="275"/>
        <v>7.0108492330714549</v>
      </c>
      <c r="L122" s="25">
        <f t="shared" si="275"/>
        <v>8.4791257249676466</v>
      </c>
      <c r="M122" s="25">
        <f t="shared" si="275"/>
        <v>8.5913185913185917</v>
      </c>
      <c r="N122" s="25">
        <f t="shared" si="275"/>
        <v>8.0951747972883155</v>
      </c>
      <c r="O122" s="25">
        <f t="shared" si="275"/>
        <v>7.9490752470230559</v>
      </c>
      <c r="P122" s="25">
        <f t="shared" si="275"/>
        <v>7.9490752470230559</v>
      </c>
      <c r="Q122" s="118">
        <f t="shared" si="195"/>
        <v>1.7479433137420619E-2</v>
      </c>
      <c r="R122" s="128"/>
      <c r="S122" s="20">
        <f t="shared" ref="S122:AB122" si="276">S27/S14</f>
        <v>7.9490752470230559</v>
      </c>
      <c r="T122" s="20">
        <f t="shared" si="276"/>
        <v>7.949075247023055</v>
      </c>
      <c r="U122" s="20">
        <f t="shared" si="276"/>
        <v>7.949075247023055</v>
      </c>
      <c r="V122" s="20">
        <f t="shared" si="276"/>
        <v>7.9490752470230541</v>
      </c>
      <c r="W122" s="20">
        <f t="shared" si="276"/>
        <v>7.9490752470230541</v>
      </c>
      <c r="X122" s="20">
        <f t="shared" si="276"/>
        <v>7.9490752470230541</v>
      </c>
      <c r="Y122" s="20">
        <f t="shared" si="276"/>
        <v>7.9490752470230532</v>
      </c>
      <c r="Z122" s="20">
        <f t="shared" si="276"/>
        <v>7.9490752470230532</v>
      </c>
      <c r="AA122" s="20">
        <f t="shared" si="276"/>
        <v>7.9490752470230523</v>
      </c>
      <c r="AB122" s="20">
        <f t="shared" si="276"/>
        <v>7.9490752470230532</v>
      </c>
      <c r="AC122" s="118">
        <f t="shared" si="259"/>
        <v>0</v>
      </c>
      <c r="AD122" s="20"/>
      <c r="AE122" s="20"/>
    </row>
    <row r="123" spans="2:31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128"/>
      <c r="R123" s="128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37"/>
      <c r="AD123" s="20"/>
      <c r="AE123" s="20"/>
    </row>
    <row r="124" spans="2:31">
      <c r="B124" s="108" t="s">
        <v>244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3"/>
      <c r="R124" s="23"/>
      <c r="S124" s="122" t="s">
        <v>66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3" t="s">
        <v>281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5"/>
      <c r="Q125" s="160">
        <f>AVERAGE(G47:P47)</f>
        <v>16.164787181711223</v>
      </c>
      <c r="R125" s="23"/>
      <c r="S125" s="134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25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40">
        <f>S126+T126</f>
        <v>5.781929763760524</v>
      </c>
      <c r="S126" s="133">
        <f>PV($C$1, ($AB$3-$S$3), 0, -AB47)</f>
        <v>0.80567873757318753</v>
      </c>
      <c r="T126" s="133">
        <f>PV($C$1, ($AB$3-$S$3), 0, -AE47)</f>
        <v>4.9762510261873363</v>
      </c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 t="s">
        <v>273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40">
        <f t="shared" ref="R127:R145" si="277">S127+T127</f>
        <v>8.3977679206403657</v>
      </c>
      <c r="S127" s="133">
        <f>PV($C$1, ($AB$3-$S$3), 0, -AB49)</f>
        <v>1.170180775826936</v>
      </c>
      <c r="T127" s="133">
        <f>PV($C$1, ($AB$3-$S$3), 0, -AE49)</f>
        <v>7.2275871448134295</v>
      </c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274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40">
        <f t="shared" si="277"/>
        <v>2.0006511779884564</v>
      </c>
      <c r="S128" s="133">
        <f>PV($C$1, ($AB$3-$S$3), 0, -AB50)</f>
        <v>0.27877926250658813</v>
      </c>
      <c r="T128" s="133">
        <f>PV($C$1, ($AB$3-$S$3), 0, -AE50)</f>
        <v>1.7218719154818682</v>
      </c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275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40">
        <f t="shared" si="277"/>
        <v>0</v>
      </c>
      <c r="S129" s="133">
        <f>PV($C$1, ($AB$3-$S$3), 0, -AB51)</f>
        <v>0</v>
      </c>
      <c r="T129" s="133">
        <f>PV($C$1, ($AB$3-$S$3), 0, -AE51)</f>
        <v>0</v>
      </c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276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40">
        <f t="shared" si="277"/>
        <v>7.4323020647855893</v>
      </c>
      <c r="S130" s="133">
        <f>PV($C$1, ($AB$3-$S$3), 0, -AB57)</f>
        <v>1.0356486483717624</v>
      </c>
      <c r="T130" s="133">
        <f>PV($C$1, ($AB$3-$S$3), 0, -AE57)</f>
        <v>6.3966534164138267</v>
      </c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40"/>
      <c r="S131" s="133"/>
      <c r="T131" s="20"/>
      <c r="U131" s="20"/>
      <c r="V131" s="20"/>
      <c r="W131" s="20"/>
      <c r="X131" s="20"/>
      <c r="Y131" s="20"/>
      <c r="Z131" s="20"/>
      <c r="AA131" s="20"/>
      <c r="AB131" s="20"/>
      <c r="AC131" s="137"/>
      <c r="AD131" s="20"/>
      <c r="AE131" s="20"/>
    </row>
    <row r="132" spans="2:31">
      <c r="B132" s="20" t="s">
        <v>271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40">
        <f t="shared" si="277"/>
        <v>8.3977679206403657</v>
      </c>
      <c r="S132" s="133">
        <f>PV($C$1, ($AB$3-$S$3), 0, -AB53)</f>
        <v>1.170180775826936</v>
      </c>
      <c r="T132" s="133">
        <f>PV($C$1, ($AB$3-$S$3), 0, -$AE$53)</f>
        <v>7.2275871448134295</v>
      </c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>
      <c r="B133" s="20" t="s">
        <v>272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40">
        <f t="shared" si="277"/>
        <v>1.10891462784606</v>
      </c>
      <c r="S133" s="133">
        <f>PV($C$1, ($AB$3-$S$3), 0, -AB54)</f>
        <v>0.15452089076543457</v>
      </c>
      <c r="T133" s="133">
        <f>PV($C$1, ($AB$3-$S$3), 0, -$AE$54)</f>
        <v>0.95439373708062547</v>
      </c>
      <c r="U133" s="20"/>
      <c r="V133" s="20"/>
      <c r="W133" s="20"/>
      <c r="X133" s="20"/>
      <c r="Y133" s="20"/>
      <c r="Z133" s="20"/>
      <c r="AA133" s="20"/>
      <c r="AB133" s="20"/>
      <c r="AC133" s="137"/>
      <c r="AD133" s="20"/>
      <c r="AE133" s="20"/>
    </row>
    <row r="134" spans="2:31">
      <c r="B134" s="20" t="s">
        <v>277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40">
        <f t="shared" si="277"/>
        <v>15.464139799706079</v>
      </c>
      <c r="S134" s="133">
        <f>PV($C$1, ($AB$3-$S$3), 0, -AB55)</f>
        <v>2.1548391524180599</v>
      </c>
      <c r="T134" s="133">
        <f>PV($C$1, ($AB$3-$S$3), 0, -$AE$55)</f>
        <v>13.309300647288019</v>
      </c>
      <c r="U134" s="20"/>
      <c r="V134" s="20"/>
      <c r="W134" s="20"/>
      <c r="X134" s="20"/>
      <c r="Y134" s="20"/>
      <c r="Z134" s="20"/>
      <c r="AA134" s="20"/>
      <c r="AB134" s="20"/>
      <c r="AC134" s="137"/>
      <c r="AD134" s="20"/>
      <c r="AE134" s="20"/>
    </row>
    <row r="135" spans="2:31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40"/>
      <c r="S135" s="133"/>
      <c r="T135" s="20"/>
      <c r="U135" s="20"/>
      <c r="V135" s="20"/>
      <c r="W135" s="20"/>
      <c r="X135" s="20"/>
      <c r="Y135" s="20"/>
      <c r="Z135" s="20"/>
      <c r="AA135" s="20"/>
      <c r="AB135" s="20"/>
      <c r="AC135" s="137"/>
      <c r="AD135" s="20"/>
      <c r="AE135" s="20"/>
    </row>
    <row r="136" spans="2:31">
      <c r="B136" s="20" t="s">
        <v>249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40">
        <f t="shared" si="277"/>
        <v>14.355225171860019</v>
      </c>
      <c r="S136" s="133">
        <f>PV($C$1, ($AB$3-$S$3), 0, -AB60)</f>
        <v>2.0003182616526254</v>
      </c>
      <c r="T136" s="133">
        <f>PV($C$1, ($AB$3-$S$3), 0, -AE60)</f>
        <v>12.354906910207394</v>
      </c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>
      <c r="B137" s="20" t="s">
        <v>250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40">
        <f t="shared" si="277"/>
        <v>4.9191381396166962</v>
      </c>
      <c r="S137" s="133">
        <f>PV($C$1, ($AB$3-$S$3), 0, -AB61)</f>
        <v>0.88705769730792883</v>
      </c>
      <c r="T137" s="133">
        <f>PV($C$1, ($AB$3-$S$3), 0, -AE61)</f>
        <v>4.0320804423087671</v>
      </c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/>
      <c r="S138" s="133"/>
      <c r="T138" s="133"/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>
      <c r="B139" s="20" t="s">
        <v>294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" si="278">S139+T139</f>
        <v>1486.8530617037886</v>
      </c>
      <c r="S139" s="133">
        <f>PV($C$1, ($AB$3-$S$3), 0, -AB12)</f>
        <v>207.18444302429839</v>
      </c>
      <c r="T139" s="133">
        <f>PV($C$1, ($AB$3-$S$3), 0, -AE12)</f>
        <v>1279.6686186794902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>
      <c r="B140" s="20" t="s">
        <v>295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>S140+T140</f>
        <v>30.067807112311193</v>
      </c>
      <c r="S140" s="140">
        <f>S139/P40</f>
        <v>4.1897764008958216</v>
      </c>
      <c r="T140" s="140">
        <f>T139/P40</f>
        <v>25.878030711415374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/>
      <c r="S141" s="140"/>
      <c r="T141" s="140"/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>
      <c r="B142" s="108" t="s">
        <v>298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/>
      <c r="S142" s="133"/>
      <c r="T142" s="133"/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>
      <c r="B143" s="20" t="s">
        <v>283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>
        <f t="shared" ref="R143" si="279">S143+T143</f>
        <v>99.505191833282481</v>
      </c>
      <c r="S14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81.861714193638818</v>
      </c>
      <c r="T143" s="133">
        <f>PV($C$1, ($AB$3-$S$3), 0, -AE63)</f>
        <v>17.64347763964367</v>
      </c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>
      <c r="B144" s="23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/>
      <c r="S144" s="133"/>
      <c r="T144" s="133"/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>
      <c r="B145" s="20" t="s">
        <v>291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277"/>
        <v>0</v>
      </c>
      <c r="S14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45" s="133">
        <f>PV($C$1, ($AB$3-$S$3), 0, -AE65)</f>
        <v>0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/>
      <c r="S146" s="133"/>
      <c r="T146" s="133"/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>
      <c r="B147" s="20" t="s">
        <v>287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>
        <f t="shared" ref="R147:R150" si="280">S147+T147</f>
        <v>0</v>
      </c>
      <c r="S147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47" s="133">
        <f>PV($C$1, ($AB$3-$S$3), 0, -AE67)</f>
        <v>0</v>
      </c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>
      <c r="B148" s="20" t="s">
        <v>288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280"/>
        <v>0</v>
      </c>
      <c r="S148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48" s="133">
        <f>PV($C$1, ($AB$3-$S$3), 0, -AE68)</f>
        <v>0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>
      <c r="B149" s="20" t="s">
        <v>289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280"/>
        <v>0</v>
      </c>
      <c r="S149" s="133">
        <f>PV($C$1, ($AB$3-$S$3), 0, -AB69)+PV($C$1, ($AA$3-$S$3), 0, -AB69)+PV($C$1, ($Z$3-$S$3), 0, -AB69)+PV($C$1, ($Y$3-$S$3), 0, -AB69)+PV($C$1, ($X$3-$S$3), 0, -AB69)+PV($C$1, ($W$3-$S$3), 0, -AB69)+PV($C$1, ($V$3-$S$3), 0, -AB69)+PV($C$1, ($U$3-$S$3), 0, -AB69)+PV($C$1, ($T$3-$S$3), 0, -AB69)+PV($C$1, ($S$3-$S$3), 0, -AB69)</f>
        <v>0</v>
      </c>
      <c r="T149" s="133">
        <f>PV($C$1, ($AB$3-$S$3), 0, -AE69)</f>
        <v>0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>
      <c r="B150" s="20" t="s">
        <v>290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>
        <f t="shared" si="280"/>
        <v>0</v>
      </c>
      <c r="S150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0" s="133">
        <f>PV($C$1, ($AB$3-$S$3), 0, -AE70)</f>
        <v>0</v>
      </c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/>
      <c r="S151" s="133"/>
      <c r="T151" s="133"/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>
      <c r="B152" s="20" t="s">
        <v>299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0</v>
      </c>
      <c r="S152" s="133">
        <f>PV($C$1, ($AB$3-$S$3), 0, -AB71)+PV($C$1, ($AA$3-$S$3), 0, -AB71)+PV($C$1, ($Z$3-$S$3), 0, -AB71)+PV($C$1, ($Y$3-$S$3), 0, -AB71)+PV($C$1, ($X$3-$S$3), 0, -AB71)+PV($C$1, ($W$3-$S$3), 0, -AB71)+PV($C$1, ($V$3-$S$3), 0, -AB71)+PV($C$1, ($U$3-$S$3), 0, -AB71)+PV($C$1, ($T$3-$S$3), 0, -AB71)+PV($C$1, ($S$3-$S$3), 0, -AB71)</f>
        <v>0</v>
      </c>
      <c r="T152" s="133">
        <f>PV($C$1, ($AB$3-$S$3), 0, -AE71)</f>
        <v>0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21"/>
      <c r="T153" s="2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>
      <c r="B154" s="108" t="s">
        <v>251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 t="s">
        <v>391</v>
      </c>
      <c r="P154" s="20">
        <v>300</v>
      </c>
      <c r="Q154" s="20">
        <v>150</v>
      </c>
      <c r="R154" s="20" t="s">
        <v>392</v>
      </c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>
      <c r="B155" s="20" t="s">
        <v>204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 s="22">
        <v>0</v>
      </c>
      <c r="K155" s="22">
        <v>0</v>
      </c>
      <c r="L155" s="22">
        <v>0</v>
      </c>
      <c r="M155" s="22">
        <v>0</v>
      </c>
      <c r="N155" s="22">
        <v>0</v>
      </c>
      <c r="O155" s="22">
        <v>0</v>
      </c>
      <c r="P155" s="22">
        <v>150</v>
      </c>
      <c r="Q155" s="118" t="e">
        <f t="shared" ref="Q155:Q160" si="281">((P155/G155)^(1/($H$2-$H$1) ))-1</f>
        <v>#DIV/0!</v>
      </c>
      <c r="R155" s="31">
        <f>L2-3%</f>
        <v>0.05</v>
      </c>
      <c r="S155" s="119">
        <f t="shared" ref="S155" si="282">P155*(1+$R155)</f>
        <v>157.5</v>
      </c>
      <c r="T155" s="119">
        <f t="shared" ref="T155:AB155" si="283">S155*(1+$R155)</f>
        <v>165.375</v>
      </c>
      <c r="U155" s="119">
        <f t="shared" si="283"/>
        <v>173.64375000000001</v>
      </c>
      <c r="V155" s="119">
        <f t="shared" si="283"/>
        <v>182.32593750000001</v>
      </c>
      <c r="W155" s="119">
        <f t="shared" si="283"/>
        <v>191.44223437500003</v>
      </c>
      <c r="X155" s="119">
        <f t="shared" si="283"/>
        <v>201.01434609375005</v>
      </c>
      <c r="Y155" s="119">
        <f t="shared" si="283"/>
        <v>211.06506339843756</v>
      </c>
      <c r="Z155" s="119">
        <f t="shared" si="283"/>
        <v>221.61831656835943</v>
      </c>
      <c r="AA155" s="119">
        <f t="shared" si="283"/>
        <v>232.6992323967774</v>
      </c>
      <c r="AB155" s="119">
        <f t="shared" si="283"/>
        <v>244.33419401661629</v>
      </c>
      <c r="AC155" s="138" t="e">
        <f t="shared" ref="AC155:AC160" si="284">((AB155/G155)^(1/($AB$3-$H$1) ))-1</f>
        <v>#DIV/0!</v>
      </c>
      <c r="AD155" s="31">
        <v>0.08</v>
      </c>
      <c r="AE155" s="127" t="e">
        <f t="shared" ref="AE155:AE161" si="285">(AB155*(1+AC155))/($C$1-AD155)</f>
        <v>#DIV/0!</v>
      </c>
    </row>
    <row r="156" spans="2:31">
      <c r="B156" s="20" t="s">
        <v>362</v>
      </c>
      <c r="C156" s="25" t="e">
        <f t="shared" ref="C156:P156" si="286">C155/C44</f>
        <v>#DIV/0!</v>
      </c>
      <c r="D156" s="25" t="e">
        <f t="shared" si="286"/>
        <v>#DIV/0!</v>
      </c>
      <c r="E156" s="25" t="e">
        <f t="shared" si="286"/>
        <v>#DIV/0!</v>
      </c>
      <c r="F156" s="25">
        <f t="shared" si="286"/>
        <v>0</v>
      </c>
      <c r="G156" s="25">
        <f t="shared" si="286"/>
        <v>0</v>
      </c>
      <c r="H156" s="25">
        <f t="shared" si="286"/>
        <v>0</v>
      </c>
      <c r="I156" s="25">
        <f t="shared" si="286"/>
        <v>0</v>
      </c>
      <c r="J156" s="25">
        <f t="shared" si="286"/>
        <v>0</v>
      </c>
      <c r="K156" s="25">
        <f t="shared" si="286"/>
        <v>0</v>
      </c>
      <c r="L156" s="25">
        <f t="shared" si="286"/>
        <v>0</v>
      </c>
      <c r="M156" s="25">
        <f t="shared" si="286"/>
        <v>0</v>
      </c>
      <c r="N156" s="25">
        <f t="shared" si="286"/>
        <v>0</v>
      </c>
      <c r="O156" s="25">
        <f t="shared" si="286"/>
        <v>0</v>
      </c>
      <c r="P156" s="25">
        <f t="shared" si="286"/>
        <v>2.3143525741029642</v>
      </c>
      <c r="Q156" s="118" t="e">
        <f t="shared" ref="Q156" si="287">((P156/G156)^(1/($H$2-$H$1) ))-1</f>
        <v>#DIV/0!</v>
      </c>
      <c r="R156" s="128"/>
      <c r="S156" s="25">
        <f t="shared" ref="S156:AB156" si="288">S155/S44</f>
        <v>2.5875747529901196</v>
      </c>
      <c r="T156" s="25">
        <f t="shared" si="288"/>
        <v>2.8930523279958966</v>
      </c>
      <c r="U156" s="25">
        <f t="shared" si="288"/>
        <v>3.2345932278287455</v>
      </c>
      <c r="V156" s="25">
        <f t="shared" si="288"/>
        <v>3.6164549283363048</v>
      </c>
      <c r="W156" s="25">
        <f t="shared" si="288"/>
        <v>4.0433975240426747</v>
      </c>
      <c r="X156" s="25">
        <f t="shared" si="288"/>
        <v>4.5207430650754903</v>
      </c>
      <c r="Y156" s="25">
        <f t="shared" si="288"/>
        <v>5.0544418991469025</v>
      </c>
      <c r="Z156" s="25">
        <f t="shared" si="288"/>
        <v>5.6511468455739671</v>
      </c>
      <c r="AA156" s="25">
        <f t="shared" si="288"/>
        <v>6.318296125954225</v>
      </c>
      <c r="AB156" s="25">
        <f t="shared" si="288"/>
        <v>7.0642060852682658</v>
      </c>
      <c r="AC156" s="138" t="e">
        <f t="shared" ref="AC156" si="289">((AB156/G156)^(1/($AB$3-$H$1) ))-1</f>
        <v>#DIV/0!</v>
      </c>
      <c r="AD156" s="31">
        <v>0.08</v>
      </c>
      <c r="AE156" s="127" t="e">
        <f t="shared" ref="AE156" si="290">(AB156*(1+AC156))/($C$1-AD156)</f>
        <v>#DIV/0!</v>
      </c>
    </row>
    <row r="157" spans="2:31">
      <c r="B157" s="20" t="s">
        <v>390</v>
      </c>
      <c r="C157" s="25" t="e">
        <f t="shared" ref="C157:P157" si="291">C155/C47</f>
        <v>#DIV/0!</v>
      </c>
      <c r="D157" s="25" t="e">
        <f t="shared" si="291"/>
        <v>#DIV/0!</v>
      </c>
      <c r="E157" s="25" t="e">
        <f t="shared" si="291"/>
        <v>#DIV/0!</v>
      </c>
      <c r="F157" s="25">
        <f t="shared" si="291"/>
        <v>0</v>
      </c>
      <c r="G157" s="25">
        <f t="shared" si="291"/>
        <v>0</v>
      </c>
      <c r="H157" s="25">
        <f t="shared" si="291"/>
        <v>0</v>
      </c>
      <c r="I157" s="25">
        <f t="shared" si="291"/>
        <v>0</v>
      </c>
      <c r="J157" s="25">
        <f t="shared" si="291"/>
        <v>0</v>
      </c>
      <c r="K157" s="25">
        <f t="shared" si="291"/>
        <v>0</v>
      </c>
      <c r="L157" s="25">
        <f t="shared" si="291"/>
        <v>0</v>
      </c>
      <c r="M157" s="25">
        <f t="shared" si="291"/>
        <v>0</v>
      </c>
      <c r="N157" s="25">
        <f t="shared" si="291"/>
        <v>0</v>
      </c>
      <c r="O157" s="25">
        <f t="shared" si="291"/>
        <v>0</v>
      </c>
      <c r="P157" s="25">
        <f t="shared" si="291"/>
        <v>16.593959731543624</v>
      </c>
      <c r="Q157" s="118" t="e">
        <f t="shared" si="281"/>
        <v>#DIV/0!</v>
      </c>
      <c r="R157" s="128"/>
      <c r="S157" s="119">
        <f t="shared" ref="S157:AB157" si="292">S155/S47</f>
        <v>18.552968866517521</v>
      </c>
      <c r="T157" s="119">
        <f t="shared" si="292"/>
        <v>20.743249913259167</v>
      </c>
      <c r="U157" s="119">
        <f t="shared" si="292"/>
        <v>23.192105805796711</v>
      </c>
      <c r="V157" s="119">
        <f t="shared" si="292"/>
        <v>25.930062741203258</v>
      </c>
      <c r="W157" s="119">
        <f t="shared" si="292"/>
        <v>28.99125070370642</v>
      </c>
      <c r="X157" s="119">
        <f t="shared" si="292"/>
        <v>32.413828911782865</v>
      </c>
      <c r="Y157" s="119">
        <f t="shared" si="292"/>
        <v>36.240461491646123</v>
      </c>
      <c r="Z157" s="119">
        <f t="shared" si="292"/>
        <v>40.51884930663212</v>
      </c>
      <c r="AA157" s="119">
        <f t="shared" si="292"/>
        <v>45.302324571998405</v>
      </c>
      <c r="AB157" s="119">
        <f t="shared" si="292"/>
        <v>50.650515667303765</v>
      </c>
      <c r="AC157" s="138" t="e">
        <f t="shared" si="284"/>
        <v>#DIV/0!</v>
      </c>
      <c r="AD157" s="31">
        <v>0.08</v>
      </c>
      <c r="AE157" s="127" t="e">
        <f t="shared" si="285"/>
        <v>#DIV/0!</v>
      </c>
    </row>
    <row r="158" spans="2:31">
      <c r="B158" s="20" t="s">
        <v>259</v>
      </c>
      <c r="C158" s="25" t="e">
        <f t="shared" ref="C158:P158" si="293">C155/C50</f>
        <v>#DIV/0!</v>
      </c>
      <c r="D158" s="25" t="e">
        <f t="shared" si="293"/>
        <v>#DIV/0!</v>
      </c>
      <c r="E158" s="25" t="e">
        <f t="shared" si="293"/>
        <v>#DIV/0!</v>
      </c>
      <c r="F158" s="25">
        <f t="shared" si="293"/>
        <v>0</v>
      </c>
      <c r="G158" s="25">
        <f t="shared" si="293"/>
        <v>0</v>
      </c>
      <c r="H158" s="25">
        <f t="shared" si="293"/>
        <v>0</v>
      </c>
      <c r="I158" s="25">
        <f t="shared" si="293"/>
        <v>0</v>
      </c>
      <c r="J158" s="25">
        <f t="shared" si="293"/>
        <v>0</v>
      </c>
      <c r="K158" s="25">
        <f t="shared" si="293"/>
        <v>0</v>
      </c>
      <c r="L158" s="25">
        <f t="shared" si="293"/>
        <v>0</v>
      </c>
      <c r="M158" s="25">
        <f t="shared" si="293"/>
        <v>0</v>
      </c>
      <c r="N158" s="25">
        <f t="shared" si="293"/>
        <v>0</v>
      </c>
      <c r="O158" s="25">
        <f t="shared" si="293"/>
        <v>0</v>
      </c>
      <c r="P158" s="25">
        <f t="shared" si="293"/>
        <v>47.956940583177094</v>
      </c>
      <c r="Q158" s="118" t="e">
        <f t="shared" si="281"/>
        <v>#DIV/0!</v>
      </c>
      <c r="R158" s="128"/>
      <c r="S158" s="119">
        <f t="shared" ref="S158:AB158" si="294">S155/S50</f>
        <v>53.618523846468825</v>
      </c>
      <c r="T158" s="119">
        <f t="shared" si="294"/>
        <v>59.948488467232494</v>
      </c>
      <c r="U158" s="119">
        <f t="shared" si="294"/>
        <v>67.025740577947431</v>
      </c>
      <c r="V158" s="119">
        <f t="shared" si="294"/>
        <v>74.938501618399556</v>
      </c>
      <c r="W158" s="119">
        <f t="shared" si="294"/>
        <v>83.785408059460593</v>
      </c>
      <c r="X158" s="119">
        <f t="shared" si="294"/>
        <v>93.676740955369141</v>
      </c>
      <c r="Y158" s="119">
        <f t="shared" si="294"/>
        <v>104.7358006514891</v>
      </c>
      <c r="Z158" s="119">
        <f t="shared" si="294"/>
        <v>117.10044378395656</v>
      </c>
      <c r="AA158" s="119">
        <f t="shared" si="294"/>
        <v>130.92480173067364</v>
      </c>
      <c r="AB158" s="119">
        <f t="shared" si="294"/>
        <v>146.38120193498926</v>
      </c>
      <c r="AC158" s="138" t="e">
        <f t="shared" si="284"/>
        <v>#DIV/0!</v>
      </c>
      <c r="AD158" s="31">
        <v>0.08</v>
      </c>
      <c r="AE158" s="127" t="e">
        <f t="shared" si="285"/>
        <v>#DIV/0!</v>
      </c>
    </row>
    <row r="159" spans="2:31">
      <c r="B159" s="20" t="s">
        <v>260</v>
      </c>
      <c r="C159" s="25" t="e">
        <f t="shared" ref="C159:P159" si="295">C155/C59</f>
        <v>#DIV/0!</v>
      </c>
      <c r="D159" s="25" t="e">
        <f t="shared" si="295"/>
        <v>#DIV/0!</v>
      </c>
      <c r="E159" s="25" t="e">
        <f t="shared" si="295"/>
        <v>#DIV/0!</v>
      </c>
      <c r="F159" s="25">
        <f t="shared" si="295"/>
        <v>0</v>
      </c>
      <c r="G159" s="25">
        <f t="shared" si="295"/>
        <v>0</v>
      </c>
      <c r="H159" s="25">
        <f t="shared" si="295"/>
        <v>0</v>
      </c>
      <c r="I159" s="25">
        <f t="shared" si="295"/>
        <v>0</v>
      </c>
      <c r="J159" s="25">
        <f t="shared" si="295"/>
        <v>0</v>
      </c>
      <c r="K159" s="25">
        <f t="shared" si="295"/>
        <v>0</v>
      </c>
      <c r="L159" s="25">
        <f t="shared" si="295"/>
        <v>0</v>
      </c>
      <c r="M159" s="25">
        <f t="shared" si="295"/>
        <v>0</v>
      </c>
      <c r="N159" s="25">
        <f t="shared" si="295"/>
        <v>0</v>
      </c>
      <c r="O159" s="25">
        <f t="shared" si="295"/>
        <v>0</v>
      </c>
      <c r="P159" s="25">
        <f t="shared" si="295"/>
        <v>12.909204824309509</v>
      </c>
      <c r="Q159" s="118" t="e">
        <f t="shared" si="281"/>
        <v>#DIV/0!</v>
      </c>
      <c r="R159" s="128"/>
      <c r="S159" s="119">
        <f t="shared" ref="S159:AB159" si="296">S155/S59</f>
        <v>14.433208171623823</v>
      </c>
      <c r="T159" s="119">
        <f t="shared" si="296"/>
        <v>16.137128580773854</v>
      </c>
      <c r="U159" s="119">
        <f t="shared" si="296"/>
        <v>18.042206260448545</v>
      </c>
      <c r="V159" s="119">
        <f t="shared" si="296"/>
        <v>20.172188943973715</v>
      </c>
      <c r="W159" s="119">
        <f t="shared" si="296"/>
        <v>22.553627916526167</v>
      </c>
      <c r="X159" s="119">
        <f t="shared" si="296"/>
        <v>25.216208990004951</v>
      </c>
      <c r="Y159" s="119">
        <f t="shared" si="296"/>
        <v>28.193122551324979</v>
      </c>
      <c r="Z159" s="119">
        <f t="shared" si="296"/>
        <v>31.521477296967507</v>
      </c>
      <c r="AA159" s="119">
        <f t="shared" si="296"/>
        <v>35.242762811192833</v>
      </c>
      <c r="AB159" s="119">
        <f t="shared" si="296"/>
        <v>39.403366754180873</v>
      </c>
      <c r="AC159" s="138" t="e">
        <f t="shared" si="284"/>
        <v>#DIV/0!</v>
      </c>
      <c r="AD159" s="31">
        <v>0.08</v>
      </c>
      <c r="AE159" s="127" t="e">
        <f t="shared" si="285"/>
        <v>#DIV/0!</v>
      </c>
    </row>
    <row r="160" spans="2:31">
      <c r="B160" s="20" t="s">
        <v>261</v>
      </c>
      <c r="C160" s="25" t="e">
        <f t="shared" ref="C160:P160" si="297">C155/C61</f>
        <v>#DIV/0!</v>
      </c>
      <c r="D160" s="25" t="e">
        <f t="shared" si="297"/>
        <v>#DIV/0!</v>
      </c>
      <c r="E160" s="25" t="e">
        <f t="shared" si="297"/>
        <v>#DIV/0!</v>
      </c>
      <c r="F160" s="25">
        <f t="shared" si="297"/>
        <v>0</v>
      </c>
      <c r="G160" s="25">
        <f t="shared" si="297"/>
        <v>0</v>
      </c>
      <c r="H160" s="25">
        <f t="shared" si="297"/>
        <v>0</v>
      </c>
      <c r="I160" s="25">
        <f t="shared" si="297"/>
        <v>0</v>
      </c>
      <c r="J160" s="25">
        <f t="shared" si="297"/>
        <v>0</v>
      </c>
      <c r="K160" s="25">
        <f t="shared" si="297"/>
        <v>0</v>
      </c>
      <c r="L160" s="25">
        <f t="shared" si="297"/>
        <v>0</v>
      </c>
      <c r="M160" s="25">
        <f t="shared" si="297"/>
        <v>0</v>
      </c>
      <c r="N160" s="25">
        <f t="shared" si="297"/>
        <v>0</v>
      </c>
      <c r="O160" s="25">
        <f t="shared" si="297"/>
        <v>0</v>
      </c>
      <c r="P160" s="25">
        <f t="shared" si="297"/>
        <v>15.071624504724172</v>
      </c>
      <c r="Q160" s="118" t="e">
        <f t="shared" si="281"/>
        <v>#DIV/0!</v>
      </c>
      <c r="R160" s="128"/>
      <c r="S160" s="119">
        <f t="shared" ref="S160:AB160" si="298">S155/S61</f>
        <v>16.850913508754104</v>
      </c>
      <c r="T160" s="119">
        <f t="shared" si="298"/>
        <v>18.84025746464868</v>
      </c>
      <c r="U160" s="119">
        <f t="shared" si="298"/>
        <v>21.064454526447481</v>
      </c>
      <c r="V160" s="119">
        <f t="shared" si="298"/>
        <v>23.551230408041967</v>
      </c>
      <c r="W160" s="119">
        <f t="shared" si="298"/>
        <v>26.331583997880259</v>
      </c>
      <c r="X160" s="119">
        <f t="shared" si="298"/>
        <v>29.440173775407786</v>
      </c>
      <c r="Y160" s="119">
        <f t="shared" si="298"/>
        <v>32.915749846115652</v>
      </c>
      <c r="Z160" s="119">
        <f t="shared" si="298"/>
        <v>36.801636980726521</v>
      </c>
      <c r="AA160" s="119">
        <f t="shared" si="298"/>
        <v>41.146274679840069</v>
      </c>
      <c r="AB160" s="119">
        <f t="shared" si="298"/>
        <v>46.003820996210074</v>
      </c>
      <c r="AC160" s="138" t="e">
        <f t="shared" si="284"/>
        <v>#DIV/0!</v>
      </c>
      <c r="AD160" s="31">
        <v>0.08</v>
      </c>
      <c r="AE160" s="127" t="e">
        <f t="shared" si="285"/>
        <v>#DIV/0!</v>
      </c>
    </row>
    <row r="161" spans="2:31">
      <c r="B161" s="20" t="s">
        <v>282</v>
      </c>
      <c r="C161" s="25" t="e">
        <f>C157/C107</f>
        <v>#DIV/0!</v>
      </c>
      <c r="D161" s="25" t="e">
        <f>D157/D107</f>
        <v>#DIV/0!</v>
      </c>
      <c r="E161" s="25" t="e">
        <f>E157/E107</f>
        <v>#DIV/0!</v>
      </c>
      <c r="F161" s="25" t="e">
        <f>F157/F107</f>
        <v>#DIV/0!</v>
      </c>
      <c r="G161" s="25">
        <f t="shared" ref="G161:P161" si="299">G155/G55</f>
        <v>0</v>
      </c>
      <c r="H161" s="25">
        <f t="shared" si="299"/>
        <v>0</v>
      </c>
      <c r="I161" s="25">
        <f t="shared" si="299"/>
        <v>0</v>
      </c>
      <c r="J161" s="25">
        <f t="shared" si="299"/>
        <v>0</v>
      </c>
      <c r="K161" s="25">
        <f t="shared" si="299"/>
        <v>0</v>
      </c>
      <c r="L161" s="25">
        <f t="shared" si="299"/>
        <v>0</v>
      </c>
      <c r="M161" s="25">
        <f t="shared" si="299"/>
        <v>0</v>
      </c>
      <c r="N161" s="25">
        <f t="shared" si="299"/>
        <v>0</v>
      </c>
      <c r="O161" s="25">
        <f t="shared" si="299"/>
        <v>0</v>
      </c>
      <c r="P161" s="25">
        <f t="shared" si="299"/>
        <v>6.2043612456400092</v>
      </c>
      <c r="Q161" s="118" t="e">
        <f t="shared" ref="Q161:Q163" si="300">((P161/G161)^(1/($H$2-$H$1) ))-1</f>
        <v>#DIV/0!</v>
      </c>
      <c r="R161" s="128"/>
      <c r="S161" s="135">
        <f t="shared" ref="S161:AB161" si="301">S155/S55</f>
        <v>6.9368205593613999</v>
      </c>
      <c r="T161" s="135">
        <f t="shared" si="301"/>
        <v>7.7557507642860051</v>
      </c>
      <c r="U161" s="135">
        <f t="shared" si="301"/>
        <v>8.6713602295142156</v>
      </c>
      <c r="V161" s="135">
        <f t="shared" si="301"/>
        <v>9.6950624788318613</v>
      </c>
      <c r="W161" s="135">
        <f t="shared" si="301"/>
        <v>10.83961846591618</v>
      </c>
      <c r="X161" s="135">
        <f t="shared" si="301"/>
        <v>12.11929564592017</v>
      </c>
      <c r="Y161" s="135">
        <f t="shared" si="301"/>
        <v>13.550045826341298</v>
      </c>
      <c r="Z161" s="135">
        <f t="shared" si="301"/>
        <v>15.14970401417326</v>
      </c>
      <c r="AA161" s="135">
        <f t="shared" si="301"/>
        <v>16.938210738068715</v>
      </c>
      <c r="AB161" s="135">
        <f t="shared" si="301"/>
        <v>18.937860616868491</v>
      </c>
      <c r="AC161" s="138" t="e">
        <f t="shared" ref="AC161" si="302">((AB161/G161)^(1/($AB$3-$H$1) ))-1</f>
        <v>#DIV/0!</v>
      </c>
      <c r="AD161" s="31">
        <v>0.08</v>
      </c>
      <c r="AE161" s="127" t="e">
        <f t="shared" si="285"/>
        <v>#DIV/0!</v>
      </c>
    </row>
    <row r="162" spans="2:31">
      <c r="B162" s="20" t="s">
        <v>372</v>
      </c>
      <c r="C162" s="161" t="e">
        <f t="shared" ref="C162:P162" si="303">C47/C155</f>
        <v>#DIV/0!</v>
      </c>
      <c r="D162" s="161" t="e">
        <f t="shared" si="303"/>
        <v>#DIV/0!</v>
      </c>
      <c r="E162" s="161" t="e">
        <f t="shared" si="303"/>
        <v>#DIV/0!</v>
      </c>
      <c r="F162" s="161" t="e">
        <f t="shared" si="303"/>
        <v>#DIV/0!</v>
      </c>
      <c r="G162" s="161" t="e">
        <f t="shared" si="303"/>
        <v>#DIV/0!</v>
      </c>
      <c r="H162" s="161" t="e">
        <f t="shared" si="303"/>
        <v>#DIV/0!</v>
      </c>
      <c r="I162" s="161" t="e">
        <f t="shared" si="303"/>
        <v>#DIV/0!</v>
      </c>
      <c r="J162" s="161" t="e">
        <f t="shared" si="303"/>
        <v>#DIV/0!</v>
      </c>
      <c r="K162" s="161" t="e">
        <f t="shared" si="303"/>
        <v>#DIV/0!</v>
      </c>
      <c r="L162" s="161" t="e">
        <f t="shared" si="303"/>
        <v>#DIV/0!</v>
      </c>
      <c r="M162" s="161" t="e">
        <f t="shared" si="303"/>
        <v>#DIV/0!</v>
      </c>
      <c r="N162" s="161" t="e">
        <f t="shared" si="303"/>
        <v>#DIV/0!</v>
      </c>
      <c r="O162" s="161" t="e">
        <f t="shared" si="303"/>
        <v>#DIV/0!</v>
      </c>
      <c r="P162" s="161">
        <f t="shared" si="303"/>
        <v>6.0262891809908993E-2</v>
      </c>
      <c r="Q162" s="118" t="e">
        <f t="shared" si="300"/>
        <v>#DIV/0!</v>
      </c>
      <c r="R162" s="128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8"/>
      <c r="AD162" s="31"/>
      <c r="AE162" s="127"/>
    </row>
    <row r="163" spans="2:31">
      <c r="B163" s="20" t="s">
        <v>321</v>
      </c>
      <c r="C163" s="152" t="e">
        <f t="shared" ref="C163:P163" si="304">C41/C155</f>
        <v>#DIV/0!</v>
      </c>
      <c r="D163" s="152" t="e">
        <f t="shared" si="304"/>
        <v>#DIV/0!</v>
      </c>
      <c r="E163" s="152" t="e">
        <f t="shared" si="304"/>
        <v>#DIV/0!</v>
      </c>
      <c r="F163" s="152" t="e">
        <f t="shared" si="304"/>
        <v>#DIV/0!</v>
      </c>
      <c r="G163" s="152" t="e">
        <f t="shared" si="304"/>
        <v>#DIV/0!</v>
      </c>
      <c r="H163" s="152" t="e">
        <f t="shared" si="304"/>
        <v>#DIV/0!</v>
      </c>
      <c r="I163" s="152" t="e">
        <f t="shared" si="304"/>
        <v>#DIV/0!</v>
      </c>
      <c r="J163" s="152" t="e">
        <f t="shared" si="304"/>
        <v>#DIV/0!</v>
      </c>
      <c r="K163" s="152" t="e">
        <f t="shared" si="304"/>
        <v>#DIV/0!</v>
      </c>
      <c r="L163" s="152" t="e">
        <f t="shared" si="304"/>
        <v>#DIV/0!</v>
      </c>
      <c r="M163" s="152" t="e">
        <f t="shared" si="304"/>
        <v>#DIV/0!</v>
      </c>
      <c r="N163" s="152" t="e">
        <f t="shared" si="304"/>
        <v>#DIV/0!</v>
      </c>
      <c r="O163" s="152" t="e">
        <f t="shared" si="304"/>
        <v>#DIV/0!</v>
      </c>
      <c r="P163" s="152">
        <f t="shared" si="304"/>
        <v>7.0000000000000007E-2</v>
      </c>
      <c r="Q163" s="118" t="e">
        <f t="shared" si="300"/>
        <v>#DIV/0!</v>
      </c>
      <c r="R163" s="128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8"/>
      <c r="AD163" s="31"/>
      <c r="AE163" s="127"/>
    </row>
    <row r="164" spans="2:31">
      <c r="B164" s="20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28"/>
      <c r="R164" s="128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8"/>
      <c r="AD164" s="31"/>
      <c r="AE164" s="127"/>
    </row>
    <row r="165" spans="2:31">
      <c r="B165" s="20"/>
      <c r="C165" s="129"/>
      <c r="D165" s="129"/>
      <c r="E165" s="129"/>
      <c r="F165" s="129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28"/>
      <c r="R165" s="128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7"/>
      <c r="AD165" s="20"/>
      <c r="AE165" s="127"/>
    </row>
    <row r="166" spans="2:31">
      <c r="B166" s="108" t="s">
        <v>302</v>
      </c>
      <c r="C166" s="20"/>
      <c r="D166" s="20"/>
      <c r="E166" s="20"/>
      <c r="F166" s="20"/>
      <c r="G166" s="20"/>
      <c r="H166" s="20"/>
      <c r="I166" s="20"/>
      <c r="J166" s="20"/>
      <c r="K166" s="189" t="s">
        <v>352</v>
      </c>
      <c r="L166" s="19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>
      <c r="B167" s="20" t="s">
        <v>300</v>
      </c>
      <c r="C167" s="20" t="s">
        <v>315</v>
      </c>
      <c r="D167" s="20"/>
      <c r="E167" s="20"/>
      <c r="F167" s="20"/>
      <c r="G167" s="20"/>
      <c r="H167" s="20"/>
      <c r="I167" s="20"/>
      <c r="J167" s="20"/>
      <c r="K167" s="20" t="s">
        <v>353</v>
      </c>
      <c r="L167" s="22">
        <v>1</v>
      </c>
      <c r="M167" s="20"/>
      <c r="N167" s="20"/>
      <c r="O167" s="20"/>
      <c r="P167" s="128">
        <f>(P155-R143)/P155</f>
        <v>0.33663205444478345</v>
      </c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137"/>
      <c r="AD167" s="20"/>
      <c r="AE167" s="20"/>
    </row>
    <row r="168" spans="2:31">
      <c r="B168" s="20" t="s">
        <v>350</v>
      </c>
      <c r="C168" s="20" t="s">
        <v>315</v>
      </c>
      <c r="D168" s="20"/>
      <c r="E168" s="20"/>
      <c r="F168" s="20"/>
      <c r="G168" s="20"/>
      <c r="H168" s="20"/>
      <c r="I168" s="20"/>
      <c r="J168" s="20"/>
      <c r="K168" s="172">
        <f>L167</f>
        <v>1</v>
      </c>
      <c r="L168" s="20"/>
      <c r="M168" s="128">
        <f>(P155-(K168*R134))/P155</f>
        <v>0.89690573466862611</v>
      </c>
      <c r="N168" s="20"/>
      <c r="O168" s="20"/>
      <c r="P168" s="128">
        <f>(P155-R134)/P155</f>
        <v>0.89690573466862611</v>
      </c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137"/>
      <c r="AD168" s="20"/>
      <c r="AE168" s="20"/>
    </row>
    <row r="169" spans="2:31">
      <c r="B169" s="20" t="s">
        <v>351</v>
      </c>
      <c r="C169" s="20" t="s">
        <v>315</v>
      </c>
      <c r="D169" s="20"/>
      <c r="E169" s="20"/>
      <c r="F169" s="20"/>
      <c r="G169" s="20"/>
      <c r="H169" s="20"/>
      <c r="I169" s="20"/>
      <c r="J169" s="20"/>
      <c r="K169" s="172">
        <f>L167</f>
        <v>1</v>
      </c>
      <c r="L169" s="20"/>
      <c r="M169" s="128">
        <f>(P155-(K168*R127))/P155</f>
        <v>0.94401488052906413</v>
      </c>
      <c r="N169" s="20"/>
      <c r="O169" s="20"/>
      <c r="P169" s="128">
        <f>(P155-R127)/P155</f>
        <v>0.94401488052906413</v>
      </c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137"/>
      <c r="AD169" s="20"/>
      <c r="AE169" s="20"/>
    </row>
    <row r="170" spans="2:31">
      <c r="B170" s="20" t="s">
        <v>354</v>
      </c>
      <c r="C170" s="20" t="s">
        <v>315</v>
      </c>
      <c r="D170" s="20"/>
      <c r="E170" s="20"/>
      <c r="F170" s="20"/>
      <c r="G170" s="20"/>
      <c r="H170" s="20"/>
      <c r="I170" s="20"/>
      <c r="J170" s="20"/>
      <c r="K170" s="172">
        <f>L167</f>
        <v>1</v>
      </c>
      <c r="L170" s="20"/>
      <c r="M170" s="128">
        <f>(P155-(K168*R140))/P155</f>
        <v>0.7995479525845921</v>
      </c>
      <c r="N170" s="20"/>
      <c r="O170" s="20"/>
      <c r="P170" s="128">
        <f>(P155-R140)/P155</f>
        <v>0.7995479525845921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137"/>
      <c r="AD170" s="20"/>
      <c r="AE170" s="20"/>
    </row>
    <row r="171" spans="2:31">
      <c r="B171" s="20" t="s">
        <v>301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5">
        <f>P155/R126</f>
        <v>25.942895560606242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137"/>
      <c r="AD171" s="20"/>
      <c r="AE171" s="20"/>
    </row>
    <row r="172" spans="2:31">
      <c r="B172" s="20" t="s">
        <v>372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152">
        <f>1/P171</f>
        <v>3.8546198425070163E-2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137"/>
      <c r="AD172" s="20"/>
      <c r="AE172" s="20"/>
    </row>
    <row r="173" spans="2:31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</row>
    <row r="174" spans="2:31">
      <c r="B174" s="108" t="s">
        <v>303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</row>
    <row r="175" spans="2:31">
      <c r="B175" s="20" t="s">
        <v>306</v>
      </c>
      <c r="C175" s="25" t="e">
        <f t="shared" ref="C175:P175" si="305">C10/C7</f>
        <v>#DIV/0!</v>
      </c>
      <c r="D175" s="25" t="e">
        <f t="shared" si="305"/>
        <v>#DIV/0!</v>
      </c>
      <c r="E175" s="25" t="e">
        <f t="shared" si="305"/>
        <v>#DIV/0!</v>
      </c>
      <c r="F175" s="25">
        <f t="shared" si="305"/>
        <v>1.2068965517241379E-2</v>
      </c>
      <c r="G175" s="25">
        <f t="shared" si="305"/>
        <v>1.0277777777777778E-2</v>
      </c>
      <c r="H175" s="25">
        <f t="shared" si="305"/>
        <v>6.9230769230769233E-3</v>
      </c>
      <c r="I175" s="25">
        <f t="shared" si="305"/>
        <v>6.6906474820143886E-3</v>
      </c>
      <c r="J175" s="25">
        <f t="shared" si="305"/>
        <v>6.4883720930232558E-3</v>
      </c>
      <c r="K175" s="25">
        <f t="shared" si="305"/>
        <v>5.8666442374413867E-3</v>
      </c>
      <c r="L175" s="25">
        <f t="shared" si="305"/>
        <v>0</v>
      </c>
      <c r="M175" s="25">
        <f t="shared" si="305"/>
        <v>0</v>
      </c>
      <c r="N175" s="25">
        <f t="shared" si="305"/>
        <v>0</v>
      </c>
      <c r="O175" s="25">
        <f t="shared" si="305"/>
        <v>0</v>
      </c>
      <c r="P175" s="25">
        <f t="shared" si="305"/>
        <v>0</v>
      </c>
      <c r="Q175" s="118">
        <f t="shared" ref="Q175:Q177" si="306">((P175/G175)^(1/($H$2-$H$1) ))-1</f>
        <v>-1</v>
      </c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</row>
    <row r="176" spans="2:31">
      <c r="B176" s="20" t="s">
        <v>307</v>
      </c>
      <c r="C176" s="112" t="e">
        <f>C10/C12</f>
        <v>#DIV/0!</v>
      </c>
      <c r="D176" s="112" t="e">
        <f>D10/D12</f>
        <v>#DIV/0!</v>
      </c>
      <c r="E176" s="112" t="e">
        <f>E10/E12</f>
        <v>#DIV/0!</v>
      </c>
      <c r="F176" s="112">
        <f>F10/F12</f>
        <v>0.15</v>
      </c>
      <c r="G176" s="112">
        <f>G10/G12</f>
        <v>0.12466307277628033</v>
      </c>
      <c r="H176" s="112">
        <f t="shared" ref="H176:P176" si="307">H10/H12</f>
        <v>6.7771084337349394E-2</v>
      </c>
      <c r="I176" s="112">
        <f t="shared" si="307"/>
        <v>5.4921259842519686E-2</v>
      </c>
      <c r="J176" s="112">
        <f t="shared" si="307"/>
        <v>0.11093439363817098</v>
      </c>
      <c r="K176" s="112">
        <f t="shared" si="307"/>
        <v>1.0921474986299225E-2</v>
      </c>
      <c r="L176" s="112">
        <f t="shared" si="307"/>
        <v>0</v>
      </c>
      <c r="M176" s="112">
        <f t="shared" si="307"/>
        <v>0</v>
      </c>
      <c r="N176" s="112">
        <f t="shared" si="307"/>
        <v>0</v>
      </c>
      <c r="O176" s="112">
        <f t="shared" si="307"/>
        <v>0</v>
      </c>
      <c r="P176" s="112">
        <f t="shared" si="307"/>
        <v>0</v>
      </c>
      <c r="Q176" s="118">
        <f t="shared" si="306"/>
        <v>-1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</row>
    <row r="177" spans="2:33">
      <c r="B177" s="20" t="s">
        <v>308</v>
      </c>
      <c r="C177" s="25" t="e">
        <f>C10/(C12+C13)</f>
        <v>#DIV/0!</v>
      </c>
      <c r="D177" s="25" t="e">
        <f>D10/(D12+D13)</f>
        <v>#DIV/0!</v>
      </c>
      <c r="E177" s="25" t="e">
        <f>E10/(E12+E13)</f>
        <v>#DIV/0!</v>
      </c>
      <c r="F177" s="25">
        <f>F10/(F12+F13)</f>
        <v>3.7168141592920353E-2</v>
      </c>
      <c r="G177" s="25">
        <f>G10/(G12+G13)</f>
        <v>2.3317368288379128E-2</v>
      </c>
      <c r="H177" s="25">
        <f t="shared" ref="H177:P177" si="308">H10/(H12+H13)</f>
        <v>1.8262987012987012E-2</v>
      </c>
      <c r="I177" s="25">
        <f t="shared" si="308"/>
        <v>2.9903536977491964E-2</v>
      </c>
      <c r="J177" s="25">
        <f t="shared" si="308"/>
        <v>6.1010277717034773E-2</v>
      </c>
      <c r="K177" s="25">
        <f t="shared" si="308"/>
        <v>1.0899289006953668E-2</v>
      </c>
      <c r="L177" s="25">
        <f t="shared" si="308"/>
        <v>0</v>
      </c>
      <c r="M177" s="25">
        <f t="shared" si="308"/>
        <v>0</v>
      </c>
      <c r="N177" s="25">
        <f t="shared" si="308"/>
        <v>0</v>
      </c>
      <c r="O177" s="25">
        <f t="shared" si="308"/>
        <v>0</v>
      </c>
      <c r="P177" s="25">
        <f t="shared" si="308"/>
        <v>0</v>
      </c>
      <c r="Q177" s="118">
        <f t="shared" si="306"/>
        <v>-1</v>
      </c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</row>
    <row r="178" spans="2:33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</row>
    <row r="179" spans="2:33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</row>
    <row r="180" spans="2:33">
      <c r="B180" s="20"/>
      <c r="C180" s="175" t="s">
        <v>378</v>
      </c>
      <c r="D180" s="176"/>
      <c r="E180" s="176"/>
      <c r="F180" s="176"/>
      <c r="G180" s="176"/>
      <c r="H180" s="176"/>
      <c r="I180" s="176"/>
      <c r="J180" s="176"/>
      <c r="K180" s="20"/>
      <c r="L180" s="186" t="s">
        <v>338</v>
      </c>
      <c r="M180" s="187"/>
      <c r="N180" s="188"/>
      <c r="O180" s="23" t="s">
        <v>341</v>
      </c>
      <c r="P180" s="20"/>
      <c r="Q180" s="186" t="s">
        <v>339</v>
      </c>
      <c r="R180" s="187"/>
      <c r="S180" s="188"/>
      <c r="T180" s="23" t="s">
        <v>341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spans="2:33">
      <c r="B181" s="20"/>
      <c r="C181" s="166" t="s">
        <v>340</v>
      </c>
      <c r="D181" s="166" t="s">
        <v>0</v>
      </c>
      <c r="E181" s="166" t="s">
        <v>379</v>
      </c>
      <c r="F181" s="166" t="s">
        <v>380</v>
      </c>
      <c r="G181" s="166" t="s">
        <v>381</v>
      </c>
      <c r="H181" s="166" t="s">
        <v>382</v>
      </c>
      <c r="I181" s="166" t="s">
        <v>383</v>
      </c>
      <c r="J181" s="166" t="s">
        <v>384</v>
      </c>
      <c r="K181" s="20"/>
      <c r="L181" s="166" t="s">
        <v>340</v>
      </c>
      <c r="M181" s="166"/>
      <c r="N181" s="166" t="s">
        <v>0</v>
      </c>
      <c r="O181" s="166" t="s">
        <v>373</v>
      </c>
      <c r="P181" s="20"/>
      <c r="Q181" s="166" t="s">
        <v>340</v>
      </c>
      <c r="R181" s="166"/>
      <c r="S181" s="166" t="s">
        <v>0</v>
      </c>
      <c r="T181" s="166" t="s">
        <v>373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spans="2:33">
      <c r="B182" s="20"/>
      <c r="C182" s="167" t="s">
        <v>342</v>
      </c>
      <c r="D182" s="21">
        <v>1</v>
      </c>
      <c r="E182" s="177" t="s">
        <v>385</v>
      </c>
      <c r="F182" s="22">
        <v>1</v>
      </c>
      <c r="G182" s="22">
        <v>1</v>
      </c>
      <c r="H182" s="167">
        <f>F182/G182</f>
        <v>1</v>
      </c>
      <c r="I182" s="167">
        <f>H182*D183</f>
        <v>1</v>
      </c>
      <c r="J182" s="178">
        <f>I182+D183</f>
        <v>2</v>
      </c>
      <c r="K182" s="20"/>
      <c r="L182" s="167" t="s">
        <v>342</v>
      </c>
      <c r="M182" s="167"/>
      <c r="N182" s="21">
        <v>51.3</v>
      </c>
      <c r="O182" s="174">
        <f>N182</f>
        <v>51.3</v>
      </c>
      <c r="P182" s="20"/>
      <c r="Q182" s="167" t="s">
        <v>342</v>
      </c>
      <c r="R182" s="167"/>
      <c r="S182" s="21">
        <v>0</v>
      </c>
      <c r="T182" s="174">
        <f>S182</f>
        <v>0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spans="2:33">
      <c r="B183" s="20"/>
      <c r="C183" s="167" t="s">
        <v>343</v>
      </c>
      <c r="D183" s="21">
        <v>1</v>
      </c>
      <c r="E183" s="177" t="s">
        <v>386</v>
      </c>
      <c r="F183" s="22">
        <v>1</v>
      </c>
      <c r="G183" s="22">
        <v>1</v>
      </c>
      <c r="H183" s="167">
        <f>F183/G183</f>
        <v>1</v>
      </c>
      <c r="I183" s="167">
        <f>H183*J182</f>
        <v>2</v>
      </c>
      <c r="J183" s="167">
        <f>I183+J182</f>
        <v>4</v>
      </c>
      <c r="K183" s="20"/>
      <c r="L183" s="167" t="s">
        <v>343</v>
      </c>
      <c r="M183" s="167"/>
      <c r="N183" s="21">
        <v>1</v>
      </c>
      <c r="O183" s="174">
        <f>N183</f>
        <v>1</v>
      </c>
      <c r="P183" s="20"/>
      <c r="Q183" s="167" t="s">
        <v>343</v>
      </c>
      <c r="R183" s="167"/>
      <c r="S183" s="21">
        <v>0</v>
      </c>
      <c r="T183" s="174">
        <f>S183</f>
        <v>0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spans="2:33">
      <c r="B184" s="20"/>
      <c r="C184" s="167" t="s">
        <v>345</v>
      </c>
      <c r="D184" s="168">
        <f>D182*D183</f>
        <v>1</v>
      </c>
      <c r="E184" s="177" t="s">
        <v>387</v>
      </c>
      <c r="F184" s="22">
        <v>10</v>
      </c>
      <c r="G184" s="22">
        <v>2</v>
      </c>
      <c r="H184" s="167">
        <f>F184/G184</f>
        <v>5</v>
      </c>
      <c r="I184" s="167">
        <f>H184*J183</f>
        <v>20</v>
      </c>
      <c r="J184" s="167">
        <f>I184</f>
        <v>20</v>
      </c>
      <c r="K184" s="20"/>
      <c r="L184" s="167" t="s">
        <v>344</v>
      </c>
      <c r="M184" s="167"/>
      <c r="N184" s="168">
        <f>N182*N183</f>
        <v>51.3</v>
      </c>
      <c r="O184" s="174">
        <f>N184</f>
        <v>51.3</v>
      </c>
      <c r="P184" s="20"/>
      <c r="Q184" s="167" t="s">
        <v>345</v>
      </c>
      <c r="R184" s="167"/>
      <c r="S184" s="168">
        <f>S182*S183</f>
        <v>0</v>
      </c>
      <c r="T184" s="174">
        <f>S184</f>
        <v>0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spans="2:33">
      <c r="B185" s="20"/>
      <c r="C185" s="167" t="s">
        <v>346</v>
      </c>
      <c r="D185" s="21">
        <v>1</v>
      </c>
      <c r="E185" s="177"/>
      <c r="F185" s="167"/>
      <c r="G185" s="167"/>
      <c r="H185" s="169" t="s">
        <v>388</v>
      </c>
      <c r="I185" s="167"/>
      <c r="J185" s="167">
        <f>J184</f>
        <v>20</v>
      </c>
      <c r="K185" s="20"/>
      <c r="L185" s="167" t="s">
        <v>346</v>
      </c>
      <c r="M185" s="167"/>
      <c r="N185" s="21">
        <v>295</v>
      </c>
      <c r="O185" s="21">
        <v>371</v>
      </c>
      <c r="P185" s="20"/>
      <c r="Q185" s="167" t="s">
        <v>346</v>
      </c>
      <c r="R185" s="167"/>
      <c r="S185" s="21">
        <v>0</v>
      </c>
      <c r="T185" s="21">
        <v>0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spans="2:33">
      <c r="B186" s="20"/>
      <c r="C186" s="167" t="s">
        <v>343</v>
      </c>
      <c r="D186" s="21">
        <v>1</v>
      </c>
      <c r="E186" s="177" t="s">
        <v>387</v>
      </c>
      <c r="F186" s="22">
        <v>10</v>
      </c>
      <c r="G186" s="22">
        <v>2</v>
      </c>
      <c r="H186" s="167">
        <f>F186/G186</f>
        <v>5</v>
      </c>
      <c r="I186" s="178">
        <f>H186*D183</f>
        <v>5</v>
      </c>
      <c r="J186" s="178">
        <f>I186</f>
        <v>5</v>
      </c>
      <c r="K186" s="20"/>
      <c r="L186" s="167" t="s">
        <v>347</v>
      </c>
      <c r="M186" s="167"/>
      <c r="N186" s="168">
        <f>N185*N183</f>
        <v>295</v>
      </c>
      <c r="O186" s="168">
        <f>O185*O183</f>
        <v>371</v>
      </c>
      <c r="P186" s="20"/>
      <c r="Q186" s="167" t="s">
        <v>343</v>
      </c>
      <c r="R186" s="167"/>
      <c r="S186" s="21">
        <v>0</v>
      </c>
      <c r="T186" s="21">
        <v>0</v>
      </c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spans="2:33">
      <c r="B187" s="20"/>
      <c r="C187" s="167" t="s">
        <v>345</v>
      </c>
      <c r="D187" s="168">
        <f>D186*D185</f>
        <v>1</v>
      </c>
      <c r="E187" s="167"/>
      <c r="F187" s="167"/>
      <c r="G187" s="167"/>
      <c r="H187" s="169" t="s">
        <v>388</v>
      </c>
      <c r="I187" s="167"/>
      <c r="J187" s="167">
        <f>J186</f>
        <v>5</v>
      </c>
      <c r="K187" s="20"/>
      <c r="L187" s="167"/>
      <c r="M187" s="167"/>
      <c r="N187" s="168"/>
      <c r="O187" s="168"/>
      <c r="P187" s="20"/>
      <c r="Q187" s="167" t="s">
        <v>345</v>
      </c>
      <c r="R187" s="167"/>
      <c r="S187" s="168">
        <f>S186*S185</f>
        <v>0</v>
      </c>
      <c r="T187" s="168">
        <f>T186*T184</f>
        <v>0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spans="2:33">
      <c r="B188" s="20"/>
      <c r="C188" s="167"/>
      <c r="D188" s="168"/>
      <c r="E188" s="177" t="s">
        <v>387</v>
      </c>
      <c r="F188" s="22">
        <v>10</v>
      </c>
      <c r="G188" s="22">
        <v>2</v>
      </c>
      <c r="H188" s="167">
        <f>F188/G188</f>
        <v>5</v>
      </c>
      <c r="I188" s="167">
        <f>H188*J187</f>
        <v>25</v>
      </c>
      <c r="J188" s="167">
        <f>I188</f>
        <v>25</v>
      </c>
      <c r="K188" s="20"/>
      <c r="L188" s="167"/>
      <c r="M188" s="167"/>
      <c r="N188" s="168"/>
      <c r="O188" s="168"/>
      <c r="P188" s="20"/>
      <c r="Q188" s="167"/>
      <c r="R188" s="167"/>
      <c r="S188" s="168"/>
      <c r="T188" s="168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spans="2:33">
      <c r="B189" s="20"/>
      <c r="C189" s="169" t="s">
        <v>348</v>
      </c>
      <c r="D189" s="170">
        <f>D187/D184</f>
        <v>1</v>
      </c>
      <c r="E189" s="177"/>
      <c r="F189" s="167"/>
      <c r="G189" s="167"/>
      <c r="H189" s="169" t="s">
        <v>388</v>
      </c>
      <c r="I189" s="167"/>
      <c r="J189" s="167">
        <f>J188</f>
        <v>25</v>
      </c>
      <c r="K189" s="20"/>
      <c r="L189" s="169" t="s">
        <v>348</v>
      </c>
      <c r="M189" s="169"/>
      <c r="N189" s="170">
        <f>N186/N184</f>
        <v>5.7504873294346979</v>
      </c>
      <c r="O189" s="170">
        <f>O186/O184</f>
        <v>7.2319688109161797</v>
      </c>
      <c r="P189" s="20"/>
      <c r="Q189" s="169" t="s">
        <v>348</v>
      </c>
      <c r="R189" s="169"/>
      <c r="S189" s="170" t="e">
        <f>S187/S184</f>
        <v>#DIV/0!</v>
      </c>
      <c r="T189" s="170" t="e">
        <f>T187/T184</f>
        <v>#DIV/0!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spans="2:33"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</sheetData>
  <mergeCells count="5">
    <mergeCell ref="AD2:AE2"/>
    <mergeCell ref="AD3:AE3"/>
    <mergeCell ref="L180:N180"/>
    <mergeCell ref="Q180:S180"/>
    <mergeCell ref="K166:L166"/>
  </mergeCells>
  <pageMargins left="0.7" right="0.7" top="0.75" bottom="0.75" header="0.3" footer="0.3"/>
  <pageSetup orientation="portrait" r:id="rId1"/>
  <ignoredErrors>
    <ignoredError sqref="C157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91" t="s">
        <v>27</v>
      </c>
      <c r="K5" s="191"/>
      <c r="M5" s="191" t="s">
        <v>65</v>
      </c>
      <c r="N5" s="191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91" t="s">
        <v>36</v>
      </c>
      <c r="K14" s="191"/>
      <c r="L14" s="191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91" t="s">
        <v>27</v>
      </c>
      <c r="S5" s="191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91" t="s">
        <v>36</v>
      </c>
      <c r="S14" s="191"/>
      <c r="T14" s="191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91" t="s">
        <v>27</v>
      </c>
      <c r="C2" s="191"/>
      <c r="E2" s="191" t="s">
        <v>65</v>
      </c>
      <c r="F2" s="191"/>
      <c r="H2" s="195" t="s">
        <v>36</v>
      </c>
      <c r="I2" s="196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92" t="s">
        <v>68</v>
      </c>
      <c r="E10" s="193"/>
      <c r="F10" s="193"/>
      <c r="G10" s="193"/>
      <c r="H10" s="194"/>
      <c r="I10" s="192" t="s">
        <v>72</v>
      </c>
      <c r="J10" s="193"/>
      <c r="K10" s="193"/>
      <c r="L10" s="194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2014-01-11T09:59:51Z</dcterms:modified>
</cp:coreProperties>
</file>
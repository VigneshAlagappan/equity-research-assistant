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23" i="18" l="1"/>
  <c r="Q22" i="18"/>
  <c r="Q21" i="18"/>
  <c r="Q20" i="18"/>
  <c r="Q44" i="18"/>
  <c r="Q42" i="18"/>
  <c r="Q40" i="18"/>
  <c r="Q38" i="18"/>
  <c r="Q36" i="18"/>
  <c r="Q34" i="18"/>
  <c r="Q33" i="18"/>
  <c r="Q29" i="18"/>
  <c r="Q27" i="18"/>
  <c r="Q6" i="18"/>
  <c r="O43" i="18"/>
  <c r="N43" i="18"/>
  <c r="M43" i="18"/>
  <c r="L43" i="18"/>
  <c r="K43" i="18"/>
  <c r="J43" i="18"/>
  <c r="I43" i="18"/>
  <c r="H43" i="18"/>
  <c r="G43" i="18"/>
  <c r="F43" i="18"/>
  <c r="O41" i="18"/>
  <c r="N41" i="18"/>
  <c r="M41" i="18"/>
  <c r="L41" i="18"/>
  <c r="K41" i="18"/>
  <c r="J41" i="18"/>
  <c r="I41" i="18"/>
  <c r="H41" i="18"/>
  <c r="G41" i="18"/>
  <c r="F41" i="18"/>
  <c r="O39" i="18"/>
  <c r="N39" i="18"/>
  <c r="M39" i="18"/>
  <c r="L39" i="18"/>
  <c r="K39" i="18"/>
  <c r="J39" i="18"/>
  <c r="I39" i="18"/>
  <c r="H39" i="18"/>
  <c r="G39" i="18"/>
  <c r="F39" i="18"/>
  <c r="O37" i="18"/>
  <c r="N37" i="18"/>
  <c r="M37" i="18"/>
  <c r="L37" i="18"/>
  <c r="K37" i="18"/>
  <c r="J37" i="18"/>
  <c r="I37" i="18"/>
  <c r="H37" i="18"/>
  <c r="G37" i="18"/>
  <c r="F37" i="18"/>
  <c r="O30" i="18"/>
  <c r="N30" i="18"/>
  <c r="M30" i="18"/>
  <c r="L30" i="18"/>
  <c r="K30" i="18"/>
  <c r="J30" i="18"/>
  <c r="I30" i="18"/>
  <c r="H30" i="18"/>
  <c r="G30" i="18"/>
  <c r="F30" i="18"/>
  <c r="O28" i="18"/>
  <c r="N28" i="18"/>
  <c r="M28" i="18"/>
  <c r="L28" i="18"/>
  <c r="K28" i="18"/>
  <c r="J28" i="18"/>
  <c r="I28" i="18"/>
  <c r="H28" i="18"/>
  <c r="G28" i="18"/>
  <c r="F28" i="18"/>
  <c r="O26" i="18"/>
  <c r="N26" i="18"/>
  <c r="M26" i="18"/>
  <c r="L26" i="18"/>
  <c r="K26" i="18"/>
  <c r="J26" i="18"/>
  <c r="I26" i="18"/>
  <c r="H26" i="18"/>
  <c r="G26" i="18"/>
  <c r="F26" i="18"/>
  <c r="O12" i="18"/>
  <c r="N12" i="18"/>
  <c r="M12" i="18"/>
  <c r="L12" i="18"/>
  <c r="K12" i="18"/>
  <c r="F12" i="18"/>
  <c r="O11" i="18"/>
  <c r="N11" i="18"/>
  <c r="M11" i="18"/>
  <c r="L11" i="18"/>
  <c r="K11" i="18"/>
  <c r="J11" i="18"/>
  <c r="I11" i="18"/>
  <c r="H11" i="18"/>
  <c r="G11" i="18"/>
  <c r="F11" i="18"/>
  <c r="O8" i="18"/>
  <c r="N8" i="18"/>
  <c r="M8" i="18"/>
  <c r="L8" i="18"/>
  <c r="K8" i="18"/>
  <c r="J8" i="18"/>
  <c r="I8" i="18"/>
  <c r="H8" i="18"/>
  <c r="G8" i="18"/>
  <c r="F8" i="18"/>
  <c r="E180" i="18" l="1"/>
  <c r="D180" i="18"/>
  <c r="C180" i="18"/>
  <c r="Q197" i="18" l="1"/>
  <c r="Q196" i="18"/>
  <c r="Q195" i="18"/>
  <c r="Q179" i="18"/>
  <c r="Q50" i="18"/>
  <c r="Q172" i="18" s="1"/>
  <c r="Q51" i="18"/>
  <c r="Q52" i="18"/>
  <c r="Q91" i="18" s="1"/>
  <c r="Q54" i="18"/>
  <c r="P192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7" i="18"/>
  <c r="Q68" i="18"/>
  <c r="Q176" i="18" s="1"/>
  <c r="Q70" i="18"/>
  <c r="Q111" i="18" s="1"/>
  <c r="Q112" i="18" s="1"/>
  <c r="Q72" i="18"/>
  <c r="Q74" i="18" s="1"/>
  <c r="Q75" i="18"/>
  <c r="Q76" i="18"/>
  <c r="Q77" i="18"/>
  <c r="Q78" i="18"/>
  <c r="Q80" i="18"/>
  <c r="Q81" i="18"/>
  <c r="Q82" i="18"/>
  <c r="Q86" i="18"/>
  <c r="Q87" i="18"/>
  <c r="Q88" i="18"/>
  <c r="Q89" i="18"/>
  <c r="Q90" i="18"/>
  <c r="Q93" i="18"/>
  <c r="Q99" i="18" s="1"/>
  <c r="Q94" i="18"/>
  <c r="Q100" i="18" s="1"/>
  <c r="Q95" i="18"/>
  <c r="Q101" i="18" s="1"/>
  <c r="Q96" i="18"/>
  <c r="Q97" i="18"/>
  <c r="Q103" i="18" s="1"/>
  <c r="Q102" i="18"/>
  <c r="Q106" i="18"/>
  <c r="Q107" i="18"/>
  <c r="Q108" i="18"/>
  <c r="Q109" i="18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/>
  <c r="Q135" i="18"/>
  <c r="Q137" i="18"/>
  <c r="Q138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13" i="18" l="1"/>
  <c r="Q114" i="18" s="1"/>
  <c r="Q115" i="18"/>
  <c r="Q66" i="18"/>
  <c r="Q175" i="18" s="1"/>
  <c r="Q178" i="18"/>
  <c r="Q173" i="18"/>
  <c r="T192" i="18"/>
  <c r="T193" i="18" s="1"/>
  <c r="Q192" i="18"/>
  <c r="O91" i="18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P52" i="18"/>
  <c r="R52" i="18" s="1"/>
  <c r="G52" i="18"/>
  <c r="G91" i="18" s="1"/>
  <c r="P43" i="18"/>
  <c r="Q180" i="18" l="1"/>
  <c r="Q181" i="18" s="1"/>
  <c r="P91" i="18"/>
  <c r="R91" i="18" s="1"/>
  <c r="S44" i="18"/>
  <c r="K188" i="18" l="1"/>
  <c r="K187" i="18"/>
  <c r="K186" i="18"/>
  <c r="K185" i="18"/>
  <c r="AE38" i="18" l="1"/>
  <c r="S38" i="18"/>
  <c r="P39" i="18"/>
  <c r="T38" i="18" l="1"/>
  <c r="U38" i="18" l="1"/>
  <c r="V38" i="18" s="1"/>
  <c r="W38" i="18" s="1"/>
  <c r="K191" i="18"/>
  <c r="X38" i="18" l="1"/>
  <c r="U206" i="18"/>
  <c r="U207" i="18" s="1"/>
  <c r="D204" i="18"/>
  <c r="G214" i="18" s="1"/>
  <c r="H204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G215" i="18" s="1"/>
  <c r="K215" i="18" s="1"/>
  <c r="H207" i="18"/>
  <c r="I207" i="18" s="1"/>
  <c r="J207" i="18" s="1"/>
  <c r="J208" i="18" s="1"/>
  <c r="H205" i="18"/>
  <c r="H203" i="18"/>
  <c r="H202" i="18"/>
  <c r="I202" i="18" s="1"/>
  <c r="J202" i="18" s="1"/>
  <c r="G217" i="18" l="1"/>
  <c r="K214" i="18"/>
  <c r="G220" i="18"/>
  <c r="Y38" i="18"/>
  <c r="D210" i="18"/>
  <c r="K218" i="18"/>
  <c r="R55" i="18"/>
  <c r="K217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P41" i="18"/>
  <c r="P37" i="18"/>
  <c r="P30" i="18"/>
  <c r="P28" i="18"/>
  <c r="P26" i="18"/>
  <c r="P11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R103" i="18" l="1"/>
  <c r="R100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F115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P8" i="18"/>
  <c r="T94" i="18"/>
  <c r="T100" i="18" s="1"/>
  <c r="G178" i="18" l="1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I54" i="18"/>
  <c r="J54" i="18"/>
  <c r="K54" i="18"/>
  <c r="L54" i="18"/>
  <c r="L178" i="18" s="1"/>
  <c r="M54" i="18"/>
  <c r="N54" i="18"/>
  <c r="N178" i="18" s="1"/>
  <c r="P54" i="18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R141" i="18" l="1"/>
  <c r="T106" i="18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H180" i="18" s="1"/>
  <c r="H181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80" i="18" s="1"/>
  <c r="P178" i="18"/>
  <c r="R178" i="18" s="1"/>
  <c r="K173" i="18"/>
  <c r="K180" i="18" s="1"/>
  <c r="K181" i="18" s="1"/>
  <c r="K178" i="18"/>
  <c r="F173" i="18"/>
  <c r="F178" i="18"/>
  <c r="J173" i="18"/>
  <c r="J180" i="18" s="1"/>
  <c r="J181" i="18" s="1"/>
  <c r="J178" i="18"/>
  <c r="M173" i="18"/>
  <c r="M180" i="18" s="1"/>
  <c r="M181" i="18" s="1"/>
  <c r="M178" i="18"/>
  <c r="I173" i="18"/>
  <c r="I180" i="18" s="1"/>
  <c r="I181" i="18" s="1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G181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L180" i="18" s="1"/>
  <c r="L181" i="18" s="1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F177" i="18" l="1"/>
  <c r="F180" i="18"/>
  <c r="Q191" i="18"/>
  <c r="P191" i="18"/>
  <c r="T191" i="18"/>
  <c r="T190" i="18" s="1"/>
  <c r="P181" i="18"/>
  <c r="R180" i="18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D95" i="18" l="1"/>
  <c r="AB113" i="18"/>
  <c r="AB114" i="18" s="1"/>
  <c r="AB11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<sst xmlns="http://schemas.openxmlformats.org/spreadsheetml/2006/main" count="649" uniqueCount="456">
  <si>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</si>
  <si>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</si>
  <si>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</si>
  <si>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</si>
  <si>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</si>
  <si>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</si>
  <si>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</si>
  <si>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</si>
  <si>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</si>
  <si>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</si>
  <si>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</si>
  <si>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</si>
  <si>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</si>
  <si>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</si>
  <si>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</si>
  <si>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</si>
  <si>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</si>
  <si>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</si>
  <si>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</si>
  <si>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</si>
  <si>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</si>
  <si>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</si>
  <si>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</si>
  <si>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</si>
  <si>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</si>
  <si>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</si>
  <si>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</si>
  <si>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</si>
  <si>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</si>
  <si>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</si>
  <si>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</si>
  <si>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</si>
  <si>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</si>
  <si>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</si>
  <si>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</si>
  <si>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</si>
  <si>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</si>
  <si>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</si>
  <si>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</si>
  <si>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</si>
  <si>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</si>
  <si>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</si>
  <si>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</si>
  <si>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</si>
  <si>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</si>
  <si>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</si>
  <si>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</si>
  <si>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</si>
  <si>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</si>
  <si>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</si>
  <si>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</si>
  <si>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</si>
  <si>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</si>
  <si>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</si>
  <si>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</si>
  <si>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</si>
  <si>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</si>
  <si>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</si>
  <si>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</si>
  <si>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</si>
  <si>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</si>
  <si>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</si>
  <si>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</si>
  <si>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</si>
  <si>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</si>
  <si>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</si>
  <si>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</si>
  <si>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</si>
  <si>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</si>
  <si>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</si>
  <si>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</si>
  <si>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</si>
  <si>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</si>
  <si>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</si>
  <si>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</si>
  <si>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</si>
  <si>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</si>
  <si>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</si>
  <si>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</si>
  <si>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</si>
  <si>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</si>
  <si>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</si>
  <si>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</si>
  <si>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</si>
  <si>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</si>
  <si>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</si>
  <si>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</si>
  <si>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</si>
  <si>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</si>
  <si>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</si>
  <si>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</si>
  <si>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</si>
  <si>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</si>
  <si>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</si>
  <si>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</si>
  <si>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</si>
  <si>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</si>
  <si>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</si>
  <si>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</si>
  <si>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</si>
  <si>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</si>
  <si>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</si>
  <si>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</si>
  <si>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</si>
  <si>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</si>
  <si>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</si>
  <si>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</si>
  <si>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</si>
  <si>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</si>
  <si>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</si>
  <si>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</si>
  <si>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</si>
  <si>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</si>
  <si>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</si>
  <si>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</si>
  <si>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</si>
  <si>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</si>
  <si>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</si>
  <si>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</si>
  <si>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</si>
  <si>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</si>
  <si>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</si>
  <si>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</si>
  <si>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</si>
  <si>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</si>
  <si>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</si>
  <si>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</si>
  <si>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</si>
  <si>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</si>
  <si>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</si>
  <si>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</si>
  <si>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</si>
  <si>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</si>
  <si>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</si>
  <si>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</si>
  <si>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</si>
  <si>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</si>
  <si>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</si>
  <si>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</si>
  <si>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</si>
  <si>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</si>
  <si>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</si>
  <si>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</si>
  <si>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</si>
  <si>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</si>
  <si>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</si>
  <si>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</si>
  <si>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</si>
  <si>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</si>
  <si>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</si>
  <si>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</si>
  <si>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</si>
  <si>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</si>
  <si>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</si>
  <si>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</si>
  <si>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</si>
  <si>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</si>
  <si>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</si>
  <si>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</si>
  <si>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</si>
  <si>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</si>
  <si>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</si>
  <si>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</si>
  <si>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</si>
  <si>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</si>
  <si>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</si>
  <si>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</si>
  <si>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</si>
  <si>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</si>
  <si>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</si>
  <si>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</si>
  <si>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</si>
  <si>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</si>
  <si>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</si>
  <si>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</si>
  <si>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</si>
  <si>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</si>
  <si>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</si>
  <si>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</si>
  <si>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</si>
  <si>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</si>
  <si>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</si>
  <si>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</si>
  <si>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</si>
  <si>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</si>
  <si>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</si>
  <si>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</si>
  <si>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</si>
  <si>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</si>
  <si>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</si>
  <si>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</si>
  <si>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</si>
  <si>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</si>
  <si>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</si>
  <si>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</si>
  <si>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</si>
  <si>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</si>
  <si>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</si>
  <si>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</si>
  <si>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</si>
  <si>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</si>
  <si>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</si>
  <si>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</si>
  <si>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</si>
  <si>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</si>
  <si>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</si>
  <si>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</si>
  <si>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</si>
  <si>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</si>
  <si>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</si>
  <si>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</si>
  <si>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</si>
  <si>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</si>
  <si>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</si>
  <si>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</si>
  <si>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</si>
  <si>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</si>
  <si>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</si>
  <si>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</si>
  <si>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</si>
  <si>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</si>
  <si>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</si>
  <si>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</si>
  <si>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</si>
  <si>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</si>
  <si>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</si>
  <si>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</si>
  <si>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</si>
  <si>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</si>
  <si>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</si>
  <si>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</si>
  <si>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</si>
  <si>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</si>
  <si>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</si>
  <si>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</si>
  <si>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</si>
  <si>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</si>
  <si>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</si>
  <si>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</si>
  <si>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</si>
  <si>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</si>
  <si>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</si>
  <si>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</si>
  <si>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</si>
  <si>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</si>
  <si>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</si>
  <si>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</si>
  <si>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</si>
  <si>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</si>
  <si>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</si>
  <si>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</si>
  <si>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</si>
  <si>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</si>
  <si>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</si>
  <si>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</si>
  <si>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</si>
  <si>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</si>
  <si>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</si>
  <si>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</si>
  <si>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</si>
  <si>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</si>
  <si>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</si>
  <si>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</si>
  <si>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</si>
  <si>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</si>
  <si>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</si>
  <si>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</si>
  <si>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</si>
  <si>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</si>
  <si>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</si>
  <si>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</si>
  <si>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</si>
  <si>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</si>
  <si>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</si>
  <si>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</si>
  <si>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</si>
  <si>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</si>
  <si>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</si>
  <si>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</si>
  <si>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</si>
  <si>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</si>
  <si>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</si>
  <si>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</si>
  <si>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</si>
  <si>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</si>
  <si>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</si>
  <si>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</si>
  <si>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</si>
  <si>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</si>
  <si>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</si>
  <si>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</si>
  <si>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</si>
  <si>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</si>
  <si>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</si>
  <si>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</si>
  <si>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</si>
  <si>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</si>
  <si>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</si>
  <si>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</si>
  <si>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</si>
  <si>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</si>
  <si>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</si>
  <si>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</si>
  <si>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</si>
  <si>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</si>
  <si>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</si>
  <si>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</si>
  <si>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</si>
  <si>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</si>
  <si>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</si>
  <si>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</si>
  <si>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</si>
  <si>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</si>
  <si>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</si>
  <si>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</si>
  <si>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</si>
  <si>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</si>
  <si>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</si>
  <si>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</si>
  <si>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</si>
  <si>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</si>
  <si>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</si>
  <si>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</si>
  <si>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</si>
  <si>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</si>
  <si>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</si>
  <si>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</si>
  <si>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</si>
  <si>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</si>
  <si>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</si>
  <si>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</si>
  <si>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</si>
  <si>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</si>
  <si>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</si>
  <si>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</si>
  <si>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</si>
  <si>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</si>
  <si>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</si>
  <si>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</si>
  <si>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</si>
  <si>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</si>
  <si>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</si>
  <si>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</si>
  <si>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</si>
  <si>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</si>
  <si>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</si>
  <si>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</si>
  <si>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</si>
  <si>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</si>
  <si>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</si>
  <si>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</si>
  <si>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</si>
  <si>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</si>
  <si>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</si>
  <si>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</si>
  <si>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</si>
  <si>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</si>
  <si>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</si>
  <si>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</si>
  <si>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</si>
  <si>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</si>
  <si>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</si>
  <si>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</si>
  <si>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</si>
  <si>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</si>
  <si>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</si>
  <si>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</si>
  <si>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</si>
  <si>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</si>
  <si>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</si>
  <si>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</si>
  <si>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</si>
  <si>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</si>
  <si>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</si>
  <si>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</si>
  <si>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</si>
  <si>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</si>
  <si>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</si>
  <si>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</si>
  <si>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</si>
  <si>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</si>
  <si>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</si>
  <si>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</si>
  <si>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</si>
  <si>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</si>
  <si>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</si>
  <si>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</si>
  <si>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</si>
  <si>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</si>
  <si>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</si>
  <si>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</si>
  <si>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</si>
  <si>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</si>
  <si>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</si>
  <si>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</si>
  <si>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</si>
  <si>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</si>
  <si>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</si>
  <si>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</si>
  <si>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</si>
  <si>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</si>
  <si>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</si>
  <si>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</si>
  <si>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</si>
  <si>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</si>
  <si>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</si>
  <si>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</si>
  <si>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</si>
  <si>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</si>
  <si>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</si>
  <si>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</si>
  <si>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</si>
  <si>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</si>
  <si>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</si>
  <si>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</si>
  <si>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</si>
  <si>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</si>
  <si>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</si>
  <si>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</si>
  <si>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</si>
  <si>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</si>
  <si>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</si>
  <si>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</si>
  <si>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</si>
  <si>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</si>
  <si>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</si>
  <si>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</si>
  <si>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</si>
  <si>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</si>
  <si>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</si>
  <si>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</si>
  <si>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</si>
  <si>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</si>
  <si>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</si>
  <si>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</si>
  <si>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</si>
  <si>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</si>
  <si>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</si>
  <si>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</si>
  <si>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</si>
  <si>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</si>
  <si>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</si>
  <si>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</si>
  <si>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</si>
  <si>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</si>
  <si>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</si>
  <si>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</si>
  <si>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</si>
  <si>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</si>
  <si>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</si>
  <si>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</si>
  <si>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</si>
  <si>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</si>
  <si>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</si>
  <si>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</si>
  <si>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1x1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</si>
</sst>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  <font>
      <b/>
      <sz val="10"/>
      <color theme="5" tint="0.39997558519241921"/>
      <name val="Cambria"/>
      <family val="1"/>
      <scheme val="major"/>
    </font>
    <font>
      <sz val="10"/>
      <color theme="4" tint="-0.249977111117893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9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0" fontId="8" fillId="5" borderId="1" xfId="2" applyNumberFormat="1" applyFont="1" applyFill="1" applyBorder="1"/>
    <xf numFmtId="175" fontId="16" fillId="5" borderId="1" xfId="2" applyNumberFormat="1" applyFont="1" applyFill="1" applyBorder="1"/>
    <xf numFmtId="9" fontId="17" fillId="5" borderId="1" xfId="1" applyNumberFormat="1" applyFont="1" applyFill="1" applyBorder="1"/>
    <xf numFmtId="9" fontId="17" fillId="5" borderId="1" xfId="1" applyFont="1" applyFill="1" applyBorder="1"/>
    <xf numFmtId="43" fontId="16" fillId="5" borderId="1" xfId="2" applyNumberFormat="1" applyFont="1" applyFill="1" applyBorder="1"/>
    <xf numFmtId="164" fontId="18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118848"/>
        <c:axId val="97509760"/>
      </c:lineChart>
      <c:catAx>
        <c:axId val="97118848"/>
        <c:scaling>
          <c:orientation val="minMax"/>
        </c:scaling>
        <c:delete val="0"/>
        <c:axPos val="b"/>
        <c:majorTickMark val="out"/>
        <c:minorTickMark val="none"/>
        <c:tickLblPos val="nextTo"/>
        <c:crossAx val="97509760"/>
        <c:crosses val="autoZero"/>
        <c:auto val="1"/>
        <c:lblAlgn val="ctr"/>
        <c:lblOffset val="100"/>
        <c:noMultiLvlLbl val="0"/>
      </c:catAx>
      <c:valAx>
        <c:axId val="97509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711884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C200" activePane="bottomRight" state="frozen"/>
      <selection pane="topRight" activeCell="C1" sqref="C1"/>
      <selection pane="bottomLeft" activeCell="A5" sqref="A5"/>
      <selection pane="bottomRight" activeCell="G216" sqref="G216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0.12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398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6" t="s">
        <v>291</v>
      </c>
      <c r="AF2" s="197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8" t="s">
        <v>292</v>
      </c>
      <c r="AF3" s="199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>
        <v>224.03</v>
      </c>
      <c r="G6" s="147">
        <v>236</v>
      </c>
      <c r="H6" s="147">
        <v>266</v>
      </c>
      <c r="I6" s="147">
        <v>294</v>
      </c>
      <c r="J6" s="147">
        <v>306</v>
      </c>
      <c r="K6" s="147">
        <v>351.93</v>
      </c>
      <c r="L6" s="147">
        <v>371.36</v>
      </c>
      <c r="M6" s="147">
        <v>306.22000000000003</v>
      </c>
      <c r="N6" s="147">
        <v>356.92</v>
      </c>
      <c r="O6" s="147">
        <v>154.66999999999999</v>
      </c>
      <c r="P6" s="147">
        <v>257</v>
      </c>
      <c r="Q6" s="214">
        <f>P6</f>
        <v>257</v>
      </c>
      <c r="R6" s="118">
        <f>((Q6/G6)^(1/($H$2-$H$1) ))-1</f>
        <v>9.516584082517543E-3</v>
      </c>
      <c r="S6" s="31">
        <f>$L$2</f>
        <v>0.1</v>
      </c>
      <c r="T6" s="154">
        <f>Q6*(1+$S6)</f>
        <v>282.70000000000005</v>
      </c>
      <c r="U6" s="154">
        <f>T6*(1+$S6)</f>
        <v>310.97000000000008</v>
      </c>
      <c r="V6" s="154">
        <f t="shared" ref="V6:AC6" si="0">U6*(1+$S6)</f>
        <v>342.06700000000012</v>
      </c>
      <c r="W6" s="154">
        <f t="shared" si="0"/>
        <v>376.27370000000019</v>
      </c>
      <c r="X6" s="154">
        <f t="shared" si="0"/>
        <v>413.90107000000023</v>
      </c>
      <c r="Y6" s="154">
        <f t="shared" si="0"/>
        <v>455.29117700000029</v>
      </c>
      <c r="Z6" s="154">
        <f t="shared" si="0"/>
        <v>500.82029470000037</v>
      </c>
      <c r="AA6" s="154">
        <f t="shared" si="0"/>
        <v>550.9023241700005</v>
      </c>
      <c r="AB6" s="154">
        <f t="shared" si="0"/>
        <v>605.99255658700065</v>
      </c>
      <c r="AC6" s="154">
        <f t="shared" si="0"/>
        <v>666.59181224570079</v>
      </c>
      <c r="AD6" s="138">
        <f>((AC6/G6)^(1/($AC$3-$H$1) ))-1</f>
        <v>5.3288636044767079E-2</v>
      </c>
      <c r="AE6" s="31">
        <f>$L$1</f>
        <v>0.05</v>
      </c>
      <c r="AF6" s="146">
        <f t="shared" ref="AF6:AF44" si="1">(AC6*(1+AE6))/($C$1-AE6)</f>
        <v>9998.877183685514</v>
      </c>
    </row>
    <row r="7" spans="2:32" x14ac:dyDescent="0.2">
      <c r="B7" s="20" t="s">
        <v>240</v>
      </c>
      <c r="C7" s="141"/>
      <c r="D7" s="141"/>
      <c r="E7" s="147"/>
      <c r="F7" s="147">
        <v>348</v>
      </c>
      <c r="G7" s="147">
        <v>360</v>
      </c>
      <c r="H7" s="147">
        <v>390</v>
      </c>
      <c r="I7" s="147">
        <v>417</v>
      </c>
      <c r="J7" s="147">
        <v>430</v>
      </c>
      <c r="K7" s="147">
        <v>475.57</v>
      </c>
      <c r="L7" s="147">
        <v>495</v>
      </c>
      <c r="M7" s="147">
        <v>553.5</v>
      </c>
      <c r="N7" s="147">
        <v>604.20000000000005</v>
      </c>
      <c r="O7" s="147">
        <v>649.23</v>
      </c>
      <c r="P7" s="147">
        <v>649.23</v>
      </c>
      <c r="Q7" s="214">
        <v>751</v>
      </c>
      <c r="R7" s="118">
        <f>((Q7/G7)^(1/($H$2-$H$1) ))-1</f>
        <v>8.5130417288541427E-2</v>
      </c>
      <c r="S7" s="31">
        <f>$L$2</f>
        <v>0.1</v>
      </c>
      <c r="T7" s="154">
        <f t="shared" ref="T7:T44" si="2">Q7*(1+$S7)</f>
        <v>826.1</v>
      </c>
      <c r="U7" s="154">
        <f t="shared" ref="U7:AC7" si="3">T7*(1+$S7)</f>
        <v>908.71000000000015</v>
      </c>
      <c r="V7" s="154">
        <f t="shared" si="3"/>
        <v>999.58100000000024</v>
      </c>
      <c r="W7" s="154">
        <f t="shared" si="3"/>
        <v>1099.5391000000004</v>
      </c>
      <c r="X7" s="154">
        <f t="shared" si="3"/>
        <v>1209.4930100000006</v>
      </c>
      <c r="Y7" s="154">
        <f t="shared" si="3"/>
        <v>1330.4423110000007</v>
      </c>
      <c r="Z7" s="154">
        <f t="shared" si="3"/>
        <v>1463.4865421000009</v>
      </c>
      <c r="AA7" s="154">
        <f t="shared" si="3"/>
        <v>1609.835196310001</v>
      </c>
      <c r="AB7" s="154">
        <f t="shared" si="3"/>
        <v>1770.8187159410013</v>
      </c>
      <c r="AC7" s="154">
        <f t="shared" si="3"/>
        <v>1947.9005875351015</v>
      </c>
      <c r="AD7" s="138">
        <f>((AC7/G7)^(1/($AC$3-$H$1) ))-1</f>
        <v>8.808597985983857E-2</v>
      </c>
      <c r="AE7" s="31">
        <f>$L$1</f>
        <v>0.05</v>
      </c>
      <c r="AF7" s="146">
        <f t="shared" si="1"/>
        <v>29218.508813026529</v>
      </c>
    </row>
    <row r="8" spans="2:32" x14ac:dyDescent="0.2">
      <c r="B8" s="20"/>
      <c r="C8" s="141"/>
      <c r="D8" s="141"/>
      <c r="E8" s="147"/>
      <c r="F8" s="148">
        <f>(F7-E7)/F7</f>
        <v>1</v>
      </c>
      <c r="G8" s="151">
        <f>(G7-F7)/G7</f>
        <v>3.3333333333333333E-2</v>
      </c>
      <c r="H8" s="151">
        <f t="shared" ref="H8" si="4">(H7-G7)/H7</f>
        <v>7.6923076923076927E-2</v>
      </c>
      <c r="I8" s="151">
        <f t="shared" ref="I8" si="5">(I7-H7)/I7</f>
        <v>6.4748201438848921E-2</v>
      </c>
      <c r="J8" s="151">
        <f t="shared" ref="J8" si="6">(J7-I7)/J7</f>
        <v>3.0232558139534883E-2</v>
      </c>
      <c r="K8" s="151">
        <f t="shared" ref="K8" si="7">(K7-J7)/K7</f>
        <v>9.5821855878209294E-2</v>
      </c>
      <c r="L8" s="151">
        <f t="shared" ref="L8" si="8">(L7-K7)/L7</f>
        <v>3.9252525252525268E-2</v>
      </c>
      <c r="M8" s="151">
        <f t="shared" ref="M8" si="9">(M7-L7)/M7</f>
        <v>0.10569105691056911</v>
      </c>
      <c r="N8" s="151">
        <f t="shared" ref="N8" si="10">(N7-M7)/N7</f>
        <v>8.3912611717974248E-2</v>
      </c>
      <c r="O8" s="151">
        <f t="shared" ref="O8" si="11">(O7-N7)/O7</f>
        <v>6.9359086918349383E-2</v>
      </c>
      <c r="P8" s="151">
        <f t="shared" ref="I8:Q8" si="12">(P7-O7)/P7</f>
        <v>0</v>
      </c>
      <c r="Q8" s="215">
        <f t="shared" si="12"/>
        <v>0.13551264980026628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>
        <v>230</v>
      </c>
      <c r="G9" s="147">
        <v>224</v>
      </c>
      <c r="H9" s="147">
        <v>261</v>
      </c>
      <c r="I9" s="147">
        <v>292</v>
      </c>
      <c r="J9" s="147">
        <v>341.8</v>
      </c>
      <c r="K9" s="147">
        <v>317.89</v>
      </c>
      <c r="L9" s="147">
        <v>438.89</v>
      </c>
      <c r="M9" s="147">
        <v>502.88</v>
      </c>
      <c r="N9" s="147">
        <v>518.6</v>
      </c>
      <c r="O9" s="147">
        <v>563.5</v>
      </c>
      <c r="P9" s="147">
        <v>604</v>
      </c>
      <c r="Q9" s="214">
        <v>604</v>
      </c>
      <c r="R9" s="118">
        <f>((Q9/G9)^(1/($H$2-$H$1) ))-1</f>
        <v>0.11651724576550748</v>
      </c>
      <c r="S9" s="31">
        <f t="shared" ref="S9:S40" si="13">$L$2</f>
        <v>0.1</v>
      </c>
      <c r="T9" s="154">
        <f t="shared" si="2"/>
        <v>664.40000000000009</v>
      </c>
      <c r="U9" s="154">
        <f t="shared" ref="U9" si="14">T9*(1+$S9)</f>
        <v>730.84000000000015</v>
      </c>
      <c r="V9" s="154">
        <f t="shared" ref="V9" si="15">U9*(1+$S9)</f>
        <v>803.92400000000021</v>
      </c>
      <c r="W9" s="154">
        <f t="shared" ref="W9" si="16">V9*(1+$S9)</f>
        <v>884.31640000000027</v>
      </c>
      <c r="X9" s="154">
        <f t="shared" ref="X9" si="17">W9*(1+$S9)</f>
        <v>972.7480400000004</v>
      </c>
      <c r="Y9" s="154">
        <f t="shared" ref="Y9" si="18">X9*(1+$S9)</f>
        <v>1070.0228440000005</v>
      </c>
      <c r="Z9" s="154">
        <f t="shared" ref="Z9" si="19">Y9*(1+$S9)</f>
        <v>1177.0251284000008</v>
      </c>
      <c r="AA9" s="154">
        <f t="shared" ref="AA9" si="20">Z9*(1+$S9)</f>
        <v>1294.727641240001</v>
      </c>
      <c r="AB9" s="154">
        <f t="shared" ref="AB9" si="21">AA9*(1+$S9)</f>
        <v>1424.2004053640012</v>
      </c>
      <c r="AC9" s="154">
        <f t="shared" ref="AC9" si="22">AB9*(1+$S9)</f>
        <v>1566.6204459004014</v>
      </c>
      <c r="AD9" s="138">
        <f>((AC9/G9)^(1/($AC$3-$H$1) ))-1</f>
        <v>0.10213752327626624</v>
      </c>
      <c r="AE9" s="31">
        <f t="shared" ref="AE9:AE81" si="23">$L$1</f>
        <v>0.05</v>
      </c>
      <c r="AF9" s="146">
        <f t="shared" si="1"/>
        <v>23499.306688506025</v>
      </c>
    </row>
    <row r="10" spans="2:32" x14ac:dyDescent="0.2">
      <c r="B10" s="20" t="s">
        <v>4</v>
      </c>
      <c r="C10" s="141"/>
      <c r="D10" s="141"/>
      <c r="E10" s="147"/>
      <c r="F10" s="147">
        <v>4.2</v>
      </c>
      <c r="G10" s="147">
        <v>3.7</v>
      </c>
      <c r="H10" s="147">
        <v>2.7</v>
      </c>
      <c r="I10" s="147">
        <v>2.79</v>
      </c>
      <c r="J10" s="147">
        <v>2.79</v>
      </c>
      <c r="K10" s="147">
        <v>2.79</v>
      </c>
      <c r="L10" s="147">
        <v>0</v>
      </c>
      <c r="M10" s="147">
        <v>0</v>
      </c>
      <c r="N10" s="147">
        <v>0</v>
      </c>
      <c r="O10" s="147">
        <v>0</v>
      </c>
      <c r="P10" s="147">
        <v>0</v>
      </c>
      <c r="Q10" s="214">
        <v>0</v>
      </c>
      <c r="R10" s="118">
        <f>((Q10/G10)^(1/($H$2-$H$1) ))-1</f>
        <v>-1</v>
      </c>
      <c r="S10" s="31">
        <f t="shared" si="13"/>
        <v>0.1</v>
      </c>
      <c r="T10" s="154">
        <f t="shared" si="2"/>
        <v>0</v>
      </c>
      <c r="U10" s="154">
        <f t="shared" ref="U10:AC10" si="24">T10*(1+$S10)</f>
        <v>0</v>
      </c>
      <c r="V10" s="154">
        <f t="shared" si="24"/>
        <v>0</v>
      </c>
      <c r="W10" s="154">
        <f t="shared" si="24"/>
        <v>0</v>
      </c>
      <c r="X10" s="154">
        <f t="shared" si="24"/>
        <v>0</v>
      </c>
      <c r="Y10" s="154">
        <f t="shared" si="24"/>
        <v>0</v>
      </c>
      <c r="Z10" s="154">
        <f t="shared" si="24"/>
        <v>0</v>
      </c>
      <c r="AA10" s="154">
        <f t="shared" si="24"/>
        <v>0</v>
      </c>
      <c r="AB10" s="154">
        <f t="shared" si="24"/>
        <v>0</v>
      </c>
      <c r="AC10" s="154">
        <f t="shared" si="24"/>
        <v>0</v>
      </c>
      <c r="AD10" s="138">
        <f t="shared" ref="AD10:AD42" si="25">((AC10/G10)^(1/($AC$3-$H$1) ))-1</f>
        <v>-1</v>
      </c>
      <c r="AE10" s="31">
        <f t="shared" si="23"/>
        <v>0.05</v>
      </c>
      <c r="AF10" s="146">
        <f t="shared" si="1"/>
        <v>0</v>
      </c>
    </row>
    <row r="11" spans="2:32" x14ac:dyDescent="0.2">
      <c r="B11" s="20"/>
      <c r="C11" s="141"/>
      <c r="D11" s="141"/>
      <c r="E11" s="147"/>
      <c r="F11" s="148">
        <f>(F10-E10)/F10</f>
        <v>1</v>
      </c>
      <c r="G11" s="148">
        <f t="shared" ref="G11" si="26">(G10-F10)/G10</f>
        <v>-0.13513513513513511</v>
      </c>
      <c r="H11" s="148">
        <f t="shared" ref="H11" si="27">(H10-G10)/H10</f>
        <v>-0.37037037037037035</v>
      </c>
      <c r="I11" s="148">
        <f t="shared" ref="I11" si="28">(I10-H10)/I10</f>
        <v>3.2258064516128983E-2</v>
      </c>
      <c r="J11" s="148">
        <f t="shared" ref="J11" si="29">(J10-I10)/J10</f>
        <v>0</v>
      </c>
      <c r="K11" s="148">
        <f t="shared" ref="K11" si="30">(K10-J10)/K10</f>
        <v>0</v>
      </c>
      <c r="L11" s="148" t="e">
        <f t="shared" ref="L11" si="31">(L10-K10)/L10</f>
        <v>#DIV/0!</v>
      </c>
      <c r="M11" s="148" t="e">
        <f t="shared" ref="M11" si="32">(M10-L10)/M10</f>
        <v>#DIV/0!</v>
      </c>
      <c r="N11" s="148" t="e">
        <f t="shared" ref="N11" si="33">(N10-M10)/N10</f>
        <v>#DIV/0!</v>
      </c>
      <c r="O11" s="148" t="e">
        <f t="shared" ref="O11" si="34">(O10-N10)/O10</f>
        <v>#DIV/0!</v>
      </c>
      <c r="P11" s="148" t="e">
        <f t="shared" ref="H11:Q11" si="35">(P10-O10)/P10</f>
        <v>#DIV/0!</v>
      </c>
      <c r="Q11" s="216" t="e">
        <f t="shared" si="35"/>
        <v>#DIV/0!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23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>
        <f>27+1</f>
        <v>28</v>
      </c>
      <c r="G12" s="147">
        <v>29.68</v>
      </c>
      <c r="H12" s="147">
        <v>39.840000000000003</v>
      </c>
      <c r="I12" s="147">
        <v>50.8</v>
      </c>
      <c r="J12" s="147">
        <v>25.15</v>
      </c>
      <c r="K12" s="147">
        <f>35.46+220</f>
        <v>255.46</v>
      </c>
      <c r="L12" s="147">
        <f>35.62+490.14</f>
        <v>525.76</v>
      </c>
      <c r="M12" s="147">
        <f>19.39+599.87</f>
        <v>619.26</v>
      </c>
      <c r="N12" s="147">
        <f>48.99+500.01</f>
        <v>549</v>
      </c>
      <c r="O12" s="147">
        <f>574.59</f>
        <v>574.59</v>
      </c>
      <c r="P12" s="147">
        <v>595</v>
      </c>
      <c r="Q12" s="214">
        <v>595</v>
      </c>
      <c r="R12" s="118">
        <f>((Q12/G12)^(1/($H$2-$H$1) ))-1</f>
        <v>0.39531596449414219</v>
      </c>
      <c r="S12" s="31">
        <f t="shared" si="13"/>
        <v>0.1</v>
      </c>
      <c r="T12" s="154">
        <f t="shared" si="2"/>
        <v>654.5</v>
      </c>
      <c r="U12" s="154">
        <f t="shared" ref="U12:AC12" si="36">T12*(1+$S12)</f>
        <v>719.95</v>
      </c>
      <c r="V12" s="154">
        <f t="shared" si="36"/>
        <v>791.94500000000016</v>
      </c>
      <c r="W12" s="154">
        <f t="shared" si="36"/>
        <v>871.13950000000023</v>
      </c>
      <c r="X12" s="154">
        <f t="shared" si="36"/>
        <v>958.25345000000027</v>
      </c>
      <c r="Y12" s="154">
        <f t="shared" si="36"/>
        <v>1054.0787950000004</v>
      </c>
      <c r="Z12" s="154">
        <f t="shared" si="36"/>
        <v>1159.4866745000004</v>
      </c>
      <c r="AA12" s="154">
        <f t="shared" si="36"/>
        <v>1275.4353419500005</v>
      </c>
      <c r="AB12" s="154">
        <f t="shared" si="36"/>
        <v>1402.9788761450006</v>
      </c>
      <c r="AC12" s="154">
        <f t="shared" si="36"/>
        <v>1543.2767637595009</v>
      </c>
      <c r="AD12" s="138">
        <f t="shared" si="25"/>
        <v>0.21842554605325915</v>
      </c>
      <c r="AE12" s="31">
        <f t="shared" si="23"/>
        <v>0.05</v>
      </c>
      <c r="AF12" s="146">
        <f t="shared" si="1"/>
        <v>23149.151456392519</v>
      </c>
    </row>
    <row r="13" spans="2:32" x14ac:dyDescent="0.2">
      <c r="B13" s="20" t="s">
        <v>218</v>
      </c>
      <c r="C13" s="141"/>
      <c r="D13" s="141"/>
      <c r="E13" s="147"/>
      <c r="F13" s="147">
        <v>85</v>
      </c>
      <c r="G13" s="147">
        <v>129</v>
      </c>
      <c r="H13" s="147">
        <v>108</v>
      </c>
      <c r="I13" s="147">
        <v>42.5</v>
      </c>
      <c r="J13" s="147">
        <v>20.58</v>
      </c>
      <c r="K13" s="147">
        <v>0.52</v>
      </c>
      <c r="L13" s="147">
        <v>0</v>
      </c>
      <c r="M13" s="147">
        <v>0</v>
      </c>
      <c r="N13" s="147">
        <v>0</v>
      </c>
      <c r="O13" s="147">
        <v>0</v>
      </c>
      <c r="P13" s="147">
        <v>0</v>
      </c>
      <c r="Q13" s="214">
        <v>0</v>
      </c>
      <c r="R13" s="118">
        <f>((Q13/G13)^(1/($H$2-$H$1) ))-1</f>
        <v>-1</v>
      </c>
      <c r="S13" s="31">
        <f t="shared" si="13"/>
        <v>0.1</v>
      </c>
      <c r="T13" s="154">
        <f t="shared" si="2"/>
        <v>0</v>
      </c>
      <c r="U13" s="154">
        <f t="shared" ref="U13:AC13" si="37">T13*(1+$S13)</f>
        <v>0</v>
      </c>
      <c r="V13" s="154">
        <f t="shared" si="37"/>
        <v>0</v>
      </c>
      <c r="W13" s="154">
        <f t="shared" si="37"/>
        <v>0</v>
      </c>
      <c r="X13" s="154">
        <f t="shared" si="37"/>
        <v>0</v>
      </c>
      <c r="Y13" s="154">
        <f t="shared" si="37"/>
        <v>0</v>
      </c>
      <c r="Z13" s="154">
        <f t="shared" si="37"/>
        <v>0</v>
      </c>
      <c r="AA13" s="154">
        <f t="shared" si="37"/>
        <v>0</v>
      </c>
      <c r="AB13" s="154">
        <f t="shared" si="37"/>
        <v>0</v>
      </c>
      <c r="AC13" s="154">
        <f t="shared" si="37"/>
        <v>0</v>
      </c>
      <c r="AD13" s="138">
        <f t="shared" si="25"/>
        <v>-1</v>
      </c>
      <c r="AE13" s="31">
        <f t="shared" si="23"/>
        <v>0.05</v>
      </c>
      <c r="AF13" s="146">
        <f t="shared" si="1"/>
        <v>0</v>
      </c>
    </row>
    <row r="14" spans="2:32" x14ac:dyDescent="0.2">
      <c r="B14" s="20" t="s">
        <v>373</v>
      </c>
      <c r="C14" s="141"/>
      <c r="D14" s="141"/>
      <c r="E14" s="147"/>
      <c r="F14" s="147">
        <v>156</v>
      </c>
      <c r="G14" s="147">
        <v>166</v>
      </c>
      <c r="H14" s="147">
        <v>214</v>
      </c>
      <c r="I14" s="147">
        <v>255.5</v>
      </c>
      <c r="J14" s="147">
        <v>225</v>
      </c>
      <c r="K14" s="147">
        <v>267.3</v>
      </c>
      <c r="L14" s="147">
        <v>208.63</v>
      </c>
      <c r="M14" s="147">
        <v>244.2</v>
      </c>
      <c r="N14" s="147">
        <v>300.92</v>
      </c>
      <c r="O14" s="147">
        <v>315.76</v>
      </c>
      <c r="P14" s="147">
        <v>374</v>
      </c>
      <c r="Q14" s="214">
        <v>374</v>
      </c>
      <c r="R14" s="118">
        <f>((Q14/G14)^(1/($H$2-$H$1) ))-1</f>
        <v>9.4450051471346219E-2</v>
      </c>
      <c r="S14" s="31">
        <f t="shared" si="13"/>
        <v>0.1</v>
      </c>
      <c r="T14" s="154">
        <f t="shared" si="2"/>
        <v>411.40000000000003</v>
      </c>
      <c r="U14" s="154">
        <f t="shared" ref="U14" si="38">T14*(1+$S14)</f>
        <v>452.54000000000008</v>
      </c>
      <c r="V14" s="154">
        <f t="shared" ref="V14" si="39">U14*(1+$S14)</f>
        <v>497.79400000000015</v>
      </c>
      <c r="W14" s="154">
        <f t="shared" ref="W14" si="40">V14*(1+$S14)</f>
        <v>547.57340000000022</v>
      </c>
      <c r="X14" s="154">
        <f t="shared" ref="X14" si="41">W14*(1+$S14)</f>
        <v>602.33074000000033</v>
      </c>
      <c r="Y14" s="154">
        <f t="shared" ref="Y14" si="42">X14*(1+$S14)</f>
        <v>662.56381400000043</v>
      </c>
      <c r="Z14" s="154">
        <f t="shared" ref="Z14" si="43">Y14*(1+$S14)</f>
        <v>728.82019540000056</v>
      </c>
      <c r="AA14" s="154">
        <f t="shared" ref="AA14" si="44">Z14*(1+$S14)</f>
        <v>801.70221494000066</v>
      </c>
      <c r="AB14" s="154">
        <f t="shared" ref="AB14" si="45">AA14*(1+$S14)</f>
        <v>881.87243643400075</v>
      </c>
      <c r="AC14" s="154">
        <f t="shared" ref="AC14" si="46">AB14*(1+$S14)</f>
        <v>970.05968007740091</v>
      </c>
      <c r="AD14" s="138">
        <f t="shared" ref="AD14" si="47">((AC14/G14)^(1/($AC$3-$H$1) ))-1</f>
        <v>9.2281349669439461E-2</v>
      </c>
      <c r="AE14" s="31">
        <f t="shared" si="23"/>
        <v>0.05</v>
      </c>
      <c r="AF14" s="146">
        <f t="shared" ref="AF14" si="48">(AC14*(1+AE14))/($C$1-AE14)</f>
        <v>14550.895201161016</v>
      </c>
    </row>
    <row r="15" spans="2:32" x14ac:dyDescent="0.2">
      <c r="B15" s="20" t="s">
        <v>19</v>
      </c>
      <c r="C15" s="141"/>
      <c r="D15" s="141"/>
      <c r="E15" s="147"/>
      <c r="F15" s="147">
        <v>314.61</v>
      </c>
      <c r="G15" s="147">
        <v>327</v>
      </c>
      <c r="H15" s="147">
        <v>405.3</v>
      </c>
      <c r="I15" s="147">
        <v>495.3</v>
      </c>
      <c r="J15" s="147">
        <v>398.08</v>
      </c>
      <c r="K15" s="147">
        <v>465.07</v>
      </c>
      <c r="L15" s="147">
        <v>404.85</v>
      </c>
      <c r="M15" s="147">
        <v>442</v>
      </c>
      <c r="N15" s="147">
        <v>568.86</v>
      </c>
      <c r="O15" s="147">
        <v>1109.8</v>
      </c>
      <c r="P15" s="147">
        <v>1205</v>
      </c>
      <c r="Q15" s="214">
        <v>1205</v>
      </c>
      <c r="R15" s="118">
        <f>((Q15/G15)^(1/($H$2-$H$1) ))-1</f>
        <v>0.15594640687000072</v>
      </c>
      <c r="S15" s="31">
        <f t="shared" si="13"/>
        <v>0.1</v>
      </c>
      <c r="T15" s="154">
        <f t="shared" si="2"/>
        <v>1325.5</v>
      </c>
      <c r="U15" s="154">
        <f t="shared" ref="U15:AC15" si="49">T15*(1+$S15)</f>
        <v>1458.0500000000002</v>
      </c>
      <c r="V15" s="154">
        <f t="shared" si="49"/>
        <v>1603.8550000000002</v>
      </c>
      <c r="W15" s="154">
        <f t="shared" si="49"/>
        <v>1764.2405000000003</v>
      </c>
      <c r="X15" s="154">
        <f t="shared" si="49"/>
        <v>1940.6645500000004</v>
      </c>
      <c r="Y15" s="154">
        <f t="shared" si="49"/>
        <v>2134.7310050000006</v>
      </c>
      <c r="Z15" s="154">
        <f t="shared" si="49"/>
        <v>2348.2041055000009</v>
      </c>
      <c r="AA15" s="154">
        <f t="shared" si="49"/>
        <v>2583.0245160500012</v>
      </c>
      <c r="AB15" s="154">
        <f t="shared" si="49"/>
        <v>2841.3269676550017</v>
      </c>
      <c r="AC15" s="154">
        <f t="shared" si="49"/>
        <v>3125.4596644205021</v>
      </c>
      <c r="AD15" s="138">
        <f t="shared" si="25"/>
        <v>0.11948507335470215</v>
      </c>
      <c r="AE15" s="31">
        <f t="shared" si="23"/>
        <v>0.05</v>
      </c>
      <c r="AF15" s="146">
        <f t="shared" si="1"/>
        <v>46881.89496630754</v>
      </c>
    </row>
    <row r="16" spans="2:32" x14ac:dyDescent="0.2">
      <c r="B16" s="20" t="s">
        <v>23</v>
      </c>
      <c r="C16" s="141"/>
      <c r="D16" s="141"/>
      <c r="E16" s="147"/>
      <c r="F16" s="147">
        <v>96.48</v>
      </c>
      <c r="G16" s="147">
        <v>85.11</v>
      </c>
      <c r="H16" s="147">
        <v>146.38</v>
      </c>
      <c r="I16" s="147">
        <v>248.5</v>
      </c>
      <c r="J16" s="147">
        <v>279.10000000000002</v>
      </c>
      <c r="K16" s="147">
        <v>333.89</v>
      </c>
      <c r="L16" s="147">
        <v>357</v>
      </c>
      <c r="M16" s="147">
        <v>416.61</v>
      </c>
      <c r="N16" s="147">
        <v>460.6</v>
      </c>
      <c r="O16" s="147">
        <v>492.15</v>
      </c>
      <c r="P16" s="147">
        <v>576</v>
      </c>
      <c r="Q16" s="214">
        <v>576</v>
      </c>
      <c r="R16" s="118">
        <f>((Q16/G16)^(1/($H$2-$H$1) ))-1</f>
        <v>0.2367198213425552</v>
      </c>
      <c r="S16" s="31">
        <f t="shared" si="13"/>
        <v>0.1</v>
      </c>
      <c r="T16" s="154">
        <f t="shared" si="2"/>
        <v>633.6</v>
      </c>
      <c r="U16" s="154">
        <f t="shared" ref="U16:AC16" si="50">T16*(1+$S16)</f>
        <v>696.96</v>
      </c>
      <c r="V16" s="154">
        <f t="shared" si="50"/>
        <v>766.65600000000006</v>
      </c>
      <c r="W16" s="154">
        <f t="shared" si="50"/>
        <v>843.3216000000001</v>
      </c>
      <c r="X16" s="154">
        <f t="shared" si="50"/>
        <v>927.65376000000015</v>
      </c>
      <c r="Y16" s="154">
        <f t="shared" si="50"/>
        <v>1020.4191360000002</v>
      </c>
      <c r="Z16" s="154">
        <f t="shared" si="50"/>
        <v>1122.4610496000003</v>
      </c>
      <c r="AA16" s="154">
        <f t="shared" si="50"/>
        <v>1234.7071545600004</v>
      </c>
      <c r="AB16" s="154">
        <f t="shared" si="50"/>
        <v>1358.1778700160005</v>
      </c>
      <c r="AC16" s="154">
        <f t="shared" si="50"/>
        <v>1493.9956570176007</v>
      </c>
      <c r="AD16" s="138">
        <f t="shared" si="25"/>
        <v>0.15403355647287786</v>
      </c>
      <c r="AE16" s="31">
        <f t="shared" si="23"/>
        <v>0.05</v>
      </c>
      <c r="AF16" s="146">
        <f t="shared" si="1"/>
        <v>22409.934855264015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214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>
        <v>167</v>
      </c>
      <c r="G18" s="147">
        <v>145</v>
      </c>
      <c r="H18" s="147">
        <v>132</v>
      </c>
      <c r="I18" s="147">
        <v>125</v>
      </c>
      <c r="J18" s="147">
        <v>118</v>
      </c>
      <c r="K18" s="147">
        <v>119.48</v>
      </c>
      <c r="L18" s="147">
        <v>111.3</v>
      </c>
      <c r="M18" s="147">
        <v>120.32</v>
      </c>
      <c r="N18" s="147">
        <v>112.52</v>
      </c>
      <c r="O18" s="147">
        <v>126.12</v>
      </c>
      <c r="P18" s="147">
        <v>143</v>
      </c>
      <c r="Q18" s="214">
        <v>143</v>
      </c>
      <c r="R18" s="118">
        <f>((Q18/G18)^(1/($H$2-$H$1) ))-1</f>
        <v>-1.5420445101910207E-3</v>
      </c>
      <c r="S18" s="31">
        <f t="shared" si="13"/>
        <v>0.1</v>
      </c>
      <c r="T18" s="154">
        <f t="shared" si="2"/>
        <v>157.30000000000001</v>
      </c>
      <c r="U18" s="154">
        <f t="shared" ref="U18:U34" si="51">T18*(1+$S18)</f>
        <v>173.03000000000003</v>
      </c>
      <c r="V18" s="154">
        <f t="shared" ref="V18:V34" si="52">U18*(1+$S18)</f>
        <v>190.33300000000006</v>
      </c>
      <c r="W18" s="154">
        <f t="shared" ref="W18:W34" si="53">V18*(1+$S18)</f>
        <v>209.36630000000008</v>
      </c>
      <c r="X18" s="154">
        <f t="shared" ref="X18:X36" si="54">W18*(1+$S18)</f>
        <v>230.30293000000012</v>
      </c>
      <c r="Y18" s="154">
        <f t="shared" ref="Y18:Y36" si="55">X18*(1+$S18)</f>
        <v>253.33322300000015</v>
      </c>
      <c r="Z18" s="154">
        <f t="shared" ref="Z18:Z36" si="56">Y18*(1+$S18)</f>
        <v>278.66654530000017</v>
      </c>
      <c r="AA18" s="154">
        <f t="shared" ref="AA18:AA36" si="57">Z18*(1+$S18)</f>
        <v>306.53319983000023</v>
      </c>
      <c r="AB18" s="154">
        <f t="shared" ref="AB18:AB36" si="58">AA18*(1+$S18)</f>
        <v>337.1865198130003</v>
      </c>
      <c r="AC18" s="154">
        <f t="shared" ref="AC18:AC36" si="59">AB18*(1+$S18)</f>
        <v>370.90517179430037</v>
      </c>
      <c r="AD18" s="138">
        <f t="shared" si="25"/>
        <v>4.8080749829034541E-2</v>
      </c>
      <c r="AE18" s="31">
        <f t="shared" si="23"/>
        <v>0.05</v>
      </c>
      <c r="AF18" s="146">
        <f t="shared" si="1"/>
        <v>5563.5775769145066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214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>
        <v>105</v>
      </c>
      <c r="G20" s="147">
        <v>163</v>
      </c>
      <c r="H20" s="147">
        <v>111</v>
      </c>
      <c r="I20" s="147">
        <v>94</v>
      </c>
      <c r="J20" s="147">
        <v>357</v>
      </c>
      <c r="K20" s="147">
        <v>162</v>
      </c>
      <c r="L20" s="147">
        <v>566</v>
      </c>
      <c r="M20" s="147">
        <v>515</v>
      </c>
      <c r="N20" s="147">
        <v>350</v>
      </c>
      <c r="O20" s="147">
        <v>467</v>
      </c>
      <c r="P20" s="147">
        <v>396</v>
      </c>
      <c r="Q20" s="214">
        <f>P20</f>
        <v>396</v>
      </c>
      <c r="R20" s="118">
        <f>((Q20/G20)^(1/($H$2-$H$1) ))-1</f>
        <v>0.10365713610158367</v>
      </c>
      <c r="S20" s="31">
        <f t="shared" si="13"/>
        <v>0.1</v>
      </c>
      <c r="T20" s="154">
        <f t="shared" si="2"/>
        <v>435.6</v>
      </c>
      <c r="U20" s="154">
        <f t="shared" ref="U20:U22" si="60">T20*(1+$S20)</f>
        <v>479.16000000000008</v>
      </c>
      <c r="V20" s="154">
        <f t="shared" ref="V20:V22" si="61">U20*(1+$S20)</f>
        <v>527.07600000000014</v>
      </c>
      <c r="W20" s="154">
        <f t="shared" ref="W20:W22" si="62">V20*(1+$S20)</f>
        <v>579.78360000000021</v>
      </c>
      <c r="X20" s="154">
        <f t="shared" ref="X20:X22" si="63">W20*(1+$S20)</f>
        <v>637.76196000000027</v>
      </c>
      <c r="Y20" s="154">
        <f t="shared" ref="Y20:Y22" si="64">X20*(1+$S20)</f>
        <v>701.5381560000003</v>
      </c>
      <c r="Z20" s="154">
        <f t="shared" ref="Z20:Z22" si="65">Y20*(1+$S20)</f>
        <v>771.69197160000044</v>
      </c>
      <c r="AA20" s="154">
        <f t="shared" ref="AA20:AA22" si="66">Z20*(1+$S20)</f>
        <v>848.86116876000051</v>
      </c>
      <c r="AB20" s="154">
        <f t="shared" ref="AB20:AB22" si="67">AA20*(1+$S20)</f>
        <v>933.74728563600058</v>
      </c>
      <c r="AC20" s="154">
        <f t="shared" ref="AC20:AC22" si="68">AB20*(1+$S20)</f>
        <v>1027.1220141996007</v>
      </c>
      <c r="AD20" s="138">
        <f t="shared" ref="AD20:AD22" si="69">((AC20/G20)^(1/($AC$3-$H$1) ))-1</f>
        <v>9.6406803159045928E-2</v>
      </c>
      <c r="AE20" s="31">
        <f t="shared" si="23"/>
        <v>0.05</v>
      </c>
      <c r="AF20" s="146">
        <f t="shared" si="1"/>
        <v>15406.830212994015</v>
      </c>
    </row>
    <row r="21" spans="2:32" x14ac:dyDescent="0.2">
      <c r="B21" s="20" t="s">
        <v>284</v>
      </c>
      <c r="C21" s="141"/>
      <c r="D21" s="141"/>
      <c r="E21" s="147"/>
      <c r="F21" s="147">
        <v>139</v>
      </c>
      <c r="G21" s="147">
        <v>-43</v>
      </c>
      <c r="H21" s="147">
        <v>20</v>
      </c>
      <c r="I21" s="147">
        <v>76</v>
      </c>
      <c r="J21" s="147">
        <v>13</v>
      </c>
      <c r="K21" s="147">
        <v>4</v>
      </c>
      <c r="L21" s="147">
        <v>-15</v>
      </c>
      <c r="M21" s="147">
        <v>-11</v>
      </c>
      <c r="N21" s="147">
        <v>12</v>
      </c>
      <c r="O21" s="147">
        <v>0</v>
      </c>
      <c r="P21" s="147">
        <v>30</v>
      </c>
      <c r="Q21" s="214">
        <f>P21</f>
        <v>30</v>
      </c>
      <c r="R21" s="118">
        <f>((Q21/G21)^(1/($H$2-$H$1) ))-1</f>
        <v>-1.9607891472825338</v>
      </c>
      <c r="S21" s="31">
        <f t="shared" si="13"/>
        <v>0.1</v>
      </c>
      <c r="T21" s="154">
        <f t="shared" si="2"/>
        <v>33</v>
      </c>
      <c r="U21" s="154">
        <f t="shared" si="60"/>
        <v>36.300000000000004</v>
      </c>
      <c r="V21" s="154">
        <f t="shared" si="61"/>
        <v>39.930000000000007</v>
      </c>
      <c r="W21" s="154">
        <f t="shared" si="62"/>
        <v>43.923000000000009</v>
      </c>
      <c r="X21" s="154">
        <f t="shared" si="63"/>
        <v>48.315300000000015</v>
      </c>
      <c r="Y21" s="154">
        <f t="shared" si="64"/>
        <v>53.146830000000023</v>
      </c>
      <c r="Z21" s="154">
        <f t="shared" si="65"/>
        <v>58.461513000000032</v>
      </c>
      <c r="AA21" s="154">
        <f t="shared" si="66"/>
        <v>64.307664300000042</v>
      </c>
      <c r="AB21" s="154">
        <f t="shared" si="67"/>
        <v>70.738430730000047</v>
      </c>
      <c r="AC21" s="154">
        <f t="shared" si="68"/>
        <v>77.812273803000053</v>
      </c>
      <c r="AD21" s="138" t="e">
        <f t="shared" si="69"/>
        <v>#NUM!</v>
      </c>
      <c r="AE21" s="31">
        <f t="shared" si="23"/>
        <v>0.05</v>
      </c>
      <c r="AF21" s="146">
        <f t="shared" si="1"/>
        <v>1167.1841070450009</v>
      </c>
    </row>
    <row r="22" spans="2:32" x14ac:dyDescent="0.2">
      <c r="B22" s="20" t="s">
        <v>285</v>
      </c>
      <c r="C22" s="141"/>
      <c r="D22" s="141"/>
      <c r="E22" s="147"/>
      <c r="F22" s="147">
        <v>-234</v>
      </c>
      <c r="G22" s="147">
        <v>-119</v>
      </c>
      <c r="H22" s="147">
        <v>-120</v>
      </c>
      <c r="I22" s="147">
        <v>-120</v>
      </c>
      <c r="J22" s="147">
        <v>-141</v>
      </c>
      <c r="K22" s="147">
        <v>-228</v>
      </c>
      <c r="L22" s="147">
        <v>-280</v>
      </c>
      <c r="M22" s="147">
        <v>-420</v>
      </c>
      <c r="N22" s="147">
        <v>-433</v>
      </c>
      <c r="O22" s="147">
        <v>-432</v>
      </c>
      <c r="P22" s="147">
        <v>-407</v>
      </c>
      <c r="Q22" s="214">
        <f>P22</f>
        <v>-407</v>
      </c>
      <c r="R22" s="118">
        <f>((Q22/G22)^(1/($H$2-$H$1) ))-1</f>
        <v>0.14640640897280077</v>
      </c>
      <c r="S22" s="31">
        <f t="shared" si="13"/>
        <v>0.1</v>
      </c>
      <c r="T22" s="154">
        <f t="shared" si="2"/>
        <v>-447.70000000000005</v>
      </c>
      <c r="U22" s="154">
        <f t="shared" si="60"/>
        <v>-492.47000000000008</v>
      </c>
      <c r="V22" s="154">
        <f t="shared" si="61"/>
        <v>-541.7170000000001</v>
      </c>
      <c r="W22" s="154">
        <f t="shared" si="62"/>
        <v>-595.8887000000002</v>
      </c>
      <c r="X22" s="154">
        <f t="shared" si="63"/>
        <v>-655.47757000000024</v>
      </c>
      <c r="Y22" s="154">
        <f t="shared" si="64"/>
        <v>-721.02532700000029</v>
      </c>
      <c r="Z22" s="154">
        <f t="shared" si="65"/>
        <v>-793.12785970000039</v>
      </c>
      <c r="AA22" s="154">
        <f t="shared" si="66"/>
        <v>-872.44064567000055</v>
      </c>
      <c r="AB22" s="154">
        <f t="shared" si="67"/>
        <v>-959.68471023700067</v>
      </c>
      <c r="AC22" s="154">
        <f t="shared" si="68"/>
        <v>-1055.6531812607009</v>
      </c>
      <c r="AD22" s="138">
        <f t="shared" si="69"/>
        <v>0.11531800945255677</v>
      </c>
      <c r="AE22" s="31">
        <f t="shared" si="23"/>
        <v>0.05</v>
      </c>
      <c r="AF22" s="146">
        <f t="shared" si="1"/>
        <v>-15834.797718910515</v>
      </c>
    </row>
    <row r="23" spans="2:32" x14ac:dyDescent="0.2">
      <c r="B23" s="20" t="s">
        <v>295</v>
      </c>
      <c r="C23" s="141"/>
      <c r="D23" s="141"/>
      <c r="E23" s="147"/>
      <c r="F23" s="147">
        <v>28</v>
      </c>
      <c r="G23" s="147">
        <v>30</v>
      </c>
      <c r="H23" s="147">
        <v>40</v>
      </c>
      <c r="I23" s="147">
        <v>89</v>
      </c>
      <c r="J23" s="147">
        <v>318</v>
      </c>
      <c r="K23" s="147">
        <v>255</v>
      </c>
      <c r="L23" s="147">
        <v>525</v>
      </c>
      <c r="M23" s="147">
        <v>609</v>
      </c>
      <c r="N23" s="147">
        <v>534</v>
      </c>
      <c r="O23" s="147">
        <v>574</v>
      </c>
      <c r="P23" s="147">
        <v>594</v>
      </c>
      <c r="Q23" s="214">
        <f>P23</f>
        <v>594</v>
      </c>
      <c r="R23" s="118">
        <f>((Q23/G23)^(1/($H$2-$H$1) ))-1</f>
        <v>0.39339391630123877</v>
      </c>
      <c r="S23" s="31">
        <f t="shared" si="13"/>
        <v>0.1</v>
      </c>
      <c r="T23" s="154">
        <f t="shared" si="2"/>
        <v>653.40000000000009</v>
      </c>
      <c r="U23" s="154">
        <f t="shared" ref="U23" si="70">T23*(1+$S23)</f>
        <v>718.74000000000012</v>
      </c>
      <c r="V23" s="154">
        <f t="shared" ref="V23" si="71">U23*(1+$S23)</f>
        <v>790.61400000000015</v>
      </c>
      <c r="W23" s="154">
        <f t="shared" ref="W23" si="72">V23*(1+$S23)</f>
        <v>869.6754000000002</v>
      </c>
      <c r="X23" s="154">
        <f t="shared" ref="X23" si="73">W23*(1+$S23)</f>
        <v>956.64294000000029</v>
      </c>
      <c r="Y23" s="154">
        <f t="shared" ref="Y23" si="74">X23*(1+$S23)</f>
        <v>1052.3072340000003</v>
      </c>
      <c r="Z23" s="154">
        <f t="shared" ref="Z23" si="75">Y23*(1+$S23)</f>
        <v>1157.5379574000006</v>
      </c>
      <c r="AA23" s="154">
        <f t="shared" ref="AA23" si="76">Z23*(1+$S23)</f>
        <v>1273.2917531400008</v>
      </c>
      <c r="AB23" s="154">
        <f t="shared" ref="AB23" si="77">AA23*(1+$S23)</f>
        <v>1400.6209284540009</v>
      </c>
      <c r="AC23" s="154">
        <f t="shared" ref="AC23" si="78">AB23*(1+$S23)</f>
        <v>1540.6830212994012</v>
      </c>
      <c r="AD23" s="138">
        <f t="shared" ref="AD23" si="79">((AC23/G23)^(1/($AC$3-$H$1) ))-1</f>
        <v>0.2176699880301225</v>
      </c>
      <c r="AE23" s="31">
        <f t="shared" si="23"/>
        <v>0.05</v>
      </c>
      <c r="AF23" s="146">
        <f t="shared" si="1"/>
        <v>23110.245319491019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214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>
        <v>1233</v>
      </c>
      <c r="G25" s="147">
        <v>1352</v>
      </c>
      <c r="H25" s="147">
        <v>1510</v>
      </c>
      <c r="I25" s="147">
        <v>1853</v>
      </c>
      <c r="J25" s="147">
        <v>1913</v>
      </c>
      <c r="K25" s="147">
        <v>2315</v>
      </c>
      <c r="L25" s="147">
        <v>2381</v>
      </c>
      <c r="M25" s="147">
        <v>2862</v>
      </c>
      <c r="N25" s="147">
        <v>3165</v>
      </c>
      <c r="O25" s="147">
        <v>3205</v>
      </c>
      <c r="P25" s="147">
        <v>3317</v>
      </c>
      <c r="Q25" s="214">
        <v>3400</v>
      </c>
      <c r="R25" s="118">
        <f>((Q25/G25)^(1/($H$2-$H$1) ))-1</f>
        <v>0.10789919616971644</v>
      </c>
      <c r="S25" s="31">
        <f t="shared" si="13"/>
        <v>0.1</v>
      </c>
      <c r="T25" s="154">
        <f t="shared" si="2"/>
        <v>3740.0000000000005</v>
      </c>
      <c r="U25" s="154">
        <f t="shared" si="51"/>
        <v>4114.0000000000009</v>
      </c>
      <c r="V25" s="154">
        <f t="shared" si="52"/>
        <v>4525.4000000000015</v>
      </c>
      <c r="W25" s="154">
        <f t="shared" si="53"/>
        <v>4977.9400000000023</v>
      </c>
      <c r="X25" s="154">
        <f t="shared" si="54"/>
        <v>5475.7340000000031</v>
      </c>
      <c r="Y25" s="154">
        <f t="shared" si="55"/>
        <v>6023.3074000000042</v>
      </c>
      <c r="Z25" s="154">
        <f t="shared" si="56"/>
        <v>6625.6381400000055</v>
      </c>
      <c r="AA25" s="154">
        <f t="shared" si="57"/>
        <v>7288.2019540000065</v>
      </c>
      <c r="AB25" s="154">
        <f t="shared" si="58"/>
        <v>8017.0221494000079</v>
      </c>
      <c r="AC25" s="154">
        <f t="shared" si="59"/>
        <v>8818.7243643400088</v>
      </c>
      <c r="AD25" s="138">
        <f t="shared" si="25"/>
        <v>9.8301189228973795E-2</v>
      </c>
      <c r="AE25" s="31">
        <f t="shared" si="23"/>
        <v>0.05</v>
      </c>
      <c r="AF25" s="146">
        <f t="shared" si="1"/>
        <v>132280.86546510016</v>
      </c>
    </row>
    <row r="26" spans="2:32" s="123" customFormat="1" x14ac:dyDescent="0.2">
      <c r="B26" s="23"/>
      <c r="C26" s="149"/>
      <c r="D26" s="149"/>
      <c r="E26" s="150"/>
      <c r="F26" s="148">
        <f>(F25-E25)/F25</f>
        <v>1</v>
      </c>
      <c r="G26" s="148">
        <f>(G25-F25)/G25</f>
        <v>8.8017751479289946E-2</v>
      </c>
      <c r="H26" s="148">
        <f t="shared" ref="H26" si="80">(H25-G25)/H25</f>
        <v>0.10463576158940398</v>
      </c>
      <c r="I26" s="148">
        <f t="shared" ref="I26" si="81">(I25-H25)/I25</f>
        <v>0.18510523475445223</v>
      </c>
      <c r="J26" s="148">
        <f t="shared" ref="J26" si="82">(J25-I25)/J25</f>
        <v>3.1364349189754309E-2</v>
      </c>
      <c r="K26" s="148">
        <f t="shared" ref="K26" si="83">(K25-J25)/K25</f>
        <v>0.17365010799136069</v>
      </c>
      <c r="L26" s="148">
        <f t="shared" ref="L26" si="84">(L25-K25)/L25</f>
        <v>2.771944561108778E-2</v>
      </c>
      <c r="M26" s="148">
        <f t="shared" ref="M26" si="85">(M25-L25)/M25</f>
        <v>0.16806429070580015</v>
      </c>
      <c r="N26" s="148">
        <f t="shared" ref="N26" si="86">(N25-M25)/N25</f>
        <v>9.5734597156398107E-2</v>
      </c>
      <c r="O26" s="148">
        <f t="shared" ref="O26" si="87">(O25-N25)/O25</f>
        <v>1.2480499219968799E-2</v>
      </c>
      <c r="P26" s="148">
        <f t="shared" ref="P26:Q26" si="88">(P25-O25)/P25</f>
        <v>3.3765450708471513E-2</v>
      </c>
      <c r="Q26" s="216">
        <f t="shared" si="88"/>
        <v>2.4411764705882352E-2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>
        <v>1011</v>
      </c>
      <c r="G27" s="147">
        <v>1129</v>
      </c>
      <c r="H27" s="147">
        <v>1277</v>
      </c>
      <c r="I27" s="147">
        <v>1598</v>
      </c>
      <c r="J27" s="147">
        <v>1548</v>
      </c>
      <c r="K27" s="147">
        <v>1874</v>
      </c>
      <c r="L27" s="147">
        <v>1769</v>
      </c>
      <c r="M27" s="147">
        <v>2098</v>
      </c>
      <c r="N27" s="147">
        <v>2436</v>
      </c>
      <c r="O27" s="147">
        <v>2510</v>
      </c>
      <c r="P27" s="147">
        <v>2523</v>
      </c>
      <c r="Q27" s="214">
        <f>P27</f>
        <v>2523</v>
      </c>
      <c r="R27" s="118">
        <f>((Q27/G27)^(1/($H$2-$H$1) ))-1</f>
        <v>9.3459217375448933E-2</v>
      </c>
      <c r="S27" s="31">
        <f t="shared" si="13"/>
        <v>0.1</v>
      </c>
      <c r="T27" s="154">
        <f t="shared" si="2"/>
        <v>2775.3</v>
      </c>
      <c r="U27" s="154">
        <f t="shared" si="51"/>
        <v>3052.8300000000004</v>
      </c>
      <c r="V27" s="154">
        <f t="shared" si="52"/>
        <v>3358.1130000000007</v>
      </c>
      <c r="W27" s="154">
        <f t="shared" si="53"/>
        <v>3693.924300000001</v>
      </c>
      <c r="X27" s="154">
        <f t="shared" si="54"/>
        <v>4063.3167300000014</v>
      </c>
      <c r="Y27" s="154">
        <f t="shared" si="55"/>
        <v>4469.648403000002</v>
      </c>
      <c r="Z27" s="154">
        <f t="shared" si="56"/>
        <v>4916.613243300003</v>
      </c>
      <c r="AA27" s="154">
        <f t="shared" si="57"/>
        <v>5408.2745676300037</v>
      </c>
      <c r="AB27" s="154">
        <f t="shared" si="58"/>
        <v>5949.1020243930043</v>
      </c>
      <c r="AC27" s="154">
        <f t="shared" si="59"/>
        <v>6544.0122268323048</v>
      </c>
      <c r="AD27" s="138">
        <f t="shared" si="25"/>
        <v>9.1836247009165817E-2</v>
      </c>
      <c r="AE27" s="31">
        <f t="shared" si="23"/>
        <v>0.05</v>
      </c>
      <c r="AF27" s="146">
        <f t="shared" si="1"/>
        <v>98160.183402484588</v>
      </c>
    </row>
    <row r="28" spans="2:32" s="123" customFormat="1" x14ac:dyDescent="0.2">
      <c r="B28" s="23"/>
      <c r="C28" s="149"/>
      <c r="D28" s="149"/>
      <c r="E28" s="150"/>
      <c r="F28" s="148">
        <f t="shared" ref="F28" si="89">(F27-E27)/F27</f>
        <v>1</v>
      </c>
      <c r="G28" s="148">
        <f t="shared" ref="G28" si="90">(G27-F27)/G27</f>
        <v>0.10451727192205491</v>
      </c>
      <c r="H28" s="148">
        <f t="shared" ref="H28" si="91">(H27-G27)/H27</f>
        <v>0.11589663273296789</v>
      </c>
      <c r="I28" s="148">
        <f t="shared" ref="I28" si="92">(I27-H27)/I27</f>
        <v>0.20087609511889862</v>
      </c>
      <c r="J28" s="148">
        <f t="shared" ref="J28" si="93">(J27-I27)/J27</f>
        <v>-3.2299741602067181E-2</v>
      </c>
      <c r="K28" s="148">
        <f t="shared" ref="K28" si="94">(K27-J27)/K27</f>
        <v>0.17395944503735325</v>
      </c>
      <c r="L28" s="148">
        <f t="shared" ref="L28" si="95">(L27-K27)/L27</f>
        <v>-5.9355568117580554E-2</v>
      </c>
      <c r="M28" s="148">
        <f t="shared" ref="M28" si="96">(M27-L27)/M27</f>
        <v>0.15681601525262154</v>
      </c>
      <c r="N28" s="148">
        <f t="shared" ref="N28" si="97">(N27-M27)/N27</f>
        <v>0.13875205254515599</v>
      </c>
      <c r="O28" s="148">
        <f t="shared" ref="O28" si="98">(O27-N27)/O27</f>
        <v>2.9482071713147411E-2</v>
      </c>
      <c r="P28" s="148">
        <f t="shared" ref="P28:Q28" si="99">(P27-O27)/P27</f>
        <v>5.1525961157352362E-3</v>
      </c>
      <c r="Q28" s="216">
        <f t="shared" si="99"/>
        <v>0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>
        <v>2.57</v>
      </c>
      <c r="G29" s="147">
        <v>2.87</v>
      </c>
      <c r="H29" s="147">
        <v>3.01</v>
      </c>
      <c r="I29" s="147">
        <v>4.0999999999999996</v>
      </c>
      <c r="J29" s="147">
        <v>3.7</v>
      </c>
      <c r="K29" s="147">
        <v>3.65</v>
      </c>
      <c r="L29" s="147">
        <v>3.45</v>
      </c>
      <c r="M29" s="147">
        <v>2.42</v>
      </c>
      <c r="N29" s="147">
        <v>1.91</v>
      </c>
      <c r="O29" s="147">
        <v>1.83</v>
      </c>
      <c r="P29" s="147">
        <v>2</v>
      </c>
      <c r="Q29" s="214">
        <f>P29</f>
        <v>2</v>
      </c>
      <c r="R29" s="118">
        <f>((Q29/G29)^(1/($H$2-$H$1) ))-1</f>
        <v>-3.9334905558533917E-2</v>
      </c>
      <c r="S29" s="31">
        <f t="shared" si="13"/>
        <v>0.1</v>
      </c>
      <c r="T29" s="154">
        <f t="shared" si="2"/>
        <v>2.2000000000000002</v>
      </c>
      <c r="U29" s="154">
        <f t="shared" ref="U29" si="100">T29*(1+$S29)</f>
        <v>2.4200000000000004</v>
      </c>
      <c r="V29" s="154">
        <f t="shared" ref="V29" si="101">U29*(1+$S29)</f>
        <v>2.6620000000000008</v>
      </c>
      <c r="W29" s="154">
        <f t="shared" ref="W29" si="102">V29*(1+$S29)</f>
        <v>2.9282000000000012</v>
      </c>
      <c r="X29" s="154">
        <f t="shared" ref="X29" si="103">W29*(1+$S29)</f>
        <v>3.2210200000000015</v>
      </c>
      <c r="Y29" s="154">
        <f t="shared" ref="Y29" si="104">X29*(1+$S29)</f>
        <v>3.5431220000000021</v>
      </c>
      <c r="Z29" s="154">
        <f t="shared" ref="Z29" si="105">Y29*(1+$S29)</f>
        <v>3.8974342000000028</v>
      </c>
      <c r="AA29" s="154">
        <f t="shared" ref="AA29" si="106">Z29*(1+$S29)</f>
        <v>4.2871776200000031</v>
      </c>
      <c r="AB29" s="154">
        <f t="shared" ref="AB29" si="107">AA29*(1+$S29)</f>
        <v>4.7158953820000038</v>
      </c>
      <c r="AC29" s="154">
        <f t="shared" ref="AC29" si="108">AB29*(1+$S29)</f>
        <v>5.1874849202000046</v>
      </c>
      <c r="AD29" s="138">
        <f t="shared" ref="AD29" si="109">((AC29/G29)^(1/($AC$3-$H$1) ))-1</f>
        <v>3.0039187301479586E-2</v>
      </c>
      <c r="AE29" s="31">
        <f t="shared" si="23"/>
        <v>0.05</v>
      </c>
      <c r="AF29" s="146">
        <f t="shared" ref="AF29" si="110">(AC29*(1+AE29))/($C$1-AE29)</f>
        <v>77.812273803000082</v>
      </c>
    </row>
    <row r="30" spans="2:32" s="123" customFormat="1" x14ac:dyDescent="0.2">
      <c r="B30" s="23"/>
      <c r="C30" s="149"/>
      <c r="D30" s="149"/>
      <c r="E30" s="150"/>
      <c r="F30" s="148">
        <f t="shared" ref="F30" si="111">(F29-E29)/F29</f>
        <v>1</v>
      </c>
      <c r="G30" s="148">
        <f t="shared" ref="G30" si="112">(G29-F29)/G29</f>
        <v>0.10452961672473876</v>
      </c>
      <c r="H30" s="148">
        <f t="shared" ref="H30" si="113">(H29-G29)/H29</f>
        <v>4.6511627906976639E-2</v>
      </c>
      <c r="I30" s="148">
        <f t="shared" ref="I30" si="114">(I29-H29)/I29</f>
        <v>0.26585365853658538</v>
      </c>
      <c r="J30" s="148">
        <f t="shared" ref="J30" si="115">(J29-I29)/J29</f>
        <v>-0.10810810810810796</v>
      </c>
      <c r="K30" s="148">
        <f t="shared" ref="K30" si="116">(K29-J29)/K29</f>
        <v>-1.3698630136986375E-2</v>
      </c>
      <c r="L30" s="148">
        <f t="shared" ref="L30" si="117">(L29-K29)/L29</f>
        <v>-5.7971014492753541E-2</v>
      </c>
      <c r="M30" s="148">
        <f t="shared" ref="M30" si="118">(M29-L29)/M29</f>
        <v>-0.42561983471074394</v>
      </c>
      <c r="N30" s="148">
        <f t="shared" ref="N30" si="119">(N29-M29)/N29</f>
        <v>-0.26701570680628273</v>
      </c>
      <c r="O30" s="148">
        <f t="shared" ref="O30" si="120">(O29-N29)/O29</f>
        <v>-4.3715846994535436E-2</v>
      </c>
      <c r="P30" s="148">
        <f t="shared" ref="P30:Q30" si="121">(P29-O29)/P29</f>
        <v>8.4999999999999964E-2</v>
      </c>
      <c r="Q30" s="216">
        <f t="shared" si="121"/>
        <v>0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214"/>
      <c r="R31" s="118" t="e">
        <f>((Q31/G31)^(1/($H$2-$H$1) ))-1</f>
        <v>#DIV/0!</v>
      </c>
      <c r="S31" s="31">
        <f t="shared" si="13"/>
        <v>0.1</v>
      </c>
      <c r="T31" s="154">
        <f t="shared" si="2"/>
        <v>0</v>
      </c>
      <c r="U31" s="154">
        <f>T31*(1+$S31)</f>
        <v>0</v>
      </c>
      <c r="V31" s="154">
        <f t="shared" ref="V31:AC32" si="122">U31*(1+$S31)</f>
        <v>0</v>
      </c>
      <c r="W31" s="154">
        <f t="shared" si="122"/>
        <v>0</v>
      </c>
      <c r="X31" s="154">
        <f t="shared" si="122"/>
        <v>0</v>
      </c>
      <c r="Y31" s="154">
        <f t="shared" si="122"/>
        <v>0</v>
      </c>
      <c r="Z31" s="154">
        <f t="shared" si="122"/>
        <v>0</v>
      </c>
      <c r="AA31" s="154">
        <f t="shared" si="122"/>
        <v>0</v>
      </c>
      <c r="AB31" s="154">
        <f t="shared" si="122"/>
        <v>0</v>
      </c>
      <c r="AC31" s="154">
        <f t="shared" si="122"/>
        <v>0</v>
      </c>
      <c r="AD31" s="138" t="e">
        <f t="shared" ref="AD31" si="123">((AC31/G31)^(1/($AC$3-$H$1) ))-1</f>
        <v>#DIV/0!</v>
      </c>
      <c r="AE31" s="31">
        <f t="shared" si="23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214"/>
      <c r="R32" s="118" t="e">
        <f>((Q32/G32)^(1/($H$2-$H$1) ))-1</f>
        <v>#DIV/0!</v>
      </c>
      <c r="S32" s="31">
        <f t="shared" si="13"/>
        <v>0.1</v>
      </c>
      <c r="T32" s="154">
        <f t="shared" si="2"/>
        <v>0</v>
      </c>
      <c r="U32" s="154">
        <f>T32*(1+$S32)</f>
        <v>0</v>
      </c>
      <c r="V32" s="154">
        <f t="shared" si="122"/>
        <v>0</v>
      </c>
      <c r="W32" s="154">
        <f t="shared" si="122"/>
        <v>0</v>
      </c>
      <c r="X32" s="154">
        <f t="shared" si="122"/>
        <v>0</v>
      </c>
      <c r="Y32" s="154">
        <f t="shared" si="122"/>
        <v>0</v>
      </c>
      <c r="Z32" s="154">
        <f t="shared" si="122"/>
        <v>0</v>
      </c>
      <c r="AA32" s="154">
        <f t="shared" si="122"/>
        <v>0</v>
      </c>
      <c r="AB32" s="154">
        <f t="shared" si="122"/>
        <v>0</v>
      </c>
      <c r="AC32" s="154">
        <f t="shared" si="122"/>
        <v>0</v>
      </c>
      <c r="AD32" s="138" t="e">
        <f t="shared" ref="AD32" si="124">((AC32/G32)^(1/($AC$3-$H$1) ))-1</f>
        <v>#DIV/0!</v>
      </c>
      <c r="AE32" s="31">
        <f t="shared" si="23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>
        <v>683</v>
      </c>
      <c r="G33" s="147">
        <v>774</v>
      </c>
      <c r="H33" s="147">
        <v>872</v>
      </c>
      <c r="I33" s="147">
        <v>1178</v>
      </c>
      <c r="J33" s="147">
        <v>1083.6099999999999</v>
      </c>
      <c r="K33" s="147">
        <v>1326</v>
      </c>
      <c r="L33" s="147">
        <v>1102</v>
      </c>
      <c r="M33" s="147">
        <v>1409</v>
      </c>
      <c r="N33" s="147">
        <v>1722</v>
      </c>
      <c r="O33" s="147">
        <v>1837</v>
      </c>
      <c r="P33" s="147">
        <v>1820</v>
      </c>
      <c r="Q33" s="214">
        <f>P33</f>
        <v>1820</v>
      </c>
      <c r="R33" s="118">
        <f>((Q33/G33)^(1/($H$2-$H$1) ))-1</f>
        <v>9.9661287388596254E-2</v>
      </c>
      <c r="S33" s="31">
        <f t="shared" si="13"/>
        <v>0.1</v>
      </c>
      <c r="T33" s="154">
        <f t="shared" si="2"/>
        <v>2002.0000000000002</v>
      </c>
      <c r="U33" s="154">
        <f t="shared" si="51"/>
        <v>2202.2000000000003</v>
      </c>
      <c r="V33" s="154">
        <f t="shared" si="52"/>
        <v>2422.4200000000005</v>
      </c>
      <c r="W33" s="154">
        <f t="shared" si="53"/>
        <v>2664.6620000000007</v>
      </c>
      <c r="X33" s="154">
        <f t="shared" si="54"/>
        <v>2931.128200000001</v>
      </c>
      <c r="Y33" s="154">
        <f t="shared" si="55"/>
        <v>3224.2410200000013</v>
      </c>
      <c r="Z33" s="154">
        <f t="shared" si="56"/>
        <v>3546.6651220000017</v>
      </c>
      <c r="AA33" s="154">
        <f t="shared" si="57"/>
        <v>3901.3316342000021</v>
      </c>
      <c r="AB33" s="154">
        <f t="shared" si="58"/>
        <v>4291.4647976200031</v>
      </c>
      <c r="AC33" s="154">
        <f t="shared" si="59"/>
        <v>4720.6112773820041</v>
      </c>
      <c r="AD33" s="138">
        <f t="shared" si="25"/>
        <v>9.4618701946464601E-2</v>
      </c>
      <c r="AE33" s="31">
        <f t="shared" si="23"/>
        <v>0.05</v>
      </c>
      <c r="AF33" s="146">
        <f t="shared" si="1"/>
        <v>70809.169160730075</v>
      </c>
    </row>
    <row r="34" spans="2:32" x14ac:dyDescent="0.2">
      <c r="B34" s="20" t="s">
        <v>308</v>
      </c>
      <c r="C34" s="141"/>
      <c r="D34" s="141"/>
      <c r="E34" s="147"/>
      <c r="F34" s="147">
        <v>65</v>
      </c>
      <c r="G34" s="147">
        <v>65</v>
      </c>
      <c r="H34" s="147">
        <v>67</v>
      </c>
      <c r="I34" s="147">
        <v>71</v>
      </c>
      <c r="J34" s="147">
        <v>90.4</v>
      </c>
      <c r="K34" s="147">
        <v>96</v>
      </c>
      <c r="L34" s="147">
        <v>105</v>
      </c>
      <c r="M34" s="147">
        <v>103</v>
      </c>
      <c r="N34" s="147">
        <v>108</v>
      </c>
      <c r="O34" s="147">
        <v>128.4</v>
      </c>
      <c r="P34" s="147">
        <v>146</v>
      </c>
      <c r="Q34" s="214">
        <f>P34</f>
        <v>146</v>
      </c>
      <c r="R34" s="118">
        <f>((Q34/G34)^(1/($H$2-$H$1) ))-1</f>
        <v>9.4079380579915606E-2</v>
      </c>
      <c r="S34" s="31">
        <f t="shared" si="13"/>
        <v>0.1</v>
      </c>
      <c r="T34" s="154">
        <f t="shared" si="2"/>
        <v>160.60000000000002</v>
      </c>
      <c r="U34" s="154">
        <f t="shared" si="51"/>
        <v>176.66000000000005</v>
      </c>
      <c r="V34" s="154">
        <f t="shared" si="52"/>
        <v>194.32600000000008</v>
      </c>
      <c r="W34" s="154">
        <f t="shared" si="53"/>
        <v>213.75860000000011</v>
      </c>
      <c r="X34" s="154">
        <f t="shared" si="54"/>
        <v>235.13446000000013</v>
      </c>
      <c r="Y34" s="154">
        <f t="shared" si="55"/>
        <v>258.64790600000015</v>
      </c>
      <c r="Z34" s="154">
        <f t="shared" si="56"/>
        <v>284.5126966000002</v>
      </c>
      <c r="AA34" s="154">
        <f t="shared" si="57"/>
        <v>312.96396626000023</v>
      </c>
      <c r="AB34" s="154">
        <f t="shared" si="58"/>
        <v>344.26036288600028</v>
      </c>
      <c r="AC34" s="154">
        <f t="shared" si="59"/>
        <v>378.68639917460035</v>
      </c>
      <c r="AD34" s="138">
        <f t="shared" si="25"/>
        <v>9.2114862786269791E-2</v>
      </c>
      <c r="AE34" s="31">
        <f t="shared" si="23"/>
        <v>0.05</v>
      </c>
      <c r="AF34" s="146">
        <f t="shared" si="1"/>
        <v>5680.2959876190062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214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>
        <v>211</v>
      </c>
      <c r="G36" s="147">
        <v>214</v>
      </c>
      <c r="H36" s="147">
        <v>213</v>
      </c>
      <c r="I36" s="147">
        <v>221</v>
      </c>
      <c r="J36" s="147">
        <v>331</v>
      </c>
      <c r="K36" s="147">
        <v>412.5</v>
      </c>
      <c r="L36" s="147">
        <v>608</v>
      </c>
      <c r="M36" s="147">
        <v>735</v>
      </c>
      <c r="N36" s="147">
        <v>683</v>
      </c>
      <c r="O36" s="147">
        <v>622</v>
      </c>
      <c r="P36" s="147">
        <v>687</v>
      </c>
      <c r="Q36" s="214">
        <f>P36</f>
        <v>687</v>
      </c>
      <c r="R36" s="118">
        <f>((Q36/G36)^(1/($H$2-$H$1) ))-1</f>
        <v>0.13836766573253079</v>
      </c>
      <c r="S36" s="31">
        <f t="shared" si="13"/>
        <v>0.1</v>
      </c>
      <c r="T36" s="154">
        <f t="shared" si="2"/>
        <v>755.7</v>
      </c>
      <c r="U36" s="154">
        <f t="shared" ref="U36" si="125">T36*(1+$S36)</f>
        <v>831.2700000000001</v>
      </c>
      <c r="V36" s="154">
        <f t="shared" ref="V36" si="126">U36*(1+$S36)</f>
        <v>914.39700000000016</v>
      </c>
      <c r="W36" s="154">
        <f t="shared" ref="W36" si="127">V36*(1+$S36)</f>
        <v>1005.8367000000003</v>
      </c>
      <c r="X36" s="154">
        <f t="shared" si="54"/>
        <v>1106.4203700000005</v>
      </c>
      <c r="Y36" s="154">
        <f t="shared" si="55"/>
        <v>1217.0624070000006</v>
      </c>
      <c r="Z36" s="154">
        <f t="shared" si="56"/>
        <v>1338.7686477000007</v>
      </c>
      <c r="AA36" s="154">
        <f t="shared" si="57"/>
        <v>1472.6455124700008</v>
      </c>
      <c r="AB36" s="154">
        <f t="shared" si="58"/>
        <v>1619.9100637170009</v>
      </c>
      <c r="AC36" s="154">
        <f t="shared" si="59"/>
        <v>1781.9010700887011</v>
      </c>
      <c r="AD36" s="138">
        <f t="shared" si="25"/>
        <v>0.11179186190388979</v>
      </c>
      <c r="AE36" s="31">
        <f t="shared" si="23"/>
        <v>0.05</v>
      </c>
      <c r="AF36" s="146">
        <f t="shared" si="1"/>
        <v>26728.51605133052</v>
      </c>
    </row>
    <row r="37" spans="2:32" s="123" customFormat="1" x14ac:dyDescent="0.2">
      <c r="B37" s="23"/>
      <c r="C37" s="149"/>
      <c r="D37" s="149"/>
      <c r="E37" s="150"/>
      <c r="F37" s="148">
        <f t="shared" ref="F37" si="128">(F36-E36)/F36</f>
        <v>1</v>
      </c>
      <c r="G37" s="148">
        <f t="shared" ref="G37" si="129">(G36-F36)/G36</f>
        <v>1.4018691588785047E-2</v>
      </c>
      <c r="H37" s="148">
        <f t="shared" ref="H37" si="130">(H36-G36)/H36</f>
        <v>-4.6948356807511738E-3</v>
      </c>
      <c r="I37" s="148">
        <f t="shared" ref="I37" si="131">(I36-H36)/I36</f>
        <v>3.6199095022624438E-2</v>
      </c>
      <c r="J37" s="148">
        <f t="shared" ref="J37" si="132">(J36-I36)/J36</f>
        <v>0.33232628398791542</v>
      </c>
      <c r="K37" s="148">
        <f t="shared" ref="K37" si="133">(K36-J36)/K36</f>
        <v>0.19757575757575757</v>
      </c>
      <c r="L37" s="148">
        <f t="shared" ref="L37" si="134">(L36-K36)/L36</f>
        <v>0.32154605263157893</v>
      </c>
      <c r="M37" s="148">
        <f t="shared" ref="M37" si="135">(M36-L36)/M36</f>
        <v>0.17278911564625851</v>
      </c>
      <c r="N37" s="148">
        <f t="shared" ref="N37" si="136">(N36-M36)/N36</f>
        <v>-7.6134699853587118E-2</v>
      </c>
      <c r="O37" s="148">
        <f t="shared" ref="O37" si="137">(O36-N36)/O36</f>
        <v>-9.8070739549839234E-2</v>
      </c>
      <c r="P37" s="148">
        <f t="shared" ref="P37:Q37" si="138">(P36-O36)/P36</f>
        <v>9.4614264919941779E-2</v>
      </c>
      <c r="Q37" s="216">
        <f t="shared" si="138"/>
        <v>0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400</v>
      </c>
      <c r="C38" s="149"/>
      <c r="D38" s="149"/>
      <c r="E38" s="150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>
        <v>762</v>
      </c>
      <c r="Q38" s="214">
        <f>P38</f>
        <v>762</v>
      </c>
      <c r="R38" s="118" t="e">
        <f>((Q38/G38)^(1/($H$2-$H$1) ))-1</f>
        <v>#DIV/0!</v>
      </c>
      <c r="S38" s="31">
        <f t="shared" si="13"/>
        <v>0.1</v>
      </c>
      <c r="T38" s="154">
        <f t="shared" si="2"/>
        <v>838.2</v>
      </c>
      <c r="U38" s="154">
        <f t="shared" ref="U38" si="139">T38*(1+$S38)</f>
        <v>922.0200000000001</v>
      </c>
      <c r="V38" s="154">
        <f t="shared" ref="V38" si="140">U38*(1+$S38)</f>
        <v>1014.2220000000002</v>
      </c>
      <c r="W38" s="154">
        <f t="shared" ref="W38" si="141">V38*(1+$S38)</f>
        <v>1115.6442000000004</v>
      </c>
      <c r="X38" s="154">
        <f t="shared" ref="X38" si="142">W38*(1+$S38)</f>
        <v>1227.2086200000006</v>
      </c>
      <c r="Y38" s="154">
        <f t="shared" ref="Y38" si="143">X38*(1+$S38)</f>
        <v>1349.9294820000007</v>
      </c>
      <c r="Z38" s="154">
        <f t="shared" ref="Z38" si="144">Y38*(1+$S38)</f>
        <v>1484.9224302000009</v>
      </c>
      <c r="AA38" s="154">
        <f t="shared" ref="AA38" si="145">Z38*(1+$S38)</f>
        <v>1633.4146732200011</v>
      </c>
      <c r="AB38" s="154">
        <f t="shared" ref="AB38" si="146">AA38*(1+$S38)</f>
        <v>1796.7561405420013</v>
      </c>
      <c r="AC38" s="154">
        <f t="shared" ref="AC38" si="147">AB38*(1+$S38)</f>
        <v>1976.4317545962015</v>
      </c>
      <c r="AD38" s="138" t="e">
        <f t="shared" ref="AD38" si="148">((AC38/G38)^(1/($AC$3-$H$1) ))-1</f>
        <v>#DIV/0!</v>
      </c>
      <c r="AE38" s="31">
        <f t="shared" si="23"/>
        <v>0.05</v>
      </c>
      <c r="AF38" s="146">
        <f t="shared" ref="AF38" si="149">(AC38*(1+AE38))/($C$1-AE38)</f>
        <v>29646.476318943023</v>
      </c>
    </row>
    <row r="39" spans="2:32" s="123" customFormat="1" x14ac:dyDescent="0.2">
      <c r="B39" s="23"/>
      <c r="C39" s="149"/>
      <c r="D39" s="149"/>
      <c r="E39" s="150"/>
      <c r="F39" s="148" t="e">
        <f t="shared" ref="F39" si="150">(F38-E38)/F38</f>
        <v>#DIV/0!</v>
      </c>
      <c r="G39" s="148" t="e">
        <f t="shared" ref="G39" si="151">(G38-F38)/G38</f>
        <v>#DIV/0!</v>
      </c>
      <c r="H39" s="148" t="e">
        <f t="shared" ref="H39" si="152">(H38-G38)/H38</f>
        <v>#DIV/0!</v>
      </c>
      <c r="I39" s="148" t="e">
        <f t="shared" ref="I39" si="153">(I38-H38)/I38</f>
        <v>#DIV/0!</v>
      </c>
      <c r="J39" s="148" t="e">
        <f t="shared" ref="J39" si="154">(J38-I38)/J38</f>
        <v>#DIV/0!</v>
      </c>
      <c r="K39" s="148" t="e">
        <f t="shared" ref="K39" si="155">(K38-J38)/K38</f>
        <v>#DIV/0!</v>
      </c>
      <c r="L39" s="148" t="e">
        <f t="shared" ref="L39" si="156">(L38-K38)/L38</f>
        <v>#DIV/0!</v>
      </c>
      <c r="M39" s="148" t="e">
        <f t="shared" ref="M39" si="157">(M38-L38)/M38</f>
        <v>#DIV/0!</v>
      </c>
      <c r="N39" s="148" t="e">
        <f t="shared" ref="N39" si="158">(N38-M38)/N38</f>
        <v>#DIV/0!</v>
      </c>
      <c r="O39" s="148" t="e">
        <f t="shared" ref="O39" si="159">(O38-N38)/O38</f>
        <v>#DIV/0!</v>
      </c>
      <c r="P39" s="148">
        <f t="shared" ref="P39:Q39" si="160">(P38-O38)/P38</f>
        <v>1</v>
      </c>
      <c r="Q39" s="216">
        <f t="shared" si="160"/>
        <v>0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401</v>
      </c>
      <c r="C40" s="141"/>
      <c r="D40" s="141"/>
      <c r="E40" s="147"/>
      <c r="F40" s="147">
        <v>138</v>
      </c>
      <c r="G40" s="147">
        <v>127</v>
      </c>
      <c r="H40" s="147">
        <v>147</v>
      </c>
      <c r="I40" s="147">
        <v>155</v>
      </c>
      <c r="J40" s="147">
        <v>218</v>
      </c>
      <c r="K40" s="147">
        <v>262</v>
      </c>
      <c r="L40" s="147">
        <v>381</v>
      </c>
      <c r="M40" s="147">
        <v>490</v>
      </c>
      <c r="N40" s="147">
        <v>481</v>
      </c>
      <c r="O40" s="147">
        <v>447</v>
      </c>
      <c r="P40" s="147">
        <v>508</v>
      </c>
      <c r="Q40" s="214">
        <f>P40</f>
        <v>508</v>
      </c>
      <c r="R40" s="118">
        <f>((Q40/G40)^(1/($H$2-$H$1) ))-1</f>
        <v>0.16652903957611653</v>
      </c>
      <c r="S40" s="31">
        <f t="shared" si="13"/>
        <v>0.1</v>
      </c>
      <c r="T40" s="154">
        <f t="shared" si="2"/>
        <v>558.80000000000007</v>
      </c>
      <c r="U40" s="154">
        <f t="shared" ref="U40:AC40" si="161">T40*(1+$S40)</f>
        <v>614.68000000000018</v>
      </c>
      <c r="V40" s="154">
        <f t="shared" si="161"/>
        <v>676.14800000000025</v>
      </c>
      <c r="W40" s="154">
        <f t="shared" si="161"/>
        <v>743.76280000000031</v>
      </c>
      <c r="X40" s="154">
        <f t="shared" si="161"/>
        <v>818.13908000000038</v>
      </c>
      <c r="Y40" s="154">
        <f t="shared" si="161"/>
        <v>899.95298800000046</v>
      </c>
      <c r="Z40" s="154">
        <f t="shared" si="161"/>
        <v>989.94828680000057</v>
      </c>
      <c r="AA40" s="154">
        <f t="shared" si="161"/>
        <v>1088.9431154800006</v>
      </c>
      <c r="AB40" s="154">
        <f t="shared" si="161"/>
        <v>1197.8374270280008</v>
      </c>
      <c r="AC40" s="154">
        <f t="shared" si="161"/>
        <v>1317.6211697308011</v>
      </c>
      <c r="AD40" s="138">
        <f t="shared" si="25"/>
        <v>0.1240854907420248</v>
      </c>
      <c r="AE40" s="31">
        <f t="shared" si="23"/>
        <v>0.05</v>
      </c>
      <c r="AF40" s="146">
        <f t="shared" si="1"/>
        <v>19764.317545962018</v>
      </c>
    </row>
    <row r="41" spans="2:32" s="123" customFormat="1" x14ac:dyDescent="0.2">
      <c r="B41" s="23"/>
      <c r="C41" s="149"/>
      <c r="D41" s="149"/>
      <c r="E41" s="150"/>
      <c r="F41" s="148">
        <f>(F40-E40)/F40</f>
        <v>1</v>
      </c>
      <c r="G41" s="148">
        <f t="shared" ref="G41" si="162">(G40-F40)/G40</f>
        <v>-8.6614173228346455E-2</v>
      </c>
      <c r="H41" s="148">
        <f t="shared" ref="H41" si="163">(H40-G40)/H40</f>
        <v>0.1360544217687075</v>
      </c>
      <c r="I41" s="148">
        <f t="shared" ref="I41" si="164">(I40-H40)/I40</f>
        <v>5.1612903225806452E-2</v>
      </c>
      <c r="J41" s="148">
        <f t="shared" ref="J41" si="165">(J40-I40)/J40</f>
        <v>0.28899082568807338</v>
      </c>
      <c r="K41" s="148">
        <f t="shared" ref="K41" si="166">(K40-J40)/K40</f>
        <v>0.16793893129770993</v>
      </c>
      <c r="L41" s="148">
        <f t="shared" ref="L41" si="167">(L40-K40)/L40</f>
        <v>0.31233595800524933</v>
      </c>
      <c r="M41" s="148">
        <f t="shared" ref="M41" si="168">(M40-L40)/M40</f>
        <v>0.22244897959183674</v>
      </c>
      <c r="N41" s="148">
        <f t="shared" ref="N41" si="169">(N40-M40)/N40</f>
        <v>-1.8711018711018712E-2</v>
      </c>
      <c r="O41" s="148">
        <f t="shared" ref="O41" si="170">(O40-N40)/O40</f>
        <v>-7.6062639821029079E-2</v>
      </c>
      <c r="P41" s="148">
        <f t="shared" ref="H41:Q41" si="171">(P40-O40)/P40</f>
        <v>0.12007874015748031</v>
      </c>
      <c r="Q41" s="216">
        <f t="shared" si="171"/>
        <v>0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7">
        <v>12.36</v>
      </c>
      <c r="G42" s="147">
        <v>12.36</v>
      </c>
      <c r="H42" s="147">
        <v>12.36</v>
      </c>
      <c r="I42" s="147">
        <v>12.36</v>
      </c>
      <c r="J42" s="147">
        <v>12.36</v>
      </c>
      <c r="K42" s="147">
        <v>12.36</v>
      </c>
      <c r="L42" s="147">
        <v>12.36</v>
      </c>
      <c r="M42" s="147">
        <v>24.82</v>
      </c>
      <c r="N42" s="147">
        <v>24.72</v>
      </c>
      <c r="O42" s="147">
        <v>49.45</v>
      </c>
      <c r="P42" s="147">
        <v>49.45</v>
      </c>
      <c r="Q42" s="217">
        <f>P42</f>
        <v>49.45</v>
      </c>
      <c r="R42" s="118">
        <f>((Q42/G42)^(1/($H$2-$H$1) ))-1</f>
        <v>0.1665552537119257</v>
      </c>
      <c r="S42" s="31">
        <v>0</v>
      </c>
      <c r="T42" s="154">
        <f t="shared" si="2"/>
        <v>49.45</v>
      </c>
      <c r="U42" s="154">
        <f t="shared" ref="U42:AC42" si="172">T42*(1+$S42)</f>
        <v>49.45</v>
      </c>
      <c r="V42" s="154">
        <f t="shared" si="172"/>
        <v>49.45</v>
      </c>
      <c r="W42" s="154">
        <f t="shared" si="172"/>
        <v>49.45</v>
      </c>
      <c r="X42" s="154">
        <f t="shared" si="172"/>
        <v>49.45</v>
      </c>
      <c r="Y42" s="154">
        <f t="shared" si="172"/>
        <v>49.45</v>
      </c>
      <c r="Z42" s="154">
        <f t="shared" si="172"/>
        <v>49.45</v>
      </c>
      <c r="AA42" s="154">
        <f t="shared" si="172"/>
        <v>49.45</v>
      </c>
      <c r="AB42" s="154">
        <f t="shared" si="172"/>
        <v>49.45</v>
      </c>
      <c r="AC42" s="154">
        <f t="shared" si="172"/>
        <v>49.45</v>
      </c>
      <c r="AD42" s="138">
        <f t="shared" si="25"/>
        <v>7.1784300627963038E-2</v>
      </c>
      <c r="AE42" s="31">
        <f t="shared" si="23"/>
        <v>0.05</v>
      </c>
      <c r="AF42" s="146">
        <f t="shared" si="1"/>
        <v>741.75000000000011</v>
      </c>
    </row>
    <row r="43" spans="2:32" x14ac:dyDescent="0.2">
      <c r="B43" s="20"/>
      <c r="C43" s="142"/>
      <c r="D43" s="142"/>
      <c r="E43" s="143"/>
      <c r="F43" s="148">
        <f>(F42-E42)/F42</f>
        <v>0.91909385113268605</v>
      </c>
      <c r="G43" s="148">
        <f t="shared" ref="G43" si="173">(G42-F42)/G42</f>
        <v>0</v>
      </c>
      <c r="H43" s="148">
        <f t="shared" ref="H43" si="174">(H42-G42)/H42</f>
        <v>0</v>
      </c>
      <c r="I43" s="148">
        <f t="shared" ref="I43" si="175">(I42-H42)/I42</f>
        <v>0</v>
      </c>
      <c r="J43" s="148">
        <f t="shared" ref="J43" si="176">(J42-I42)/J42</f>
        <v>0</v>
      </c>
      <c r="K43" s="148">
        <f t="shared" ref="K43" si="177">(K42-J42)/K42</f>
        <v>0</v>
      </c>
      <c r="L43" s="148">
        <f t="shared" ref="L43" si="178">(L42-K42)/L42</f>
        <v>0</v>
      </c>
      <c r="M43" s="148">
        <f t="shared" ref="M43" si="179">(M42-L42)/M42</f>
        <v>0.50201450443190976</v>
      </c>
      <c r="N43" s="148">
        <f t="shared" ref="N43" si="180">(N42-M42)/N42</f>
        <v>-4.0453074433657536E-3</v>
      </c>
      <c r="O43" s="148">
        <f t="shared" ref="O43" si="181">(O42-N42)/O42</f>
        <v>0.50010111223458042</v>
      </c>
      <c r="P43" s="148">
        <f t="shared" ref="P43:Q43" si="182">(P42-O42)/P42</f>
        <v>0</v>
      </c>
      <c r="Q43" s="216">
        <f t="shared" si="182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>
        <v>8.25</v>
      </c>
      <c r="G44" s="147">
        <v>8.25</v>
      </c>
      <c r="H44" s="147">
        <v>8.25</v>
      </c>
      <c r="I44" s="147">
        <v>9</v>
      </c>
      <c r="J44" s="147">
        <v>14</v>
      </c>
      <c r="K44" s="213">
        <v>15</v>
      </c>
      <c r="L44" s="213">
        <v>25</v>
      </c>
      <c r="M44" s="213">
        <v>15</v>
      </c>
      <c r="N44" s="213">
        <v>15</v>
      </c>
      <c r="O44" s="213">
        <v>10.5</v>
      </c>
      <c r="P44" s="213">
        <v>7</v>
      </c>
      <c r="Q44" s="217">
        <f>P44</f>
        <v>7</v>
      </c>
      <c r="R44" s="118">
        <f>((Q44/G44)^(1/($H$2-$H$1) ))-1</f>
        <v>-1.8090265180134013E-2</v>
      </c>
      <c r="S44" s="31">
        <f>P1</f>
        <v>0.05</v>
      </c>
      <c r="T44" s="154">
        <f t="shared" si="2"/>
        <v>7.3500000000000005</v>
      </c>
      <c r="U44" s="154">
        <f t="shared" ref="U44" si="183">T44*(1+$S44)</f>
        <v>7.7175000000000011</v>
      </c>
      <c r="V44" s="154">
        <f t="shared" ref="V44" si="184">U44*(1+$S44)</f>
        <v>8.1033750000000015</v>
      </c>
      <c r="W44" s="154">
        <f t="shared" ref="W44" si="185">V44*(1+$S44)</f>
        <v>8.5085437500000012</v>
      </c>
      <c r="X44" s="154">
        <f t="shared" ref="X44" si="186">W44*(1+$S44)</f>
        <v>8.9339709375000016</v>
      </c>
      <c r="Y44" s="154">
        <f t="shared" ref="Y44" si="187">X44*(1+$S44)</f>
        <v>9.3806694843750016</v>
      </c>
      <c r="Z44" s="154">
        <f t="shared" ref="Z44" si="188">Y44*(1+$S44)</f>
        <v>9.8497029585937526</v>
      </c>
      <c r="AA44" s="154">
        <f t="shared" ref="AA44" si="189">Z44*(1+$S44)</f>
        <v>10.342188106523441</v>
      </c>
      <c r="AB44" s="154">
        <f t="shared" ref="AB44" si="190">AA44*(1+$S44)</f>
        <v>10.859297511849613</v>
      </c>
      <c r="AC44" s="154">
        <f t="shared" ref="AC44" si="191">AB44*(1+$S44)</f>
        <v>11.402262387442095</v>
      </c>
      <c r="AD44" s="138">
        <f t="shared" ref="AD44" si="192">((AC44/G44)^(1/($AC$3-$H$1) ))-1</f>
        <v>1.6311533402255662E-2</v>
      </c>
      <c r="AE44" s="31">
        <f t="shared" si="23"/>
        <v>0.05</v>
      </c>
      <c r="AF44" s="146">
        <f t="shared" si="1"/>
        <v>171.03393581163147</v>
      </c>
    </row>
    <row r="45" spans="2:32" x14ac:dyDescent="0.2">
      <c r="B45" s="20" t="s">
        <v>426</v>
      </c>
      <c r="C45" s="20"/>
      <c r="D45" s="20"/>
      <c r="E45" s="127"/>
      <c r="F45" s="218">
        <v>0</v>
      </c>
      <c r="G45" s="218">
        <v>0</v>
      </c>
      <c r="H45" s="218">
        <v>0</v>
      </c>
      <c r="I45" s="218">
        <v>0</v>
      </c>
      <c r="J45" s="218">
        <v>0</v>
      </c>
      <c r="K45" s="218">
        <v>0</v>
      </c>
      <c r="L45" s="218">
        <v>0</v>
      </c>
      <c r="M45" s="218">
        <v>0</v>
      </c>
      <c r="N45" s="218">
        <v>0</v>
      </c>
      <c r="O45" s="218">
        <v>0</v>
      </c>
      <c r="P45" s="218">
        <v>0</v>
      </c>
      <c r="Q45" s="218">
        <v>0</v>
      </c>
      <c r="R45" s="218">
        <v>0</v>
      </c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424</v>
      </c>
      <c r="C46" s="20"/>
      <c r="D46" s="20"/>
      <c r="E46" s="127"/>
      <c r="F46" s="218">
        <v>0</v>
      </c>
      <c r="G46" s="218">
        <v>0</v>
      </c>
      <c r="H46" s="218">
        <v>0</v>
      </c>
      <c r="I46" s="218">
        <v>0</v>
      </c>
      <c r="J46" s="218">
        <v>0</v>
      </c>
      <c r="K46" s="218">
        <v>0</v>
      </c>
      <c r="L46" s="218">
        <v>0</v>
      </c>
      <c r="M46" s="218" t="s">
        <v>455</v>
      </c>
      <c r="N46" s="218">
        <v>0</v>
      </c>
      <c r="O46" s="218" t="s">
        <v>455</v>
      </c>
      <c r="P46" s="218">
        <v>0</v>
      </c>
      <c r="Q46" s="218">
        <v>0</v>
      </c>
      <c r="R46" s="218">
        <v>0</v>
      </c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425</v>
      </c>
      <c r="C47" s="20"/>
      <c r="D47" s="20"/>
      <c r="E47" s="127"/>
      <c r="F47" s="218">
        <v>0</v>
      </c>
      <c r="G47" s="218">
        <v>0</v>
      </c>
      <c r="H47" s="218">
        <v>0</v>
      </c>
      <c r="I47" s="218">
        <v>0</v>
      </c>
      <c r="J47" s="218">
        <v>0</v>
      </c>
      <c r="K47" s="218">
        <v>0</v>
      </c>
      <c r="L47" s="218">
        <v>0</v>
      </c>
      <c r="M47" s="218">
        <v>0</v>
      </c>
      <c r="N47" s="218">
        <v>0</v>
      </c>
      <c r="O47" s="218">
        <v>0</v>
      </c>
      <c r="P47" s="218">
        <v>0</v>
      </c>
      <c r="Q47" s="218">
        <v>0</v>
      </c>
      <c r="R47" s="218">
        <v>0</v>
      </c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93">C25/C42</f>
        <v>0</v>
      </c>
      <c r="D50" s="133">
        <f t="shared" si="193"/>
        <v>0</v>
      </c>
      <c r="E50" s="133">
        <f t="shared" si="193"/>
        <v>0</v>
      </c>
      <c r="F50" s="133">
        <f t="shared" si="193"/>
        <v>99.757281553398059</v>
      </c>
      <c r="G50" s="133">
        <f t="shared" si="193"/>
        <v>109.38511326860842</v>
      </c>
      <c r="H50" s="133">
        <f t="shared" si="193"/>
        <v>122.16828478964402</v>
      </c>
      <c r="I50" s="133">
        <f t="shared" si="193"/>
        <v>149.91909385113269</v>
      </c>
      <c r="J50" s="133">
        <f t="shared" si="193"/>
        <v>154.77346278317154</v>
      </c>
      <c r="K50" s="133">
        <f t="shared" si="193"/>
        <v>187.29773462783172</v>
      </c>
      <c r="L50" s="133">
        <f t="shared" si="193"/>
        <v>192.63754045307445</v>
      </c>
      <c r="M50" s="133">
        <f t="shared" si="193"/>
        <v>115.3102336825141</v>
      </c>
      <c r="N50" s="133">
        <f t="shared" si="193"/>
        <v>128.03398058252426</v>
      </c>
      <c r="O50" s="133">
        <f t="shared" si="193"/>
        <v>64.812942366026292</v>
      </c>
      <c r="P50" s="133">
        <f t="shared" si="193"/>
        <v>67.077856420626887</v>
      </c>
      <c r="Q50" s="133">
        <f t="shared" ref="Q50" si="194">Q25/Q42</f>
        <v>68.756319514661271</v>
      </c>
      <c r="R50" s="118">
        <f>((P50/G50)^(1/($H$2-$H$1) ))-1</f>
        <v>-5.2885842953231399E-2</v>
      </c>
      <c r="S50" s="128"/>
      <c r="T50" s="158">
        <f t="shared" ref="T50:AC50" si="195">T25/T42</f>
        <v>75.631951466127404</v>
      </c>
      <c r="U50" s="158">
        <f t="shared" si="195"/>
        <v>83.19514661274016</v>
      </c>
      <c r="V50" s="158">
        <f t="shared" si="195"/>
        <v>91.514661274014173</v>
      </c>
      <c r="W50" s="158">
        <f t="shared" si="195"/>
        <v>100.66612740141561</v>
      </c>
      <c r="X50" s="158">
        <f t="shared" si="195"/>
        <v>110.73274014155719</v>
      </c>
      <c r="Y50" s="158">
        <f t="shared" si="195"/>
        <v>121.80601415571292</v>
      </c>
      <c r="Z50" s="158">
        <f t="shared" si="195"/>
        <v>133.98661557128423</v>
      </c>
      <c r="AA50" s="158">
        <f t="shared" si="195"/>
        <v>147.38527712841267</v>
      </c>
      <c r="AB50" s="158">
        <f t="shared" si="195"/>
        <v>162.12380484125396</v>
      </c>
      <c r="AC50" s="158">
        <f t="shared" si="195"/>
        <v>178.33618532537935</v>
      </c>
      <c r="AD50" s="138">
        <f t="shared" ref="AD50" si="196">((AC50/G50)^(1/($AC$3-$H$1) ))-1</f>
        <v>2.474088171050326E-2</v>
      </c>
      <c r="AE50" s="31">
        <f t="shared" si="23"/>
        <v>0.05</v>
      </c>
      <c r="AF50" s="146">
        <f t="shared" ref="AF50:AF51" si="197">(AC50*(1+AE50))/($C$1-AE50)</f>
        <v>2675.0427798806909</v>
      </c>
    </row>
    <row r="51" spans="2:32" x14ac:dyDescent="0.2">
      <c r="B51" s="20" t="s">
        <v>304</v>
      </c>
      <c r="C51" s="133">
        <f t="shared" ref="C51:P51" si="198">C27/C42</f>
        <v>0</v>
      </c>
      <c r="D51" s="133">
        <f t="shared" si="198"/>
        <v>0</v>
      </c>
      <c r="E51" s="133">
        <f t="shared" si="198"/>
        <v>0</v>
      </c>
      <c r="F51" s="133">
        <f t="shared" si="198"/>
        <v>81.796116504854368</v>
      </c>
      <c r="G51" s="133">
        <f t="shared" si="198"/>
        <v>91.343042071197416</v>
      </c>
      <c r="H51" s="133">
        <f t="shared" si="198"/>
        <v>103.31715210355988</v>
      </c>
      <c r="I51" s="133">
        <f t="shared" si="198"/>
        <v>129.28802588996766</v>
      </c>
      <c r="J51" s="133">
        <f t="shared" si="198"/>
        <v>125.24271844660194</v>
      </c>
      <c r="K51" s="133">
        <f t="shared" si="198"/>
        <v>151.61812297734627</v>
      </c>
      <c r="L51" s="133">
        <f t="shared" si="198"/>
        <v>143.12297734627833</v>
      </c>
      <c r="M51" s="133">
        <f t="shared" si="198"/>
        <v>84.528605962933113</v>
      </c>
      <c r="N51" s="133">
        <f t="shared" si="198"/>
        <v>98.543689320388353</v>
      </c>
      <c r="O51" s="133">
        <f t="shared" si="198"/>
        <v>50.758341759352881</v>
      </c>
      <c r="P51" s="133">
        <f t="shared" si="198"/>
        <v>51.021233569261881</v>
      </c>
      <c r="Q51" s="133">
        <f t="shared" ref="Q51" si="199">Q27/Q42</f>
        <v>51.021233569261881</v>
      </c>
      <c r="R51" s="118">
        <f>((P51/G51)^(1/($H$2-$H$1) ))-1</f>
        <v>-6.2659729236046346E-2</v>
      </c>
      <c r="S51" s="128"/>
      <c r="T51" s="158">
        <f t="shared" ref="T51:AC51" si="200">T27/T42</f>
        <v>56.123356926188066</v>
      </c>
      <c r="U51" s="158">
        <f t="shared" si="200"/>
        <v>61.73569261880688</v>
      </c>
      <c r="V51" s="158">
        <f t="shared" si="200"/>
        <v>67.909261880687581</v>
      </c>
      <c r="W51" s="158">
        <f t="shared" si="200"/>
        <v>74.700188068756333</v>
      </c>
      <c r="X51" s="158">
        <f t="shared" si="200"/>
        <v>82.170206875631976</v>
      </c>
      <c r="Y51" s="158">
        <f t="shared" si="200"/>
        <v>90.387227563195182</v>
      </c>
      <c r="Z51" s="158">
        <f t="shared" si="200"/>
        <v>99.425950319514712</v>
      </c>
      <c r="AA51" s="158">
        <f t="shared" si="200"/>
        <v>109.3685453514662</v>
      </c>
      <c r="AB51" s="158">
        <f t="shared" si="200"/>
        <v>120.30539988661282</v>
      </c>
      <c r="AC51" s="158">
        <f t="shared" si="200"/>
        <v>132.33593987527411</v>
      </c>
      <c r="AD51" s="138">
        <f t="shared" ref="AD51" si="201">((AC51/G51)^(1/($AC$3-$H$1) ))-1</f>
        <v>1.8708938327846703E-2</v>
      </c>
      <c r="AE51" s="31">
        <f t="shared" si="23"/>
        <v>0.05</v>
      </c>
      <c r="AF51" s="146">
        <f t="shared" si="197"/>
        <v>1985.0390981291118</v>
      </c>
    </row>
    <row r="52" spans="2:32" x14ac:dyDescent="0.2">
      <c r="B52" s="20" t="s">
        <v>427</v>
      </c>
      <c r="C52" s="133"/>
      <c r="D52" s="133"/>
      <c r="E52" s="133"/>
      <c r="F52" s="133"/>
      <c r="G52" s="133">
        <f>G38-G40</f>
        <v>-127</v>
      </c>
      <c r="H52" s="133">
        <f t="shared" ref="H52:P52" si="202">H38-H40</f>
        <v>-147</v>
      </c>
      <c r="I52" s="133">
        <f t="shared" si="202"/>
        <v>-155</v>
      </c>
      <c r="J52" s="133">
        <f t="shared" si="202"/>
        <v>-218</v>
      </c>
      <c r="K52" s="133">
        <f t="shared" si="202"/>
        <v>-262</v>
      </c>
      <c r="L52" s="133">
        <f t="shared" si="202"/>
        <v>-381</v>
      </c>
      <c r="M52" s="133">
        <f t="shared" si="202"/>
        <v>-490</v>
      </c>
      <c r="N52" s="133">
        <f t="shared" si="202"/>
        <v>-481</v>
      </c>
      <c r="O52" s="133">
        <f t="shared" si="202"/>
        <v>-447</v>
      </c>
      <c r="P52" s="133">
        <f t="shared" si="202"/>
        <v>254</v>
      </c>
      <c r="Q52" s="133">
        <f t="shared" ref="Q52" si="203">Q38-Q40</f>
        <v>254</v>
      </c>
      <c r="R52" s="118">
        <f>((P52/G52)^(1/($H$2-$H$1) ))-1</f>
        <v>-2.0800597388923059</v>
      </c>
      <c r="S52" s="128"/>
      <c r="T52" s="133">
        <f t="shared" ref="T52:AC52" si="204">T38-T40</f>
        <v>279.39999999999998</v>
      </c>
      <c r="U52" s="133">
        <f t="shared" si="204"/>
        <v>307.33999999999992</v>
      </c>
      <c r="V52" s="133">
        <f t="shared" si="204"/>
        <v>338.07399999999996</v>
      </c>
      <c r="W52" s="133">
        <f t="shared" si="204"/>
        <v>371.8814000000001</v>
      </c>
      <c r="X52" s="133">
        <f t="shared" si="204"/>
        <v>409.06954000000019</v>
      </c>
      <c r="Y52" s="133">
        <f t="shared" si="204"/>
        <v>449.97649400000023</v>
      </c>
      <c r="Z52" s="133">
        <f t="shared" si="204"/>
        <v>494.97414340000034</v>
      </c>
      <c r="AA52" s="133">
        <f t="shared" si="204"/>
        <v>544.47155774000043</v>
      </c>
      <c r="AB52" s="133">
        <f t="shared" si="204"/>
        <v>598.9187135140005</v>
      </c>
      <c r="AC52" s="133">
        <f t="shared" si="204"/>
        <v>658.81058486540041</v>
      </c>
      <c r="AD52" s="138" t="e">
        <f t="shared" ref="AD52" si="205">((AC52/G52)^(1/($AC$3-$H$1) ))-1</f>
        <v>#NUM!</v>
      </c>
      <c r="AE52" s="31">
        <f t="shared" si="23"/>
        <v>0.05</v>
      </c>
      <c r="AF52" s="146">
        <f t="shared" ref="AF52" si="206">(AC52*(1+AE52))/($C$1-AE52)</f>
        <v>9882.1587729810071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207">C40/C42</f>
        <v>0</v>
      </c>
      <c r="D54" s="25">
        <f t="shared" si="207"/>
        <v>0</v>
      </c>
      <c r="E54" s="25">
        <f t="shared" si="207"/>
        <v>0</v>
      </c>
      <c r="F54" s="133">
        <f t="shared" si="207"/>
        <v>11.165048543689322</v>
      </c>
      <c r="G54" s="133">
        <f t="shared" si="207"/>
        <v>10.275080906148867</v>
      </c>
      <c r="H54" s="133">
        <f t="shared" si="207"/>
        <v>11.893203883495147</v>
      </c>
      <c r="I54" s="133">
        <f t="shared" si="207"/>
        <v>12.540453074433657</v>
      </c>
      <c r="J54" s="133">
        <f t="shared" si="207"/>
        <v>17.637540453074436</v>
      </c>
      <c r="K54" s="133">
        <f t="shared" si="207"/>
        <v>21.197411003236247</v>
      </c>
      <c r="L54" s="133">
        <f t="shared" si="207"/>
        <v>30.825242718446603</v>
      </c>
      <c r="M54" s="133">
        <f t="shared" si="207"/>
        <v>19.742143432715551</v>
      </c>
      <c r="N54" s="133">
        <f t="shared" si="207"/>
        <v>19.457928802588999</v>
      </c>
      <c r="O54" s="133">
        <f t="shared" si="207"/>
        <v>9.0394337714863493</v>
      </c>
      <c r="P54" s="133">
        <f t="shared" si="207"/>
        <v>10.273003033367036</v>
      </c>
      <c r="Q54" s="133">
        <f t="shared" ref="Q54" si="208">Q40/Q42</f>
        <v>10.273003033367036</v>
      </c>
      <c r="R54" s="118">
        <f>((P54/G54)^(1/($H$2-$H$1) ))-1</f>
        <v>-2.2471405212609596E-5</v>
      </c>
      <c r="S54" s="128"/>
      <c r="T54" s="158">
        <f t="shared" ref="T54:AC54" si="209">T40/T42</f>
        <v>11.300303336703742</v>
      </c>
      <c r="U54" s="158">
        <f t="shared" si="209"/>
        <v>12.430333670374118</v>
      </c>
      <c r="V54" s="158">
        <f t="shared" si="209"/>
        <v>13.673367037411531</v>
      </c>
      <c r="W54" s="158">
        <f t="shared" si="209"/>
        <v>15.040703741152685</v>
      </c>
      <c r="X54" s="158">
        <f t="shared" si="209"/>
        <v>16.544774115267955</v>
      </c>
      <c r="Y54" s="158">
        <f t="shared" si="209"/>
        <v>18.19925152679475</v>
      </c>
      <c r="Z54" s="158">
        <f t="shared" si="209"/>
        <v>20.019176679474228</v>
      </c>
      <c r="AA54" s="158">
        <f t="shared" si="209"/>
        <v>22.021094347421649</v>
      </c>
      <c r="AB54" s="158">
        <f t="shared" si="209"/>
        <v>24.223203782163814</v>
      </c>
      <c r="AC54" s="158">
        <f t="shared" si="209"/>
        <v>26.645524160380202</v>
      </c>
      <c r="AD54" s="138">
        <f t="shared" ref="AD54:AD68" si="210">((AC54/G54)^(1/($AC$3-$H$1) ))-1</f>
        <v>4.8798242410733383E-2</v>
      </c>
      <c r="AE54" s="31">
        <f t="shared" si="23"/>
        <v>0.05</v>
      </c>
      <c r="AF54" s="146">
        <f t="shared" ref="AF54:AF82" si="211">(AC54*(1+AE54))/($C$1-AE54)</f>
        <v>399.68286240570308</v>
      </c>
    </row>
    <row r="55" spans="2:32" x14ac:dyDescent="0.2">
      <c r="B55" s="20" t="s">
        <v>388</v>
      </c>
      <c r="C55" s="133">
        <f t="shared" ref="C55:F55" si="212">C20/C42</f>
        <v>0</v>
      </c>
      <c r="D55" s="133">
        <f t="shared" si="212"/>
        <v>0</v>
      </c>
      <c r="E55" s="133">
        <f t="shared" si="212"/>
        <v>0</v>
      </c>
      <c r="F55" s="133">
        <f t="shared" si="212"/>
        <v>8.4951456310679614</v>
      </c>
      <c r="G55" s="133">
        <f>G20/G42</f>
        <v>13.187702265372168</v>
      </c>
      <c r="H55" s="133">
        <f t="shared" ref="H55:P55" si="213">H20/H42</f>
        <v>8.9805825242718456</v>
      </c>
      <c r="I55" s="133">
        <f t="shared" si="213"/>
        <v>7.6051779935275086</v>
      </c>
      <c r="J55" s="133">
        <f t="shared" si="213"/>
        <v>28.88349514563107</v>
      </c>
      <c r="K55" s="133">
        <f t="shared" si="213"/>
        <v>13.106796116504855</v>
      </c>
      <c r="L55" s="133">
        <f t="shared" si="213"/>
        <v>45.792880258899679</v>
      </c>
      <c r="M55" s="133">
        <f t="shared" si="213"/>
        <v>20.749395648670426</v>
      </c>
      <c r="N55" s="133">
        <f t="shared" si="213"/>
        <v>14.158576051779935</v>
      </c>
      <c r="O55" s="133">
        <f t="shared" si="213"/>
        <v>9.4438827098078857</v>
      </c>
      <c r="P55" s="133">
        <f t="shared" si="213"/>
        <v>8.0080889787664304</v>
      </c>
      <c r="Q55" s="133">
        <f t="shared" ref="Q55" si="214">Q20/Q42</f>
        <v>8.0080889787664304</v>
      </c>
      <c r="R55" s="118">
        <f>((P55/G55)^(1/($H$2-$H$1) ))-1</f>
        <v>-5.3917821217814521E-2</v>
      </c>
      <c r="S55" s="128"/>
      <c r="T55" s="133">
        <f t="shared" ref="T55:AC55" si="215">T20/T42</f>
        <v>8.8088978766430746</v>
      </c>
      <c r="U55" s="133">
        <f t="shared" si="215"/>
        <v>9.6897876643073815</v>
      </c>
      <c r="V55" s="133">
        <f t="shared" si="215"/>
        <v>10.658766430738121</v>
      </c>
      <c r="W55" s="133">
        <f t="shared" si="215"/>
        <v>11.724643073811935</v>
      </c>
      <c r="X55" s="133">
        <f t="shared" si="215"/>
        <v>12.897107381193129</v>
      </c>
      <c r="Y55" s="133">
        <f t="shared" si="215"/>
        <v>14.186818119312441</v>
      </c>
      <c r="Z55" s="133">
        <f t="shared" si="215"/>
        <v>15.605499931243688</v>
      </c>
      <c r="AA55" s="133">
        <f t="shared" si="215"/>
        <v>17.166049924368057</v>
      </c>
      <c r="AB55" s="133">
        <f t="shared" si="215"/>
        <v>18.882654916804864</v>
      </c>
      <c r="AC55" s="133">
        <f t="shared" si="215"/>
        <v>20.770920408485352</v>
      </c>
      <c r="AD55" s="138">
        <f t="shared" ref="AD55" si="216">((AC55/G55)^(1/($AC$3-$H$1) ))-1</f>
        <v>2.2973374882106823E-2</v>
      </c>
      <c r="AE55" s="31">
        <f t="shared" si="23"/>
        <v>0.05</v>
      </c>
      <c r="AF55" s="146">
        <f t="shared" si="211"/>
        <v>311.56380612728032</v>
      </c>
    </row>
    <row r="56" spans="2:32" x14ac:dyDescent="0.2">
      <c r="B56" s="20" t="s">
        <v>245</v>
      </c>
      <c r="C56" s="25">
        <f t="shared" ref="C56:P56" si="217">C7/C42</f>
        <v>0</v>
      </c>
      <c r="D56" s="25">
        <f t="shared" si="217"/>
        <v>0</v>
      </c>
      <c r="E56" s="25">
        <f t="shared" si="217"/>
        <v>0</v>
      </c>
      <c r="F56" s="133">
        <f t="shared" si="217"/>
        <v>28.155339805825243</v>
      </c>
      <c r="G56" s="133">
        <f t="shared" si="217"/>
        <v>29.126213592233011</v>
      </c>
      <c r="H56" s="133">
        <f t="shared" si="217"/>
        <v>31.55339805825243</v>
      </c>
      <c r="I56" s="133">
        <f t="shared" si="217"/>
        <v>33.737864077669904</v>
      </c>
      <c r="J56" s="133">
        <f t="shared" si="217"/>
        <v>34.789644012944983</v>
      </c>
      <c r="K56" s="133">
        <f t="shared" si="217"/>
        <v>38.476537216828483</v>
      </c>
      <c r="L56" s="133">
        <f t="shared" si="217"/>
        <v>40.04854368932039</v>
      </c>
      <c r="M56" s="133">
        <f t="shared" si="217"/>
        <v>22.300564061240934</v>
      </c>
      <c r="N56" s="133">
        <f t="shared" si="217"/>
        <v>24.441747572815537</v>
      </c>
      <c r="O56" s="133">
        <f t="shared" si="217"/>
        <v>13.12901921132457</v>
      </c>
      <c r="P56" s="133">
        <f t="shared" si="217"/>
        <v>13.12901921132457</v>
      </c>
      <c r="Q56" s="133">
        <f t="shared" ref="Q56" si="218">Q7/Q42</f>
        <v>15.18705763397371</v>
      </c>
      <c r="R56" s="118">
        <f>((P56/G56)^(1/($H$2-$H$1) ))-1</f>
        <v>-8.4728781143076581E-2</v>
      </c>
      <c r="S56" s="128"/>
      <c r="T56" s="158">
        <f t="shared" ref="T56:AC56" si="219">T7/T42</f>
        <v>16.705763397371083</v>
      </c>
      <c r="U56" s="158">
        <f t="shared" si="219"/>
        <v>18.376339737108193</v>
      </c>
      <c r="V56" s="158">
        <f t="shared" si="219"/>
        <v>20.213973710819012</v>
      </c>
      <c r="W56" s="158">
        <f t="shared" si="219"/>
        <v>22.235371081900919</v>
      </c>
      <c r="X56" s="158">
        <f t="shared" si="219"/>
        <v>24.458908190091012</v>
      </c>
      <c r="Y56" s="158">
        <f t="shared" si="219"/>
        <v>26.904799009100113</v>
      </c>
      <c r="Z56" s="158">
        <f t="shared" si="219"/>
        <v>29.595278910010126</v>
      </c>
      <c r="AA56" s="158">
        <f t="shared" si="219"/>
        <v>32.554806801011139</v>
      </c>
      <c r="AB56" s="158">
        <f t="shared" si="219"/>
        <v>35.810287481112262</v>
      </c>
      <c r="AC56" s="158">
        <f t="shared" si="219"/>
        <v>39.391316229223484</v>
      </c>
      <c r="AD56" s="138">
        <f t="shared" si="210"/>
        <v>1.5209850734261066E-2</v>
      </c>
      <c r="AE56" s="31">
        <f t="shared" si="23"/>
        <v>0.05</v>
      </c>
      <c r="AF56" s="146">
        <f t="shared" si="211"/>
        <v>590.86974343835232</v>
      </c>
    </row>
    <row r="57" spans="2:32" x14ac:dyDescent="0.2">
      <c r="B57" s="20" t="s">
        <v>246</v>
      </c>
      <c r="C57" s="127">
        <f t="shared" ref="C57:P57" si="220">C6/C42</f>
        <v>0</v>
      </c>
      <c r="D57" s="127">
        <f t="shared" si="220"/>
        <v>0</v>
      </c>
      <c r="E57" s="127">
        <f t="shared" si="220"/>
        <v>0</v>
      </c>
      <c r="F57" s="144">
        <f t="shared" si="220"/>
        <v>18.125404530744337</v>
      </c>
      <c r="G57" s="144">
        <f t="shared" si="220"/>
        <v>19.093851132686083</v>
      </c>
      <c r="H57" s="144">
        <f t="shared" si="220"/>
        <v>21.521035598705502</v>
      </c>
      <c r="I57" s="144">
        <f t="shared" si="220"/>
        <v>23.786407766990294</v>
      </c>
      <c r="J57" s="144">
        <f t="shared" si="220"/>
        <v>24.757281553398059</v>
      </c>
      <c r="K57" s="144">
        <f t="shared" si="220"/>
        <v>28.473300970873787</v>
      </c>
      <c r="L57" s="144">
        <f t="shared" si="220"/>
        <v>30.045307443365697</v>
      </c>
      <c r="M57" s="144">
        <f t="shared" si="220"/>
        <v>12.337630942788076</v>
      </c>
      <c r="N57" s="144">
        <f t="shared" si="220"/>
        <v>14.438511326860842</v>
      </c>
      <c r="O57" s="144">
        <f t="shared" si="220"/>
        <v>3.1278058645096052</v>
      </c>
      <c r="P57" s="144">
        <f t="shared" si="220"/>
        <v>5.1971688574317492</v>
      </c>
      <c r="Q57" s="144">
        <f t="shared" ref="Q57" si="221">Q6/Q42</f>
        <v>5.1971688574317492</v>
      </c>
      <c r="R57" s="118">
        <f>((P57/G57)^(1/($H$2-$H$1) ))-1</f>
        <v>-0.13461742950427613</v>
      </c>
      <c r="S57" s="128"/>
      <c r="T57" s="157">
        <f t="shared" ref="T57:AC57" si="222">T6/T42</f>
        <v>5.7168857431749247</v>
      </c>
      <c r="U57" s="157">
        <f t="shared" si="222"/>
        <v>6.2885743174924178</v>
      </c>
      <c r="V57" s="157">
        <f t="shared" si="222"/>
        <v>6.9174317492416604</v>
      </c>
      <c r="W57" s="157">
        <f t="shared" si="222"/>
        <v>7.6091749241658277</v>
      </c>
      <c r="X57" s="157">
        <f t="shared" si="222"/>
        <v>8.3700924165824109</v>
      </c>
      <c r="Y57" s="157">
        <f t="shared" si="222"/>
        <v>9.2071016582406529</v>
      </c>
      <c r="Z57" s="157">
        <f t="shared" si="222"/>
        <v>10.127811824064718</v>
      </c>
      <c r="AA57" s="157">
        <f t="shared" si="222"/>
        <v>11.140593006471192</v>
      </c>
      <c r="AB57" s="157">
        <f t="shared" si="222"/>
        <v>12.254652307118313</v>
      </c>
      <c r="AC57" s="157">
        <f t="shared" si="222"/>
        <v>13.480117537830147</v>
      </c>
      <c r="AD57" s="138">
        <f t="shared" si="210"/>
        <v>-1.7256890749714371E-2</v>
      </c>
      <c r="AE57" s="31">
        <f t="shared" si="23"/>
        <v>0.05</v>
      </c>
      <c r="AF57" s="146">
        <f t="shared" si="211"/>
        <v>202.20176306745222</v>
      </c>
    </row>
    <row r="58" spans="2:32" x14ac:dyDescent="0.2">
      <c r="B58" s="20" t="s">
        <v>247</v>
      </c>
      <c r="C58" s="127">
        <f t="shared" ref="C58:P58" si="223">C10/C42</f>
        <v>0</v>
      </c>
      <c r="D58" s="127">
        <f t="shared" si="223"/>
        <v>0</v>
      </c>
      <c r="E58" s="127">
        <f t="shared" si="223"/>
        <v>0</v>
      </c>
      <c r="F58" s="144">
        <f t="shared" si="223"/>
        <v>0.33980582524271846</v>
      </c>
      <c r="G58" s="144">
        <f t="shared" si="223"/>
        <v>0.29935275080906154</v>
      </c>
      <c r="H58" s="144">
        <f t="shared" si="223"/>
        <v>0.21844660194174759</v>
      </c>
      <c r="I58" s="144">
        <f t="shared" si="223"/>
        <v>0.22572815533980584</v>
      </c>
      <c r="J58" s="144">
        <f t="shared" si="223"/>
        <v>0.22572815533980584</v>
      </c>
      <c r="K58" s="144">
        <f t="shared" si="223"/>
        <v>0.22572815533980584</v>
      </c>
      <c r="L58" s="144">
        <f t="shared" si="223"/>
        <v>0</v>
      </c>
      <c r="M58" s="144">
        <f t="shared" si="223"/>
        <v>0</v>
      </c>
      <c r="N58" s="144">
        <f t="shared" si="223"/>
        <v>0</v>
      </c>
      <c r="O58" s="144">
        <f t="shared" si="223"/>
        <v>0</v>
      </c>
      <c r="P58" s="144">
        <f t="shared" si="223"/>
        <v>0</v>
      </c>
      <c r="Q58" s="144">
        <f t="shared" ref="Q58" si="224">Q10/Q42</f>
        <v>0</v>
      </c>
      <c r="R58" s="118">
        <f>((P58/G58)^(1/($H$2-$H$1) ))-1</f>
        <v>-1</v>
      </c>
      <c r="S58" s="128"/>
      <c r="T58" s="157">
        <f t="shared" ref="T58:AC58" si="225">T10/T42</f>
        <v>0</v>
      </c>
      <c r="U58" s="157">
        <f t="shared" si="225"/>
        <v>0</v>
      </c>
      <c r="V58" s="157">
        <f t="shared" si="225"/>
        <v>0</v>
      </c>
      <c r="W58" s="157">
        <f t="shared" si="225"/>
        <v>0</v>
      </c>
      <c r="X58" s="157">
        <f t="shared" si="225"/>
        <v>0</v>
      </c>
      <c r="Y58" s="157">
        <f t="shared" si="225"/>
        <v>0</v>
      </c>
      <c r="Z58" s="157">
        <f t="shared" si="225"/>
        <v>0</v>
      </c>
      <c r="AA58" s="157">
        <f t="shared" si="225"/>
        <v>0</v>
      </c>
      <c r="AB58" s="157">
        <f t="shared" si="225"/>
        <v>0</v>
      </c>
      <c r="AC58" s="157">
        <f t="shared" si="225"/>
        <v>0</v>
      </c>
      <c r="AD58" s="138">
        <f t="shared" si="210"/>
        <v>-1</v>
      </c>
      <c r="AE58" s="31">
        <f t="shared" si="23"/>
        <v>0.05</v>
      </c>
      <c r="AF58" s="146">
        <f t="shared" si="211"/>
        <v>0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226">(C7-C10)/C42</f>
        <v>0</v>
      </c>
      <c r="D60" s="127">
        <f t="shared" si="226"/>
        <v>0</v>
      </c>
      <c r="E60" s="127">
        <f t="shared" si="226"/>
        <v>0</v>
      </c>
      <c r="F60" s="144">
        <f t="shared" si="226"/>
        <v>27.815533980582526</v>
      </c>
      <c r="G60" s="144">
        <f t="shared" si="226"/>
        <v>28.826860841423951</v>
      </c>
      <c r="H60" s="144">
        <f t="shared" si="226"/>
        <v>31.334951456310684</v>
      </c>
      <c r="I60" s="144">
        <f t="shared" si="226"/>
        <v>33.512135922330096</v>
      </c>
      <c r="J60" s="144">
        <f t="shared" si="226"/>
        <v>34.563915857605181</v>
      </c>
      <c r="K60" s="144">
        <f t="shared" si="226"/>
        <v>38.250809061488674</v>
      </c>
      <c r="L60" s="144">
        <f t="shared" si="226"/>
        <v>40.04854368932039</v>
      </c>
      <c r="M60" s="144">
        <f t="shared" si="226"/>
        <v>22.300564061240934</v>
      </c>
      <c r="N60" s="144">
        <f t="shared" si="226"/>
        <v>24.441747572815537</v>
      </c>
      <c r="O60" s="144">
        <f t="shared" si="226"/>
        <v>13.12901921132457</v>
      </c>
      <c r="P60" s="144">
        <f t="shared" si="226"/>
        <v>13.12901921132457</v>
      </c>
      <c r="Q60" s="144">
        <f t="shared" ref="Q60" si="227">(Q7-Q10)/Q42</f>
        <v>15.18705763397371</v>
      </c>
      <c r="R60" s="118">
        <f>((P60/G60)^(1/($H$2-$H$1) ))-1</f>
        <v>-8.3677552437594338E-2</v>
      </c>
      <c r="S60" s="128"/>
      <c r="T60" s="157">
        <f t="shared" ref="T60:AC60" si="228">(T7-T10)/T42</f>
        <v>16.705763397371083</v>
      </c>
      <c r="U60" s="157">
        <f t="shared" si="228"/>
        <v>18.376339737108193</v>
      </c>
      <c r="V60" s="157">
        <f t="shared" si="228"/>
        <v>20.213973710819012</v>
      </c>
      <c r="W60" s="157">
        <f t="shared" si="228"/>
        <v>22.235371081900919</v>
      </c>
      <c r="X60" s="157">
        <f t="shared" si="228"/>
        <v>24.458908190091012</v>
      </c>
      <c r="Y60" s="157">
        <f t="shared" si="228"/>
        <v>26.904799009100113</v>
      </c>
      <c r="Z60" s="157">
        <f t="shared" si="228"/>
        <v>29.595278910010126</v>
      </c>
      <c r="AA60" s="157">
        <f t="shared" si="228"/>
        <v>32.554806801011139</v>
      </c>
      <c r="AB60" s="157">
        <f t="shared" si="228"/>
        <v>35.810287481112262</v>
      </c>
      <c r="AC60" s="157">
        <f t="shared" si="228"/>
        <v>39.391316229223484</v>
      </c>
      <c r="AD60" s="138">
        <f t="shared" si="210"/>
        <v>1.573439075664429E-2</v>
      </c>
      <c r="AE60" s="31">
        <f t="shared" si="23"/>
        <v>0.05</v>
      </c>
      <c r="AF60" s="146">
        <f t="shared" si="211"/>
        <v>590.86974343835232</v>
      </c>
    </row>
    <row r="61" spans="2:32" x14ac:dyDescent="0.2">
      <c r="B61" s="20" t="s">
        <v>271</v>
      </c>
      <c r="C61" s="127">
        <f t="shared" ref="C61:P61" si="229">(C7-C10-C9)/C42</f>
        <v>0</v>
      </c>
      <c r="D61" s="127">
        <f t="shared" si="229"/>
        <v>0</v>
      </c>
      <c r="E61" s="127">
        <f t="shared" si="229"/>
        <v>0</v>
      </c>
      <c r="F61" s="144">
        <f t="shared" si="229"/>
        <v>9.2071197411003247</v>
      </c>
      <c r="G61" s="144">
        <f t="shared" si="229"/>
        <v>10.703883495145632</v>
      </c>
      <c r="H61" s="144">
        <f t="shared" si="229"/>
        <v>10.218446601941748</v>
      </c>
      <c r="I61" s="144">
        <f t="shared" si="229"/>
        <v>9.8875404530744326</v>
      </c>
      <c r="J61" s="144">
        <f t="shared" si="229"/>
        <v>6.9101941747572795</v>
      </c>
      <c r="K61" s="144">
        <f t="shared" si="229"/>
        <v>12.531553398058252</v>
      </c>
      <c r="L61" s="144">
        <f t="shared" si="229"/>
        <v>4.5396440129449855</v>
      </c>
      <c r="M61" s="144">
        <f t="shared" si="229"/>
        <v>2.0394842868654313</v>
      </c>
      <c r="N61" s="144">
        <f t="shared" si="229"/>
        <v>3.4627831715210369</v>
      </c>
      <c r="O61" s="144">
        <f t="shared" si="229"/>
        <v>1.7336703741152681</v>
      </c>
      <c r="P61" s="144">
        <f t="shared" si="229"/>
        <v>0.91466127401415598</v>
      </c>
      <c r="Q61" s="144">
        <f t="shared" ref="Q61" si="230">(Q7-Q10-Q9)/Q42</f>
        <v>2.9726996966632959</v>
      </c>
      <c r="R61" s="118">
        <f>((P61/G61)^(1/($H$2-$H$1) ))-1</f>
        <v>-0.2391446441995918</v>
      </c>
      <c r="S61" s="128"/>
      <c r="T61" s="157">
        <f t="shared" ref="T61:AC61" si="231">(T7-T10-T9)/T42</f>
        <v>3.2699696663296245</v>
      </c>
      <c r="U61" s="157">
        <f t="shared" si="231"/>
        <v>3.5969666329625882</v>
      </c>
      <c r="V61" s="157">
        <f t="shared" si="231"/>
        <v>3.9566632962588479</v>
      </c>
      <c r="W61" s="157">
        <f t="shared" si="231"/>
        <v>4.3523296258847344</v>
      </c>
      <c r="X61" s="157">
        <f t="shared" si="231"/>
        <v>4.7875625884732091</v>
      </c>
      <c r="Y61" s="157">
        <f t="shared" si="231"/>
        <v>5.2663188473205285</v>
      </c>
      <c r="Z61" s="157">
        <f t="shared" si="231"/>
        <v>5.7929507320525797</v>
      </c>
      <c r="AA61" s="157">
        <f t="shared" si="231"/>
        <v>6.3722458052578359</v>
      </c>
      <c r="AB61" s="157">
        <f t="shared" si="231"/>
        <v>7.0094703857836214</v>
      </c>
      <c r="AC61" s="157">
        <f t="shared" si="231"/>
        <v>7.7104174243619843</v>
      </c>
      <c r="AD61" s="138">
        <f t="shared" si="210"/>
        <v>-1.626793887811584E-2</v>
      </c>
      <c r="AE61" s="31">
        <f t="shared" si="23"/>
        <v>0.05</v>
      </c>
      <c r="AF61" s="146">
        <f t="shared" si="211"/>
        <v>115.65626136542977</v>
      </c>
    </row>
    <row r="62" spans="2:32" x14ac:dyDescent="0.2">
      <c r="B62" s="20" t="s">
        <v>276</v>
      </c>
      <c r="C62" s="127">
        <f t="shared" ref="C62:P62" si="232">(C7+C15-C10-C9)/C42</f>
        <v>0</v>
      </c>
      <c r="D62" s="127">
        <f t="shared" si="232"/>
        <v>0</v>
      </c>
      <c r="E62" s="127">
        <f t="shared" si="232"/>
        <v>0</v>
      </c>
      <c r="F62" s="144">
        <f t="shared" si="232"/>
        <v>34.661003236245953</v>
      </c>
      <c r="G62" s="144">
        <f t="shared" si="232"/>
        <v>37.160194174757279</v>
      </c>
      <c r="H62" s="144">
        <f t="shared" si="232"/>
        <v>43.009708737864074</v>
      </c>
      <c r="I62" s="144">
        <f t="shared" si="232"/>
        <v>49.960355987055017</v>
      </c>
      <c r="J62" s="144">
        <f t="shared" si="232"/>
        <v>39.117313915857601</v>
      </c>
      <c r="K62" s="144">
        <f t="shared" si="232"/>
        <v>50.158576051779939</v>
      </c>
      <c r="L62" s="144">
        <f t="shared" si="232"/>
        <v>37.294498381877027</v>
      </c>
      <c r="M62" s="144">
        <f t="shared" si="232"/>
        <v>19.847703464947624</v>
      </c>
      <c r="N62" s="144">
        <f t="shared" si="232"/>
        <v>26.474919093851131</v>
      </c>
      <c r="O62" s="144">
        <f t="shared" si="232"/>
        <v>24.17654196157735</v>
      </c>
      <c r="P62" s="144">
        <f t="shared" si="232"/>
        <v>25.282709807886754</v>
      </c>
      <c r="Q62" s="144">
        <f t="shared" ref="Q62" si="233">(Q7+Q15-Q10-Q9)/Q42</f>
        <v>27.340748230535894</v>
      </c>
      <c r="R62" s="118">
        <f>((P62/G62)^(1/($H$2-$H$1) ))-1</f>
        <v>-4.188821349549865E-2</v>
      </c>
      <c r="S62" s="128"/>
      <c r="T62" s="157">
        <f t="shared" ref="T62:AC62" si="234">(T7+T15-T10-T9)/T42</f>
        <v>30.07482305358948</v>
      </c>
      <c r="U62" s="157">
        <f t="shared" si="234"/>
        <v>33.082305358948432</v>
      </c>
      <c r="V62" s="157">
        <f t="shared" si="234"/>
        <v>36.390535894843282</v>
      </c>
      <c r="W62" s="157">
        <f t="shared" si="234"/>
        <v>40.029589484327616</v>
      </c>
      <c r="X62" s="157">
        <f t="shared" si="234"/>
        <v>44.032548432760372</v>
      </c>
      <c r="Y62" s="157">
        <f t="shared" si="234"/>
        <v>48.43580327603641</v>
      </c>
      <c r="Z62" s="157">
        <f t="shared" si="234"/>
        <v>53.279383603640049</v>
      </c>
      <c r="AA62" s="157">
        <f t="shared" si="234"/>
        <v>58.607321964004065</v>
      </c>
      <c r="AB62" s="157">
        <f t="shared" si="234"/>
        <v>64.468054160404492</v>
      </c>
      <c r="AC62" s="157">
        <f t="shared" si="234"/>
        <v>70.91485957644494</v>
      </c>
      <c r="AD62" s="138">
        <f t="shared" si="210"/>
        <v>3.2839796940076882E-2</v>
      </c>
      <c r="AE62" s="31">
        <f t="shared" si="23"/>
        <v>0.05</v>
      </c>
      <c r="AF62" s="146">
        <f t="shared" si="211"/>
        <v>1063.7228936466743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235">C12/C42</f>
        <v>0</v>
      </c>
      <c r="D64" s="127">
        <f t="shared" si="235"/>
        <v>0</v>
      </c>
      <c r="E64" s="127">
        <f t="shared" si="235"/>
        <v>0</v>
      </c>
      <c r="F64" s="144">
        <f t="shared" si="235"/>
        <v>2.2653721682847898</v>
      </c>
      <c r="G64" s="144">
        <f t="shared" si="235"/>
        <v>2.4012944983818771</v>
      </c>
      <c r="H64" s="144">
        <f t="shared" si="235"/>
        <v>3.2233009708737868</v>
      </c>
      <c r="I64" s="144">
        <f t="shared" si="235"/>
        <v>4.1100323624595472</v>
      </c>
      <c r="J64" s="144">
        <f t="shared" si="235"/>
        <v>2.0347896440129452</v>
      </c>
      <c r="K64" s="144">
        <f t="shared" si="235"/>
        <v>20.668284789644016</v>
      </c>
      <c r="L64" s="144">
        <f t="shared" si="235"/>
        <v>42.537216828478968</v>
      </c>
      <c r="M64" s="144">
        <f t="shared" si="235"/>
        <v>24.950040290088637</v>
      </c>
      <c r="N64" s="144">
        <f t="shared" si="235"/>
        <v>22.208737864077673</v>
      </c>
      <c r="O64" s="144">
        <f t="shared" si="235"/>
        <v>11.619615773508594</v>
      </c>
      <c r="P64" s="144">
        <f t="shared" si="235"/>
        <v>12.032355915065722</v>
      </c>
      <c r="Q64" s="144">
        <f t="shared" ref="Q64" si="236">Q12/Q42</f>
        <v>12.032355915065722</v>
      </c>
      <c r="R64" s="118">
        <f>((P64/G64)^(1/($H$2-$H$1) ))-1</f>
        <v>0.19609933610457841</v>
      </c>
      <c r="S64" s="128"/>
      <c r="T64" s="157">
        <f t="shared" ref="T64:AC64" si="237">T12/T42</f>
        <v>13.235591506572295</v>
      </c>
      <c r="U64" s="157">
        <f t="shared" si="237"/>
        <v>14.559150657229525</v>
      </c>
      <c r="V64" s="157">
        <f t="shared" si="237"/>
        <v>16.015065722952478</v>
      </c>
      <c r="W64" s="157">
        <f t="shared" si="237"/>
        <v>17.616572295247728</v>
      </c>
      <c r="X64" s="157">
        <f t="shared" si="237"/>
        <v>19.3782295247725</v>
      </c>
      <c r="Y64" s="157">
        <f t="shared" si="237"/>
        <v>21.316052477249752</v>
      </c>
      <c r="Z64" s="157">
        <f t="shared" si="237"/>
        <v>23.447657724974729</v>
      </c>
      <c r="AA64" s="157">
        <f t="shared" si="237"/>
        <v>25.792423497472203</v>
      </c>
      <c r="AB64" s="157">
        <f t="shared" si="237"/>
        <v>28.371665847219425</v>
      </c>
      <c r="AC64" s="157">
        <f t="shared" si="237"/>
        <v>31.208832431941371</v>
      </c>
      <c r="AD64" s="138">
        <f t="shared" si="210"/>
        <v>0.1368197363400252</v>
      </c>
      <c r="AE64" s="31">
        <f t="shared" si="23"/>
        <v>0.05</v>
      </c>
      <c r="AF64" s="146">
        <f t="shared" si="211"/>
        <v>468.13248647912059</v>
      </c>
    </row>
    <row r="65" spans="2:32" x14ac:dyDescent="0.2">
      <c r="B65" s="20" t="s">
        <v>255</v>
      </c>
      <c r="C65" s="127">
        <f t="shared" ref="C65:P65" si="238">C13/C42</f>
        <v>0</v>
      </c>
      <c r="D65" s="127">
        <f t="shared" si="238"/>
        <v>0</v>
      </c>
      <c r="E65" s="127">
        <f t="shared" si="238"/>
        <v>0</v>
      </c>
      <c r="F65" s="144">
        <f t="shared" si="238"/>
        <v>6.8770226537216832</v>
      </c>
      <c r="G65" s="144">
        <f t="shared" si="238"/>
        <v>10.436893203883496</v>
      </c>
      <c r="H65" s="144">
        <f t="shared" si="238"/>
        <v>8.7378640776699026</v>
      </c>
      <c r="I65" s="144">
        <f t="shared" si="238"/>
        <v>3.4385113268608416</v>
      </c>
      <c r="J65" s="144">
        <f t="shared" si="238"/>
        <v>1.6650485436893203</v>
      </c>
      <c r="K65" s="144">
        <f t="shared" si="238"/>
        <v>4.2071197411003243E-2</v>
      </c>
      <c r="L65" s="144">
        <f t="shared" si="238"/>
        <v>0</v>
      </c>
      <c r="M65" s="144">
        <f t="shared" si="238"/>
        <v>0</v>
      </c>
      <c r="N65" s="144">
        <f t="shared" si="238"/>
        <v>0</v>
      </c>
      <c r="O65" s="144">
        <f t="shared" si="238"/>
        <v>0</v>
      </c>
      <c r="P65" s="144">
        <f t="shared" si="238"/>
        <v>0</v>
      </c>
      <c r="Q65" s="144">
        <f t="shared" ref="Q65" si="239">Q13/Q42</f>
        <v>0</v>
      </c>
      <c r="R65" s="118">
        <f>((P65/G65)^(1/($H$2-$H$1) ))-1</f>
        <v>-1</v>
      </c>
      <c r="S65" s="128"/>
      <c r="T65" s="157">
        <f t="shared" ref="T65:AC65" si="240">T13/T42</f>
        <v>0</v>
      </c>
      <c r="U65" s="157">
        <f t="shared" si="240"/>
        <v>0</v>
      </c>
      <c r="V65" s="157">
        <f t="shared" si="240"/>
        <v>0</v>
      </c>
      <c r="W65" s="157">
        <f t="shared" si="240"/>
        <v>0</v>
      </c>
      <c r="X65" s="157">
        <f t="shared" si="240"/>
        <v>0</v>
      </c>
      <c r="Y65" s="157">
        <f t="shared" si="240"/>
        <v>0</v>
      </c>
      <c r="Z65" s="157">
        <f t="shared" si="240"/>
        <v>0</v>
      </c>
      <c r="AA65" s="157">
        <f t="shared" si="240"/>
        <v>0</v>
      </c>
      <c r="AB65" s="157">
        <f t="shared" si="240"/>
        <v>0</v>
      </c>
      <c r="AC65" s="157">
        <f t="shared" si="240"/>
        <v>0</v>
      </c>
      <c r="AD65" s="138">
        <f t="shared" si="210"/>
        <v>-1</v>
      </c>
      <c r="AE65" s="31">
        <f t="shared" si="23"/>
        <v>0.05</v>
      </c>
      <c r="AF65" s="146">
        <f t="shared" si="211"/>
        <v>0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241">(D64+D65)</f>
        <v>0</v>
      </c>
      <c r="E66" s="127">
        <f t="shared" si="241"/>
        <v>0</v>
      </c>
      <c r="F66" s="144">
        <f t="shared" si="241"/>
        <v>9.142394822006473</v>
      </c>
      <c r="G66" s="144">
        <f t="shared" si="241"/>
        <v>12.838187702265373</v>
      </c>
      <c r="H66" s="144">
        <f t="shared" si="241"/>
        <v>11.961165048543689</v>
      </c>
      <c r="I66" s="144">
        <f t="shared" si="241"/>
        <v>7.5485436893203888</v>
      </c>
      <c r="J66" s="144">
        <f t="shared" si="241"/>
        <v>3.6998381877022655</v>
      </c>
      <c r="K66" s="144">
        <f t="shared" si="241"/>
        <v>20.710355987055021</v>
      </c>
      <c r="L66" s="144">
        <f t="shared" si="241"/>
        <v>42.537216828478968</v>
      </c>
      <c r="M66" s="144">
        <f t="shared" si="241"/>
        <v>24.950040290088637</v>
      </c>
      <c r="N66" s="144">
        <f t="shared" si="241"/>
        <v>22.208737864077673</v>
      </c>
      <c r="O66" s="144">
        <f t="shared" ref="O66" si="242">(O64+O65)</f>
        <v>11.619615773508594</v>
      </c>
      <c r="P66" s="144">
        <f t="shared" si="241"/>
        <v>12.032355915065722</v>
      </c>
      <c r="Q66" s="144">
        <f t="shared" ref="Q66" si="243">(Q64+Q65)</f>
        <v>12.032355915065722</v>
      </c>
      <c r="R66" s="118">
        <f>((P66/G66)^(1/($H$2-$H$1) ))-1</f>
        <v>-7.176877453379249E-3</v>
      </c>
      <c r="S66" s="128"/>
      <c r="T66" s="157">
        <f t="shared" ref="T66:AC66" si="244">(T64+T65)</f>
        <v>13.235591506572295</v>
      </c>
      <c r="U66" s="157">
        <f t="shared" si="244"/>
        <v>14.559150657229525</v>
      </c>
      <c r="V66" s="157">
        <f t="shared" si="244"/>
        <v>16.015065722952478</v>
      </c>
      <c r="W66" s="157">
        <f t="shared" si="244"/>
        <v>17.616572295247728</v>
      </c>
      <c r="X66" s="157">
        <f t="shared" si="244"/>
        <v>19.3782295247725</v>
      </c>
      <c r="Y66" s="157">
        <f t="shared" si="244"/>
        <v>21.316052477249752</v>
      </c>
      <c r="Z66" s="157">
        <f t="shared" si="244"/>
        <v>23.447657724974729</v>
      </c>
      <c r="AA66" s="157">
        <f t="shared" si="244"/>
        <v>25.792423497472203</v>
      </c>
      <c r="AB66" s="157">
        <f t="shared" si="244"/>
        <v>28.371665847219425</v>
      </c>
      <c r="AC66" s="157">
        <f t="shared" si="244"/>
        <v>31.208832431941371</v>
      </c>
      <c r="AD66" s="138">
        <f t="shared" si="210"/>
        <v>4.5414910435877864E-2</v>
      </c>
      <c r="AE66" s="31">
        <f t="shared" si="23"/>
        <v>0.05</v>
      </c>
      <c r="AF66" s="146">
        <f t="shared" si="211"/>
        <v>468.13248647912059</v>
      </c>
    </row>
    <row r="67" spans="2:32" x14ac:dyDescent="0.2">
      <c r="B67" s="20" t="s">
        <v>249</v>
      </c>
      <c r="C67" s="127">
        <f t="shared" ref="C67:P67" si="245">C15/C42</f>
        <v>0</v>
      </c>
      <c r="D67" s="127">
        <f t="shared" si="245"/>
        <v>0</v>
      </c>
      <c r="E67" s="127">
        <f t="shared" si="245"/>
        <v>0</v>
      </c>
      <c r="F67" s="144">
        <f t="shared" si="245"/>
        <v>25.453883495145632</v>
      </c>
      <c r="G67" s="144">
        <f t="shared" si="245"/>
        <v>26.456310679611651</v>
      </c>
      <c r="H67" s="144">
        <f t="shared" si="245"/>
        <v>32.791262135922331</v>
      </c>
      <c r="I67" s="144">
        <f t="shared" si="245"/>
        <v>40.072815533980588</v>
      </c>
      <c r="J67" s="144">
        <f t="shared" si="245"/>
        <v>32.207119741100321</v>
      </c>
      <c r="K67" s="144">
        <f t="shared" si="245"/>
        <v>37.627022653721681</v>
      </c>
      <c r="L67" s="144">
        <f t="shared" si="245"/>
        <v>32.754854368932044</v>
      </c>
      <c r="M67" s="144">
        <f t="shared" si="245"/>
        <v>17.80821917808219</v>
      </c>
      <c r="N67" s="144">
        <f t="shared" si="245"/>
        <v>23.012135922330099</v>
      </c>
      <c r="O67" s="144">
        <f t="shared" si="245"/>
        <v>22.442871587462079</v>
      </c>
      <c r="P67" s="144">
        <f t="shared" si="245"/>
        <v>24.368048533872596</v>
      </c>
      <c r="Q67" s="144">
        <f t="shared" ref="Q67" si="246">Q15/Q42</f>
        <v>24.368048533872596</v>
      </c>
      <c r="R67" s="118">
        <f>((P67/G67)^(1/($H$2-$H$1) ))-1</f>
        <v>-9.0941657569738599E-3</v>
      </c>
      <c r="S67" s="128"/>
      <c r="T67" s="157">
        <f t="shared" ref="T67:AC67" si="247">T15/T42</f>
        <v>26.804853387259858</v>
      </c>
      <c r="U67" s="157">
        <f t="shared" si="247"/>
        <v>29.485338725985848</v>
      </c>
      <c r="V67" s="157">
        <f t="shared" si="247"/>
        <v>32.433872598584429</v>
      </c>
      <c r="W67" s="157">
        <f t="shared" si="247"/>
        <v>35.677259858442874</v>
      </c>
      <c r="X67" s="157">
        <f t="shared" si="247"/>
        <v>39.244985844287164</v>
      </c>
      <c r="Y67" s="157">
        <f t="shared" si="247"/>
        <v>43.169484428715883</v>
      </c>
      <c r="Z67" s="157">
        <f t="shared" si="247"/>
        <v>47.486432871587475</v>
      </c>
      <c r="AA67" s="157">
        <f t="shared" si="247"/>
        <v>52.235076158746232</v>
      </c>
      <c r="AB67" s="157">
        <f t="shared" si="247"/>
        <v>57.458583774620863</v>
      </c>
      <c r="AC67" s="157">
        <f t="shared" si="247"/>
        <v>63.204442152082954</v>
      </c>
      <c r="AD67" s="138">
        <f t="shared" si="210"/>
        <v>4.4505944618512538E-2</v>
      </c>
      <c r="AE67" s="31">
        <f t="shared" si="23"/>
        <v>0.05</v>
      </c>
      <c r="AF67" s="146">
        <f t="shared" si="211"/>
        <v>948.06663228124444</v>
      </c>
    </row>
    <row r="68" spans="2:32" x14ac:dyDescent="0.2">
      <c r="B68" s="20" t="s">
        <v>250</v>
      </c>
      <c r="C68" s="127">
        <f t="shared" ref="C68:P68" si="248">C16/C42</f>
        <v>0</v>
      </c>
      <c r="D68" s="127">
        <f t="shared" si="248"/>
        <v>0</v>
      </c>
      <c r="E68" s="127">
        <f t="shared" si="248"/>
        <v>0</v>
      </c>
      <c r="F68" s="144">
        <f t="shared" si="248"/>
        <v>7.8058252427184476</v>
      </c>
      <c r="G68" s="144">
        <f t="shared" si="248"/>
        <v>6.8859223300970873</v>
      </c>
      <c r="H68" s="144">
        <f t="shared" si="248"/>
        <v>11.843042071197411</v>
      </c>
      <c r="I68" s="144">
        <f t="shared" si="248"/>
        <v>20.105177993527509</v>
      </c>
      <c r="J68" s="144">
        <f t="shared" si="248"/>
        <v>22.580906148867317</v>
      </c>
      <c r="K68" s="144">
        <f t="shared" si="248"/>
        <v>27.013754045307444</v>
      </c>
      <c r="L68" s="144">
        <f t="shared" si="248"/>
        <v>28.88349514563107</v>
      </c>
      <c r="M68" s="144">
        <f t="shared" si="248"/>
        <v>16.785253827558421</v>
      </c>
      <c r="N68" s="144">
        <f t="shared" si="248"/>
        <v>18.632686084142396</v>
      </c>
      <c r="O68" s="144">
        <f t="shared" si="248"/>
        <v>9.9524772497472185</v>
      </c>
      <c r="P68" s="144">
        <f t="shared" si="248"/>
        <v>11.648129423660261</v>
      </c>
      <c r="Q68" s="144">
        <f t="shared" ref="Q68" si="249">Q16/Q42</f>
        <v>11.648129423660261</v>
      </c>
      <c r="R68" s="118">
        <f>((P68/G68)^(1/($H$2-$H$1) ))-1</f>
        <v>6.0146801797316574E-2</v>
      </c>
      <c r="S68" s="128"/>
      <c r="T68" s="157">
        <f t="shared" ref="T68:AC68" si="250">T16/T42</f>
        <v>12.81294236602629</v>
      </c>
      <c r="U68" s="157">
        <f t="shared" si="250"/>
        <v>14.094236602628918</v>
      </c>
      <c r="V68" s="157">
        <f t="shared" si="250"/>
        <v>15.50366026289181</v>
      </c>
      <c r="W68" s="157">
        <f t="shared" si="250"/>
        <v>17.054026289180992</v>
      </c>
      <c r="X68" s="157">
        <f t="shared" si="250"/>
        <v>18.759428918099093</v>
      </c>
      <c r="Y68" s="157">
        <f t="shared" si="250"/>
        <v>20.635371809909003</v>
      </c>
      <c r="Z68" s="157">
        <f t="shared" si="250"/>
        <v>22.698908990899902</v>
      </c>
      <c r="AA68" s="157">
        <f t="shared" si="250"/>
        <v>24.968799889989896</v>
      </c>
      <c r="AB68" s="157">
        <f t="shared" si="250"/>
        <v>27.465679878988887</v>
      </c>
      <c r="AC68" s="157">
        <f t="shared" si="250"/>
        <v>30.212247866887779</v>
      </c>
      <c r="AD68" s="138">
        <f t="shared" si="210"/>
        <v>7.6740493209990657E-2</v>
      </c>
      <c r="AE68" s="137"/>
      <c r="AF68" s="146">
        <f t="shared" si="211"/>
        <v>251.76873222406482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23"/>
        <v>0.05</v>
      </c>
      <c r="AF69" s="146">
        <f t="shared" si="211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251">D44</f>
        <v>0</v>
      </c>
      <c r="E70" s="159">
        <f t="shared" si="251"/>
        <v>0</v>
      </c>
      <c r="F70" s="159">
        <f t="shared" si="251"/>
        <v>8.25</v>
      </c>
      <c r="G70" s="159">
        <f t="shared" si="251"/>
        <v>8.25</v>
      </c>
      <c r="H70" s="159">
        <f t="shared" si="251"/>
        <v>8.25</v>
      </c>
      <c r="I70" s="159">
        <f t="shared" si="251"/>
        <v>9</v>
      </c>
      <c r="J70" s="159">
        <f t="shared" si="251"/>
        <v>14</v>
      </c>
      <c r="K70" s="159">
        <f t="shared" si="251"/>
        <v>15</v>
      </c>
      <c r="L70" s="159">
        <f t="shared" si="251"/>
        <v>25</v>
      </c>
      <c r="M70" s="159">
        <f t="shared" si="251"/>
        <v>15</v>
      </c>
      <c r="N70" s="159">
        <f t="shared" si="251"/>
        <v>15</v>
      </c>
      <c r="O70" s="159">
        <f t="shared" si="251"/>
        <v>10.5</v>
      </c>
      <c r="P70" s="159">
        <f t="shared" si="251"/>
        <v>7</v>
      </c>
      <c r="Q70" s="159">
        <f t="shared" ref="Q70" si="252">Q44</f>
        <v>7</v>
      </c>
      <c r="R70" s="118">
        <f>((P70/G70)^(1/($H$2-$H$1) ))-1</f>
        <v>-1.8090265180134013E-2</v>
      </c>
      <c r="S70" s="128"/>
      <c r="T70" s="159">
        <f t="shared" ref="T70:AC70" si="253">T44</f>
        <v>7.3500000000000005</v>
      </c>
      <c r="U70" s="159">
        <f t="shared" si="253"/>
        <v>7.7175000000000011</v>
      </c>
      <c r="V70" s="159">
        <f t="shared" si="253"/>
        <v>8.1033750000000015</v>
      </c>
      <c r="W70" s="159">
        <f t="shared" si="253"/>
        <v>8.5085437500000012</v>
      </c>
      <c r="X70" s="159">
        <f t="shared" si="253"/>
        <v>8.9339709375000016</v>
      </c>
      <c r="Y70" s="159">
        <f t="shared" si="253"/>
        <v>9.3806694843750016</v>
      </c>
      <c r="Z70" s="159">
        <f t="shared" si="253"/>
        <v>9.8497029585937526</v>
      </c>
      <c r="AA70" s="159">
        <f t="shared" si="253"/>
        <v>10.342188106523441</v>
      </c>
      <c r="AB70" s="159">
        <f t="shared" si="253"/>
        <v>10.859297511849613</v>
      </c>
      <c r="AC70" s="159">
        <f t="shared" si="253"/>
        <v>11.402262387442095</v>
      </c>
      <c r="AD70" s="138">
        <f t="shared" ref="AD70" si="254">((AC70/G70)^(1/($AC$3-$H$1) ))-1</f>
        <v>1.6311533402255662E-2</v>
      </c>
      <c r="AE70" s="31">
        <f t="shared" si="23"/>
        <v>0.05</v>
      </c>
      <c r="AF70" s="146">
        <f t="shared" si="211"/>
        <v>171.03393581163147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255">C20+C21</f>
        <v>0</v>
      </c>
      <c r="D72" s="127">
        <f t="shared" si="255"/>
        <v>0</v>
      </c>
      <c r="E72" s="127">
        <f t="shared" si="255"/>
        <v>0</v>
      </c>
      <c r="F72" s="144">
        <f t="shared" si="255"/>
        <v>244</v>
      </c>
      <c r="G72" s="144">
        <f t="shared" si="255"/>
        <v>120</v>
      </c>
      <c r="H72" s="144">
        <f t="shared" si="255"/>
        <v>131</v>
      </c>
      <c r="I72" s="144">
        <f t="shared" si="255"/>
        <v>170</v>
      </c>
      <c r="J72" s="144">
        <f t="shared" si="255"/>
        <v>370</v>
      </c>
      <c r="K72" s="144">
        <f t="shared" si="255"/>
        <v>166</v>
      </c>
      <c r="L72" s="144">
        <f t="shared" si="255"/>
        <v>551</v>
      </c>
      <c r="M72" s="144">
        <f t="shared" si="255"/>
        <v>504</v>
      </c>
      <c r="N72" s="144">
        <f t="shared" si="255"/>
        <v>362</v>
      </c>
      <c r="O72" s="144">
        <f t="shared" si="255"/>
        <v>467</v>
      </c>
      <c r="P72" s="144">
        <f t="shared" si="255"/>
        <v>426</v>
      </c>
      <c r="Q72" s="144">
        <f t="shared" ref="Q72" si="256">Q20+Q21</f>
        <v>426</v>
      </c>
      <c r="R72" s="118">
        <f>((P72/G72)^(1/($H$2-$H$1) ))-1</f>
        <v>0.1511621023738503</v>
      </c>
      <c r="S72" s="128"/>
      <c r="T72" s="144">
        <f t="shared" ref="T72:AC72" si="257">T20+T21</f>
        <v>468.6</v>
      </c>
      <c r="U72" s="144">
        <f t="shared" si="257"/>
        <v>515.46</v>
      </c>
      <c r="V72" s="144">
        <f t="shared" si="257"/>
        <v>567.00600000000009</v>
      </c>
      <c r="W72" s="144">
        <f t="shared" si="257"/>
        <v>623.70660000000021</v>
      </c>
      <c r="X72" s="144">
        <f t="shared" si="257"/>
        <v>686.07726000000025</v>
      </c>
      <c r="Y72" s="144">
        <f t="shared" si="257"/>
        <v>754.68498600000032</v>
      </c>
      <c r="Z72" s="144">
        <f t="shared" si="257"/>
        <v>830.15348460000052</v>
      </c>
      <c r="AA72" s="144">
        <f t="shared" si="257"/>
        <v>913.16883306000057</v>
      </c>
      <c r="AB72" s="144">
        <f t="shared" si="257"/>
        <v>1004.4857163660006</v>
      </c>
      <c r="AC72" s="144">
        <f t="shared" si="257"/>
        <v>1104.9342880026009</v>
      </c>
      <c r="AD72" s="138">
        <f t="shared" ref="AD72:AD77" si="258">((AC72/G72)^(1/($AC$3-$H$1) ))-1</f>
        <v>0.11739766690879971</v>
      </c>
      <c r="AE72" s="31">
        <f t="shared" si="23"/>
        <v>0.05</v>
      </c>
      <c r="AF72" s="146">
        <f t="shared" si="211"/>
        <v>16574.014320039016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259">C72/C42</f>
        <v>0</v>
      </c>
      <c r="D74" s="127">
        <f t="shared" si="259"/>
        <v>0</v>
      </c>
      <c r="E74" s="127">
        <f t="shared" si="259"/>
        <v>0</v>
      </c>
      <c r="F74" s="144">
        <f t="shared" si="259"/>
        <v>19.741100323624597</v>
      </c>
      <c r="G74" s="144">
        <f t="shared" si="259"/>
        <v>9.7087378640776709</v>
      </c>
      <c r="H74" s="144">
        <f t="shared" si="259"/>
        <v>10.598705501618124</v>
      </c>
      <c r="I74" s="144">
        <f t="shared" si="259"/>
        <v>13.754045307443366</v>
      </c>
      <c r="J74" s="144">
        <f t="shared" si="259"/>
        <v>29.935275080906152</v>
      </c>
      <c r="K74" s="144">
        <f t="shared" si="259"/>
        <v>13.430420711974111</v>
      </c>
      <c r="L74" s="144">
        <f t="shared" si="259"/>
        <v>44.579288025889973</v>
      </c>
      <c r="M74" s="144">
        <f t="shared" si="259"/>
        <v>20.306204673650281</v>
      </c>
      <c r="N74" s="144">
        <f t="shared" si="259"/>
        <v>14.644012944983819</v>
      </c>
      <c r="O74" s="144">
        <f t="shared" si="259"/>
        <v>9.4438827098078857</v>
      </c>
      <c r="P74" s="144">
        <f t="shared" si="259"/>
        <v>8.614762386248735</v>
      </c>
      <c r="Q74" s="144">
        <f t="shared" ref="Q74" si="260">Q72/Q42</f>
        <v>8.614762386248735</v>
      </c>
      <c r="R74" s="118">
        <f>((P74/G74)^(1/($H$2-$H$1) ))-1</f>
        <v>-1.3195389836096472E-2</v>
      </c>
      <c r="S74" s="128"/>
      <c r="T74" s="146">
        <f t="shared" ref="T74:AC74" si="261">T72/T42</f>
        <v>9.4762386248736092</v>
      </c>
      <c r="U74" s="146">
        <f t="shared" si="261"/>
        <v>10.423862487360971</v>
      </c>
      <c r="V74" s="146">
        <f t="shared" si="261"/>
        <v>11.466248736097068</v>
      </c>
      <c r="W74" s="146">
        <f t="shared" si="261"/>
        <v>12.612873609706778</v>
      </c>
      <c r="X74" s="146">
        <f t="shared" si="261"/>
        <v>13.874160970677456</v>
      </c>
      <c r="Y74" s="146">
        <f t="shared" si="261"/>
        <v>15.261577067745202</v>
      </c>
      <c r="Z74" s="146">
        <f t="shared" si="261"/>
        <v>16.787734774519727</v>
      </c>
      <c r="AA74" s="146">
        <f t="shared" si="261"/>
        <v>18.4665082519717</v>
      </c>
      <c r="AB74" s="146">
        <f t="shared" si="261"/>
        <v>20.313159077168869</v>
      </c>
      <c r="AC74" s="146">
        <f t="shared" si="261"/>
        <v>22.34447498488576</v>
      </c>
      <c r="AD74" s="138">
        <f t="shared" si="258"/>
        <v>4.2558345232442507E-2</v>
      </c>
      <c r="AE74" s="31">
        <f t="shared" si="23"/>
        <v>0.05</v>
      </c>
      <c r="AF74" s="146">
        <f t="shared" si="211"/>
        <v>335.16712477328645</v>
      </c>
    </row>
    <row r="75" spans="2:32" x14ac:dyDescent="0.2">
      <c r="B75" s="20" t="s">
        <v>287</v>
      </c>
      <c r="C75" s="127">
        <f t="shared" ref="C75:P75" si="262">C20/C42</f>
        <v>0</v>
      </c>
      <c r="D75" s="127">
        <f t="shared" si="262"/>
        <v>0</v>
      </c>
      <c r="E75" s="127">
        <f t="shared" si="262"/>
        <v>0</v>
      </c>
      <c r="F75" s="144">
        <f t="shared" si="262"/>
        <v>8.4951456310679614</v>
      </c>
      <c r="G75" s="144">
        <f t="shared" si="262"/>
        <v>13.187702265372168</v>
      </c>
      <c r="H75" s="144">
        <f t="shared" si="262"/>
        <v>8.9805825242718456</v>
      </c>
      <c r="I75" s="144">
        <f t="shared" si="262"/>
        <v>7.6051779935275086</v>
      </c>
      <c r="J75" s="144">
        <f t="shared" si="262"/>
        <v>28.88349514563107</v>
      </c>
      <c r="K75" s="144">
        <f t="shared" si="262"/>
        <v>13.106796116504855</v>
      </c>
      <c r="L75" s="144">
        <f t="shared" si="262"/>
        <v>45.792880258899679</v>
      </c>
      <c r="M75" s="144">
        <f t="shared" si="262"/>
        <v>20.749395648670426</v>
      </c>
      <c r="N75" s="144">
        <f t="shared" si="262"/>
        <v>14.158576051779935</v>
      </c>
      <c r="O75" s="144">
        <f t="shared" si="262"/>
        <v>9.4438827098078857</v>
      </c>
      <c r="P75" s="144">
        <f t="shared" si="262"/>
        <v>8.0080889787664304</v>
      </c>
      <c r="Q75" s="144">
        <f t="shared" ref="Q75" si="263">Q20/Q42</f>
        <v>8.0080889787664304</v>
      </c>
      <c r="R75" s="118">
        <f>((P75/G75)^(1/($H$2-$H$1) ))-1</f>
        <v>-5.3917821217814521E-2</v>
      </c>
      <c r="S75" s="128"/>
      <c r="T75" s="146">
        <f t="shared" ref="T75:AC75" si="264">T20/T42</f>
        <v>8.8088978766430746</v>
      </c>
      <c r="U75" s="146">
        <f t="shared" si="264"/>
        <v>9.6897876643073815</v>
      </c>
      <c r="V75" s="146">
        <f t="shared" si="264"/>
        <v>10.658766430738121</v>
      </c>
      <c r="W75" s="146">
        <f t="shared" si="264"/>
        <v>11.724643073811935</v>
      </c>
      <c r="X75" s="146">
        <f t="shared" si="264"/>
        <v>12.897107381193129</v>
      </c>
      <c r="Y75" s="146">
        <f t="shared" si="264"/>
        <v>14.186818119312441</v>
      </c>
      <c r="Z75" s="146">
        <f t="shared" si="264"/>
        <v>15.605499931243688</v>
      </c>
      <c r="AA75" s="146">
        <f t="shared" si="264"/>
        <v>17.166049924368057</v>
      </c>
      <c r="AB75" s="146">
        <f t="shared" si="264"/>
        <v>18.882654916804864</v>
      </c>
      <c r="AC75" s="146">
        <f t="shared" si="264"/>
        <v>20.770920408485352</v>
      </c>
      <c r="AD75" s="138">
        <f t="shared" si="258"/>
        <v>2.2973374882106823E-2</v>
      </c>
      <c r="AE75" s="31">
        <f t="shared" si="23"/>
        <v>0.05</v>
      </c>
      <c r="AF75" s="146">
        <f t="shared" si="211"/>
        <v>311.56380612728032</v>
      </c>
    </row>
    <row r="76" spans="2:32" x14ac:dyDescent="0.2">
      <c r="B76" s="20" t="s">
        <v>288</v>
      </c>
      <c r="C76" s="127">
        <f t="shared" ref="C76:P76" si="265">C21/C42</f>
        <v>0</v>
      </c>
      <c r="D76" s="127">
        <f t="shared" si="265"/>
        <v>0</v>
      </c>
      <c r="E76" s="127">
        <f t="shared" si="265"/>
        <v>0</v>
      </c>
      <c r="F76" s="144">
        <f t="shared" si="265"/>
        <v>11.245954692556635</v>
      </c>
      <c r="G76" s="144">
        <f t="shared" si="265"/>
        <v>-3.4789644012944985</v>
      </c>
      <c r="H76" s="144">
        <f t="shared" si="265"/>
        <v>1.6181229773462784</v>
      </c>
      <c r="I76" s="144">
        <f t="shared" si="265"/>
        <v>6.1488673139158578</v>
      </c>
      <c r="J76" s="144">
        <f t="shared" si="265"/>
        <v>1.051779935275081</v>
      </c>
      <c r="K76" s="144">
        <f t="shared" si="265"/>
        <v>0.3236245954692557</v>
      </c>
      <c r="L76" s="144">
        <f t="shared" si="265"/>
        <v>-1.2135922330097089</v>
      </c>
      <c r="M76" s="144">
        <f t="shared" si="265"/>
        <v>-0.44319097502014504</v>
      </c>
      <c r="N76" s="144">
        <f t="shared" si="265"/>
        <v>0.4854368932038835</v>
      </c>
      <c r="O76" s="144">
        <f t="shared" si="265"/>
        <v>0</v>
      </c>
      <c r="P76" s="144">
        <f t="shared" si="265"/>
        <v>0.60667340748230536</v>
      </c>
      <c r="Q76" s="144">
        <f t="shared" ref="Q76" si="266">Q21/Q42</f>
        <v>0.60667340748230536</v>
      </c>
      <c r="R76" s="118">
        <f>((P76/G76)^(1/($H$2-$H$1) ))-1</f>
        <v>-1.823612207158938</v>
      </c>
      <c r="S76" s="128"/>
      <c r="T76" s="146">
        <f t="shared" ref="T76:AC76" si="267">T21/T42</f>
        <v>0.66734074823053591</v>
      </c>
      <c r="U76" s="146">
        <f t="shared" si="267"/>
        <v>0.73407482305358951</v>
      </c>
      <c r="V76" s="146">
        <f t="shared" si="267"/>
        <v>0.80748230535894849</v>
      </c>
      <c r="W76" s="146">
        <f t="shared" si="267"/>
        <v>0.88823053589484335</v>
      </c>
      <c r="X76" s="146">
        <f t="shared" si="267"/>
        <v>0.97705358948432786</v>
      </c>
      <c r="Y76" s="146">
        <f t="shared" si="267"/>
        <v>1.0747589484327607</v>
      </c>
      <c r="Z76" s="146">
        <f t="shared" si="267"/>
        <v>1.182234843276037</v>
      </c>
      <c r="AA76" s="146">
        <f t="shared" si="267"/>
        <v>1.3004583276036408</v>
      </c>
      <c r="AB76" s="146">
        <f t="shared" si="267"/>
        <v>1.430504160364005</v>
      </c>
      <c r="AC76" s="146">
        <f t="shared" si="267"/>
        <v>1.5735545764004055</v>
      </c>
      <c r="AD76" s="138" t="e">
        <f t="shared" si="258"/>
        <v>#NUM!</v>
      </c>
      <c r="AE76" s="31">
        <f t="shared" si="23"/>
        <v>0.05</v>
      </c>
      <c r="AF76" s="146">
        <f t="shared" si="211"/>
        <v>23.603318646006088</v>
      </c>
    </row>
    <row r="77" spans="2:32" x14ac:dyDescent="0.2">
      <c r="B77" s="20" t="s">
        <v>289</v>
      </c>
      <c r="C77" s="127">
        <f t="shared" ref="C77:P77" si="268">C22/C42</f>
        <v>0</v>
      </c>
      <c r="D77" s="127">
        <f t="shared" si="268"/>
        <v>0</v>
      </c>
      <c r="E77" s="127">
        <f t="shared" si="268"/>
        <v>0</v>
      </c>
      <c r="F77" s="144">
        <f t="shared" si="268"/>
        <v>-18.932038834951456</v>
      </c>
      <c r="G77" s="144">
        <f t="shared" si="268"/>
        <v>-9.6278317152103572</v>
      </c>
      <c r="H77" s="144">
        <f t="shared" si="268"/>
        <v>-9.7087378640776709</v>
      </c>
      <c r="I77" s="144">
        <f t="shared" si="268"/>
        <v>-9.7087378640776709</v>
      </c>
      <c r="J77" s="144">
        <f t="shared" si="268"/>
        <v>-11.407766990291263</v>
      </c>
      <c r="K77" s="144">
        <f t="shared" si="268"/>
        <v>-18.446601941747574</v>
      </c>
      <c r="L77" s="144">
        <f t="shared" si="268"/>
        <v>-22.653721682847898</v>
      </c>
      <c r="M77" s="144">
        <f t="shared" si="268"/>
        <v>-16.921837228041902</v>
      </c>
      <c r="N77" s="144">
        <f t="shared" si="268"/>
        <v>-17.516181229773462</v>
      </c>
      <c r="O77" s="144">
        <f t="shared" si="268"/>
        <v>-8.736097067745197</v>
      </c>
      <c r="P77" s="144">
        <f t="shared" si="268"/>
        <v>-8.2305358948432747</v>
      </c>
      <c r="Q77" s="144">
        <f t="shared" ref="Q77" si="269">Q22/Q42</f>
        <v>-8.2305358948432747</v>
      </c>
      <c r="R77" s="118">
        <f>((P77/G77)^(1/($H$2-$H$1) ))-1</f>
        <v>-1.7272087777250311E-2</v>
      </c>
      <c r="S77" s="128"/>
      <c r="T77" s="146">
        <f t="shared" ref="T77:AC77" si="270">T22/T42</f>
        <v>-9.0535894843276044</v>
      </c>
      <c r="U77" s="146">
        <f t="shared" si="270"/>
        <v>-9.9589484327603657</v>
      </c>
      <c r="V77" s="146">
        <f t="shared" si="270"/>
        <v>-10.954843276036401</v>
      </c>
      <c r="W77" s="146">
        <f t="shared" si="270"/>
        <v>-12.050327603640044</v>
      </c>
      <c r="X77" s="146">
        <f t="shared" si="270"/>
        <v>-13.255360364004048</v>
      </c>
      <c r="Y77" s="146">
        <f t="shared" si="270"/>
        <v>-14.580896400404454</v>
      </c>
      <c r="Z77" s="146">
        <f t="shared" si="270"/>
        <v>-16.0389860404449</v>
      </c>
      <c r="AA77" s="146">
        <f t="shared" si="270"/>
        <v>-17.642884644489392</v>
      </c>
      <c r="AB77" s="146">
        <f t="shared" si="270"/>
        <v>-19.407173108938334</v>
      </c>
      <c r="AC77" s="146">
        <f t="shared" si="270"/>
        <v>-21.347890419832169</v>
      </c>
      <c r="AD77" s="138">
        <f t="shared" si="258"/>
        <v>4.061797583626392E-2</v>
      </c>
      <c r="AE77" s="31">
        <f t="shared" si="23"/>
        <v>0.05</v>
      </c>
      <c r="AF77" s="146">
        <f t="shared" si="211"/>
        <v>-320.21835629748256</v>
      </c>
    </row>
    <row r="78" spans="2:32" x14ac:dyDescent="0.2">
      <c r="B78" s="20" t="s">
        <v>296</v>
      </c>
      <c r="C78" s="127">
        <f t="shared" ref="C78:P78" si="271">C23/C42</f>
        <v>0</v>
      </c>
      <c r="D78" s="127">
        <f t="shared" si="271"/>
        <v>0</v>
      </c>
      <c r="E78" s="127">
        <f t="shared" si="271"/>
        <v>0</v>
      </c>
      <c r="F78" s="144">
        <f t="shared" si="271"/>
        <v>2.2653721682847898</v>
      </c>
      <c r="G78" s="144">
        <f t="shared" si="271"/>
        <v>2.4271844660194177</v>
      </c>
      <c r="H78" s="144">
        <f t="shared" si="271"/>
        <v>3.2362459546925568</v>
      </c>
      <c r="I78" s="144">
        <f t="shared" si="271"/>
        <v>7.200647249190939</v>
      </c>
      <c r="J78" s="144">
        <f t="shared" si="271"/>
        <v>25.728155339805827</v>
      </c>
      <c r="K78" s="144">
        <f t="shared" si="271"/>
        <v>20.631067961165048</v>
      </c>
      <c r="L78" s="144">
        <f t="shared" si="271"/>
        <v>42.475728155339809</v>
      </c>
      <c r="M78" s="144">
        <f t="shared" si="271"/>
        <v>24.536663980660759</v>
      </c>
      <c r="N78" s="144">
        <f t="shared" si="271"/>
        <v>21.601941747572816</v>
      </c>
      <c r="O78" s="144">
        <f t="shared" si="271"/>
        <v>11.607684529828109</v>
      </c>
      <c r="P78" s="144">
        <f t="shared" si="271"/>
        <v>12.012133468149646</v>
      </c>
      <c r="Q78" s="144">
        <f t="shared" ref="Q78" si="272">Q23/Q42</f>
        <v>12.012133468149646</v>
      </c>
      <c r="R78" s="118">
        <f>((P78/G78)^(1/($H$2-$H$1) ))-1</f>
        <v>0.1944517088817892</v>
      </c>
      <c r="S78" s="128"/>
      <c r="T78" s="146">
        <f t="shared" ref="T78:AC78" si="273">T23/T42</f>
        <v>13.213346814964611</v>
      </c>
      <c r="U78" s="146">
        <f t="shared" si="273"/>
        <v>14.534681496461074</v>
      </c>
      <c r="V78" s="146">
        <f t="shared" si="273"/>
        <v>15.98814964610718</v>
      </c>
      <c r="W78" s="146">
        <f t="shared" si="273"/>
        <v>17.586964610717899</v>
      </c>
      <c r="X78" s="146">
        <f t="shared" si="273"/>
        <v>19.345661071789692</v>
      </c>
      <c r="Y78" s="146">
        <f t="shared" si="273"/>
        <v>21.280227178968662</v>
      </c>
      <c r="Z78" s="146">
        <f t="shared" si="273"/>
        <v>23.408249896865531</v>
      </c>
      <c r="AA78" s="146">
        <f t="shared" si="273"/>
        <v>25.749074886552087</v>
      </c>
      <c r="AB78" s="146">
        <f t="shared" si="273"/>
        <v>28.323982375207297</v>
      </c>
      <c r="AC78" s="146">
        <f t="shared" si="273"/>
        <v>31.156380612728029</v>
      </c>
      <c r="AD78" s="138">
        <f t="shared" ref="AD78" si="274">((AC78/G78)^(1/($AC$3-$H$1) ))-1</f>
        <v>0.13611478290611689</v>
      </c>
      <c r="AE78" s="31">
        <f t="shared" si="23"/>
        <v>0.05</v>
      </c>
      <c r="AF78" s="146">
        <f t="shared" si="211"/>
        <v>467.3457091909205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75">C36/C42</f>
        <v>0</v>
      </c>
      <c r="D80" s="144">
        <f t="shared" si="275"/>
        <v>0</v>
      </c>
      <c r="E80" s="144">
        <f t="shared" si="275"/>
        <v>0</v>
      </c>
      <c r="F80" s="144">
        <f t="shared" si="275"/>
        <v>17.071197411003237</v>
      </c>
      <c r="G80" s="144">
        <f t="shared" si="275"/>
        <v>17.313915857605178</v>
      </c>
      <c r="H80" s="144">
        <f t="shared" si="275"/>
        <v>17.233009708737864</v>
      </c>
      <c r="I80" s="144">
        <f t="shared" si="275"/>
        <v>17.880258899676377</v>
      </c>
      <c r="J80" s="144">
        <f t="shared" si="275"/>
        <v>26.779935275080906</v>
      </c>
      <c r="K80" s="144">
        <f t="shared" si="275"/>
        <v>33.373786407766993</v>
      </c>
      <c r="L80" s="144">
        <f t="shared" si="275"/>
        <v>49.190938511326863</v>
      </c>
      <c r="M80" s="144">
        <f t="shared" si="275"/>
        <v>29.613215149073326</v>
      </c>
      <c r="N80" s="144">
        <f t="shared" si="275"/>
        <v>27.629449838187703</v>
      </c>
      <c r="O80" s="144">
        <f t="shared" si="275"/>
        <v>12.578361981799796</v>
      </c>
      <c r="P80" s="144">
        <f t="shared" si="275"/>
        <v>13.892821031344791</v>
      </c>
      <c r="Q80" s="144">
        <f t="shared" ref="Q80" si="276">Q36/Q42</f>
        <v>13.892821031344791</v>
      </c>
      <c r="R80" s="118">
        <f>((P80/G80)^(1/($H$2-$H$1) ))-1</f>
        <v>-2.4163097195527783E-2</v>
      </c>
      <c r="S80" s="128"/>
      <c r="T80" s="144">
        <f t="shared" ref="T80:AC80" si="277">T36/T42</f>
        <v>15.282103134479271</v>
      </c>
      <c r="U80" s="144">
        <f t="shared" si="277"/>
        <v>16.8103134479272</v>
      </c>
      <c r="V80" s="144">
        <f t="shared" si="277"/>
        <v>18.491344792719921</v>
      </c>
      <c r="W80" s="144">
        <f t="shared" si="277"/>
        <v>20.340479271991917</v>
      </c>
      <c r="X80" s="144">
        <f t="shared" si="277"/>
        <v>22.37452719919111</v>
      </c>
      <c r="Y80" s="144">
        <f t="shared" si="277"/>
        <v>24.611979919110222</v>
      </c>
      <c r="Z80" s="144">
        <f t="shared" si="277"/>
        <v>27.073177911021244</v>
      </c>
      <c r="AA80" s="144">
        <f t="shared" si="277"/>
        <v>29.780495702123371</v>
      </c>
      <c r="AB80" s="144">
        <f t="shared" si="277"/>
        <v>32.758545272335709</v>
      </c>
      <c r="AC80" s="144">
        <f t="shared" si="277"/>
        <v>36.034399799569279</v>
      </c>
      <c r="AD80" s="138">
        <f t="shared" ref="AD80:AD82" si="278">((AC80/G80)^(1/($AC$3-$H$1) ))-1</f>
        <v>3.7327997109573463E-2</v>
      </c>
      <c r="AE80" s="31">
        <f t="shared" si="23"/>
        <v>0.05</v>
      </c>
      <c r="AF80" s="146">
        <f t="shared" si="211"/>
        <v>540.51599699353926</v>
      </c>
    </row>
    <row r="81" spans="2:32" x14ac:dyDescent="0.2">
      <c r="B81" s="20" t="s">
        <v>312</v>
      </c>
      <c r="C81" s="144">
        <f t="shared" ref="C81:P81" si="279">C40/C42</f>
        <v>0</v>
      </c>
      <c r="D81" s="144">
        <f t="shared" si="279"/>
        <v>0</v>
      </c>
      <c r="E81" s="144">
        <f t="shared" si="279"/>
        <v>0</v>
      </c>
      <c r="F81" s="144">
        <f t="shared" si="279"/>
        <v>11.165048543689322</v>
      </c>
      <c r="G81" s="144">
        <f t="shared" si="279"/>
        <v>10.275080906148867</v>
      </c>
      <c r="H81" s="144">
        <f t="shared" si="279"/>
        <v>11.893203883495147</v>
      </c>
      <c r="I81" s="144">
        <f t="shared" si="279"/>
        <v>12.540453074433657</v>
      </c>
      <c r="J81" s="144">
        <f t="shared" si="279"/>
        <v>17.637540453074436</v>
      </c>
      <c r="K81" s="144">
        <f t="shared" si="279"/>
        <v>21.197411003236247</v>
      </c>
      <c r="L81" s="144">
        <f t="shared" si="279"/>
        <v>30.825242718446603</v>
      </c>
      <c r="M81" s="144">
        <f t="shared" si="279"/>
        <v>19.742143432715551</v>
      </c>
      <c r="N81" s="144">
        <f t="shared" si="279"/>
        <v>19.457928802588999</v>
      </c>
      <c r="O81" s="144">
        <f t="shared" si="279"/>
        <v>9.0394337714863493</v>
      </c>
      <c r="P81" s="144">
        <f t="shared" si="279"/>
        <v>10.273003033367036</v>
      </c>
      <c r="Q81" s="144">
        <f t="shared" ref="Q81" si="280">Q40/Q42</f>
        <v>10.273003033367036</v>
      </c>
      <c r="R81" s="118">
        <f>((P81/G81)^(1/($H$2-$H$1) ))-1</f>
        <v>-2.2471405212609596E-5</v>
      </c>
      <c r="S81" s="128"/>
      <c r="T81" s="144">
        <f t="shared" ref="T81:AC81" si="281">T40/T42</f>
        <v>11.300303336703742</v>
      </c>
      <c r="U81" s="144">
        <f t="shared" si="281"/>
        <v>12.430333670374118</v>
      </c>
      <c r="V81" s="144">
        <f t="shared" si="281"/>
        <v>13.673367037411531</v>
      </c>
      <c r="W81" s="144">
        <f t="shared" si="281"/>
        <v>15.040703741152685</v>
      </c>
      <c r="X81" s="144">
        <f t="shared" si="281"/>
        <v>16.544774115267955</v>
      </c>
      <c r="Y81" s="144">
        <f t="shared" si="281"/>
        <v>18.19925152679475</v>
      </c>
      <c r="Z81" s="144">
        <f t="shared" si="281"/>
        <v>20.019176679474228</v>
      </c>
      <c r="AA81" s="144">
        <f t="shared" si="281"/>
        <v>22.021094347421649</v>
      </c>
      <c r="AB81" s="144">
        <f t="shared" si="281"/>
        <v>24.223203782163814</v>
      </c>
      <c r="AC81" s="144">
        <f t="shared" si="281"/>
        <v>26.645524160380202</v>
      </c>
      <c r="AD81" s="138">
        <f t="shared" si="278"/>
        <v>4.8798242410733383E-2</v>
      </c>
      <c r="AE81" s="31">
        <f t="shared" si="23"/>
        <v>0.05</v>
      </c>
      <c r="AF81" s="146">
        <f t="shared" si="211"/>
        <v>399.68286240570308</v>
      </c>
    </row>
    <row r="82" spans="2:32" x14ac:dyDescent="0.2">
      <c r="B82" s="20" t="s">
        <v>313</v>
      </c>
      <c r="C82" s="144">
        <f t="shared" ref="C82:P82" si="282">C6/C42</f>
        <v>0</v>
      </c>
      <c r="D82" s="144">
        <f t="shared" si="282"/>
        <v>0</v>
      </c>
      <c r="E82" s="144">
        <f t="shared" si="282"/>
        <v>0</v>
      </c>
      <c r="F82" s="144">
        <f t="shared" si="282"/>
        <v>18.125404530744337</v>
      </c>
      <c r="G82" s="144">
        <f t="shared" si="282"/>
        <v>19.093851132686083</v>
      </c>
      <c r="H82" s="144">
        <f t="shared" si="282"/>
        <v>21.521035598705502</v>
      </c>
      <c r="I82" s="144">
        <f t="shared" si="282"/>
        <v>23.786407766990294</v>
      </c>
      <c r="J82" s="144">
        <f t="shared" si="282"/>
        <v>24.757281553398059</v>
      </c>
      <c r="K82" s="144">
        <f t="shared" si="282"/>
        <v>28.473300970873787</v>
      </c>
      <c r="L82" s="144">
        <f t="shared" si="282"/>
        <v>30.045307443365697</v>
      </c>
      <c r="M82" s="144">
        <f t="shared" si="282"/>
        <v>12.337630942788076</v>
      </c>
      <c r="N82" s="144">
        <f t="shared" si="282"/>
        <v>14.438511326860842</v>
      </c>
      <c r="O82" s="144">
        <f t="shared" si="282"/>
        <v>3.1278058645096052</v>
      </c>
      <c r="P82" s="144">
        <f t="shared" si="282"/>
        <v>5.1971688574317492</v>
      </c>
      <c r="Q82" s="144">
        <f t="shared" ref="Q82" si="283">Q6/Q42</f>
        <v>5.1971688574317492</v>
      </c>
      <c r="R82" s="118">
        <f>((P82/G82)^(1/($H$2-$H$1) ))-1</f>
        <v>-0.13461742950427613</v>
      </c>
      <c r="S82" s="128"/>
      <c r="T82" s="144">
        <f t="shared" ref="T82:AC82" si="284">T6/T42</f>
        <v>5.7168857431749247</v>
      </c>
      <c r="U82" s="144">
        <f t="shared" si="284"/>
        <v>6.2885743174924178</v>
      </c>
      <c r="V82" s="144">
        <f t="shared" si="284"/>
        <v>6.9174317492416604</v>
      </c>
      <c r="W82" s="144">
        <f t="shared" si="284"/>
        <v>7.6091749241658277</v>
      </c>
      <c r="X82" s="144">
        <f t="shared" si="284"/>
        <v>8.3700924165824109</v>
      </c>
      <c r="Y82" s="144">
        <f t="shared" si="284"/>
        <v>9.2071016582406529</v>
      </c>
      <c r="Z82" s="144">
        <f t="shared" si="284"/>
        <v>10.127811824064718</v>
      </c>
      <c r="AA82" s="144">
        <f t="shared" si="284"/>
        <v>11.140593006471192</v>
      </c>
      <c r="AB82" s="144">
        <f t="shared" si="284"/>
        <v>12.254652307118313</v>
      </c>
      <c r="AC82" s="144">
        <f t="shared" si="284"/>
        <v>13.480117537830147</v>
      </c>
      <c r="AD82" s="138">
        <f t="shared" si="278"/>
        <v>-1.7256890749714371E-2</v>
      </c>
      <c r="AE82" s="31">
        <f t="shared" ref="AE82" si="285">$L$1</f>
        <v>0.05</v>
      </c>
      <c r="AF82" s="146">
        <f t="shared" si="211"/>
        <v>202.20176306745222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86">E36/E25</f>
        <v>#DIV/0!</v>
      </c>
      <c r="F86" s="152">
        <f t="shared" si="286"/>
        <v>0.17112733171127331</v>
      </c>
      <c r="G86" s="152">
        <f t="shared" si="286"/>
        <v>0.15828402366863906</v>
      </c>
      <c r="H86" s="152">
        <f t="shared" si="286"/>
        <v>0.14105960264900663</v>
      </c>
      <c r="I86" s="152">
        <f t="shared" si="286"/>
        <v>0.11926605504587157</v>
      </c>
      <c r="J86" s="152">
        <f t="shared" si="286"/>
        <v>0.1730266596968113</v>
      </c>
      <c r="K86" s="152">
        <f t="shared" si="286"/>
        <v>0.17818574514038876</v>
      </c>
      <c r="L86" s="152">
        <f t="shared" si="286"/>
        <v>0.25535489290214197</v>
      </c>
      <c r="M86" s="152">
        <f t="shared" si="286"/>
        <v>0.25681341719077566</v>
      </c>
      <c r="N86" s="152">
        <f t="shared" si="286"/>
        <v>0.21579778830963664</v>
      </c>
      <c r="O86" s="152">
        <f t="shared" si="286"/>
        <v>0.19407176287051481</v>
      </c>
      <c r="P86" s="152">
        <f t="shared" si="286"/>
        <v>0.20711486282785649</v>
      </c>
      <c r="Q86" s="152">
        <f t="shared" ref="Q86" si="287">Q36/Q25</f>
        <v>0.20205882352941176</v>
      </c>
      <c r="R86" s="118">
        <f t="shared" ref="R86:R138" si="288">((P86/G86)^(1/($H$2-$H$1) ))-1</f>
        <v>3.0326593203152008E-2</v>
      </c>
      <c r="S86" s="152"/>
      <c r="T86" s="152">
        <f t="shared" ref="T86:AC86" si="289">T36/T25</f>
        <v>0.20205882352941176</v>
      </c>
      <c r="U86" s="152">
        <f t="shared" si="289"/>
        <v>0.20205882352941174</v>
      </c>
      <c r="V86" s="152">
        <f t="shared" si="289"/>
        <v>0.20205882352941174</v>
      </c>
      <c r="W86" s="152">
        <f t="shared" si="289"/>
        <v>0.20205882352941174</v>
      </c>
      <c r="X86" s="152">
        <f t="shared" si="289"/>
        <v>0.20205882352941174</v>
      </c>
      <c r="Y86" s="152">
        <f t="shared" si="289"/>
        <v>0.20205882352941171</v>
      </c>
      <c r="Z86" s="152">
        <f t="shared" si="289"/>
        <v>0.20205882352941171</v>
      </c>
      <c r="AA86" s="152">
        <f t="shared" si="289"/>
        <v>0.20205882352941168</v>
      </c>
      <c r="AB86" s="152">
        <f t="shared" si="289"/>
        <v>0.20205882352941168</v>
      </c>
      <c r="AC86" s="152">
        <f t="shared" si="289"/>
        <v>0.20205882352941168</v>
      </c>
      <c r="AD86" s="138">
        <f t="shared" ref="AD86:AD125" si="290">((AC86/G86)^(1/($AC$3-$H$1) ))-1</f>
        <v>1.2283217761410947E-2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91">E40/E25</f>
        <v>#DIV/0!</v>
      </c>
      <c r="F87" s="152">
        <f t="shared" si="291"/>
        <v>0.11192214111922141</v>
      </c>
      <c r="G87" s="152">
        <f t="shared" si="291"/>
        <v>9.3934911242603544E-2</v>
      </c>
      <c r="H87" s="152">
        <f t="shared" si="291"/>
        <v>9.7350993377483444E-2</v>
      </c>
      <c r="I87" s="152">
        <f t="shared" si="291"/>
        <v>8.3648138154344312E-2</v>
      </c>
      <c r="J87" s="152">
        <f t="shared" si="291"/>
        <v>0.11395713538944068</v>
      </c>
      <c r="K87" s="152">
        <f t="shared" si="291"/>
        <v>0.11317494600431965</v>
      </c>
      <c r="L87" s="152">
        <f t="shared" si="291"/>
        <v>0.16001679966400673</v>
      </c>
      <c r="M87" s="152">
        <f t="shared" si="291"/>
        <v>0.17120894479385046</v>
      </c>
      <c r="N87" s="152">
        <f t="shared" si="291"/>
        <v>0.15197472353870459</v>
      </c>
      <c r="O87" s="152">
        <f t="shared" si="291"/>
        <v>0.13946957878315133</v>
      </c>
      <c r="P87" s="152">
        <f t="shared" si="291"/>
        <v>0.15315043714199578</v>
      </c>
      <c r="Q87" s="152">
        <f t="shared" ref="Q87" si="292">Q40/Q25</f>
        <v>0.14941176470588236</v>
      </c>
      <c r="R87" s="118">
        <f t="shared" si="288"/>
        <v>5.5815205753923181E-2</v>
      </c>
      <c r="S87" s="152"/>
      <c r="T87" s="152">
        <f t="shared" ref="T87:AC87" si="293">T40/T25</f>
        <v>0.14941176470588236</v>
      </c>
      <c r="U87" s="152">
        <f t="shared" si="293"/>
        <v>0.14941176470588236</v>
      </c>
      <c r="V87" s="152">
        <f t="shared" si="293"/>
        <v>0.14941176470588236</v>
      </c>
      <c r="W87" s="152">
        <f t="shared" si="293"/>
        <v>0.14941176470588236</v>
      </c>
      <c r="X87" s="152">
        <f t="shared" si="293"/>
        <v>0.14941176470588233</v>
      </c>
      <c r="Y87" s="152">
        <f t="shared" si="293"/>
        <v>0.14941176470588233</v>
      </c>
      <c r="Z87" s="152">
        <f t="shared" si="293"/>
        <v>0.14941176470588233</v>
      </c>
      <c r="AA87" s="152">
        <f t="shared" si="293"/>
        <v>0.1494117647058823</v>
      </c>
      <c r="AB87" s="152">
        <f t="shared" si="293"/>
        <v>0.1494117647058823</v>
      </c>
      <c r="AC87" s="152">
        <f t="shared" si="293"/>
        <v>0.14941176470588233</v>
      </c>
      <c r="AD87" s="138">
        <f t="shared" si="290"/>
        <v>2.3476530632869475E-2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94">E40/E7</f>
        <v>#DIV/0!</v>
      </c>
      <c r="F88" s="152">
        <f t="shared" si="294"/>
        <v>0.39655172413793105</v>
      </c>
      <c r="G88" s="152">
        <f>G40/G7</f>
        <v>0.3527777777777778</v>
      </c>
      <c r="H88" s="152">
        <f t="shared" si="294"/>
        <v>0.37692307692307692</v>
      </c>
      <c r="I88" s="152">
        <f t="shared" si="294"/>
        <v>0.37170263788968827</v>
      </c>
      <c r="J88" s="152">
        <f t="shared" si="294"/>
        <v>0.50697674418604655</v>
      </c>
      <c r="K88" s="152">
        <f t="shared" si="294"/>
        <v>0.55091784595327709</v>
      </c>
      <c r="L88" s="152">
        <f t="shared" si="294"/>
        <v>0.76969696969696966</v>
      </c>
      <c r="M88" s="152">
        <f t="shared" si="294"/>
        <v>0.88527551942186089</v>
      </c>
      <c r="N88" s="152">
        <f t="shared" si="294"/>
        <v>0.79609400860642165</v>
      </c>
      <c r="O88" s="152">
        <f t="shared" si="294"/>
        <v>0.68850792477242273</v>
      </c>
      <c r="P88" s="152">
        <f t="shared" ref="P88:Q88" si="295">P40/P7</f>
        <v>0.78246538206798821</v>
      </c>
      <c r="Q88" s="152">
        <f t="shared" si="295"/>
        <v>0.67643142476697737</v>
      </c>
      <c r="R88" s="118">
        <f t="shared" si="288"/>
        <v>9.2547769440028071E-2</v>
      </c>
      <c r="S88" s="20"/>
      <c r="T88" s="152">
        <f t="shared" ref="T88" si="296">T40/T7</f>
        <v>0.67643142476697737</v>
      </c>
      <c r="U88" s="152">
        <f t="shared" ref="U88:AC88" si="297">U40/U7</f>
        <v>0.67643142476697748</v>
      </c>
      <c r="V88" s="152">
        <f t="shared" si="297"/>
        <v>0.67643142476697748</v>
      </c>
      <c r="W88" s="152">
        <f t="shared" si="297"/>
        <v>0.67643142476697737</v>
      </c>
      <c r="X88" s="152">
        <f t="shared" si="297"/>
        <v>0.67643142476697737</v>
      </c>
      <c r="Y88" s="152">
        <f t="shared" si="297"/>
        <v>0.67643142476697737</v>
      </c>
      <c r="Z88" s="152">
        <f t="shared" si="297"/>
        <v>0.67643142476697737</v>
      </c>
      <c r="AA88" s="152">
        <f t="shared" si="297"/>
        <v>0.67643142476697737</v>
      </c>
      <c r="AB88" s="152">
        <f t="shared" si="297"/>
        <v>0.67643142476697726</v>
      </c>
      <c r="AC88" s="152">
        <f t="shared" si="297"/>
        <v>0.67643142476697737</v>
      </c>
      <c r="AD88" s="138">
        <f t="shared" si="290"/>
        <v>3.3085171161587379E-2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98">(E40)/(E7+E10)</f>
        <v>#DIV/0!</v>
      </c>
      <c r="F89" s="152">
        <f t="shared" si="298"/>
        <v>0.39182282793867124</v>
      </c>
      <c r="G89" s="152">
        <f>(G40)/(G7+G10)</f>
        <v>0.34918889194390984</v>
      </c>
      <c r="H89" s="152">
        <f t="shared" ref="H89:O89" si="299">(H40)/(H7+H10)</f>
        <v>0.37433155080213903</v>
      </c>
      <c r="I89" s="152">
        <f t="shared" si="299"/>
        <v>0.36923223516520165</v>
      </c>
      <c r="J89" s="152">
        <f t="shared" si="299"/>
        <v>0.50370849603733914</v>
      </c>
      <c r="K89" s="152">
        <f t="shared" si="299"/>
        <v>0.54770465758006526</v>
      </c>
      <c r="L89" s="152">
        <f t="shared" si="299"/>
        <v>0.76969696969696966</v>
      </c>
      <c r="M89" s="152">
        <f t="shared" si="299"/>
        <v>0.88527551942186089</v>
      </c>
      <c r="N89" s="152">
        <f t="shared" si="299"/>
        <v>0.79609400860642165</v>
      </c>
      <c r="O89" s="152">
        <f t="shared" si="299"/>
        <v>0.68850792477242273</v>
      </c>
      <c r="P89" s="152">
        <f t="shared" ref="P89:Q89" si="300">(P40)/(P7+P10)</f>
        <v>0.78246538206798821</v>
      </c>
      <c r="Q89" s="152">
        <f t="shared" si="300"/>
        <v>0.67643142476697737</v>
      </c>
      <c r="R89" s="118">
        <f t="shared" si="288"/>
        <v>9.3789769425851155E-2</v>
      </c>
      <c r="S89" s="20"/>
      <c r="T89" s="152">
        <f t="shared" ref="T89:AC89" si="301">(T40)/(T7+T10)</f>
        <v>0.67643142476697737</v>
      </c>
      <c r="U89" s="152">
        <f t="shared" si="301"/>
        <v>0.67643142476697748</v>
      </c>
      <c r="V89" s="152">
        <f t="shared" si="301"/>
        <v>0.67643142476697748</v>
      </c>
      <c r="W89" s="152">
        <f t="shared" si="301"/>
        <v>0.67643142476697737</v>
      </c>
      <c r="X89" s="152">
        <f t="shared" si="301"/>
        <v>0.67643142476697737</v>
      </c>
      <c r="Y89" s="152">
        <f t="shared" si="301"/>
        <v>0.67643142476697737</v>
      </c>
      <c r="Z89" s="152">
        <f t="shared" si="301"/>
        <v>0.67643142476697737</v>
      </c>
      <c r="AA89" s="152">
        <f t="shared" si="301"/>
        <v>0.67643142476697737</v>
      </c>
      <c r="AB89" s="152">
        <f t="shared" si="301"/>
        <v>0.67643142476697726</v>
      </c>
      <c r="AC89" s="152">
        <f t="shared" si="301"/>
        <v>0.67643142476697737</v>
      </c>
      <c r="AD89" s="138">
        <f t="shared" si="290"/>
        <v>3.3613487556347632E-2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0.1205621301775148</v>
      </c>
      <c r="H90" s="152">
        <f t="shared" ref="H90:P90" si="302">H20/H25</f>
        <v>7.3509933774834432E-2</v>
      </c>
      <c r="I90" s="152">
        <f t="shared" si="302"/>
        <v>5.0728548300053966E-2</v>
      </c>
      <c r="J90" s="152">
        <f t="shared" si="302"/>
        <v>0.18661787767903815</v>
      </c>
      <c r="K90" s="152">
        <f t="shared" si="302"/>
        <v>6.9978401727861766E-2</v>
      </c>
      <c r="L90" s="152">
        <f t="shared" si="302"/>
        <v>0.23771524569508609</v>
      </c>
      <c r="M90" s="152">
        <f t="shared" si="302"/>
        <v>0.17994409503843467</v>
      </c>
      <c r="N90" s="152">
        <f t="shared" si="302"/>
        <v>0.11058451816745656</v>
      </c>
      <c r="O90" s="152">
        <f t="shared" si="302"/>
        <v>0.14570982839313573</v>
      </c>
      <c r="P90" s="152">
        <f t="shared" si="302"/>
        <v>0.11938498643352427</v>
      </c>
      <c r="Q90" s="152">
        <f t="shared" ref="Q90" si="303">Q20/Q25</f>
        <v>0.11647058823529412</v>
      </c>
      <c r="R90" s="118">
        <f t="shared" si="288"/>
        <v>-1.089602828661107E-3</v>
      </c>
      <c r="S90" s="20"/>
      <c r="T90" s="152">
        <f t="shared" ref="T90:AC90" si="304">T20/T25</f>
        <v>0.1164705882352941</v>
      </c>
      <c r="U90" s="152">
        <f t="shared" si="304"/>
        <v>0.11647058823529412</v>
      </c>
      <c r="V90" s="152">
        <f t="shared" si="304"/>
        <v>0.1164705882352941</v>
      </c>
      <c r="W90" s="152">
        <f t="shared" si="304"/>
        <v>0.1164705882352941</v>
      </c>
      <c r="X90" s="152">
        <f t="shared" si="304"/>
        <v>0.1164705882352941</v>
      </c>
      <c r="Y90" s="152">
        <f t="shared" si="304"/>
        <v>0.11647058823529409</v>
      </c>
      <c r="Z90" s="152">
        <f t="shared" si="304"/>
        <v>0.11647058823529409</v>
      </c>
      <c r="AA90" s="152">
        <f t="shared" si="304"/>
        <v>0.11647058823529409</v>
      </c>
      <c r="AB90" s="152">
        <f t="shared" si="304"/>
        <v>0.11647058823529408</v>
      </c>
      <c r="AC90" s="152">
        <f t="shared" si="304"/>
        <v>0.11647058823529408</v>
      </c>
      <c r="AD90" s="138">
        <f t="shared" si="290"/>
        <v>-1.7248329406416296E-3</v>
      </c>
      <c r="AE90" s="146"/>
      <c r="AF90" s="146"/>
    </row>
    <row r="91" spans="2:32" x14ac:dyDescent="0.2">
      <c r="B91" s="20" t="s">
        <v>428</v>
      </c>
      <c r="C91" s="152"/>
      <c r="D91" s="152"/>
      <c r="E91" s="152"/>
      <c r="F91" s="152"/>
      <c r="G91" s="152">
        <f>G52/G25</f>
        <v>-9.3934911242603544E-2</v>
      </c>
      <c r="H91" s="152">
        <f t="shared" ref="H91:P91" si="305">H52/H25</f>
        <v>-9.7350993377483444E-2</v>
      </c>
      <c r="I91" s="152">
        <f t="shared" si="305"/>
        <v>-8.3648138154344312E-2</v>
      </c>
      <c r="J91" s="152">
        <f t="shared" si="305"/>
        <v>-0.11395713538944068</v>
      </c>
      <c r="K91" s="152">
        <f t="shared" si="305"/>
        <v>-0.11317494600431965</v>
      </c>
      <c r="L91" s="152">
        <f t="shared" si="305"/>
        <v>-0.16001679966400673</v>
      </c>
      <c r="M91" s="152">
        <f t="shared" si="305"/>
        <v>-0.17120894479385046</v>
      </c>
      <c r="N91" s="152">
        <f t="shared" si="305"/>
        <v>-0.15197472353870459</v>
      </c>
      <c r="O91" s="152">
        <f t="shared" si="305"/>
        <v>-0.13946957878315133</v>
      </c>
      <c r="P91" s="152">
        <f t="shared" si="305"/>
        <v>7.6575218570997888E-2</v>
      </c>
      <c r="Q91" s="152">
        <f t="shared" ref="Q91" si="306">Q52/Q25</f>
        <v>7.4705882352941178E-2</v>
      </c>
      <c r="R91" s="118">
        <f t="shared" si="288"/>
        <v>-1.9775525998559598</v>
      </c>
      <c r="S91" s="20"/>
      <c r="T91" s="152">
        <f t="shared" ref="T91:AC91" si="307">T52/T25</f>
        <v>7.4705882352941164E-2</v>
      </c>
      <c r="U91" s="152">
        <f t="shared" si="307"/>
        <v>7.4705882352941136E-2</v>
      </c>
      <c r="V91" s="152">
        <f t="shared" si="307"/>
        <v>7.4705882352941136E-2</v>
      </c>
      <c r="W91" s="152">
        <f t="shared" si="307"/>
        <v>7.4705882352941164E-2</v>
      </c>
      <c r="X91" s="152">
        <f t="shared" si="307"/>
        <v>7.4705882352941164E-2</v>
      </c>
      <c r="Y91" s="152">
        <f t="shared" si="307"/>
        <v>7.4705882352941164E-2</v>
      </c>
      <c r="Z91" s="152">
        <f t="shared" si="307"/>
        <v>7.4705882352941164E-2</v>
      </c>
      <c r="AA91" s="152">
        <f t="shared" si="307"/>
        <v>7.4705882352941164E-2</v>
      </c>
      <c r="AB91" s="152">
        <f t="shared" si="307"/>
        <v>7.4705882352941164E-2</v>
      </c>
      <c r="AC91" s="152">
        <f t="shared" si="307"/>
        <v>7.470588235294115E-2</v>
      </c>
      <c r="AD91" s="138" t="e">
        <f t="shared" si="290"/>
        <v>#NUM!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2.1227810650887575E-3</v>
      </c>
      <c r="H93" s="152">
        <f t="shared" ref="H93:P93" si="308">H29/H25</f>
        <v>1.9933774834437084E-3</v>
      </c>
      <c r="I93" s="152">
        <f t="shared" si="308"/>
        <v>2.2126281705342685E-3</v>
      </c>
      <c r="J93" s="152">
        <f t="shared" si="308"/>
        <v>1.934134866701516E-3</v>
      </c>
      <c r="K93" s="152">
        <f t="shared" si="308"/>
        <v>1.5766738660907126E-3</v>
      </c>
      <c r="L93" s="152">
        <f t="shared" si="308"/>
        <v>1.4489710205795885E-3</v>
      </c>
      <c r="M93" s="152">
        <f t="shared" si="308"/>
        <v>8.4556254367575124E-4</v>
      </c>
      <c r="N93" s="152">
        <f t="shared" si="308"/>
        <v>6.0347551342812002E-4</v>
      </c>
      <c r="O93" s="152">
        <f t="shared" si="308"/>
        <v>5.7098283931357257E-4</v>
      </c>
      <c r="P93" s="152">
        <f t="shared" si="308"/>
        <v>6.0295447693699126E-4</v>
      </c>
      <c r="Q93" s="152">
        <f t="shared" ref="Q93" si="309">Q29/Q25</f>
        <v>5.8823529411764701E-4</v>
      </c>
      <c r="R93" s="118">
        <f t="shared" si="288"/>
        <v>-0.13051044600064932</v>
      </c>
      <c r="S93" s="20"/>
      <c r="T93" s="152">
        <f t="shared" ref="T93:AC93" si="310">T29/T25</f>
        <v>5.8823529411764701E-4</v>
      </c>
      <c r="U93" s="152">
        <f t="shared" si="310"/>
        <v>5.8823529411764701E-4</v>
      </c>
      <c r="V93" s="152">
        <f t="shared" si="310"/>
        <v>5.8823529411764701E-4</v>
      </c>
      <c r="W93" s="152">
        <f t="shared" si="310"/>
        <v>5.8823529411764701E-4</v>
      </c>
      <c r="X93" s="152">
        <f t="shared" si="310"/>
        <v>5.8823529411764701E-4</v>
      </c>
      <c r="Y93" s="152">
        <f t="shared" si="310"/>
        <v>5.8823529411764701E-4</v>
      </c>
      <c r="Z93" s="152">
        <f t="shared" si="310"/>
        <v>5.8823529411764701E-4</v>
      </c>
      <c r="AA93" s="152">
        <f t="shared" si="310"/>
        <v>5.8823529411764701E-4</v>
      </c>
      <c r="AB93" s="152">
        <f t="shared" si="310"/>
        <v>5.882352941176469E-4</v>
      </c>
      <c r="AC93" s="152">
        <f t="shared" si="310"/>
        <v>5.8823529411764701E-4</v>
      </c>
      <c r="AD93" s="138">
        <f t="shared" si="290"/>
        <v>-6.2152351829296792E-2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1.3411214953271029E-2</v>
      </c>
      <c r="H94" s="152">
        <f t="shared" ref="H94:P94" si="311">H29/H36</f>
        <v>1.4131455399061032E-2</v>
      </c>
      <c r="I94" s="152">
        <f t="shared" si="311"/>
        <v>1.8552036199095023E-2</v>
      </c>
      <c r="J94" s="152">
        <f t="shared" si="311"/>
        <v>1.1178247734138974E-2</v>
      </c>
      <c r="K94" s="152">
        <f t="shared" si="311"/>
        <v>8.8484848484848486E-3</v>
      </c>
      <c r="L94" s="152">
        <f t="shared" si="311"/>
        <v>5.6743421052631582E-3</v>
      </c>
      <c r="M94" s="152">
        <f t="shared" si="311"/>
        <v>3.2925170068027212E-3</v>
      </c>
      <c r="N94" s="152">
        <f t="shared" si="311"/>
        <v>2.7964860907759882E-3</v>
      </c>
      <c r="O94" s="152">
        <f t="shared" si="311"/>
        <v>2.9421221864951771E-3</v>
      </c>
      <c r="P94" s="152">
        <f t="shared" si="311"/>
        <v>2.911208151382824E-3</v>
      </c>
      <c r="Q94" s="152">
        <f t="shared" ref="Q94" si="312">Q29/Q36</f>
        <v>2.911208151382824E-3</v>
      </c>
      <c r="R94" s="118">
        <f t="shared" ref="R94" si="313">((P94/G94)^(1/($H$2-$H$1) ))-1</f>
        <v>-0.15610296799559442</v>
      </c>
      <c r="S94" s="20"/>
      <c r="T94" s="152">
        <f t="shared" ref="T94:AC94" si="314">T29/T36</f>
        <v>2.911208151382824E-3</v>
      </c>
      <c r="U94" s="152">
        <f t="shared" si="314"/>
        <v>2.911208151382824E-3</v>
      </c>
      <c r="V94" s="152">
        <f t="shared" si="314"/>
        <v>2.9112081513828244E-3</v>
      </c>
      <c r="W94" s="152">
        <f t="shared" si="314"/>
        <v>2.9112081513828244E-3</v>
      </c>
      <c r="X94" s="152">
        <f t="shared" si="314"/>
        <v>2.911208151382824E-3</v>
      </c>
      <c r="Y94" s="152">
        <f t="shared" si="314"/>
        <v>2.911208151382824E-3</v>
      </c>
      <c r="Z94" s="152">
        <f t="shared" si="314"/>
        <v>2.9112081513828244E-3</v>
      </c>
      <c r="AA94" s="152">
        <f t="shared" si="314"/>
        <v>2.9112081513828244E-3</v>
      </c>
      <c r="AB94" s="152">
        <f t="shared" si="314"/>
        <v>2.9112081513828244E-3</v>
      </c>
      <c r="AC94" s="152">
        <f t="shared" si="314"/>
        <v>2.9112081513828249E-3</v>
      </c>
      <c r="AD94" s="138">
        <f t="shared" ref="AD94" si="315">((AC94/G94)^(1/($AC$3-$H$1) ))-1</f>
        <v>-7.353235565370364E-2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316">G29/G40</f>
        <v>2.2598425196850395E-2</v>
      </c>
      <c r="H95" s="171">
        <f t="shared" si="316"/>
        <v>2.0476190476190474E-2</v>
      </c>
      <c r="I95" s="171">
        <f t="shared" si="316"/>
        <v>2.6451612903225803E-2</v>
      </c>
      <c r="J95" s="171">
        <f t="shared" si="316"/>
        <v>1.6972477064220184E-2</v>
      </c>
      <c r="K95" s="171">
        <f t="shared" si="316"/>
        <v>1.3931297709923664E-2</v>
      </c>
      <c r="L95" s="171">
        <f t="shared" si="316"/>
        <v>9.0551181102362203E-3</v>
      </c>
      <c r="M95" s="171">
        <f t="shared" si="316"/>
        <v>4.9387755102040815E-3</v>
      </c>
      <c r="N95" s="171">
        <f t="shared" si="316"/>
        <v>3.9708939708939708E-3</v>
      </c>
      <c r="O95" s="171">
        <f t="shared" si="316"/>
        <v>4.0939597315436246E-3</v>
      </c>
      <c r="P95" s="171">
        <f t="shared" si="316"/>
        <v>3.937007874015748E-3</v>
      </c>
      <c r="Q95" s="171">
        <f t="shared" ref="Q95" si="317">Q29/Q40</f>
        <v>3.937007874015748E-3</v>
      </c>
      <c r="R95" s="118">
        <f t="shared" ref="R95" si="318">((P95/G95)^(1/($H$2-$H$1) ))-1</f>
        <v>-0.17647562825307428</v>
      </c>
      <c r="S95" s="20"/>
      <c r="T95" s="171">
        <f t="shared" ref="T95:AC95" si="319">T29/T40</f>
        <v>3.937007874015748E-3</v>
      </c>
      <c r="U95" s="171">
        <f t="shared" si="319"/>
        <v>3.9370078740157471E-3</v>
      </c>
      <c r="V95" s="171">
        <f t="shared" si="319"/>
        <v>3.937007874015748E-3</v>
      </c>
      <c r="W95" s="171">
        <f t="shared" si="319"/>
        <v>3.937007874015748E-3</v>
      </c>
      <c r="X95" s="171">
        <f t="shared" si="319"/>
        <v>3.937007874015748E-3</v>
      </c>
      <c r="Y95" s="171">
        <f t="shared" si="319"/>
        <v>3.937007874015748E-3</v>
      </c>
      <c r="Z95" s="171">
        <f t="shared" si="319"/>
        <v>3.9370078740157488E-3</v>
      </c>
      <c r="AA95" s="171">
        <f t="shared" si="319"/>
        <v>3.9370078740157488E-3</v>
      </c>
      <c r="AB95" s="171">
        <f t="shared" si="319"/>
        <v>3.9370078740157488E-3</v>
      </c>
      <c r="AC95" s="171">
        <f t="shared" si="319"/>
        <v>3.937007874015748E-3</v>
      </c>
      <c r="AD95" s="138">
        <f t="shared" ref="AD95" si="320">((AC95/G95)^(1/($AC$3-$H$1) ))-1</f>
        <v>-8.3664724983207317E-2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321">G29/G12</f>
        <v>9.6698113207547176E-2</v>
      </c>
      <c r="H96" s="171">
        <f t="shared" si="321"/>
        <v>7.5552208835341347E-2</v>
      </c>
      <c r="I96" s="171">
        <f t="shared" si="321"/>
        <v>8.070866141732283E-2</v>
      </c>
      <c r="J96" s="171">
        <f t="shared" si="321"/>
        <v>0.14711729622266403</v>
      </c>
      <c r="K96" s="171">
        <f t="shared" si="321"/>
        <v>1.4287951146950598E-2</v>
      </c>
      <c r="L96" s="171">
        <f t="shared" si="321"/>
        <v>6.5619293974437014E-3</v>
      </c>
      <c r="M96" s="171">
        <f t="shared" si="321"/>
        <v>3.907890062332461E-3</v>
      </c>
      <c r="N96" s="171">
        <f t="shared" si="321"/>
        <v>3.4790528233151182E-3</v>
      </c>
      <c r="O96" s="171">
        <f t="shared" si="321"/>
        <v>3.184879653318018E-3</v>
      </c>
      <c r="P96" s="171">
        <f t="shared" si="321"/>
        <v>3.3613445378151263E-3</v>
      </c>
      <c r="Q96" s="171">
        <f t="shared" ref="Q96" si="322">Q29/Q12</f>
        <v>3.3613445378151263E-3</v>
      </c>
      <c r="R96" s="118">
        <f t="shared" si="288"/>
        <v>-0.31150712893208699</v>
      </c>
      <c r="S96" s="20"/>
      <c r="T96" s="152">
        <f t="shared" ref="T96:AC96" si="323">T29/T12</f>
        <v>3.3613445378151263E-3</v>
      </c>
      <c r="U96" s="152">
        <f t="shared" si="323"/>
        <v>3.3613445378151263E-3</v>
      </c>
      <c r="V96" s="152">
        <f t="shared" si="323"/>
        <v>3.3613445378151263E-3</v>
      </c>
      <c r="W96" s="152">
        <f t="shared" si="323"/>
        <v>3.3613445378151267E-3</v>
      </c>
      <c r="X96" s="152">
        <f t="shared" si="323"/>
        <v>3.3613445378151267E-3</v>
      </c>
      <c r="Y96" s="152">
        <f t="shared" si="323"/>
        <v>3.3613445378151271E-3</v>
      </c>
      <c r="Z96" s="152">
        <f t="shared" si="323"/>
        <v>3.3613445378151276E-3</v>
      </c>
      <c r="AA96" s="152">
        <f t="shared" si="323"/>
        <v>3.3613445378151271E-3</v>
      </c>
      <c r="AB96" s="152">
        <f t="shared" si="323"/>
        <v>3.3613445378151271E-3</v>
      </c>
      <c r="AC96" s="152">
        <f t="shared" si="323"/>
        <v>3.3613445378151271E-3</v>
      </c>
      <c r="AD96" s="138">
        <f t="shared" si="290"/>
        <v>-0.15461458384716509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>
        <f>G29/G23</f>
        <v>9.5666666666666664E-2</v>
      </c>
      <c r="H97" s="171">
        <f t="shared" ref="H97:P97" si="324">H29/H23</f>
        <v>7.5249999999999997E-2</v>
      </c>
      <c r="I97" s="171">
        <f t="shared" si="324"/>
        <v>4.6067415730337076E-2</v>
      </c>
      <c r="J97" s="171">
        <f t="shared" si="324"/>
        <v>1.1635220125786164E-2</v>
      </c>
      <c r="K97" s="171">
        <f t="shared" si="324"/>
        <v>1.4313725490196078E-2</v>
      </c>
      <c r="L97" s="171">
        <f t="shared" si="324"/>
        <v>6.5714285714285718E-3</v>
      </c>
      <c r="M97" s="171">
        <f t="shared" si="324"/>
        <v>3.9737274220032837E-3</v>
      </c>
      <c r="N97" s="171">
        <f t="shared" si="324"/>
        <v>3.5767790262172285E-3</v>
      </c>
      <c r="O97" s="171">
        <f t="shared" si="324"/>
        <v>3.1881533101045297E-3</v>
      </c>
      <c r="P97" s="171">
        <f t="shared" si="324"/>
        <v>3.3670033670033669E-3</v>
      </c>
      <c r="Q97" s="171">
        <f t="shared" ref="Q97" si="325">Q29/Q23</f>
        <v>3.3670033670033669E-3</v>
      </c>
      <c r="R97" s="118">
        <f t="shared" ref="R97" si="326">((P97/G97)^(1/($H$2-$H$1) ))-1</f>
        <v>-0.31055742155703558</v>
      </c>
      <c r="S97" s="20"/>
      <c r="T97" s="171">
        <f t="shared" ref="T97:AC97" si="327">T29/T23</f>
        <v>3.3670033670033669E-3</v>
      </c>
      <c r="U97" s="171">
        <f t="shared" si="327"/>
        <v>3.3670033670033669E-3</v>
      </c>
      <c r="V97" s="171">
        <f t="shared" si="327"/>
        <v>3.3670033670033673E-3</v>
      </c>
      <c r="W97" s="171">
        <f t="shared" si="327"/>
        <v>3.3670033670033677E-3</v>
      </c>
      <c r="X97" s="171">
        <f t="shared" si="327"/>
        <v>3.3670033670033677E-3</v>
      </c>
      <c r="Y97" s="171">
        <f t="shared" si="327"/>
        <v>3.3670033670033677E-3</v>
      </c>
      <c r="Z97" s="171">
        <f t="shared" si="327"/>
        <v>3.3670033670033677E-3</v>
      </c>
      <c r="AA97" s="171">
        <f t="shared" si="327"/>
        <v>3.3670033670033673E-3</v>
      </c>
      <c r="AB97" s="171">
        <f t="shared" si="327"/>
        <v>3.3670033670033673E-3</v>
      </c>
      <c r="AC97" s="171">
        <f t="shared" si="327"/>
        <v>3.3670033670033673E-3</v>
      </c>
      <c r="AD97" s="138">
        <f t="shared" ref="AD97" si="328">((AC97/G97)^(1/($AC$3-$H$1) ))-1</f>
        <v>-0.15409002650396386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402</v>
      </c>
      <c r="C99" s="152"/>
      <c r="D99" s="152"/>
      <c r="E99" s="152"/>
      <c r="F99" s="152"/>
      <c r="G99" s="127">
        <f>1/G93</f>
        <v>471.08013937282226</v>
      </c>
      <c r="H99" s="127">
        <f t="shared" ref="H99:P99" si="329">1/H93</f>
        <v>501.66112956810639</v>
      </c>
      <c r="I99" s="127">
        <f t="shared" si="329"/>
        <v>451.95121951219517</v>
      </c>
      <c r="J99" s="127">
        <f t="shared" si="329"/>
        <v>517.02702702702697</v>
      </c>
      <c r="K99" s="127">
        <f t="shared" si="329"/>
        <v>634.2465753424658</v>
      </c>
      <c r="L99" s="127">
        <f t="shared" si="329"/>
        <v>690.14492753623188</v>
      </c>
      <c r="M99" s="127">
        <f t="shared" si="329"/>
        <v>1182.6446280991736</v>
      </c>
      <c r="N99" s="127">
        <f t="shared" si="329"/>
        <v>1657.0680628272253</v>
      </c>
      <c r="O99" s="127">
        <f t="shared" si="329"/>
        <v>1751.3661202185792</v>
      </c>
      <c r="P99" s="127">
        <f t="shared" si="329"/>
        <v>1658.5</v>
      </c>
      <c r="Q99" s="127">
        <f t="shared" ref="Q99" si="330">1/Q93</f>
        <v>1700.0000000000002</v>
      </c>
      <c r="R99" s="118">
        <f t="shared" si="288"/>
        <v>0.15010007354354804</v>
      </c>
      <c r="S99" s="20"/>
      <c r="T99" s="127">
        <f t="shared" ref="T99:AC99" si="331">1/T93</f>
        <v>1700.0000000000002</v>
      </c>
      <c r="U99" s="127">
        <f t="shared" si="331"/>
        <v>1700.0000000000002</v>
      </c>
      <c r="V99" s="127">
        <f t="shared" si="331"/>
        <v>1700.0000000000002</v>
      </c>
      <c r="W99" s="127">
        <f t="shared" si="331"/>
        <v>1700.0000000000002</v>
      </c>
      <c r="X99" s="127">
        <f t="shared" si="331"/>
        <v>1700.0000000000002</v>
      </c>
      <c r="Y99" s="127">
        <f t="shared" si="331"/>
        <v>1700.0000000000002</v>
      </c>
      <c r="Z99" s="127">
        <f t="shared" si="331"/>
        <v>1700.0000000000002</v>
      </c>
      <c r="AA99" s="127">
        <f t="shared" si="331"/>
        <v>1700.0000000000002</v>
      </c>
      <c r="AB99" s="127">
        <f t="shared" si="331"/>
        <v>1700.0000000000005</v>
      </c>
      <c r="AC99" s="127">
        <f t="shared" si="331"/>
        <v>1700.0000000000002</v>
      </c>
      <c r="AD99" s="138">
        <f t="shared" si="290"/>
        <v>6.6271266927551142E-2</v>
      </c>
      <c r="AE99" s="146"/>
      <c r="AF99" s="146"/>
    </row>
    <row r="100" spans="2:32" ht="12" customHeight="1" x14ac:dyDescent="0.2">
      <c r="B100" s="20" t="s">
        <v>403</v>
      </c>
      <c r="C100" s="152"/>
      <c r="D100" s="152"/>
      <c r="E100" s="152"/>
      <c r="F100" s="152"/>
      <c r="G100" s="127">
        <f t="shared" ref="G100:P103" si="332">1/G94</f>
        <v>74.564459930313589</v>
      </c>
      <c r="H100" s="127">
        <f t="shared" si="332"/>
        <v>70.764119601328915</v>
      </c>
      <c r="I100" s="127">
        <f t="shared" si="332"/>
        <v>53.902439024390247</v>
      </c>
      <c r="J100" s="127">
        <f t="shared" si="332"/>
        <v>89.459459459459453</v>
      </c>
      <c r="K100" s="127">
        <f t="shared" si="332"/>
        <v>113.01369863013699</v>
      </c>
      <c r="L100" s="127">
        <f t="shared" si="332"/>
        <v>176.231884057971</v>
      </c>
      <c r="M100" s="127">
        <f t="shared" si="332"/>
        <v>303.71900826446279</v>
      </c>
      <c r="N100" s="127">
        <f t="shared" si="332"/>
        <v>357.5916230366492</v>
      </c>
      <c r="O100" s="127">
        <f t="shared" si="332"/>
        <v>339.89071038251365</v>
      </c>
      <c r="P100" s="127">
        <f t="shared" si="332"/>
        <v>343.5</v>
      </c>
      <c r="Q100" s="127">
        <f t="shared" ref="Q100" si="333">1/Q94</f>
        <v>343.5</v>
      </c>
      <c r="R100" s="118">
        <f t="shared" si="288"/>
        <v>0.18497869061681849</v>
      </c>
      <c r="S100" s="20"/>
      <c r="T100" s="127">
        <f t="shared" ref="T100:AC100" si="334">1/T94</f>
        <v>343.5</v>
      </c>
      <c r="U100" s="127">
        <f t="shared" si="334"/>
        <v>343.5</v>
      </c>
      <c r="V100" s="127">
        <f t="shared" si="334"/>
        <v>343.49999999999994</v>
      </c>
      <c r="W100" s="127">
        <f t="shared" si="334"/>
        <v>343.49999999999994</v>
      </c>
      <c r="X100" s="127">
        <f t="shared" si="334"/>
        <v>343.5</v>
      </c>
      <c r="Y100" s="127">
        <f t="shared" si="334"/>
        <v>343.5</v>
      </c>
      <c r="Z100" s="127">
        <f t="shared" si="334"/>
        <v>343.49999999999994</v>
      </c>
      <c r="AA100" s="127">
        <f t="shared" si="334"/>
        <v>343.49999999999994</v>
      </c>
      <c r="AB100" s="127">
        <f t="shared" si="334"/>
        <v>343.49999999999994</v>
      </c>
      <c r="AC100" s="127">
        <f t="shared" si="334"/>
        <v>343.49999999999989</v>
      </c>
      <c r="AD100" s="138">
        <f t="shared" si="290"/>
        <v>7.9368509091957806E-2</v>
      </c>
      <c r="AE100" s="146"/>
      <c r="AF100" s="146"/>
    </row>
    <row r="101" spans="2:32" ht="12" customHeight="1" x14ac:dyDescent="0.2">
      <c r="B101" s="20" t="s">
        <v>404</v>
      </c>
      <c r="C101" s="152"/>
      <c r="D101" s="152"/>
      <c r="E101" s="152"/>
      <c r="F101" s="152"/>
      <c r="G101" s="127">
        <f t="shared" si="332"/>
        <v>44.250871080139369</v>
      </c>
      <c r="H101" s="127">
        <f t="shared" si="332"/>
        <v>48.837209302325583</v>
      </c>
      <c r="I101" s="127">
        <f t="shared" si="332"/>
        <v>37.804878048780495</v>
      </c>
      <c r="J101" s="127">
        <f t="shared" si="332"/>
        <v>58.918918918918912</v>
      </c>
      <c r="K101" s="127">
        <f t="shared" si="332"/>
        <v>71.780821917808225</v>
      </c>
      <c r="L101" s="127">
        <f t="shared" si="332"/>
        <v>110.43478260869566</v>
      </c>
      <c r="M101" s="127">
        <f t="shared" si="332"/>
        <v>202.47933884297521</v>
      </c>
      <c r="N101" s="127">
        <f t="shared" si="332"/>
        <v>251.83246073298429</v>
      </c>
      <c r="O101" s="127">
        <f t="shared" si="332"/>
        <v>244.26229508196718</v>
      </c>
      <c r="P101" s="127">
        <f t="shared" si="332"/>
        <v>254</v>
      </c>
      <c r="Q101" s="127">
        <f t="shared" ref="Q101" si="335">1/Q95</f>
        <v>254</v>
      </c>
      <c r="R101" s="118">
        <f t="shared" si="288"/>
        <v>0.21429314578598313</v>
      </c>
      <c r="S101" s="20"/>
      <c r="T101" s="127">
        <f t="shared" ref="T101:AC101" si="336">1/T95</f>
        <v>254</v>
      </c>
      <c r="U101" s="127">
        <f t="shared" si="336"/>
        <v>254.00000000000006</v>
      </c>
      <c r="V101" s="127">
        <f t="shared" si="336"/>
        <v>254</v>
      </c>
      <c r="W101" s="127">
        <f t="shared" si="336"/>
        <v>254</v>
      </c>
      <c r="X101" s="127">
        <f t="shared" si="336"/>
        <v>254</v>
      </c>
      <c r="Y101" s="127">
        <f t="shared" si="336"/>
        <v>254</v>
      </c>
      <c r="Z101" s="127">
        <f t="shared" si="336"/>
        <v>253.99999999999994</v>
      </c>
      <c r="AA101" s="127">
        <f t="shared" si="336"/>
        <v>253.99999999999994</v>
      </c>
      <c r="AB101" s="127">
        <f t="shared" si="336"/>
        <v>253.99999999999994</v>
      </c>
      <c r="AC101" s="127">
        <f t="shared" si="336"/>
        <v>254</v>
      </c>
      <c r="AD101" s="138">
        <f t="shared" si="290"/>
        <v>9.1303616988524183E-2</v>
      </c>
      <c r="AE101" s="146"/>
      <c r="AF101" s="146"/>
    </row>
    <row r="102" spans="2:32" ht="12" customHeight="1" x14ac:dyDescent="0.2">
      <c r="B102" s="20" t="s">
        <v>405</v>
      </c>
      <c r="C102" s="152"/>
      <c r="D102" s="152"/>
      <c r="E102" s="152"/>
      <c r="F102" s="152"/>
      <c r="G102" s="127">
        <f t="shared" si="332"/>
        <v>10.341463414634145</v>
      </c>
      <c r="H102" s="127">
        <f t="shared" si="332"/>
        <v>13.2358803986711</v>
      </c>
      <c r="I102" s="127">
        <f t="shared" si="332"/>
        <v>12.390243902439025</v>
      </c>
      <c r="J102" s="127">
        <f t="shared" si="332"/>
        <v>6.7972972972972965</v>
      </c>
      <c r="K102" s="127">
        <f t="shared" si="332"/>
        <v>69.989041095890414</v>
      </c>
      <c r="L102" s="127">
        <f t="shared" si="332"/>
        <v>152.3942028985507</v>
      </c>
      <c r="M102" s="127">
        <f t="shared" si="332"/>
        <v>255.8925619834711</v>
      </c>
      <c r="N102" s="127">
        <f t="shared" si="332"/>
        <v>287.434554973822</v>
      </c>
      <c r="O102" s="127">
        <f t="shared" si="332"/>
        <v>313.98360655737707</v>
      </c>
      <c r="P102" s="127">
        <f t="shared" si="332"/>
        <v>297.5</v>
      </c>
      <c r="Q102" s="127">
        <f t="shared" ref="Q102" si="337">1/Q96</f>
        <v>297.5</v>
      </c>
      <c r="R102" s="118">
        <f t="shared" si="288"/>
        <v>0.45244786405545789</v>
      </c>
      <c r="S102" s="20"/>
      <c r="T102" s="127">
        <f t="shared" ref="T102:AC102" si="338">1/T96</f>
        <v>297.5</v>
      </c>
      <c r="U102" s="127">
        <f t="shared" si="338"/>
        <v>297.5</v>
      </c>
      <c r="V102" s="127">
        <f t="shared" si="338"/>
        <v>297.5</v>
      </c>
      <c r="W102" s="127">
        <f t="shared" si="338"/>
        <v>297.49999999999994</v>
      </c>
      <c r="X102" s="127">
        <f t="shared" si="338"/>
        <v>297.49999999999994</v>
      </c>
      <c r="Y102" s="127">
        <f t="shared" si="338"/>
        <v>297.49999999999989</v>
      </c>
      <c r="Z102" s="127">
        <f t="shared" si="338"/>
        <v>297.49999999999989</v>
      </c>
      <c r="AA102" s="127">
        <f t="shared" si="338"/>
        <v>297.49999999999989</v>
      </c>
      <c r="AB102" s="127">
        <f t="shared" si="338"/>
        <v>297.49999999999989</v>
      </c>
      <c r="AC102" s="127">
        <f t="shared" si="338"/>
        <v>297.49999999999989</v>
      </c>
      <c r="AD102" s="138">
        <f t="shared" si="290"/>
        <v>0.1828924191178769</v>
      </c>
      <c r="AE102" s="146"/>
      <c r="AF102" s="146"/>
    </row>
    <row r="103" spans="2:32" ht="12" customHeight="1" x14ac:dyDescent="0.2">
      <c r="B103" s="20" t="s">
        <v>406</v>
      </c>
      <c r="C103" s="152"/>
      <c r="D103" s="152"/>
      <c r="E103" s="152"/>
      <c r="F103" s="152"/>
      <c r="G103" s="127">
        <f t="shared" si="332"/>
        <v>10.452961672473869</v>
      </c>
      <c r="H103" s="127">
        <f t="shared" si="332"/>
        <v>13.289036544850498</v>
      </c>
      <c r="I103" s="127">
        <f t="shared" si="332"/>
        <v>21.707317073170731</v>
      </c>
      <c r="J103" s="127">
        <f t="shared" si="332"/>
        <v>85.945945945945937</v>
      </c>
      <c r="K103" s="127">
        <f t="shared" si="332"/>
        <v>69.863013698630141</v>
      </c>
      <c r="L103" s="127">
        <f t="shared" si="332"/>
        <v>152.17391304347825</v>
      </c>
      <c r="M103" s="127">
        <f t="shared" si="332"/>
        <v>251.65289256198349</v>
      </c>
      <c r="N103" s="127">
        <f t="shared" si="332"/>
        <v>279.58115183246076</v>
      </c>
      <c r="O103" s="127">
        <f t="shared" si="332"/>
        <v>313.66120218579232</v>
      </c>
      <c r="P103" s="127">
        <f t="shared" si="332"/>
        <v>297</v>
      </c>
      <c r="Q103" s="127">
        <f t="shared" ref="Q103" si="339">1/Q97</f>
        <v>297</v>
      </c>
      <c r="R103" s="118">
        <f t="shared" si="288"/>
        <v>0.45044711665240911</v>
      </c>
      <c r="S103" s="20"/>
      <c r="T103" s="127">
        <f t="shared" ref="T103:AC103" si="340">1/T97</f>
        <v>297</v>
      </c>
      <c r="U103" s="127">
        <f t="shared" si="340"/>
        <v>297</v>
      </c>
      <c r="V103" s="127">
        <f t="shared" si="340"/>
        <v>297</v>
      </c>
      <c r="W103" s="127">
        <f t="shared" si="340"/>
        <v>296.99999999999994</v>
      </c>
      <c r="X103" s="127">
        <f t="shared" si="340"/>
        <v>296.99999999999994</v>
      </c>
      <c r="Y103" s="127">
        <f t="shared" si="340"/>
        <v>296.99999999999994</v>
      </c>
      <c r="Z103" s="127">
        <f t="shared" si="340"/>
        <v>296.99999999999994</v>
      </c>
      <c r="AA103" s="127">
        <f t="shared" si="340"/>
        <v>297</v>
      </c>
      <c r="AB103" s="127">
        <f t="shared" si="340"/>
        <v>297</v>
      </c>
      <c r="AC103" s="127">
        <f t="shared" si="340"/>
        <v>297</v>
      </c>
      <c r="AD103" s="138">
        <f t="shared" si="290"/>
        <v>0.1821588955466853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341">F10-(F12+F13)</f>
        <v>-108.8</v>
      </c>
      <c r="G106" s="163">
        <f t="shared" si="341"/>
        <v>-154.98000000000002</v>
      </c>
      <c r="H106" s="163">
        <f t="shared" si="341"/>
        <v>-145.14000000000001</v>
      </c>
      <c r="I106" s="163">
        <f t="shared" si="341"/>
        <v>-90.509999999999991</v>
      </c>
      <c r="J106" s="163">
        <f t="shared" si="341"/>
        <v>-42.94</v>
      </c>
      <c r="K106" s="163">
        <f t="shared" si="341"/>
        <v>-253.19000000000003</v>
      </c>
      <c r="L106" s="163">
        <f t="shared" si="341"/>
        <v>-525.76</v>
      </c>
      <c r="M106" s="163">
        <f t="shared" si="341"/>
        <v>-619.26</v>
      </c>
      <c r="N106" s="163">
        <f t="shared" si="341"/>
        <v>-549</v>
      </c>
      <c r="O106" s="163">
        <f t="shared" si="341"/>
        <v>-574.59</v>
      </c>
      <c r="P106" s="163">
        <f>P10-(P12+P13)</f>
        <v>-595</v>
      </c>
      <c r="Q106" s="163">
        <f>Q10-(Q12+Q13)</f>
        <v>-595</v>
      </c>
      <c r="R106" s="118">
        <f t="shared" si="288"/>
        <v>0.16122319206568592</v>
      </c>
      <c r="S106" s="20"/>
      <c r="T106" s="163">
        <f>T10-(T12+T13)</f>
        <v>-654.5</v>
      </c>
      <c r="U106" s="163">
        <f t="shared" ref="U106:AC106" si="342">U10-(U12+U13)</f>
        <v>-719.95</v>
      </c>
      <c r="V106" s="163">
        <f t="shared" si="342"/>
        <v>-791.94500000000016</v>
      </c>
      <c r="W106" s="163">
        <f t="shared" si="342"/>
        <v>-871.13950000000023</v>
      </c>
      <c r="X106" s="163">
        <f t="shared" si="342"/>
        <v>-958.25345000000027</v>
      </c>
      <c r="Y106" s="163">
        <f t="shared" si="342"/>
        <v>-1054.0787950000004</v>
      </c>
      <c r="Z106" s="163">
        <f t="shared" si="342"/>
        <v>-1159.4866745000004</v>
      </c>
      <c r="AA106" s="163">
        <f t="shared" si="342"/>
        <v>-1275.4353419500005</v>
      </c>
      <c r="AB106" s="163">
        <f t="shared" si="342"/>
        <v>-1402.9788761450006</v>
      </c>
      <c r="AC106" s="163">
        <f t="shared" si="342"/>
        <v>-1543.2767637595009</v>
      </c>
      <c r="AD106" s="138">
        <f t="shared" si="290"/>
        <v>0.12178184748277765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343">G40/G18</f>
        <v>0.87586206896551722</v>
      </c>
      <c r="H107" s="152">
        <f t="shared" si="343"/>
        <v>1.1136363636363635</v>
      </c>
      <c r="I107" s="152">
        <f t="shared" si="343"/>
        <v>1.24</v>
      </c>
      <c r="J107" s="152">
        <f t="shared" si="343"/>
        <v>1.847457627118644</v>
      </c>
      <c r="K107" s="152">
        <f t="shared" si="343"/>
        <v>2.1928356210244391</v>
      </c>
      <c r="L107" s="152">
        <f t="shared" si="343"/>
        <v>3.4231805929919137</v>
      </c>
      <c r="M107" s="152">
        <f t="shared" si="343"/>
        <v>4.0724734042553195</v>
      </c>
      <c r="N107" s="152">
        <f t="shared" si="343"/>
        <v>4.2747955918947742</v>
      </c>
      <c r="O107" s="152">
        <f t="shared" si="343"/>
        <v>3.544243577545195</v>
      </c>
      <c r="P107" s="152">
        <f t="shared" si="343"/>
        <v>3.5524475524475525</v>
      </c>
      <c r="Q107" s="152">
        <f t="shared" ref="Q107" si="344">Q40/Q18</f>
        <v>3.5524475524475525</v>
      </c>
      <c r="R107" s="118">
        <f t="shared" si="288"/>
        <v>0.16833065745252895</v>
      </c>
      <c r="S107" s="20"/>
      <c r="T107" s="152">
        <f t="shared" ref="T107:AC107" si="345">T40/T18</f>
        <v>3.5524475524475525</v>
      </c>
      <c r="U107" s="152">
        <f t="shared" si="345"/>
        <v>3.5524475524475529</v>
      </c>
      <c r="V107" s="152">
        <f t="shared" si="345"/>
        <v>3.5524475524475529</v>
      </c>
      <c r="W107" s="152">
        <f t="shared" si="345"/>
        <v>3.5524475524475525</v>
      </c>
      <c r="X107" s="152">
        <f t="shared" si="345"/>
        <v>3.5524475524475521</v>
      </c>
      <c r="Y107" s="152">
        <f t="shared" si="345"/>
        <v>3.5524475524475521</v>
      </c>
      <c r="Z107" s="152">
        <f t="shared" si="345"/>
        <v>3.5524475524475525</v>
      </c>
      <c r="AA107" s="152">
        <f t="shared" si="345"/>
        <v>3.5524475524475521</v>
      </c>
      <c r="AB107" s="152">
        <f t="shared" si="345"/>
        <v>3.5524475524475516</v>
      </c>
      <c r="AC107" s="152">
        <f t="shared" si="345"/>
        <v>3.5524475524475516</v>
      </c>
      <c r="AD107" s="138">
        <f t="shared" si="290"/>
        <v>7.2518020129067606E-2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346">G40/G25</f>
        <v>9.3934911242603544E-2</v>
      </c>
      <c r="H108" s="152">
        <f t="shared" si="346"/>
        <v>9.7350993377483444E-2</v>
      </c>
      <c r="I108" s="152">
        <f t="shared" si="346"/>
        <v>8.3648138154344312E-2</v>
      </c>
      <c r="J108" s="152">
        <f t="shared" si="346"/>
        <v>0.11395713538944068</v>
      </c>
      <c r="K108" s="152">
        <f t="shared" si="346"/>
        <v>0.11317494600431965</v>
      </c>
      <c r="L108" s="152">
        <f t="shared" si="346"/>
        <v>0.16001679966400673</v>
      </c>
      <c r="M108" s="152">
        <f t="shared" si="346"/>
        <v>0.17120894479385046</v>
      </c>
      <c r="N108" s="152">
        <f t="shared" si="346"/>
        <v>0.15197472353870459</v>
      </c>
      <c r="O108" s="152">
        <f t="shared" si="346"/>
        <v>0.13946957878315133</v>
      </c>
      <c r="P108" s="152">
        <f t="shared" si="346"/>
        <v>0.15315043714199578</v>
      </c>
      <c r="Q108" s="152">
        <f t="shared" ref="Q108" si="347">Q40/Q25</f>
        <v>0.14941176470588236</v>
      </c>
      <c r="R108" s="118">
        <f t="shared" si="288"/>
        <v>5.5815205753923181E-2</v>
      </c>
      <c r="S108" s="20"/>
      <c r="T108" s="152">
        <f t="shared" ref="T108:AC108" si="348">T40/T25</f>
        <v>0.14941176470588236</v>
      </c>
      <c r="U108" s="152">
        <f t="shared" si="348"/>
        <v>0.14941176470588236</v>
      </c>
      <c r="V108" s="152">
        <f t="shared" si="348"/>
        <v>0.14941176470588236</v>
      </c>
      <c r="W108" s="152">
        <f t="shared" si="348"/>
        <v>0.14941176470588236</v>
      </c>
      <c r="X108" s="152">
        <f t="shared" si="348"/>
        <v>0.14941176470588233</v>
      </c>
      <c r="Y108" s="152">
        <f t="shared" si="348"/>
        <v>0.14941176470588233</v>
      </c>
      <c r="Z108" s="152">
        <f t="shared" si="348"/>
        <v>0.14941176470588233</v>
      </c>
      <c r="AA108" s="152">
        <f t="shared" si="348"/>
        <v>0.1494117647058823</v>
      </c>
      <c r="AB108" s="152">
        <f t="shared" si="348"/>
        <v>0.1494117647058823</v>
      </c>
      <c r="AC108" s="152">
        <f t="shared" si="348"/>
        <v>0.14941176470588233</v>
      </c>
      <c r="AD108" s="138">
        <f t="shared" si="290"/>
        <v>2.3476530632869475E-2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349">G25/G18</f>
        <v>9.3241379310344836</v>
      </c>
      <c r="H109" s="152">
        <f t="shared" si="349"/>
        <v>11.439393939393939</v>
      </c>
      <c r="I109" s="152">
        <f t="shared" si="349"/>
        <v>14.824</v>
      </c>
      <c r="J109" s="152">
        <f t="shared" si="349"/>
        <v>16.211864406779661</v>
      </c>
      <c r="K109" s="152">
        <f t="shared" si="349"/>
        <v>19.375627720120523</v>
      </c>
      <c r="L109" s="152">
        <f t="shared" si="349"/>
        <v>21.392632524707999</v>
      </c>
      <c r="M109" s="152">
        <f t="shared" si="349"/>
        <v>23.78656914893617</v>
      </c>
      <c r="N109" s="152">
        <f t="shared" si="349"/>
        <v>28.128332740846073</v>
      </c>
      <c r="O109" s="152">
        <f t="shared" si="349"/>
        <v>25.412305740564541</v>
      </c>
      <c r="P109" s="152">
        <f>P25/P18</f>
        <v>23.195804195804197</v>
      </c>
      <c r="Q109" s="152">
        <f>Q25/Q18</f>
        <v>23.776223776223777</v>
      </c>
      <c r="R109" s="118">
        <f t="shared" si="288"/>
        <v>0.10656737190885823</v>
      </c>
      <c r="S109" s="20"/>
      <c r="T109" s="152">
        <f>T25/T18</f>
        <v>23.776223776223777</v>
      </c>
      <c r="U109" s="152">
        <f t="shared" ref="U109:AC109" si="350">U25/U18</f>
        <v>23.776223776223777</v>
      </c>
      <c r="V109" s="152">
        <f t="shared" si="350"/>
        <v>23.776223776223777</v>
      </c>
      <c r="W109" s="152">
        <f t="shared" si="350"/>
        <v>23.776223776223777</v>
      </c>
      <c r="X109" s="152">
        <f t="shared" si="350"/>
        <v>23.776223776223777</v>
      </c>
      <c r="Y109" s="152">
        <f t="shared" si="350"/>
        <v>23.77622377622378</v>
      </c>
      <c r="Z109" s="152">
        <f t="shared" si="350"/>
        <v>23.77622377622378</v>
      </c>
      <c r="AA109" s="152">
        <f t="shared" si="350"/>
        <v>23.77622377622378</v>
      </c>
      <c r="AB109" s="152">
        <f t="shared" si="350"/>
        <v>23.77622377622378</v>
      </c>
      <c r="AC109" s="152">
        <f t="shared" si="350"/>
        <v>23.776223776223777</v>
      </c>
      <c r="AD109" s="138">
        <f t="shared" si="290"/>
        <v>4.7916574565587178E-2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351">E70*E42</f>
        <v>0</v>
      </c>
      <c r="F111" s="165">
        <f t="shared" si="351"/>
        <v>101.97</v>
      </c>
      <c r="G111" s="165">
        <f>G70*G42</f>
        <v>101.97</v>
      </c>
      <c r="H111" s="165">
        <f t="shared" ref="H111:P111" si="352">H70*H42</f>
        <v>101.97</v>
      </c>
      <c r="I111" s="165">
        <f t="shared" si="352"/>
        <v>111.24</v>
      </c>
      <c r="J111" s="165">
        <f t="shared" si="352"/>
        <v>173.04</v>
      </c>
      <c r="K111" s="165">
        <f t="shared" si="352"/>
        <v>185.39999999999998</v>
      </c>
      <c r="L111" s="165">
        <f t="shared" si="352"/>
        <v>309</v>
      </c>
      <c r="M111" s="165">
        <f t="shared" si="352"/>
        <v>372.3</v>
      </c>
      <c r="N111" s="165">
        <f t="shared" si="352"/>
        <v>370.79999999999995</v>
      </c>
      <c r="O111" s="165">
        <f t="shared" si="352"/>
        <v>519.22500000000002</v>
      </c>
      <c r="P111" s="165">
        <f t="shared" si="352"/>
        <v>346.15000000000003</v>
      </c>
      <c r="Q111" s="165">
        <f t="shared" ref="Q111" si="353">Q70*Q42</f>
        <v>346.15000000000003</v>
      </c>
      <c r="R111" s="118">
        <f t="shared" si="288"/>
        <v>0.14545195982499837</v>
      </c>
      <c r="S111" s="20"/>
      <c r="T111" s="165">
        <f t="shared" ref="T111:AC111" si="354">T70*T42</f>
        <v>363.45750000000004</v>
      </c>
      <c r="U111" s="165">
        <f t="shared" si="354"/>
        <v>381.63037500000007</v>
      </c>
      <c r="V111" s="165">
        <f t="shared" si="354"/>
        <v>400.71189375000012</v>
      </c>
      <c r="W111" s="165">
        <f t="shared" si="354"/>
        <v>420.74748843750007</v>
      </c>
      <c r="X111" s="165">
        <f t="shared" si="354"/>
        <v>441.7848628593751</v>
      </c>
      <c r="Y111" s="165">
        <f t="shared" si="354"/>
        <v>463.87410600234386</v>
      </c>
      <c r="Z111" s="165">
        <f t="shared" si="354"/>
        <v>487.06781130246111</v>
      </c>
      <c r="AA111" s="165">
        <f t="shared" si="354"/>
        <v>511.42120186758416</v>
      </c>
      <c r="AB111" s="165">
        <f t="shared" si="354"/>
        <v>536.99226196096345</v>
      </c>
      <c r="AC111" s="165">
        <f t="shared" si="354"/>
        <v>563.84187505901161</v>
      </c>
      <c r="AD111" s="138">
        <f t="shared" si="290"/>
        <v>8.9266746047669265E-2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119.3049</v>
      </c>
      <c r="G112" s="165">
        <f t="shared" ref="G112:P112" si="355">(G111*0.17)+G111</f>
        <v>119.3049</v>
      </c>
      <c r="H112" s="165">
        <f t="shared" si="355"/>
        <v>119.3049</v>
      </c>
      <c r="I112" s="165">
        <f t="shared" si="355"/>
        <v>130.1508</v>
      </c>
      <c r="J112" s="165">
        <f t="shared" si="355"/>
        <v>202.45679999999999</v>
      </c>
      <c r="K112" s="165">
        <f t="shared" si="355"/>
        <v>216.91799999999998</v>
      </c>
      <c r="L112" s="165">
        <f t="shared" si="355"/>
        <v>361.53</v>
      </c>
      <c r="M112" s="165">
        <f t="shared" si="355"/>
        <v>435.59100000000001</v>
      </c>
      <c r="N112" s="165">
        <f t="shared" si="355"/>
        <v>433.83599999999996</v>
      </c>
      <c r="O112" s="165">
        <f t="shared" si="355"/>
        <v>607.49324999999999</v>
      </c>
      <c r="P112" s="165">
        <f t="shared" si="355"/>
        <v>404.99550000000005</v>
      </c>
      <c r="Q112" s="165">
        <f t="shared" ref="Q112" si="356">(Q111*0.17)+Q111</f>
        <v>404.99550000000005</v>
      </c>
      <c r="R112" s="118">
        <f t="shared" si="288"/>
        <v>0.14545195982499837</v>
      </c>
      <c r="S112" s="20"/>
      <c r="T112" s="165">
        <f t="shared" ref="T112:AC112" si="357">(T111*0.17)+T111</f>
        <v>425.24527500000005</v>
      </c>
      <c r="U112" s="165">
        <f t="shared" si="357"/>
        <v>446.50753875000009</v>
      </c>
      <c r="V112" s="165">
        <f t="shared" si="357"/>
        <v>468.83291568750013</v>
      </c>
      <c r="W112" s="165">
        <f t="shared" si="357"/>
        <v>492.27456147187507</v>
      </c>
      <c r="X112" s="165">
        <f t="shared" si="357"/>
        <v>516.88828954546887</v>
      </c>
      <c r="Y112" s="165">
        <f t="shared" si="357"/>
        <v>542.73270402274238</v>
      </c>
      <c r="Z112" s="165">
        <f t="shared" si="357"/>
        <v>569.86933922387948</v>
      </c>
      <c r="AA112" s="165">
        <f t="shared" si="357"/>
        <v>598.36280618507351</v>
      </c>
      <c r="AB112" s="165">
        <f t="shared" si="357"/>
        <v>628.28094649432728</v>
      </c>
      <c r="AC112" s="165">
        <f t="shared" si="357"/>
        <v>659.69499381904359</v>
      </c>
      <c r="AD112" s="138">
        <f t="shared" si="290"/>
        <v>8.9266746047669265E-2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>
        <f t="shared" ref="F113:P113" si="358">F112/F40</f>
        <v>0.86452826086956525</v>
      </c>
      <c r="G113" s="152">
        <f t="shared" si="358"/>
        <v>0.93940866141732282</v>
      </c>
      <c r="H113" s="152">
        <f t="shared" si="358"/>
        <v>0.8115979591836735</v>
      </c>
      <c r="I113" s="152">
        <f t="shared" si="358"/>
        <v>0.83968258064516132</v>
      </c>
      <c r="J113" s="152">
        <f t="shared" si="358"/>
        <v>0.92870091743119265</v>
      </c>
      <c r="K113" s="152">
        <f t="shared" si="358"/>
        <v>0.82793129770992357</v>
      </c>
      <c r="L113" s="152">
        <f t="shared" si="358"/>
        <v>0.94889763779527547</v>
      </c>
      <c r="M113" s="152">
        <f t="shared" si="358"/>
        <v>0.88896122448979598</v>
      </c>
      <c r="N113" s="152">
        <f t="shared" si="358"/>
        <v>0.9019459459459459</v>
      </c>
      <c r="O113" s="152">
        <f t="shared" si="358"/>
        <v>1.3590453020134228</v>
      </c>
      <c r="P113" s="152">
        <f t="shared" si="358"/>
        <v>0.79723523622047254</v>
      </c>
      <c r="Q113" s="152">
        <f t="shared" ref="Q113" si="359">Q112/Q40</f>
        <v>0.79723523622047254</v>
      </c>
      <c r="R113" s="118">
        <f t="shared" si="288"/>
        <v>-1.8068199792760309E-2</v>
      </c>
      <c r="S113" s="20"/>
      <c r="T113" s="152">
        <f t="shared" ref="T113:AC113" si="360">T112/T40</f>
        <v>0.76099727093772374</v>
      </c>
      <c r="U113" s="152">
        <f t="shared" si="360"/>
        <v>0.72640648589509982</v>
      </c>
      <c r="V113" s="152">
        <f t="shared" si="360"/>
        <v>0.69338800926350441</v>
      </c>
      <c r="W113" s="152">
        <f t="shared" si="360"/>
        <v>0.66187037247879954</v>
      </c>
      <c r="X113" s="152">
        <f t="shared" si="360"/>
        <v>0.63178535554794502</v>
      </c>
      <c r="Y113" s="152">
        <f t="shared" si="360"/>
        <v>0.60306783938667485</v>
      </c>
      <c r="Z113" s="152">
        <f t="shared" si="360"/>
        <v>0.57565566486909869</v>
      </c>
      <c r="AA113" s="152">
        <f t="shared" si="360"/>
        <v>0.54948949828413962</v>
      </c>
      <c r="AB113" s="152">
        <f t="shared" si="360"/>
        <v>0.52451270290758789</v>
      </c>
      <c r="AC113" s="152">
        <f t="shared" si="360"/>
        <v>0.50067121641178836</v>
      </c>
      <c r="AD113" s="138">
        <f t="shared" si="290"/>
        <v>-3.0975174914295245E-2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>
        <f>1-F113</f>
        <v>0.13547173913043475</v>
      </c>
      <c r="G114" s="152">
        <f>1-G113</f>
        <v>6.0591338582677179E-2</v>
      </c>
      <c r="H114" s="152">
        <f t="shared" ref="H114:P114" si="361">1-H113</f>
        <v>0.1884020408163265</v>
      </c>
      <c r="I114" s="152">
        <f t="shared" si="361"/>
        <v>0.16031741935483868</v>
      </c>
      <c r="J114" s="152">
        <f t="shared" si="361"/>
        <v>7.1299082568807348E-2</v>
      </c>
      <c r="K114" s="152">
        <f t="shared" si="361"/>
        <v>0.17206870229007643</v>
      </c>
      <c r="L114" s="152">
        <f t="shared" si="361"/>
        <v>5.1102362204724527E-2</v>
      </c>
      <c r="M114" s="152">
        <f t="shared" si="361"/>
        <v>0.11103877551020402</v>
      </c>
      <c r="N114" s="152">
        <f t="shared" si="361"/>
        <v>9.8054054054054096E-2</v>
      </c>
      <c r="O114" s="152">
        <f t="shared" si="361"/>
        <v>-0.35904530201342277</v>
      </c>
      <c r="P114" s="152">
        <f t="shared" si="361"/>
        <v>0.20276476377952746</v>
      </c>
      <c r="Q114" s="152">
        <f t="shared" ref="Q114" si="362">1-Q113</f>
        <v>0.20276476377952746</v>
      </c>
      <c r="R114" s="118">
        <f t="shared" si="288"/>
        <v>0.14363353587854744</v>
      </c>
      <c r="S114" s="20"/>
      <c r="T114" s="152">
        <f t="shared" ref="T114:AC114" si="363">1-T113</f>
        <v>0.23900272906227626</v>
      </c>
      <c r="U114" s="152">
        <f t="shared" si="363"/>
        <v>0.27359351410490018</v>
      </c>
      <c r="V114" s="152">
        <f t="shared" si="363"/>
        <v>0.30661199073649559</v>
      </c>
      <c r="W114" s="152">
        <f t="shared" si="363"/>
        <v>0.33812962752120046</v>
      </c>
      <c r="X114" s="152">
        <f t="shared" si="363"/>
        <v>0.36821464445205498</v>
      </c>
      <c r="Y114" s="152">
        <f t="shared" si="363"/>
        <v>0.39693216061332515</v>
      </c>
      <c r="Z114" s="152">
        <f t="shared" si="363"/>
        <v>0.42434433513090131</v>
      </c>
      <c r="AA114" s="152">
        <f t="shared" si="363"/>
        <v>0.45051050171586038</v>
      </c>
      <c r="AB114" s="152">
        <f t="shared" si="363"/>
        <v>0.47548729709241211</v>
      </c>
      <c r="AC114" s="152">
        <f t="shared" si="363"/>
        <v>0.49932878358821164</v>
      </c>
      <c r="AD114" s="138">
        <f t="shared" si="290"/>
        <v>0.11121681032669262</v>
      </c>
      <c r="AE114" s="20"/>
      <c r="AF114" s="20"/>
    </row>
    <row r="115" spans="2:32" x14ac:dyDescent="0.2">
      <c r="B115" s="20" t="s">
        <v>452</v>
      </c>
      <c r="C115" s="20"/>
      <c r="D115" s="20"/>
      <c r="E115" s="20"/>
      <c r="F115" s="152">
        <f t="shared" ref="F115:P115" si="364">F112/F20</f>
        <v>1.1362371428571429</v>
      </c>
      <c r="G115" s="152">
        <f t="shared" si="364"/>
        <v>0.73193190184049084</v>
      </c>
      <c r="H115" s="152">
        <f t="shared" si="364"/>
        <v>1.074818918918919</v>
      </c>
      <c r="I115" s="152">
        <f t="shared" si="364"/>
        <v>1.3845829787234043</v>
      </c>
      <c r="J115" s="152">
        <f t="shared" si="364"/>
        <v>0.56710588235294113</v>
      </c>
      <c r="K115" s="152">
        <f t="shared" si="364"/>
        <v>1.339</v>
      </c>
      <c r="L115" s="152">
        <f t="shared" si="364"/>
        <v>0.63874558303886919</v>
      </c>
      <c r="M115" s="152">
        <f t="shared" si="364"/>
        <v>0.84580776699029125</v>
      </c>
      <c r="N115" s="152">
        <f t="shared" si="364"/>
        <v>1.2395314285714285</v>
      </c>
      <c r="O115" s="152">
        <f t="shared" si="364"/>
        <v>1.3008420770877944</v>
      </c>
      <c r="P115" s="152">
        <f t="shared" si="364"/>
        <v>1.0227159090909093</v>
      </c>
      <c r="Q115" s="152">
        <f>Q112/Q20</f>
        <v>1.0227159090909093</v>
      </c>
      <c r="R115" s="118">
        <f t="shared" si="288"/>
        <v>3.786939109644627E-2</v>
      </c>
      <c r="S115" s="20"/>
      <c r="T115" s="152">
        <f>T112/T20</f>
        <v>0.97622882231404962</v>
      </c>
      <c r="U115" s="152">
        <f t="shared" ref="U115:AC115" si="365">U112/U20</f>
        <v>0.93185478493613827</v>
      </c>
      <c r="V115" s="152">
        <f t="shared" si="365"/>
        <v>0.88949774925722291</v>
      </c>
      <c r="W115" s="152">
        <f t="shared" si="365"/>
        <v>0.84906603338189435</v>
      </c>
      <c r="X115" s="152">
        <f t="shared" si="365"/>
        <v>0.81047212277362646</v>
      </c>
      <c r="Y115" s="152">
        <f t="shared" si="365"/>
        <v>0.77363248082937086</v>
      </c>
      <c r="Z115" s="152">
        <f t="shared" si="365"/>
        <v>0.73846736806439928</v>
      </c>
      <c r="AA115" s="152">
        <f t="shared" si="365"/>
        <v>0.70490066951601749</v>
      </c>
      <c r="AB115" s="152">
        <f t="shared" si="365"/>
        <v>0.67285972999256227</v>
      </c>
      <c r="AC115" s="152">
        <f t="shared" si="365"/>
        <v>0.64227519681108214</v>
      </c>
      <c r="AD115" s="138" t="s">
        <v>453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>
        <f>F31/F25</f>
        <v>0</v>
      </c>
      <c r="G117" s="152">
        <f>G31/G25</f>
        <v>0</v>
      </c>
      <c r="H117" s="152">
        <f t="shared" ref="H117:P117" si="366">H31/H25</f>
        <v>0</v>
      </c>
      <c r="I117" s="152">
        <f t="shared" si="366"/>
        <v>0</v>
      </c>
      <c r="J117" s="152">
        <f t="shared" si="366"/>
        <v>0</v>
      </c>
      <c r="K117" s="152">
        <f t="shared" si="366"/>
        <v>0</v>
      </c>
      <c r="L117" s="152">
        <f t="shared" si="366"/>
        <v>0</v>
      </c>
      <c r="M117" s="152">
        <f t="shared" si="366"/>
        <v>0</v>
      </c>
      <c r="N117" s="152">
        <f t="shared" si="366"/>
        <v>0</v>
      </c>
      <c r="O117" s="152">
        <f t="shared" si="366"/>
        <v>0</v>
      </c>
      <c r="P117" s="152">
        <f t="shared" si="366"/>
        <v>0</v>
      </c>
      <c r="Q117" s="152">
        <f t="shared" ref="Q117" si="367">Q31/Q25</f>
        <v>0</v>
      </c>
      <c r="R117" s="118" t="e">
        <f t="shared" si="288"/>
        <v>#DIV/0!</v>
      </c>
      <c r="S117" s="20"/>
      <c r="T117" s="152">
        <f t="shared" ref="T117:AC117" si="368">T31/T25</f>
        <v>0</v>
      </c>
      <c r="U117" s="152">
        <f t="shared" si="368"/>
        <v>0</v>
      </c>
      <c r="V117" s="152">
        <f t="shared" si="368"/>
        <v>0</v>
      </c>
      <c r="W117" s="152">
        <f t="shared" si="368"/>
        <v>0</v>
      </c>
      <c r="X117" s="152">
        <f t="shared" si="368"/>
        <v>0</v>
      </c>
      <c r="Y117" s="152">
        <f t="shared" si="368"/>
        <v>0</v>
      </c>
      <c r="Z117" s="152">
        <f t="shared" si="368"/>
        <v>0</v>
      </c>
      <c r="AA117" s="152">
        <f t="shared" si="368"/>
        <v>0</v>
      </c>
      <c r="AB117" s="152">
        <f t="shared" si="368"/>
        <v>0</v>
      </c>
      <c r="AC117" s="152">
        <f t="shared" si="368"/>
        <v>0</v>
      </c>
      <c r="AD117" s="138" t="e">
        <f t="shared" si="290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>
        <f>F32/F25</f>
        <v>0</v>
      </c>
      <c r="G118" s="152">
        <f>G32/G25</f>
        <v>0</v>
      </c>
      <c r="H118" s="152">
        <f t="shared" ref="H118:P118" si="369">H32/H25</f>
        <v>0</v>
      </c>
      <c r="I118" s="152">
        <f t="shared" si="369"/>
        <v>0</v>
      </c>
      <c r="J118" s="152">
        <f t="shared" si="369"/>
        <v>0</v>
      </c>
      <c r="K118" s="152">
        <f t="shared" si="369"/>
        <v>0</v>
      </c>
      <c r="L118" s="152">
        <f t="shared" si="369"/>
        <v>0</v>
      </c>
      <c r="M118" s="152">
        <f t="shared" si="369"/>
        <v>0</v>
      </c>
      <c r="N118" s="152">
        <f t="shared" si="369"/>
        <v>0</v>
      </c>
      <c r="O118" s="152">
        <f t="shared" si="369"/>
        <v>0</v>
      </c>
      <c r="P118" s="152">
        <f t="shared" si="369"/>
        <v>0</v>
      </c>
      <c r="Q118" s="152">
        <f t="shared" ref="Q118" si="370">Q32/Q25</f>
        <v>0</v>
      </c>
      <c r="R118" s="118" t="e">
        <f t="shared" si="288"/>
        <v>#DIV/0!</v>
      </c>
      <c r="S118" s="20"/>
      <c r="T118" s="152">
        <f t="shared" ref="T118:AC118" si="371">T32/T25</f>
        <v>0</v>
      </c>
      <c r="U118" s="152">
        <f t="shared" si="371"/>
        <v>0</v>
      </c>
      <c r="V118" s="152">
        <f t="shared" si="371"/>
        <v>0</v>
      </c>
      <c r="W118" s="152">
        <f t="shared" si="371"/>
        <v>0</v>
      </c>
      <c r="X118" s="152">
        <f t="shared" si="371"/>
        <v>0</v>
      </c>
      <c r="Y118" s="152">
        <f t="shared" si="371"/>
        <v>0</v>
      </c>
      <c r="Z118" s="152">
        <f t="shared" si="371"/>
        <v>0</v>
      </c>
      <c r="AA118" s="152">
        <f t="shared" si="371"/>
        <v>0</v>
      </c>
      <c r="AB118" s="152">
        <f t="shared" si="371"/>
        <v>0</v>
      </c>
      <c r="AC118" s="152">
        <f t="shared" si="371"/>
        <v>0</v>
      </c>
      <c r="AD118" s="138" t="e">
        <f t="shared" si="290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>
        <f>G27/G25</f>
        <v>0.8350591715976331</v>
      </c>
      <c r="H120" s="152">
        <f t="shared" ref="H120:P120" si="372">H27/H25</f>
        <v>0.84569536423841063</v>
      </c>
      <c r="I120" s="152">
        <f t="shared" si="372"/>
        <v>0.86238532110091748</v>
      </c>
      <c r="J120" s="152">
        <f t="shared" si="372"/>
        <v>0.80920020909566126</v>
      </c>
      <c r="K120" s="152">
        <f t="shared" si="372"/>
        <v>0.80950323974082072</v>
      </c>
      <c r="L120" s="152">
        <f t="shared" si="372"/>
        <v>0.74296514069718611</v>
      </c>
      <c r="M120" s="152">
        <f t="shared" si="372"/>
        <v>0.73305380852550661</v>
      </c>
      <c r="N120" s="152">
        <f t="shared" si="372"/>
        <v>0.76966824644549758</v>
      </c>
      <c r="O120" s="152">
        <f t="shared" si="372"/>
        <v>0.78315132605304216</v>
      </c>
      <c r="P120" s="152">
        <f t="shared" si="372"/>
        <v>0.76062707265601448</v>
      </c>
      <c r="Q120" s="152">
        <f t="shared" ref="Q120" si="373">Q27/Q25</f>
        <v>0.74205882352941177</v>
      </c>
      <c r="R120" s="118">
        <f t="shared" si="288"/>
        <v>-1.0319649653734775E-2</v>
      </c>
      <c r="S120" s="20"/>
      <c r="T120" s="152">
        <f t="shared" ref="T120:AC120" si="374">T27/T25</f>
        <v>0.74205882352941177</v>
      </c>
      <c r="U120" s="152">
        <f t="shared" si="374"/>
        <v>0.74205882352941166</v>
      </c>
      <c r="V120" s="152">
        <f t="shared" si="374"/>
        <v>0.74205882352941166</v>
      </c>
      <c r="W120" s="152">
        <f t="shared" si="374"/>
        <v>0.74205882352941166</v>
      </c>
      <c r="X120" s="152">
        <f t="shared" si="374"/>
        <v>0.74205882352941155</v>
      </c>
      <c r="Y120" s="152">
        <f t="shared" si="374"/>
        <v>0.74205882352941155</v>
      </c>
      <c r="Z120" s="152">
        <f t="shared" si="374"/>
        <v>0.74205882352941155</v>
      </c>
      <c r="AA120" s="152">
        <f t="shared" si="374"/>
        <v>0.74205882352941166</v>
      </c>
      <c r="AB120" s="152">
        <f t="shared" si="374"/>
        <v>0.74205882352941155</v>
      </c>
      <c r="AC120" s="152">
        <f t="shared" si="374"/>
        <v>0.74205882352941155</v>
      </c>
      <c r="AD120" s="138">
        <f t="shared" si="290"/>
        <v>-5.8863108619107152E-3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0.5724852071005917</v>
      </c>
      <c r="H121" s="152">
        <f t="shared" ref="H121:P121" si="375">H33/H25</f>
        <v>0.57748344370860927</v>
      </c>
      <c r="I121" s="152">
        <f t="shared" si="375"/>
        <v>0.63572584997301673</v>
      </c>
      <c r="J121" s="152">
        <f t="shared" si="375"/>
        <v>0.56644537375849446</v>
      </c>
      <c r="K121" s="152">
        <f t="shared" si="375"/>
        <v>0.57278617710583157</v>
      </c>
      <c r="L121" s="152">
        <f t="shared" si="375"/>
        <v>0.4628307433851323</v>
      </c>
      <c r="M121" s="152">
        <f t="shared" si="375"/>
        <v>0.49231306778476591</v>
      </c>
      <c r="N121" s="152">
        <f t="shared" si="375"/>
        <v>0.54407582938388621</v>
      </c>
      <c r="O121" s="152">
        <f t="shared" si="375"/>
        <v>0.57316692667706703</v>
      </c>
      <c r="P121" s="152">
        <f t="shared" si="375"/>
        <v>0.54868857401266202</v>
      </c>
      <c r="Q121" s="152">
        <f t="shared" ref="Q121" si="376">Q33/Q25</f>
        <v>0.53529411764705881</v>
      </c>
      <c r="R121" s="118">
        <f t="shared" si="288"/>
        <v>-4.706210463733318E-3</v>
      </c>
      <c r="S121" s="20"/>
      <c r="T121" s="152">
        <f t="shared" ref="T121:AC121" si="377">T33/T25</f>
        <v>0.53529411764705881</v>
      </c>
      <c r="U121" s="152">
        <f t="shared" si="377"/>
        <v>0.53529411764705881</v>
      </c>
      <c r="V121" s="152">
        <f t="shared" si="377"/>
        <v>0.53529411764705881</v>
      </c>
      <c r="W121" s="152">
        <f t="shared" si="377"/>
        <v>0.5352941176470587</v>
      </c>
      <c r="X121" s="152">
        <f t="shared" si="377"/>
        <v>0.5352941176470587</v>
      </c>
      <c r="Y121" s="152">
        <f t="shared" si="377"/>
        <v>0.5352941176470587</v>
      </c>
      <c r="Z121" s="152">
        <f t="shared" si="377"/>
        <v>0.53529411764705859</v>
      </c>
      <c r="AA121" s="152">
        <f t="shared" si="377"/>
        <v>0.53529411764705859</v>
      </c>
      <c r="AB121" s="152">
        <f t="shared" si="377"/>
        <v>0.5352941176470587</v>
      </c>
      <c r="AC121" s="152">
        <f t="shared" si="377"/>
        <v>0.53529411764705881</v>
      </c>
      <c r="AD121" s="138">
        <f t="shared" si="290"/>
        <v>-3.3528938315129375E-3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>
        <f>G34/G25</f>
        <v>4.807692307692308E-2</v>
      </c>
      <c r="H122" s="152">
        <f t="shared" ref="H122:P122" si="378">H34/H25</f>
        <v>4.4370860927152318E-2</v>
      </c>
      <c r="I122" s="152">
        <f t="shared" si="378"/>
        <v>3.831624392876417E-2</v>
      </c>
      <c r="J122" s="152">
        <f t="shared" si="378"/>
        <v>4.7255619445896499E-2</v>
      </c>
      <c r="K122" s="152">
        <f t="shared" si="378"/>
        <v>4.1468682505399569E-2</v>
      </c>
      <c r="L122" s="152">
        <f t="shared" si="378"/>
        <v>4.4099118017639646E-2</v>
      </c>
      <c r="M122" s="152">
        <f t="shared" si="378"/>
        <v>3.5988819007686933E-2</v>
      </c>
      <c r="N122" s="152">
        <f t="shared" si="378"/>
        <v>3.4123222748815164E-2</v>
      </c>
      <c r="O122" s="152">
        <f t="shared" si="378"/>
        <v>4.0062402496099846E-2</v>
      </c>
      <c r="P122" s="152">
        <f t="shared" si="378"/>
        <v>4.4015676816400361E-2</v>
      </c>
      <c r="Q122" s="152">
        <f t="shared" ref="Q122" si="379">Q34/Q25</f>
        <v>4.2941176470588233E-2</v>
      </c>
      <c r="R122" s="118">
        <f t="shared" si="288"/>
        <v>-9.7583453748779636E-3</v>
      </c>
      <c r="S122" s="20"/>
      <c r="T122" s="152">
        <f t="shared" ref="T122:AC122" si="380">T34/T25</f>
        <v>4.294117647058824E-2</v>
      </c>
      <c r="U122" s="152">
        <f t="shared" si="380"/>
        <v>4.294117647058824E-2</v>
      </c>
      <c r="V122" s="152">
        <f t="shared" si="380"/>
        <v>4.294117647058824E-2</v>
      </c>
      <c r="W122" s="152">
        <f t="shared" si="380"/>
        <v>4.294117647058824E-2</v>
      </c>
      <c r="X122" s="152">
        <f t="shared" si="380"/>
        <v>4.2941176470588233E-2</v>
      </c>
      <c r="Y122" s="152">
        <f t="shared" si="380"/>
        <v>4.2941176470588233E-2</v>
      </c>
      <c r="Z122" s="152">
        <f t="shared" si="380"/>
        <v>4.2941176470588233E-2</v>
      </c>
      <c r="AA122" s="152">
        <f t="shared" si="380"/>
        <v>4.2941176470588233E-2</v>
      </c>
      <c r="AB122" s="152">
        <f t="shared" si="380"/>
        <v>4.2941176470588226E-2</v>
      </c>
      <c r="AC122" s="152">
        <f t="shared" si="380"/>
        <v>4.2941176470588233E-2</v>
      </c>
      <c r="AD122" s="138">
        <f t="shared" si="290"/>
        <v>-5.6326320169488575E-3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>
        <f>G15/G9</f>
        <v>1.4598214285714286</v>
      </c>
      <c r="H125" s="25">
        <f t="shared" ref="H125:AC125" si="381">H15/H9</f>
        <v>1.5528735632183908</v>
      </c>
      <c r="I125" s="25">
        <f t="shared" si="381"/>
        <v>1.6962328767123287</v>
      </c>
      <c r="J125" s="25">
        <f t="shared" si="381"/>
        <v>1.164657694558221</v>
      </c>
      <c r="K125" s="25">
        <f t="shared" si="381"/>
        <v>1.4629903425713298</v>
      </c>
      <c r="L125" s="25">
        <f t="shared" si="381"/>
        <v>0.92244070268176548</v>
      </c>
      <c r="M125" s="25">
        <f t="shared" si="381"/>
        <v>0.8789373210308622</v>
      </c>
      <c r="N125" s="25">
        <f t="shared" si="381"/>
        <v>1.0969147705360587</v>
      </c>
      <c r="O125" s="25">
        <f t="shared" si="381"/>
        <v>1.9694764862466725</v>
      </c>
      <c r="P125" s="25">
        <f t="shared" si="381"/>
        <v>1.9950331125827814</v>
      </c>
      <c r="Q125" s="25">
        <f t="shared" ref="Q125" si="382">Q15/Q9</f>
        <v>1.9950331125827814</v>
      </c>
      <c r="R125" s="118">
        <f t="shared" si="288"/>
        <v>3.5314421925887851E-2</v>
      </c>
      <c r="S125" s="20"/>
      <c r="T125" s="20">
        <f t="shared" si="381"/>
        <v>1.9950331125827812</v>
      </c>
      <c r="U125" s="20">
        <f t="shared" si="381"/>
        <v>1.9950331125827814</v>
      </c>
      <c r="V125" s="20">
        <f t="shared" si="381"/>
        <v>1.9950331125827812</v>
      </c>
      <c r="W125" s="20">
        <f t="shared" si="381"/>
        <v>1.9950331125827812</v>
      </c>
      <c r="X125" s="20">
        <f t="shared" si="381"/>
        <v>1.9950331125827812</v>
      </c>
      <c r="Y125" s="20">
        <f t="shared" si="381"/>
        <v>1.9950331125827809</v>
      </c>
      <c r="Z125" s="20">
        <f t="shared" si="381"/>
        <v>1.9950331125827809</v>
      </c>
      <c r="AA125" s="20">
        <f t="shared" si="381"/>
        <v>1.9950331125827807</v>
      </c>
      <c r="AB125" s="20">
        <f t="shared" si="381"/>
        <v>1.9950331125827809</v>
      </c>
      <c r="AC125" s="20">
        <f t="shared" si="381"/>
        <v>1.9950331125827812</v>
      </c>
      <c r="AD125" s="138">
        <f t="shared" si="290"/>
        <v>1.5739914223106943E-2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>
        <f>G12/G9</f>
        <v>0.13250000000000001</v>
      </c>
      <c r="H126" s="25">
        <f t="shared" ref="H126:P126" si="383">H12/H9</f>
        <v>0.15264367816091956</v>
      </c>
      <c r="I126" s="25">
        <f t="shared" si="383"/>
        <v>0.17397260273972601</v>
      </c>
      <c r="J126" s="25">
        <f t="shared" si="383"/>
        <v>7.3581041544763012E-2</v>
      </c>
      <c r="K126" s="25">
        <f t="shared" si="383"/>
        <v>0.80361131208908743</v>
      </c>
      <c r="L126" s="25">
        <f t="shared" si="383"/>
        <v>1.1979311444781153</v>
      </c>
      <c r="M126" s="25">
        <f t="shared" si="383"/>
        <v>1.2314269805917912</v>
      </c>
      <c r="N126" s="25">
        <f t="shared" si="383"/>
        <v>1.0586193598148861</v>
      </c>
      <c r="O126" s="25">
        <f t="shared" si="383"/>
        <v>1.0196805678793257</v>
      </c>
      <c r="P126" s="25">
        <f t="shared" si="383"/>
        <v>0.98509933774834435</v>
      </c>
      <c r="Q126" s="25">
        <f t="shared" ref="Q126" si="384">Q12/Q9</f>
        <v>0.98509933774834435</v>
      </c>
      <c r="R126" s="118">
        <f t="shared" si="288"/>
        <v>0.24970390720430347</v>
      </c>
      <c r="S126" s="128"/>
      <c r="T126" s="20">
        <f t="shared" ref="T126:AC126" si="385">T12/T9</f>
        <v>0.98509933774834424</v>
      </c>
      <c r="U126" s="20">
        <f t="shared" si="385"/>
        <v>0.98509933774834424</v>
      </c>
      <c r="V126" s="20">
        <f t="shared" si="385"/>
        <v>0.98509933774834435</v>
      </c>
      <c r="W126" s="20">
        <f t="shared" si="385"/>
        <v>0.98509933774834435</v>
      </c>
      <c r="X126" s="20">
        <f t="shared" si="385"/>
        <v>0.98509933774834424</v>
      </c>
      <c r="Y126" s="20">
        <f t="shared" si="385"/>
        <v>0.98509933774834424</v>
      </c>
      <c r="Z126" s="20">
        <f t="shared" si="385"/>
        <v>0.98509933774834402</v>
      </c>
      <c r="AA126" s="20">
        <f t="shared" si="385"/>
        <v>0.98509933774834402</v>
      </c>
      <c r="AB126" s="20">
        <f t="shared" si="385"/>
        <v>0.98509933774834402</v>
      </c>
      <c r="AC126" s="20">
        <f t="shared" si="385"/>
        <v>0.98509933774834413</v>
      </c>
      <c r="AD126" s="118">
        <f t="shared" ref="AD126" si="386">((AC126/T126)^(1/($H$2-$H$1) ))-1</f>
        <v>0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3.7555555555555555</v>
      </c>
      <c r="H127" s="25">
        <f t="shared" ref="H127:P127" si="387">H25/360</f>
        <v>4.1944444444444446</v>
      </c>
      <c r="I127" s="25">
        <f t="shared" si="387"/>
        <v>5.1472222222222221</v>
      </c>
      <c r="J127" s="25">
        <f t="shared" si="387"/>
        <v>5.3138888888888891</v>
      </c>
      <c r="K127" s="25">
        <f t="shared" si="387"/>
        <v>6.4305555555555554</v>
      </c>
      <c r="L127" s="25">
        <f t="shared" si="387"/>
        <v>6.6138888888888889</v>
      </c>
      <c r="M127" s="25">
        <f t="shared" si="387"/>
        <v>7.95</v>
      </c>
      <c r="N127" s="25">
        <f t="shared" si="387"/>
        <v>8.7916666666666661</v>
      </c>
      <c r="O127" s="25">
        <f t="shared" si="387"/>
        <v>8.9027777777777786</v>
      </c>
      <c r="P127" s="25">
        <f t="shared" si="387"/>
        <v>9.2138888888888886</v>
      </c>
      <c r="Q127" s="25">
        <f t="shared" ref="Q127" si="388">Q25/360</f>
        <v>9.4444444444444446</v>
      </c>
      <c r="R127" s="118">
        <f t="shared" si="288"/>
        <v>0.10486099576784969</v>
      </c>
      <c r="S127" s="128"/>
      <c r="T127" s="25">
        <f t="shared" ref="T127:AC127" si="389">T25/360</f>
        <v>10.388888888888889</v>
      </c>
      <c r="U127" s="25">
        <f t="shared" si="389"/>
        <v>11.427777777777781</v>
      </c>
      <c r="V127" s="25">
        <f t="shared" si="389"/>
        <v>12.570555555555559</v>
      </c>
      <c r="W127" s="25">
        <f t="shared" si="389"/>
        <v>13.827611111111118</v>
      </c>
      <c r="X127" s="25">
        <f t="shared" si="389"/>
        <v>15.210372222222231</v>
      </c>
      <c r="Y127" s="25">
        <f t="shared" si="389"/>
        <v>16.731409444444456</v>
      </c>
      <c r="Z127" s="25">
        <f t="shared" si="389"/>
        <v>18.404550388888904</v>
      </c>
      <c r="AA127" s="25">
        <f t="shared" si="389"/>
        <v>20.245005427777794</v>
      </c>
      <c r="AB127" s="25">
        <f t="shared" si="389"/>
        <v>22.269505970555578</v>
      </c>
      <c r="AC127" s="25">
        <f t="shared" si="389"/>
        <v>24.496456567611137</v>
      </c>
      <c r="AD127" s="118">
        <f t="shared" ref="AD127:AD138" si="390">((AC127/T127)^(1/($H$2-$H$1) ))-1</f>
        <v>0.10000000000000009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3.1361111111111111</v>
      </c>
      <c r="H128" s="25">
        <f t="shared" ref="H128:P128" si="391">H27/360</f>
        <v>3.5472222222222221</v>
      </c>
      <c r="I128" s="25">
        <f t="shared" si="391"/>
        <v>4.4388888888888891</v>
      </c>
      <c r="J128" s="25">
        <f t="shared" si="391"/>
        <v>4.3</v>
      </c>
      <c r="K128" s="25">
        <f t="shared" si="391"/>
        <v>5.2055555555555557</v>
      </c>
      <c r="L128" s="25">
        <f t="shared" si="391"/>
        <v>4.9138888888888888</v>
      </c>
      <c r="M128" s="25">
        <f t="shared" si="391"/>
        <v>5.8277777777777775</v>
      </c>
      <c r="N128" s="25">
        <f t="shared" si="391"/>
        <v>6.7666666666666666</v>
      </c>
      <c r="O128" s="25">
        <f t="shared" si="391"/>
        <v>6.9722222222222223</v>
      </c>
      <c r="P128" s="25">
        <f t="shared" si="391"/>
        <v>7.0083333333333337</v>
      </c>
      <c r="Q128" s="25">
        <f t="shared" ref="Q128" si="392">Q27/360</f>
        <v>7.0083333333333337</v>
      </c>
      <c r="R128" s="118">
        <f t="shared" si="288"/>
        <v>9.3459217375448933E-2</v>
      </c>
      <c r="S128" s="128"/>
      <c r="T128" s="25">
        <f t="shared" ref="T128:AC128" si="393">T27/360</f>
        <v>7.7091666666666674</v>
      </c>
      <c r="U128" s="25">
        <f t="shared" si="393"/>
        <v>8.4800833333333347</v>
      </c>
      <c r="V128" s="25">
        <f t="shared" si="393"/>
        <v>9.3280916666666691</v>
      </c>
      <c r="W128" s="25">
        <f t="shared" si="393"/>
        <v>10.260900833333336</v>
      </c>
      <c r="X128" s="25">
        <f t="shared" si="393"/>
        <v>11.286990916666671</v>
      </c>
      <c r="Y128" s="25">
        <f t="shared" si="393"/>
        <v>12.415690008333339</v>
      </c>
      <c r="Z128" s="25">
        <f t="shared" si="393"/>
        <v>13.657259009166674</v>
      </c>
      <c r="AA128" s="25">
        <f t="shared" si="393"/>
        <v>15.022984910083343</v>
      </c>
      <c r="AB128" s="25">
        <f t="shared" si="393"/>
        <v>16.525283401091677</v>
      </c>
      <c r="AC128" s="25">
        <f t="shared" si="393"/>
        <v>18.177811741200848</v>
      </c>
      <c r="AD128" s="118">
        <f t="shared" si="390"/>
        <v>0.10000000000000009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>
        <f>G10/G7</f>
        <v>1.0277777777777778E-2</v>
      </c>
      <c r="H130" s="25">
        <f t="shared" ref="H130:P130" si="394">H10/H7</f>
        <v>6.9230769230769233E-3</v>
      </c>
      <c r="I130" s="25">
        <f t="shared" si="394"/>
        <v>6.6906474820143886E-3</v>
      </c>
      <c r="J130" s="25">
        <f t="shared" si="394"/>
        <v>6.4883720930232558E-3</v>
      </c>
      <c r="K130" s="25">
        <f t="shared" si="394"/>
        <v>5.8666442374413867E-3</v>
      </c>
      <c r="L130" s="25">
        <f t="shared" si="394"/>
        <v>0</v>
      </c>
      <c r="M130" s="25">
        <f t="shared" si="394"/>
        <v>0</v>
      </c>
      <c r="N130" s="25">
        <f t="shared" si="394"/>
        <v>0</v>
      </c>
      <c r="O130" s="25">
        <f t="shared" si="394"/>
        <v>0</v>
      </c>
      <c r="P130" s="25">
        <f t="shared" si="394"/>
        <v>0</v>
      </c>
      <c r="Q130" s="25">
        <f t="shared" ref="Q130" si="395">Q10/Q7</f>
        <v>0</v>
      </c>
      <c r="R130" s="118">
        <f t="shared" si="288"/>
        <v>-1</v>
      </c>
      <c r="S130" s="128"/>
      <c r="T130" s="25">
        <f t="shared" ref="T130:AC130" si="396">T10/T7</f>
        <v>0</v>
      </c>
      <c r="U130" s="25">
        <f t="shared" si="396"/>
        <v>0</v>
      </c>
      <c r="V130" s="25">
        <f t="shared" si="396"/>
        <v>0</v>
      </c>
      <c r="W130" s="25">
        <f t="shared" si="396"/>
        <v>0</v>
      </c>
      <c r="X130" s="25">
        <f t="shared" si="396"/>
        <v>0</v>
      </c>
      <c r="Y130" s="25">
        <f t="shared" si="396"/>
        <v>0</v>
      </c>
      <c r="Z130" s="25">
        <f t="shared" si="396"/>
        <v>0</v>
      </c>
      <c r="AA130" s="25">
        <f t="shared" si="396"/>
        <v>0</v>
      </c>
      <c r="AB130" s="25">
        <f t="shared" si="396"/>
        <v>0</v>
      </c>
      <c r="AC130" s="25">
        <f t="shared" si="396"/>
        <v>0</v>
      </c>
      <c r="AD130" s="118" t="e">
        <f t="shared" si="390"/>
        <v>#DIV/0!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>
        <f>G10/(G10+G7)</f>
        <v>1.0173219686554854E-2</v>
      </c>
      <c r="H131" s="25">
        <f t="shared" ref="H131:P131" si="397">H10/(H10+H7)</f>
        <v>6.8754774637127588E-3</v>
      </c>
      <c r="I131" s="25">
        <f t="shared" si="397"/>
        <v>6.6461802329736298E-3</v>
      </c>
      <c r="J131" s="25">
        <f t="shared" si="397"/>
        <v>6.4465445135053947E-3</v>
      </c>
      <c r="K131" s="25">
        <f t="shared" si="397"/>
        <v>5.8324274604900075E-3</v>
      </c>
      <c r="L131" s="25">
        <f t="shared" si="397"/>
        <v>0</v>
      </c>
      <c r="M131" s="25">
        <f t="shared" si="397"/>
        <v>0</v>
      </c>
      <c r="N131" s="25">
        <f t="shared" si="397"/>
        <v>0</v>
      </c>
      <c r="O131" s="25">
        <f t="shared" si="397"/>
        <v>0</v>
      </c>
      <c r="P131" s="25">
        <f t="shared" si="397"/>
        <v>0</v>
      </c>
      <c r="Q131" s="25">
        <f t="shared" ref="Q131" si="398">Q10/(Q10+Q7)</f>
        <v>0</v>
      </c>
      <c r="R131" s="118">
        <f t="shared" si="288"/>
        <v>-1</v>
      </c>
      <c r="S131" s="128"/>
      <c r="T131" s="25">
        <f t="shared" ref="T131:AC131" si="399">T10/(T10+T7)</f>
        <v>0</v>
      </c>
      <c r="U131" s="25">
        <f t="shared" si="399"/>
        <v>0</v>
      </c>
      <c r="V131" s="25">
        <f t="shared" si="399"/>
        <v>0</v>
      </c>
      <c r="W131" s="25">
        <f t="shared" si="399"/>
        <v>0</v>
      </c>
      <c r="X131" s="25">
        <f t="shared" si="399"/>
        <v>0</v>
      </c>
      <c r="Y131" s="25">
        <f t="shared" si="399"/>
        <v>0</v>
      </c>
      <c r="Z131" s="25">
        <f t="shared" si="399"/>
        <v>0</v>
      </c>
      <c r="AA131" s="25">
        <f t="shared" si="399"/>
        <v>0</v>
      </c>
      <c r="AB131" s="25">
        <f t="shared" si="399"/>
        <v>0</v>
      </c>
      <c r="AC131" s="25">
        <f t="shared" si="399"/>
        <v>0</v>
      </c>
      <c r="AD131" s="118" t="e">
        <f t="shared" si="390"/>
        <v>#DIV/0!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85.11</v>
      </c>
      <c r="H133" s="25">
        <f t="shared" ref="H133:P133" si="400">H16</f>
        <v>146.38</v>
      </c>
      <c r="I133" s="25">
        <f t="shared" si="400"/>
        <v>248.5</v>
      </c>
      <c r="J133" s="25">
        <f t="shared" si="400"/>
        <v>279.10000000000002</v>
      </c>
      <c r="K133" s="25">
        <f t="shared" si="400"/>
        <v>333.89</v>
      </c>
      <c r="L133" s="25">
        <f t="shared" si="400"/>
        <v>357</v>
      </c>
      <c r="M133" s="25">
        <f t="shared" si="400"/>
        <v>416.61</v>
      </c>
      <c r="N133" s="25">
        <f t="shared" si="400"/>
        <v>460.6</v>
      </c>
      <c r="O133" s="25">
        <f t="shared" si="400"/>
        <v>492.15</v>
      </c>
      <c r="P133" s="25">
        <f t="shared" si="400"/>
        <v>576</v>
      </c>
      <c r="Q133" s="25">
        <f t="shared" ref="Q133" si="401">Q16</f>
        <v>576</v>
      </c>
      <c r="R133" s="118">
        <f t="shared" si="288"/>
        <v>0.2367198213425552</v>
      </c>
      <c r="S133" s="128"/>
      <c r="T133" s="25">
        <f t="shared" ref="T133:AC133" si="402">T16</f>
        <v>633.6</v>
      </c>
      <c r="U133" s="25">
        <f t="shared" si="402"/>
        <v>696.96</v>
      </c>
      <c r="V133" s="25">
        <f t="shared" si="402"/>
        <v>766.65600000000006</v>
      </c>
      <c r="W133" s="25">
        <f t="shared" si="402"/>
        <v>843.3216000000001</v>
      </c>
      <c r="X133" s="25">
        <f t="shared" si="402"/>
        <v>927.65376000000015</v>
      </c>
      <c r="Y133" s="25">
        <f t="shared" si="402"/>
        <v>1020.4191360000002</v>
      </c>
      <c r="Z133" s="25">
        <f t="shared" si="402"/>
        <v>1122.4610496000003</v>
      </c>
      <c r="AA133" s="25">
        <f t="shared" si="402"/>
        <v>1234.7071545600004</v>
      </c>
      <c r="AB133" s="25">
        <f t="shared" si="402"/>
        <v>1358.1778700160005</v>
      </c>
      <c r="AC133" s="25">
        <f t="shared" si="402"/>
        <v>1493.9956570176007</v>
      </c>
      <c r="AD133" s="118">
        <f t="shared" si="390"/>
        <v>0.10000000000000009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>
        <f t="shared" ref="G134:P134" si="403">G133*365/G25</f>
        <v>22.977181952662722</v>
      </c>
      <c r="H134" s="119">
        <f t="shared" si="403"/>
        <v>35.38324503311258</v>
      </c>
      <c r="I134" s="119">
        <f t="shared" si="403"/>
        <v>48.94900161899622</v>
      </c>
      <c r="J134" s="119">
        <f t="shared" si="403"/>
        <v>53.252221641400951</v>
      </c>
      <c r="K134" s="119">
        <f t="shared" si="403"/>
        <v>52.643563714902804</v>
      </c>
      <c r="L134" s="119">
        <f t="shared" si="403"/>
        <v>54.727005459890805</v>
      </c>
      <c r="M134" s="119">
        <f t="shared" si="403"/>
        <v>53.131603773584906</v>
      </c>
      <c r="N134" s="119">
        <f t="shared" si="403"/>
        <v>53.11816745655608</v>
      </c>
      <c r="O134" s="119">
        <f t="shared" si="403"/>
        <v>56.048283931357254</v>
      </c>
      <c r="P134" s="119">
        <f t="shared" si="403"/>
        <v>63.38257461561652</v>
      </c>
      <c r="Q134" s="119">
        <f t="shared" ref="Q134" si="404">Q133*365/Q25</f>
        <v>61.835294117647059</v>
      </c>
      <c r="R134" s="118">
        <f t="shared" si="288"/>
        <v>0.11934426690759126</v>
      </c>
      <c r="S134" s="128"/>
      <c r="T134" s="119">
        <f t="shared" ref="T134:AC134" si="405">T133*365/T25</f>
        <v>61.835294117647052</v>
      </c>
      <c r="U134" s="119">
        <f t="shared" si="405"/>
        <v>61.835294117647052</v>
      </c>
      <c r="V134" s="119">
        <f t="shared" si="405"/>
        <v>61.835294117647038</v>
      </c>
      <c r="W134" s="119">
        <f t="shared" si="405"/>
        <v>61.835294117647031</v>
      </c>
      <c r="X134" s="119">
        <f t="shared" si="405"/>
        <v>61.835294117647031</v>
      </c>
      <c r="Y134" s="119">
        <f t="shared" si="405"/>
        <v>61.835294117647031</v>
      </c>
      <c r="Z134" s="119">
        <f t="shared" si="405"/>
        <v>61.835294117647024</v>
      </c>
      <c r="AA134" s="119">
        <f t="shared" si="405"/>
        <v>61.835294117647024</v>
      </c>
      <c r="AB134" s="119">
        <f t="shared" si="405"/>
        <v>61.835294117647017</v>
      </c>
      <c r="AC134" s="119">
        <f t="shared" si="405"/>
        <v>61.835294117647024</v>
      </c>
      <c r="AD134" s="118">
        <f t="shared" si="390"/>
        <v>0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>
        <f>G80/G29</f>
        <v>6.032723295332814</v>
      </c>
      <c r="H135" s="133">
        <f t="shared" ref="H135:P135" si="406">H80/H29</f>
        <v>5.7252523949295231</v>
      </c>
      <c r="I135" s="133">
        <f t="shared" si="406"/>
        <v>4.3610387560186288</v>
      </c>
      <c r="J135" s="133">
        <f t="shared" si="406"/>
        <v>7.2378203446164608</v>
      </c>
      <c r="K135" s="133">
        <f t="shared" si="406"/>
        <v>9.1435031254156147</v>
      </c>
      <c r="L135" s="133">
        <f t="shared" si="406"/>
        <v>14.258243046761409</v>
      </c>
      <c r="M135" s="133">
        <f t="shared" si="406"/>
        <v>12.236865764079887</v>
      </c>
      <c r="N135" s="133">
        <f t="shared" si="406"/>
        <v>14.465680543553772</v>
      </c>
      <c r="O135" s="133">
        <f t="shared" si="406"/>
        <v>6.8734218479780305</v>
      </c>
      <c r="P135" s="133">
        <f t="shared" si="406"/>
        <v>6.9464105156723956</v>
      </c>
      <c r="Q135" s="133">
        <f t="shared" ref="Q135" si="407">Q80/Q29</f>
        <v>6.9464105156723956</v>
      </c>
      <c r="R135" s="118">
        <f t="shared" si="288"/>
        <v>1.5793025530741245E-2</v>
      </c>
      <c r="S135" s="128"/>
      <c r="T135" s="133">
        <f t="shared" ref="T135:AC135" si="408">T80/T29</f>
        <v>6.9464105156723956</v>
      </c>
      <c r="U135" s="133">
        <f t="shared" si="408"/>
        <v>6.9464105156723956</v>
      </c>
      <c r="V135" s="133">
        <f t="shared" si="408"/>
        <v>6.9464105156723948</v>
      </c>
      <c r="W135" s="133">
        <f t="shared" si="408"/>
        <v>6.9464105156723956</v>
      </c>
      <c r="X135" s="133">
        <f t="shared" si="408"/>
        <v>6.9464105156723956</v>
      </c>
      <c r="Y135" s="133">
        <f t="shared" si="408"/>
        <v>6.9464105156723948</v>
      </c>
      <c r="Z135" s="133">
        <f t="shared" si="408"/>
        <v>6.9464105156723939</v>
      </c>
      <c r="AA135" s="133">
        <f t="shared" si="408"/>
        <v>6.9464105156723948</v>
      </c>
      <c r="AB135" s="133">
        <f t="shared" si="408"/>
        <v>6.9464105156723939</v>
      </c>
      <c r="AC135" s="133">
        <f t="shared" si="408"/>
        <v>6.9464105156723939</v>
      </c>
      <c r="AD135" s="118">
        <f t="shared" si="390"/>
        <v>0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>
        <f>G25/G14</f>
        <v>8.1445783132530121</v>
      </c>
      <c r="H137" s="180">
        <f t="shared" ref="H137:P137" si="409">H25/H14</f>
        <v>7.05607476635514</v>
      </c>
      <c r="I137" s="180">
        <f t="shared" si="409"/>
        <v>7.2524461839530332</v>
      </c>
      <c r="J137" s="180">
        <f t="shared" si="409"/>
        <v>8.5022222222222226</v>
      </c>
      <c r="K137" s="180">
        <f t="shared" si="409"/>
        <v>8.6606808829031046</v>
      </c>
      <c r="L137" s="180">
        <f t="shared" si="409"/>
        <v>11.41254853089201</v>
      </c>
      <c r="M137" s="180">
        <f t="shared" si="409"/>
        <v>11.719901719901721</v>
      </c>
      <c r="N137" s="180">
        <f t="shared" si="409"/>
        <v>10.517745580220657</v>
      </c>
      <c r="O137" s="180">
        <f t="shared" si="409"/>
        <v>10.150114010640994</v>
      </c>
      <c r="P137" s="180">
        <f t="shared" si="409"/>
        <v>8.8689839572192515</v>
      </c>
      <c r="Q137" s="180">
        <f t="shared" ref="Q137" si="410">Q25/Q14</f>
        <v>9.0909090909090917</v>
      </c>
      <c r="R137" s="118">
        <f t="shared" si="288"/>
        <v>9.512489201775276E-3</v>
      </c>
      <c r="S137" s="128"/>
      <c r="T137" s="20">
        <f t="shared" ref="T137" si="411">T25/T14</f>
        <v>9.0909090909090917</v>
      </c>
      <c r="U137" s="20">
        <f t="shared" ref="U137:AC137" si="412">U25/U14</f>
        <v>9.0909090909090917</v>
      </c>
      <c r="V137" s="20">
        <f t="shared" si="412"/>
        <v>9.0909090909090917</v>
      </c>
      <c r="W137" s="20">
        <f t="shared" si="412"/>
        <v>9.0909090909090917</v>
      </c>
      <c r="X137" s="20">
        <f t="shared" si="412"/>
        <v>9.0909090909090917</v>
      </c>
      <c r="Y137" s="20">
        <f t="shared" si="412"/>
        <v>9.0909090909090917</v>
      </c>
      <c r="Z137" s="20">
        <f t="shared" si="412"/>
        <v>9.0909090909090917</v>
      </c>
      <c r="AA137" s="20">
        <f t="shared" si="412"/>
        <v>9.0909090909090917</v>
      </c>
      <c r="AB137" s="20">
        <f t="shared" si="412"/>
        <v>9.0909090909090917</v>
      </c>
      <c r="AC137" s="20">
        <f t="shared" si="412"/>
        <v>9.0909090909090917</v>
      </c>
      <c r="AD137" s="118">
        <f t="shared" si="390"/>
        <v>0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>
        <f>G27/G14</f>
        <v>6.8012048192771086</v>
      </c>
      <c r="H138" s="180">
        <f t="shared" ref="H138:P138" si="413">H27/H14</f>
        <v>5.9672897196261685</v>
      </c>
      <c r="I138" s="180">
        <f t="shared" si="413"/>
        <v>6.2544031311154598</v>
      </c>
      <c r="J138" s="180">
        <f t="shared" si="413"/>
        <v>6.88</v>
      </c>
      <c r="K138" s="180">
        <f t="shared" si="413"/>
        <v>7.0108492330714549</v>
      </c>
      <c r="L138" s="180">
        <f t="shared" si="413"/>
        <v>8.4791257249676466</v>
      </c>
      <c r="M138" s="180">
        <f t="shared" si="413"/>
        <v>8.5913185913185917</v>
      </c>
      <c r="N138" s="180">
        <f t="shared" si="413"/>
        <v>8.0951747972883155</v>
      </c>
      <c r="O138" s="180">
        <f t="shared" si="413"/>
        <v>7.9490752470230559</v>
      </c>
      <c r="P138" s="180">
        <f t="shared" si="413"/>
        <v>6.7459893048128343</v>
      </c>
      <c r="Q138" s="180">
        <f t="shared" ref="Q138" si="414">Q27/Q14</f>
        <v>6.7459893048128343</v>
      </c>
      <c r="R138" s="118">
        <f t="shared" si="288"/>
        <v>-9.053260078568659E-4</v>
      </c>
      <c r="S138" s="128"/>
      <c r="T138" s="20">
        <f t="shared" ref="T138:AC138" si="415">T27/T14</f>
        <v>6.7459893048128343</v>
      </c>
      <c r="U138" s="20">
        <f t="shared" si="415"/>
        <v>6.7459893048128343</v>
      </c>
      <c r="V138" s="20">
        <f t="shared" si="415"/>
        <v>6.7459893048128334</v>
      </c>
      <c r="W138" s="20">
        <f t="shared" si="415"/>
        <v>6.7459893048128334</v>
      </c>
      <c r="X138" s="20">
        <f t="shared" si="415"/>
        <v>6.7459893048128325</v>
      </c>
      <c r="Y138" s="20">
        <f t="shared" si="415"/>
        <v>6.7459893048128325</v>
      </c>
      <c r="Z138" s="20">
        <f t="shared" si="415"/>
        <v>6.7459893048128334</v>
      </c>
      <c r="AA138" s="20">
        <f t="shared" si="415"/>
        <v>6.7459893048128334</v>
      </c>
      <c r="AB138" s="20">
        <f t="shared" si="415"/>
        <v>6.7459893048128334</v>
      </c>
      <c r="AC138" s="20">
        <f t="shared" si="415"/>
        <v>6.7459893048128325</v>
      </c>
      <c r="AD138" s="118">
        <f t="shared" si="390"/>
        <v>0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>
        <f>AVERAGE(G54:Q54)</f>
        <v>15.741313101123632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153.73829012995179</v>
      </c>
      <c r="T142" s="133">
        <f>PV($C$1, ($AC$3-$T$3), 0, -AC54)</f>
        <v>9.608643133121987</v>
      </c>
      <c r="U142" s="133">
        <f>PV($C$1, ($AC$3-$T$3), 0, -AF54)</f>
        <v>144.12964699682982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416">T143+U143</f>
        <v>227.27845647164131</v>
      </c>
      <c r="T143" s="133">
        <f>PV($C$1, ($AC$3-$T$3), 0, -AC56)</f>
        <v>14.204903529477582</v>
      </c>
      <c r="U143" s="133">
        <f>PV($C$1, ($AC$3-$T$3), 0, -AF56)</f>
        <v>213.07355294216373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416"/>
        <v>77.777048353144934</v>
      </c>
      <c r="T144" s="133">
        <f>PV($C$1, ($AC$3-$T$3), 0, -AC57)</f>
        <v>4.8610655220715575</v>
      </c>
      <c r="U144" s="133">
        <f>PV($C$1, ($AC$3-$T$3), 0, -AF57)</f>
        <v>72.915982831073379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416"/>
        <v>0</v>
      </c>
      <c r="T145" s="133">
        <f>PV($C$1, ($AC$3-$T$3), 0, -AC58)</f>
        <v>0</v>
      </c>
      <c r="U145" s="133">
        <f>PV($C$1, ($AC$3-$T$3), 0, -AF58)</f>
        <v>0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416"/>
        <v>180.06748548685295</v>
      </c>
      <c r="T146" s="133">
        <f>PV($C$1, ($AC$3-$T$3), 0, -AC64)</f>
        <v>11.254217842928307</v>
      </c>
      <c r="U146" s="133">
        <f>PV($C$1, ($AC$3-$T$3), 0, -AF64)</f>
        <v>168.81326764392463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416"/>
        <v>227.27845647164131</v>
      </c>
      <c r="T148" s="133">
        <f>PV($C$1, ($AC$3-$T$3), 0, -AC60)</f>
        <v>14.204903529477582</v>
      </c>
      <c r="U148" s="133">
        <f>PV($C$1, ($AC$3-$T$3), 0, -$AF$60)</f>
        <v>213.07355294216373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416"/>
        <v>44.48726112028131</v>
      </c>
      <c r="T149" s="133">
        <f>PV($C$1, ($AC$3-$T$3), 0, -AC61)</f>
        <v>2.7804538200175815</v>
      </c>
      <c r="U149" s="133">
        <f>PV($C$1, ($AC$3-$T$3), 0, -$AF$61)</f>
        <v>41.706807300263726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416"/>
        <v>409.16174853483233</v>
      </c>
      <c r="T150" s="133">
        <f>PV($C$1, ($AC$3-$T$3), 0, -AC62)</f>
        <v>25.572609283427017</v>
      </c>
      <c r="U150" s="133">
        <f>PV($C$1, ($AC$3-$T$3), 0, -$AF$62)</f>
        <v>383.5891392514053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416"/>
        <v>364.67448741455098</v>
      </c>
      <c r="T152" s="133">
        <f>PV($C$1, ($AC$3-$T$3), 0, -AC67)</f>
        <v>22.792155463409433</v>
      </c>
      <c r="U152" s="133">
        <f>PV($C$1, ($AC$3-$T$3), 0, -AF67)</f>
        <v>341.88233195114157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416"/>
        <v>101.6851682749287</v>
      </c>
      <c r="T153" s="133">
        <f>PV($C$1, ($AC$3-$T$3), 0, -AC68)</f>
        <v>10.894839458028075</v>
      </c>
      <c r="U153" s="133">
        <f>PV($C$1, ($AC$3-$T$3), 0, -AF68)</f>
        <v>90.790328816900626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417">T155+U155</f>
        <v>8904.3371573248805</v>
      </c>
      <c r="T155" s="133">
        <f>PV($C$1, ($AC$3-$T$3), 0, -AC12)</f>
        <v>556.52107233280492</v>
      </c>
      <c r="U155" s="133">
        <f>PV($C$1, ($AC$3-$T$3), 0, -AF12)</f>
        <v>8347.816084992075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180.06748548685297</v>
      </c>
      <c r="T156" s="140">
        <f>T155/P42</f>
        <v>11.254217842928309</v>
      </c>
      <c r="U156" s="140">
        <f>U155/P42</f>
        <v>168.81326764392466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418">T159+U159</f>
        <v>133.83291644533966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72.15636457960936</v>
      </c>
      <c r="U159" s="133">
        <f>PV($C$1, ($AC$3-$T$3), 0, -AF70)</f>
        <v>61.676551865730296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416"/>
        <v>12969.05589602175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6992.3001780274235</v>
      </c>
      <c r="U161" s="133">
        <f>PV($C$1, ($AC$3-$T$3), 0, -AF72)</f>
        <v>5976.7557179943269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419">T163+U163</f>
        <v>262.26604440893323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141.40141917143424</v>
      </c>
      <c r="U163" s="133">
        <f>PV($C$1, ($AC$3-$T$3), 0, -AF74)</f>
        <v>120.86462523749901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419"/>
        <v>243.79660466182526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131.4435727509107</v>
      </c>
      <c r="U164" s="133">
        <f>PV($C$1, ($AC$3-$T$3), 0, -AF75)</f>
        <v>112.35303191091457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419"/>
        <v>18.469439747107977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9.9578464205235377</v>
      </c>
      <c r="U165" s="133">
        <f>PV($C$1, ($AC$3-$T$3), 0, -AF76)</f>
        <v>8.5115933265844372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419"/>
        <v>-250.56873256909816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-135.09478310510264</v>
      </c>
      <c r="U166" s="133">
        <f>PV($C$1, ($AC$3-$T$3), 0, -AF77)</f>
        <v>-115.47394946399552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365.69490699273786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197.16535912636601</v>
      </c>
      <c r="U168" s="133">
        <f>PV($C$1, ($AC$3-$T$3), 0, -AF78)</f>
        <v>168.52954786637187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300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>
        <v>325</v>
      </c>
      <c r="Q170" s="20"/>
      <c r="R170" s="20">
        <v>140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160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430</v>
      </c>
      <c r="O171" s="22">
        <v>300</v>
      </c>
      <c r="P171" s="22">
        <v>300</v>
      </c>
      <c r="Q171" s="22">
        <v>140</v>
      </c>
      <c r="R171" s="118">
        <f t="shared" ref="R171:R176" si="420">((P171/G171)^(1/($H$2-$H$1) ))-1</f>
        <v>7.2342391385954441E-2</v>
      </c>
      <c r="S171" s="31">
        <f>L2-3%</f>
        <v>7.0000000000000007E-2</v>
      </c>
      <c r="T171" s="119">
        <f t="shared" ref="T171" si="421">P171*(1+$S171)</f>
        <v>321</v>
      </c>
      <c r="U171" s="119">
        <f t="shared" ref="U171:AC171" si="422">T171*(1+$S171)</f>
        <v>343.47</v>
      </c>
      <c r="V171" s="119">
        <f t="shared" si="422"/>
        <v>367.51290000000006</v>
      </c>
      <c r="W171" s="119">
        <f t="shared" si="422"/>
        <v>393.23880300000008</v>
      </c>
      <c r="X171" s="119">
        <f t="shared" si="422"/>
        <v>420.76551921000009</v>
      </c>
      <c r="Y171" s="119">
        <f t="shared" si="422"/>
        <v>450.21910555470015</v>
      </c>
      <c r="Z171" s="119">
        <f t="shared" si="422"/>
        <v>481.73444294352919</v>
      </c>
      <c r="AA171" s="119">
        <f t="shared" si="422"/>
        <v>515.45585394957629</v>
      </c>
      <c r="AB171" s="119">
        <f t="shared" si="422"/>
        <v>551.53776372604671</v>
      </c>
      <c r="AC171" s="119">
        <f t="shared" si="422"/>
        <v>590.14540718686999</v>
      </c>
      <c r="AD171" s="138">
        <f t="shared" ref="AD171:AD176" si="423">((AC171/G171)^(1/($AC$3-$H$1) ))-1</f>
        <v>6.7436262638645106E-2</v>
      </c>
      <c r="AE171" s="31">
        <v>0.08</v>
      </c>
      <c r="AF171" s="127">
        <f t="shared" ref="AF171:AF179" si="424">(AC171*(1+AD171))/($C$1-AE171)</f>
        <v>15748.56519652285</v>
      </c>
    </row>
    <row r="172" spans="2:32" x14ac:dyDescent="0.2">
      <c r="B172" s="20" t="s">
        <v>361</v>
      </c>
      <c r="C172" s="25" t="e">
        <f t="shared" ref="C172:P172" si="425">C171/C50</f>
        <v>#DIV/0!</v>
      </c>
      <c r="D172" s="25" t="e">
        <f t="shared" si="425"/>
        <v>#DIV/0!</v>
      </c>
      <c r="E172" s="25" t="e">
        <f t="shared" si="425"/>
        <v>#DIV/0!</v>
      </c>
      <c r="F172" s="25">
        <f t="shared" si="425"/>
        <v>0</v>
      </c>
      <c r="G172" s="25">
        <f t="shared" si="425"/>
        <v>1.4627218934911241</v>
      </c>
      <c r="H172" s="25">
        <f t="shared" si="425"/>
        <v>0</v>
      </c>
      <c r="I172" s="25">
        <f t="shared" si="425"/>
        <v>0</v>
      </c>
      <c r="J172" s="25">
        <f t="shared" si="425"/>
        <v>0</v>
      </c>
      <c r="K172" s="25">
        <f t="shared" si="425"/>
        <v>0</v>
      </c>
      <c r="L172" s="25">
        <f t="shared" si="425"/>
        <v>0</v>
      </c>
      <c r="M172" s="25">
        <f t="shared" si="425"/>
        <v>0</v>
      </c>
      <c r="N172" s="25">
        <f t="shared" si="425"/>
        <v>3.3584834123222751</v>
      </c>
      <c r="O172" s="25">
        <f t="shared" si="425"/>
        <v>4.6287051482059285</v>
      </c>
      <c r="P172" s="25">
        <f t="shared" si="425"/>
        <v>4.4724148326801334</v>
      </c>
      <c r="Q172" s="25">
        <f t="shared" ref="Q172" si="426">Q171/Q50</f>
        <v>2.0361764705882353</v>
      </c>
      <c r="R172" s="118">
        <f t="shared" ref="R172" si="427">((P172/G172)^(1/($H$2-$H$1) ))-1</f>
        <v>0.13222084519321808</v>
      </c>
      <c r="S172" s="128"/>
      <c r="T172" s="25">
        <f t="shared" ref="T172:AC172" si="428">T171/T50</f>
        <v>4.2442379679144384</v>
      </c>
      <c r="U172" s="25">
        <f t="shared" si="428"/>
        <v>4.1284860233349532</v>
      </c>
      <c r="V172" s="25">
        <f t="shared" si="428"/>
        <v>4.0158909499712729</v>
      </c>
      <c r="W172" s="25">
        <f t="shared" si="428"/>
        <v>3.9063666513356923</v>
      </c>
      <c r="X172" s="25">
        <f t="shared" si="428"/>
        <v>3.7998293790265367</v>
      </c>
      <c r="Y172" s="25">
        <f t="shared" si="428"/>
        <v>3.6961976686894493</v>
      </c>
      <c r="Z172" s="25">
        <f t="shared" si="428"/>
        <v>3.5953922777251912</v>
      </c>
      <c r="AA172" s="25">
        <f t="shared" si="428"/>
        <v>3.4973361246963224</v>
      </c>
      <c r="AB172" s="25">
        <f t="shared" si="428"/>
        <v>3.4019542303864228</v>
      </c>
      <c r="AC172" s="25">
        <f t="shared" si="428"/>
        <v>3.3091736604667932</v>
      </c>
      <c r="AD172" s="138">
        <f t="shared" ref="AD172" si="429">((AC172/G172)^(1/($AC$3-$H$1) ))-1</f>
        <v>4.1664562905770364E-2</v>
      </c>
      <c r="AE172" s="31">
        <v>0.08</v>
      </c>
      <c r="AF172" s="127">
        <f t="shared" ref="AF172" si="430">(AC172*(1+AD172))/($C$1-AE172)</f>
        <v>86.176223365235771</v>
      </c>
    </row>
    <row r="173" spans="2:32" x14ac:dyDescent="0.2">
      <c r="B173" s="20" t="s">
        <v>389</v>
      </c>
      <c r="C173" s="25" t="e">
        <f t="shared" ref="C173:P173" si="431">C171/C54</f>
        <v>#DIV/0!</v>
      </c>
      <c r="D173" s="25" t="e">
        <f t="shared" si="431"/>
        <v>#DIV/0!</v>
      </c>
      <c r="E173" s="25" t="e">
        <f t="shared" si="431"/>
        <v>#DIV/0!</v>
      </c>
      <c r="F173" s="25">
        <f t="shared" si="431"/>
        <v>0</v>
      </c>
      <c r="G173" s="25">
        <f t="shared" si="431"/>
        <v>15.571653543307088</v>
      </c>
      <c r="H173" s="25">
        <f t="shared" si="431"/>
        <v>0</v>
      </c>
      <c r="I173" s="25">
        <f t="shared" si="431"/>
        <v>0</v>
      </c>
      <c r="J173" s="25">
        <f t="shared" si="431"/>
        <v>0</v>
      </c>
      <c r="K173" s="25">
        <f t="shared" si="431"/>
        <v>0</v>
      </c>
      <c r="L173" s="25">
        <f t="shared" si="431"/>
        <v>0</v>
      </c>
      <c r="M173" s="25">
        <f t="shared" si="431"/>
        <v>0</v>
      </c>
      <c r="N173" s="25">
        <f t="shared" si="431"/>
        <v>22.098960498960498</v>
      </c>
      <c r="O173" s="25">
        <f t="shared" si="431"/>
        <v>33.187919463087248</v>
      </c>
      <c r="P173" s="25">
        <f t="shared" si="431"/>
        <v>29.202755905511815</v>
      </c>
      <c r="Q173" s="25">
        <f t="shared" ref="Q173" si="432">Q171/Q54</f>
        <v>13.627952755905513</v>
      </c>
      <c r="R173" s="118">
        <f t="shared" si="420"/>
        <v>7.2366488967864573E-2</v>
      </c>
      <c r="S173" s="128"/>
      <c r="T173" s="119">
        <f t="shared" ref="T173:AC173" si="433">T171/T54</f>
        <v>28.406317108088761</v>
      </c>
      <c r="U173" s="119">
        <f t="shared" si="433"/>
        <v>27.631599368777245</v>
      </c>
      <c r="V173" s="119">
        <f t="shared" si="433"/>
        <v>26.878010295083321</v>
      </c>
      <c r="W173" s="119">
        <f t="shared" si="433"/>
        <v>26.144973650671957</v>
      </c>
      <c r="X173" s="119">
        <f t="shared" si="433"/>
        <v>25.431928914744539</v>
      </c>
      <c r="Y173" s="119">
        <f t="shared" si="433"/>
        <v>24.738330853433325</v>
      </c>
      <c r="Z173" s="119">
        <f t="shared" si="433"/>
        <v>24.063649102885144</v>
      </c>
      <c r="AA173" s="119">
        <f t="shared" si="433"/>
        <v>23.407367763715555</v>
      </c>
      <c r="AB173" s="119">
        <f t="shared" si="433"/>
        <v>22.768985006523312</v>
      </c>
      <c r="AC173" s="119">
        <f t="shared" si="433"/>
        <v>22.148012688163583</v>
      </c>
      <c r="AD173" s="138">
        <f t="shared" si="423"/>
        <v>1.7770834727059537E-2</v>
      </c>
      <c r="AE173" s="31">
        <v>0.08</v>
      </c>
      <c r="AF173" s="127">
        <f t="shared" si="424"/>
        <v>563.54003402944397</v>
      </c>
    </row>
    <row r="174" spans="2:32" x14ac:dyDescent="0.2">
      <c r="B174" s="20" t="s">
        <v>258</v>
      </c>
      <c r="C174" s="25" t="e">
        <f t="shared" ref="C174:P174" si="434">C171/C57</f>
        <v>#DIV/0!</v>
      </c>
      <c r="D174" s="25" t="e">
        <f t="shared" si="434"/>
        <v>#DIV/0!</v>
      </c>
      <c r="E174" s="25" t="e">
        <f t="shared" si="434"/>
        <v>#DIV/0!</v>
      </c>
      <c r="F174" s="25">
        <f t="shared" si="434"/>
        <v>0</v>
      </c>
      <c r="G174" s="25">
        <f t="shared" si="434"/>
        <v>8.3796610169491537</v>
      </c>
      <c r="H174" s="25">
        <f t="shared" si="434"/>
        <v>0</v>
      </c>
      <c r="I174" s="25">
        <f t="shared" si="434"/>
        <v>0</v>
      </c>
      <c r="J174" s="25">
        <f t="shared" si="434"/>
        <v>0</v>
      </c>
      <c r="K174" s="25">
        <f t="shared" si="434"/>
        <v>0</v>
      </c>
      <c r="L174" s="25">
        <f t="shared" si="434"/>
        <v>0</v>
      </c>
      <c r="M174" s="25">
        <f t="shared" si="434"/>
        <v>0</v>
      </c>
      <c r="N174" s="25">
        <f t="shared" si="434"/>
        <v>29.781463633307183</v>
      </c>
      <c r="O174" s="25">
        <f t="shared" si="434"/>
        <v>95.913881166354187</v>
      </c>
      <c r="P174" s="25">
        <f t="shared" si="434"/>
        <v>57.723735408560309</v>
      </c>
      <c r="Q174" s="25">
        <f t="shared" ref="Q174" si="435">Q171/Q57</f>
        <v>26.937743190661479</v>
      </c>
      <c r="R174" s="118">
        <f t="shared" si="420"/>
        <v>0.23915413592357915</v>
      </c>
      <c r="S174" s="128"/>
      <c r="T174" s="119">
        <f t="shared" ref="T174:AC174" si="436">T171/T57</f>
        <v>56.149451715599568</v>
      </c>
      <c r="U174" s="119">
        <f t="shared" si="436"/>
        <v>54.618103032446854</v>
      </c>
      <c r="V174" s="119">
        <f t="shared" si="436"/>
        <v>53.12851840428921</v>
      </c>
      <c r="W174" s="119">
        <f t="shared" si="436"/>
        <v>51.679558811444949</v>
      </c>
      <c r="X174" s="119">
        <f t="shared" si="436"/>
        <v>50.27011629840554</v>
      </c>
      <c r="Y174" s="119">
        <f t="shared" si="436"/>
        <v>48.899113126630844</v>
      </c>
      <c r="Z174" s="119">
        <f t="shared" si="436"/>
        <v>47.565500950450009</v>
      </c>
      <c r="AA174" s="119">
        <f t="shared" si="436"/>
        <v>46.268260015437733</v>
      </c>
      <c r="AB174" s="119">
        <f t="shared" si="436"/>
        <v>45.006398378653067</v>
      </c>
      <c r="AC174" s="119">
        <f t="shared" si="436"/>
        <v>43.778951150144337</v>
      </c>
      <c r="AD174" s="138">
        <f t="shared" si="423"/>
        <v>8.6180358418356251E-2</v>
      </c>
      <c r="AE174" s="31">
        <v>0.08</v>
      </c>
      <c r="AF174" s="127">
        <f t="shared" si="424"/>
        <v>1188.7959212860872</v>
      </c>
    </row>
    <row r="175" spans="2:32" x14ac:dyDescent="0.2">
      <c r="B175" s="20" t="s">
        <v>259</v>
      </c>
      <c r="C175" s="25" t="e">
        <f t="shared" ref="C175:P175" si="437">C171/C66</f>
        <v>#DIV/0!</v>
      </c>
      <c r="D175" s="25" t="e">
        <f t="shared" si="437"/>
        <v>#DIV/0!</v>
      </c>
      <c r="E175" s="25" t="e">
        <f t="shared" si="437"/>
        <v>#DIV/0!</v>
      </c>
      <c r="F175" s="25">
        <f t="shared" si="437"/>
        <v>0</v>
      </c>
      <c r="G175" s="25">
        <f t="shared" si="437"/>
        <v>12.462818250567178</v>
      </c>
      <c r="H175" s="25">
        <f t="shared" si="437"/>
        <v>0</v>
      </c>
      <c r="I175" s="25">
        <f t="shared" si="437"/>
        <v>0</v>
      </c>
      <c r="J175" s="25">
        <f t="shared" si="437"/>
        <v>0</v>
      </c>
      <c r="K175" s="25">
        <f t="shared" si="437"/>
        <v>0</v>
      </c>
      <c r="L175" s="25">
        <f t="shared" si="437"/>
        <v>0</v>
      </c>
      <c r="M175" s="25">
        <f t="shared" si="437"/>
        <v>0</v>
      </c>
      <c r="N175" s="25">
        <f t="shared" si="437"/>
        <v>19.361748633879778</v>
      </c>
      <c r="O175" s="25">
        <f t="shared" si="437"/>
        <v>25.818409648619017</v>
      </c>
      <c r="P175" s="25">
        <f t="shared" si="437"/>
        <v>24.932773109243701</v>
      </c>
      <c r="Q175" s="25">
        <f t="shared" ref="Q175" si="438">Q171/Q66</f>
        <v>11.63529411764706</v>
      </c>
      <c r="R175" s="118">
        <f t="shared" si="420"/>
        <v>8.0094094339145272E-2</v>
      </c>
      <c r="S175" s="128"/>
      <c r="T175" s="119">
        <f t="shared" ref="T175:AC175" si="439">T171/T66</f>
        <v>24.252788388082507</v>
      </c>
      <c r="U175" s="119">
        <f t="shared" si="439"/>
        <v>23.591348704771168</v>
      </c>
      <c r="V175" s="119">
        <f t="shared" si="439"/>
        <v>22.947948285550137</v>
      </c>
      <c r="W175" s="119">
        <f t="shared" si="439"/>
        <v>22.322095150489677</v>
      </c>
      <c r="X175" s="119">
        <f t="shared" si="439"/>
        <v>21.713310737294503</v>
      </c>
      <c r="Y175" s="119">
        <f t="shared" si="439"/>
        <v>21.12112953536829</v>
      </c>
      <c r="Z175" s="119">
        <f t="shared" si="439"/>
        <v>20.545098729858246</v>
      </c>
      <c r="AA175" s="119">
        <f t="shared" si="439"/>
        <v>19.984777855407568</v>
      </c>
      <c r="AB175" s="119">
        <f t="shared" si="439"/>
        <v>19.439738459350998</v>
      </c>
      <c r="AC175" s="119">
        <f t="shared" si="439"/>
        <v>18.909563774095972</v>
      </c>
      <c r="AD175" s="138">
        <f t="shared" si="423"/>
        <v>2.1064700706808992E-2</v>
      </c>
      <c r="AE175" s="31">
        <v>0.08</v>
      </c>
      <c r="AF175" s="127">
        <f t="shared" si="424"/>
        <v>482.69720188734061</v>
      </c>
    </row>
    <row r="176" spans="2:32" x14ac:dyDescent="0.2">
      <c r="B176" s="20" t="s">
        <v>260</v>
      </c>
      <c r="C176" s="25" t="e">
        <f t="shared" ref="C176:P176" si="440">C171/C68</f>
        <v>#DIV/0!</v>
      </c>
      <c r="D176" s="25" t="e">
        <f t="shared" si="440"/>
        <v>#DIV/0!</v>
      </c>
      <c r="E176" s="25" t="e">
        <f t="shared" si="440"/>
        <v>#DIV/0!</v>
      </c>
      <c r="F176" s="25">
        <f t="shared" si="440"/>
        <v>0</v>
      </c>
      <c r="G176" s="25">
        <f t="shared" si="440"/>
        <v>23.235812477969688</v>
      </c>
      <c r="H176" s="25">
        <f t="shared" si="440"/>
        <v>0</v>
      </c>
      <c r="I176" s="25">
        <f t="shared" si="440"/>
        <v>0</v>
      </c>
      <c r="J176" s="25">
        <f t="shared" si="440"/>
        <v>0</v>
      </c>
      <c r="K176" s="25">
        <f t="shared" si="440"/>
        <v>0</v>
      </c>
      <c r="L176" s="25">
        <f t="shared" si="440"/>
        <v>0</v>
      </c>
      <c r="M176" s="25">
        <f t="shared" si="440"/>
        <v>0</v>
      </c>
      <c r="N176" s="25">
        <f t="shared" si="440"/>
        <v>23.077724706904036</v>
      </c>
      <c r="O176" s="25">
        <f t="shared" si="440"/>
        <v>30.143249009448343</v>
      </c>
      <c r="P176" s="25">
        <f t="shared" si="440"/>
        <v>25.755208333333336</v>
      </c>
      <c r="Q176" s="25">
        <f t="shared" ref="Q176" si="441">Q171/Q68</f>
        <v>12.019097222222223</v>
      </c>
      <c r="R176" s="118">
        <f t="shared" si="420"/>
        <v>1.1503680026164531E-2</v>
      </c>
      <c r="S176" s="128"/>
      <c r="T176" s="119">
        <f t="shared" ref="T176:AC176" si="442">T171/T68</f>
        <v>25.052793560606059</v>
      </c>
      <c r="U176" s="119">
        <f t="shared" si="442"/>
        <v>24.369535554407715</v>
      </c>
      <c r="V176" s="119">
        <f t="shared" si="442"/>
        <v>23.704911857469327</v>
      </c>
      <c r="W176" s="119">
        <f t="shared" si="442"/>
        <v>23.058414261356525</v>
      </c>
      <c r="X176" s="119">
        <f t="shared" si="442"/>
        <v>22.429548417864982</v>
      </c>
      <c r="Y176" s="119">
        <f t="shared" si="442"/>
        <v>21.817833461014121</v>
      </c>
      <c r="Z176" s="119">
        <f t="shared" si="442"/>
        <v>21.222801639350102</v>
      </c>
      <c r="AA176" s="119">
        <f t="shared" si="442"/>
        <v>20.643997958276916</v>
      </c>
      <c r="AB176" s="119">
        <f t="shared" si="442"/>
        <v>20.080979832142091</v>
      </c>
      <c r="AC176" s="119">
        <f t="shared" si="442"/>
        <v>19.533316745810943</v>
      </c>
      <c r="AD176" s="138">
        <f t="shared" si="423"/>
        <v>-8.6411077042414242E-3</v>
      </c>
      <c r="AE176" s="31">
        <v>0.08</v>
      </c>
      <c r="AF176" s="127">
        <f t="shared" si="424"/>
        <v>484.1131812997333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443">G171/G62</f>
        <v>4.3056825604180275</v>
      </c>
      <c r="H177" s="182">
        <f t="shared" si="443"/>
        <v>0</v>
      </c>
      <c r="I177" s="182">
        <f t="shared" si="443"/>
        <v>0</v>
      </c>
      <c r="J177" s="182">
        <f t="shared" si="443"/>
        <v>0</v>
      </c>
      <c r="K177" s="182">
        <f t="shared" si="443"/>
        <v>0</v>
      </c>
      <c r="L177" s="182">
        <f t="shared" si="443"/>
        <v>0</v>
      </c>
      <c r="M177" s="182">
        <f t="shared" si="443"/>
        <v>0</v>
      </c>
      <c r="N177" s="182">
        <f t="shared" si="443"/>
        <v>16.241787122207622</v>
      </c>
      <c r="O177" s="182">
        <f t="shared" si="443"/>
        <v>12.408722491280018</v>
      </c>
      <c r="P177" s="182">
        <f t="shared" si="443"/>
        <v>11.86581668972909</v>
      </c>
      <c r="Q177" s="182">
        <f t="shared" ref="Q177" si="444">Q171/Q62</f>
        <v>5.1205621301775146</v>
      </c>
      <c r="R177" s="118">
        <f t="shared" ref="R177:R180" si="445">((P177/G177)^(1/($H$2-$H$1) ))-1</f>
        <v>0.11922471520593958</v>
      </c>
      <c r="S177" s="128"/>
      <c r="T177" s="135">
        <f t="shared" ref="T177:AC177" si="446">T171/T62</f>
        <v>10.673379505110276</v>
      </c>
      <c r="U177" s="135">
        <f t="shared" si="446"/>
        <v>10.382287336789085</v>
      </c>
      <c r="V177" s="135">
        <f t="shared" si="446"/>
        <v>10.099134045785746</v>
      </c>
      <c r="W177" s="135">
        <f t="shared" si="446"/>
        <v>9.8237031172643157</v>
      </c>
      <c r="X177" s="135">
        <f t="shared" si="446"/>
        <v>9.5557839413389267</v>
      </c>
      <c r="Y177" s="135">
        <f t="shared" si="446"/>
        <v>9.2951716520296834</v>
      </c>
      <c r="Z177" s="135">
        <f t="shared" si="446"/>
        <v>9.0416669706106934</v>
      </c>
      <c r="AA177" s="135">
        <f t="shared" si="446"/>
        <v>8.7950760532304013</v>
      </c>
      <c r="AB177" s="135">
        <f t="shared" si="446"/>
        <v>8.5552103426877526</v>
      </c>
      <c r="AC177" s="135">
        <f t="shared" si="446"/>
        <v>8.321886424250815</v>
      </c>
      <c r="AD177" s="138">
        <f t="shared" ref="AD177" si="447">((AC177/G177)^(1/($AC$3-$H$1) ))-1</f>
        <v>3.3496449111531934E-2</v>
      </c>
      <c r="AE177" s="31">
        <v>0.08</v>
      </c>
      <c r="AF177" s="127">
        <f t="shared" si="424"/>
        <v>215.01600173431703</v>
      </c>
    </row>
    <row r="178" spans="2:46" x14ac:dyDescent="0.2">
      <c r="B178" s="20" t="s">
        <v>371</v>
      </c>
      <c r="C178" s="161" t="e">
        <f t="shared" ref="C178:P178" si="448">C54/C171</f>
        <v>#DIV/0!</v>
      </c>
      <c r="D178" s="161" t="e">
        <f t="shared" si="448"/>
        <v>#DIV/0!</v>
      </c>
      <c r="E178" s="161" t="e">
        <f t="shared" si="448"/>
        <v>#DIV/0!</v>
      </c>
      <c r="F178" s="161" t="e">
        <f t="shared" si="448"/>
        <v>#DIV/0!</v>
      </c>
      <c r="G178" s="161">
        <f t="shared" si="448"/>
        <v>6.4219255663430425E-2</v>
      </c>
      <c r="H178" s="161" t="e">
        <f t="shared" si="448"/>
        <v>#DIV/0!</v>
      </c>
      <c r="I178" s="161" t="e">
        <f t="shared" si="448"/>
        <v>#DIV/0!</v>
      </c>
      <c r="J178" s="161" t="e">
        <f t="shared" si="448"/>
        <v>#DIV/0!</v>
      </c>
      <c r="K178" s="161" t="e">
        <f t="shared" si="448"/>
        <v>#DIV/0!</v>
      </c>
      <c r="L178" s="161" t="e">
        <f t="shared" si="448"/>
        <v>#DIV/0!</v>
      </c>
      <c r="M178" s="161" t="e">
        <f t="shared" si="448"/>
        <v>#DIV/0!</v>
      </c>
      <c r="N178" s="161">
        <f t="shared" si="448"/>
        <v>4.5250997215323253E-2</v>
      </c>
      <c r="O178" s="161">
        <f t="shared" si="448"/>
        <v>3.0131445904954497E-2</v>
      </c>
      <c r="P178" s="161">
        <f t="shared" si="448"/>
        <v>3.424334344455679E-2</v>
      </c>
      <c r="Q178" s="161">
        <f t="shared" ref="Q178" si="449">Q54/Q171</f>
        <v>7.3378593095478825E-2</v>
      </c>
      <c r="R178" s="118">
        <f t="shared" si="445"/>
        <v>-6.7482982462009011E-2</v>
      </c>
      <c r="S178" s="128"/>
      <c r="T178" s="161">
        <f t="shared" ref="T178:AC178" si="450">T54/T171</f>
        <v>3.5203437185992968E-2</v>
      </c>
      <c r="U178" s="161">
        <f t="shared" si="450"/>
        <v>3.6190449443544173E-2</v>
      </c>
      <c r="V178" s="161">
        <f t="shared" si="450"/>
        <v>3.7205134941961301E-2</v>
      </c>
      <c r="W178" s="161">
        <f t="shared" si="450"/>
        <v>3.824826956650227E-2</v>
      </c>
      <c r="X178" s="161">
        <f t="shared" si="450"/>
        <v>3.9320650956217292E-2</v>
      </c>
      <c r="Y178" s="161">
        <f t="shared" si="450"/>
        <v>4.0423099113868238E-2</v>
      </c>
      <c r="Z178" s="161">
        <f t="shared" si="450"/>
        <v>4.1556457032948656E-2</v>
      </c>
      <c r="AA178" s="161">
        <f t="shared" si="450"/>
        <v>4.2721591342283656E-2</v>
      </c>
      <c r="AB178" s="161">
        <f t="shared" si="450"/>
        <v>4.3919392968702821E-2</v>
      </c>
      <c r="AC178" s="161">
        <f t="shared" si="450"/>
        <v>4.5150777818292631E-2</v>
      </c>
      <c r="AD178" s="138">
        <f t="shared" ref="AD178:AD180" si="451">((AC178/G178)^(1/($AC$3-$H$1) ))-1</f>
        <v>-1.7460546245486874E-2</v>
      </c>
      <c r="AE178" s="31">
        <v>0.08</v>
      </c>
      <c r="AF178" s="127">
        <f t="shared" si="424"/>
        <v>1.1090605143544159</v>
      </c>
    </row>
    <row r="179" spans="2:46" x14ac:dyDescent="0.2">
      <c r="B179" s="20" t="s">
        <v>320</v>
      </c>
      <c r="C179" s="152" t="e">
        <f t="shared" ref="C179:P179" si="452">C44/C171</f>
        <v>#DIV/0!</v>
      </c>
      <c r="D179" s="152" t="e">
        <f t="shared" si="452"/>
        <v>#DIV/0!</v>
      </c>
      <c r="E179" s="152" t="e">
        <f t="shared" si="452"/>
        <v>#DIV/0!</v>
      </c>
      <c r="F179" s="152" t="e">
        <f t="shared" si="452"/>
        <v>#DIV/0!</v>
      </c>
      <c r="G179" s="152">
        <f t="shared" si="452"/>
        <v>5.1562499999999997E-2</v>
      </c>
      <c r="H179" s="152" t="e">
        <f t="shared" si="452"/>
        <v>#DIV/0!</v>
      </c>
      <c r="I179" s="152" t="e">
        <f t="shared" si="452"/>
        <v>#DIV/0!</v>
      </c>
      <c r="J179" s="152" t="e">
        <f t="shared" si="452"/>
        <v>#DIV/0!</v>
      </c>
      <c r="K179" s="152" t="e">
        <f t="shared" si="452"/>
        <v>#DIV/0!</v>
      </c>
      <c r="L179" s="152" t="e">
        <f t="shared" si="452"/>
        <v>#DIV/0!</v>
      </c>
      <c r="M179" s="152" t="e">
        <f t="shared" si="452"/>
        <v>#DIV/0!</v>
      </c>
      <c r="N179" s="152">
        <f t="shared" si="452"/>
        <v>3.4883720930232558E-2</v>
      </c>
      <c r="O179" s="152">
        <f t="shared" si="452"/>
        <v>3.5000000000000003E-2</v>
      </c>
      <c r="P179" s="152">
        <f t="shared" si="452"/>
        <v>2.3333333333333334E-2</v>
      </c>
      <c r="Q179" s="152">
        <f t="shared" ref="Q179" si="453">Q44/Q171</f>
        <v>0.05</v>
      </c>
      <c r="R179" s="118">
        <f t="shared" si="445"/>
        <v>-8.4331886245034404E-2</v>
      </c>
      <c r="S179" s="128"/>
      <c r="T179" s="152">
        <f t="shared" ref="T179:AC179" si="454">T44/T171</f>
        <v>2.2897196261682243E-2</v>
      </c>
      <c r="U179" s="152">
        <f t="shared" si="454"/>
        <v>2.2469211284828372E-2</v>
      </c>
      <c r="V179" s="152">
        <f t="shared" si="454"/>
        <v>2.2049226027168026E-2</v>
      </c>
      <c r="W179" s="152">
        <f t="shared" si="454"/>
        <v>2.1637090961239652E-2</v>
      </c>
      <c r="X179" s="152">
        <f t="shared" si="454"/>
        <v>2.1232659354487506E-2</v>
      </c>
      <c r="Y179" s="152">
        <f t="shared" si="454"/>
        <v>2.0835787217020448E-2</v>
      </c>
      <c r="Z179" s="152">
        <f t="shared" si="454"/>
        <v>2.0446333250347171E-2</v>
      </c>
      <c r="AA179" s="152">
        <f t="shared" si="454"/>
        <v>2.0064158797069652E-2</v>
      </c>
      <c r="AB179" s="152">
        <f t="shared" si="454"/>
        <v>1.9689127791516946E-2</v>
      </c>
      <c r="AC179" s="152">
        <f t="shared" si="454"/>
        <v>1.9321106711301678E-2</v>
      </c>
      <c r="AD179" s="138">
        <f t="shared" si="451"/>
        <v>-4.7894877685728976E-2</v>
      </c>
      <c r="AE179" s="31">
        <v>0.08</v>
      </c>
      <c r="AF179" s="127">
        <f t="shared" si="424"/>
        <v>0.45989311671527427</v>
      </c>
    </row>
    <row r="180" spans="2:46" x14ac:dyDescent="0.2">
      <c r="B180" s="20" t="s">
        <v>446</v>
      </c>
      <c r="C180" s="181" t="e">
        <f t="shared" ref="C180:O180" si="455">(C173)/($L$2*100)</f>
        <v>#DIV/0!</v>
      </c>
      <c r="D180" s="181" t="e">
        <f t="shared" si="455"/>
        <v>#DIV/0!</v>
      </c>
      <c r="E180" s="181" t="e">
        <f t="shared" si="455"/>
        <v>#DIV/0!</v>
      </c>
      <c r="F180" s="181">
        <f t="shared" si="455"/>
        <v>0</v>
      </c>
      <c r="G180" s="181">
        <f t="shared" si="455"/>
        <v>1.5571653543307087</v>
      </c>
      <c r="H180" s="181">
        <f t="shared" si="455"/>
        <v>0</v>
      </c>
      <c r="I180" s="181">
        <f t="shared" si="455"/>
        <v>0</v>
      </c>
      <c r="J180" s="181">
        <f t="shared" si="455"/>
        <v>0</v>
      </c>
      <c r="K180" s="181">
        <f t="shared" si="455"/>
        <v>0</v>
      </c>
      <c r="L180" s="181">
        <f t="shared" si="455"/>
        <v>0</v>
      </c>
      <c r="M180" s="181">
        <f t="shared" si="455"/>
        <v>0</v>
      </c>
      <c r="N180" s="181">
        <f t="shared" si="455"/>
        <v>2.2098960498960496</v>
      </c>
      <c r="O180" s="181">
        <f t="shared" si="455"/>
        <v>3.3187919463087248</v>
      </c>
      <c r="P180" s="181">
        <f>(P173)/($L$2*100)</f>
        <v>2.9202755905511815</v>
      </c>
      <c r="Q180" s="181">
        <f>(Q173)/($L$2*100)</f>
        <v>1.3627952755905512</v>
      </c>
      <c r="R180" s="118">
        <f t="shared" si="445"/>
        <v>7.2366488967864573E-2</v>
      </c>
      <c r="S180" s="128"/>
      <c r="T180" s="181">
        <f>(T173)/($L$2*100)</f>
        <v>2.8406317108088759</v>
      </c>
      <c r="U180" s="181">
        <f t="shared" ref="U180:AC180" si="456">(U173)/($L$2*100)</f>
        <v>2.7631599368777247</v>
      </c>
      <c r="V180" s="181">
        <f t="shared" si="456"/>
        <v>2.6878010295083321</v>
      </c>
      <c r="W180" s="181">
        <f t="shared" si="456"/>
        <v>2.6144973650671957</v>
      </c>
      <c r="X180" s="181">
        <f t="shared" si="456"/>
        <v>2.5431928914744537</v>
      </c>
      <c r="Y180" s="181">
        <f t="shared" si="456"/>
        <v>2.4738330853433323</v>
      </c>
      <c r="Z180" s="181">
        <f t="shared" si="456"/>
        <v>2.4063649102885143</v>
      </c>
      <c r="AA180" s="181">
        <f t="shared" si="456"/>
        <v>2.3407367763715556</v>
      </c>
      <c r="AB180" s="181">
        <f t="shared" si="456"/>
        <v>2.2768985006523312</v>
      </c>
      <c r="AC180" s="181">
        <f t="shared" si="456"/>
        <v>2.2148012688163581</v>
      </c>
      <c r="AD180" s="138">
        <f t="shared" si="451"/>
        <v>1.7770834727059537E-2</v>
      </c>
      <c r="AE180" s="31">
        <v>0.08</v>
      </c>
      <c r="AF180" s="181">
        <f>(AF173)/($L$2*100)</f>
        <v>56.3540034029444</v>
      </c>
    </row>
    <row r="181" spans="2:46" x14ac:dyDescent="0.2">
      <c r="B181" s="20" t="s">
        <v>447</v>
      </c>
      <c r="C181" s="152"/>
      <c r="D181" s="152"/>
      <c r="E181" s="152"/>
      <c r="F181" s="152"/>
      <c r="G181" s="152">
        <f t="shared" ref="G181:P181" si="457">G180-1</f>
        <v>0.55716535433070868</v>
      </c>
      <c r="H181" s="152">
        <f t="shared" si="457"/>
        <v>-1</v>
      </c>
      <c r="I181" s="152">
        <f t="shared" si="457"/>
        <v>-1</v>
      </c>
      <c r="J181" s="152">
        <f t="shared" si="457"/>
        <v>-1</v>
      </c>
      <c r="K181" s="152">
        <f t="shared" si="457"/>
        <v>-1</v>
      </c>
      <c r="L181" s="152">
        <f t="shared" si="457"/>
        <v>-1</v>
      </c>
      <c r="M181" s="152">
        <f t="shared" si="457"/>
        <v>-1</v>
      </c>
      <c r="N181" s="152">
        <f t="shared" si="457"/>
        <v>1.2098960498960496</v>
      </c>
      <c r="O181" s="152">
        <f t="shared" si="457"/>
        <v>2.3187919463087248</v>
      </c>
      <c r="P181" s="152">
        <f t="shared" si="457"/>
        <v>1.9202755905511815</v>
      </c>
      <c r="Q181" s="152">
        <f>Q180-1</f>
        <v>0.36279527559055125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3" t="s">
        <v>351</v>
      </c>
      <c r="L183" s="204"/>
      <c r="M183" s="20"/>
      <c r="N183" s="20"/>
      <c r="O183" s="20"/>
      <c r="P183" s="108" t="s">
        <v>430</v>
      </c>
      <c r="Q183" s="108" t="s">
        <v>429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>
        <f>(Q171-S159)/Q171</f>
        <v>4.4050596819002405E-2</v>
      </c>
      <c r="Q184" s="128">
        <f>(Q171-T159)/Q171</f>
        <v>0.48459739585993317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-0.36387249511610775</v>
      </c>
      <c r="N185" s="20"/>
      <c r="O185" s="20"/>
      <c r="P185" s="128">
        <f>(Q171-S150)/Q171</f>
        <v>-1.9225839181059452</v>
      </c>
      <c r="Q185" s="128">
        <f>(Q171-T150)/Q171</f>
        <v>0.81733850511837847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0.24240514509452898</v>
      </c>
      <c r="N186" s="20"/>
      <c r="O186" s="20"/>
      <c r="P186" s="128">
        <f>(Q171-S143)/Q171</f>
        <v>-0.62341754622600931</v>
      </c>
      <c r="Q186" s="128">
        <f>(Q171-T143)/Q171</f>
        <v>0.89853640336087448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0.39977504837715677</v>
      </c>
      <c r="N187" s="20"/>
      <c r="O187" s="20"/>
      <c r="P187" s="128">
        <f>(Q171-S156)/Q171</f>
        <v>-0.28619632490609265</v>
      </c>
      <c r="Q187" s="128">
        <f>(Q171-T156)/Q171</f>
        <v>0.91961272969336916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399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-0.2189830233091262</v>
      </c>
      <c r="N188" s="20"/>
      <c r="O188" s="20"/>
      <c r="P188" s="128">
        <f>(Q171-S168)/Q171</f>
        <v>-1.612106478519556</v>
      </c>
      <c r="Q188" s="128">
        <f>(Q171-T168)/Q171</f>
        <v>-0.40832399375975725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0.91063846151574146</v>
      </c>
      <c r="Q189" s="25">
        <f>Q171/T142</f>
        <v>14.570215384251863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407</v>
      </c>
      <c r="AE189" s="115" t="s">
        <v>408</v>
      </c>
      <c r="AF189" s="115" t="s">
        <v>409</v>
      </c>
      <c r="AG189" s="115" t="s">
        <v>410</v>
      </c>
      <c r="AH189" s="115" t="s">
        <v>411</v>
      </c>
      <c r="AI189" s="115" t="s">
        <v>412</v>
      </c>
      <c r="AJ189" s="115" t="s">
        <v>413</v>
      </c>
      <c r="AK189" s="115" t="s">
        <v>414</v>
      </c>
      <c r="AL189" s="115" t="s">
        <v>415</v>
      </c>
      <c r="AM189" s="115" t="s">
        <v>416</v>
      </c>
      <c r="AN189" s="115" t="s">
        <v>417</v>
      </c>
      <c r="AO189" s="115" t="s">
        <v>418</v>
      </c>
      <c r="AP189" s="115" t="s">
        <v>419</v>
      </c>
      <c r="AQ189" s="115" t="s">
        <v>420</v>
      </c>
      <c r="AR189" s="115" t="s">
        <v>421</v>
      </c>
      <c r="AS189" s="115" t="s">
        <v>422</v>
      </c>
      <c r="AT189" s="115" t="s">
        <v>423</v>
      </c>
    </row>
    <row r="190" spans="2:46" x14ac:dyDescent="0.2">
      <c r="B190" s="20" t="s">
        <v>371</v>
      </c>
      <c r="C190" s="20"/>
      <c r="D190" s="20"/>
      <c r="E190" s="20"/>
      <c r="F190" s="20"/>
      <c r="G190" s="189" t="s">
        <v>448</v>
      </c>
      <c r="H190" s="190"/>
      <c r="I190" s="189" t="s">
        <v>449</v>
      </c>
      <c r="J190" s="190"/>
      <c r="K190" s="20"/>
      <c r="L190" s="189" t="s">
        <v>450</v>
      </c>
      <c r="M190" s="190"/>
      <c r="N190" s="189" t="s">
        <v>451</v>
      </c>
      <c r="O190" s="190"/>
      <c r="P190" s="152">
        <f>1/P189</f>
        <v>1.09813064378537</v>
      </c>
      <c r="Q190" s="152">
        <f>1/Q189</f>
        <v>6.8633165236585622E-2</v>
      </c>
      <c r="R190" s="20"/>
      <c r="S190" s="20"/>
      <c r="T190" s="129">
        <f>Q171-T191</f>
        <v>123.47162124382018</v>
      </c>
      <c r="U190" s="185">
        <f>T190-U191</f>
        <v>106.11682354983137</v>
      </c>
      <c r="V190" s="185">
        <f t="shared" ref="V190:X190" si="458">U190-V191</f>
        <v>87.89428597114312</v>
      </c>
      <c r="W190" s="185">
        <f t="shared" si="458"/>
        <v>68.760621513520448</v>
      </c>
      <c r="X190" s="185">
        <f t="shared" si="458"/>
        <v>48.670273833016651</v>
      </c>
      <c r="Y190" s="185">
        <f>X190-Y191</f>
        <v>27.575408768487659</v>
      </c>
      <c r="Z190" s="185">
        <f t="shared" ref="Z190:AC190" si="459">Y190-Z191</f>
        <v>5.4258004507322148</v>
      </c>
      <c r="AA190" s="185">
        <f t="shared" si="459"/>
        <v>-17.831288282911004</v>
      </c>
      <c r="AB190" s="185">
        <f t="shared" si="459"/>
        <v>-42.251231453236386</v>
      </c>
      <c r="AC190" s="185">
        <f t="shared" si="459"/>
        <v>-67.892171782078037</v>
      </c>
      <c r="AD190" s="185">
        <f t="shared" ref="AD190" si="460">AC190-AD191</f>
        <v>-94.815159127361767</v>
      </c>
      <c r="AE190" s="185">
        <f t="shared" ref="AE190" si="461">AD190-AE191</f>
        <v>-123.08429583990969</v>
      </c>
      <c r="AF190" s="185">
        <f t="shared" ref="AF190" si="462">AE190-AF191</f>
        <v>-152.76688938808502</v>
      </c>
      <c r="AG190" s="185">
        <f t="shared" ref="AG190" si="463">AF190-AG191</f>
        <v>-183.93361261366911</v>
      </c>
      <c r="AH190" s="185">
        <f t="shared" ref="AH190" si="464">AG190-AH191</f>
        <v>-216.65867200053242</v>
      </c>
      <c r="AI190" s="185">
        <f t="shared" ref="AI190" si="465">AH190-AI191</f>
        <v>-251.01998435673889</v>
      </c>
      <c r="AJ190" s="185">
        <f t="shared" ref="AJ190" si="466">AI190-AJ191</f>
        <v>-287.0993623307557</v>
      </c>
      <c r="AK190" s="185">
        <f t="shared" ref="AK190" si="467">AJ190-AK191</f>
        <v>-324.98270920347329</v>
      </c>
      <c r="AL190" s="185">
        <f t="shared" ref="AL190" si="468">AK190-AL191</f>
        <v>-364.76022341982679</v>
      </c>
      <c r="AM190" s="185">
        <f t="shared" ref="AM190" si="469">AL190-AM191</f>
        <v>-406.52661334699798</v>
      </c>
      <c r="AN190" s="185">
        <f t="shared" ref="AN190" si="470">AM190-AN191</f>
        <v>-450.38132277052773</v>
      </c>
      <c r="AO190" s="185">
        <f t="shared" ref="AO190" si="471">AN190-AO191</f>
        <v>-496.42876766523398</v>
      </c>
      <c r="AP190" s="185">
        <f t="shared" ref="AP190" si="472">AO190-AP191</f>
        <v>-544.77858480467557</v>
      </c>
      <c r="AQ190" s="185">
        <f t="shared" ref="AQ190" si="473">AP190-AQ191</f>
        <v>-595.54589280108917</v>
      </c>
      <c r="AR190" s="185">
        <f t="shared" ref="AR190" si="474">AQ190-AR191</f>
        <v>-648.85156619732345</v>
      </c>
      <c r="AS190" s="185">
        <f t="shared" ref="AS190" si="475">AR190-AS191</f>
        <v>-704.82252326336948</v>
      </c>
      <c r="AT190" s="185">
        <f t="shared" ref="AT190" si="476">AS190-AT191</f>
        <v>-763.59202818271785</v>
      </c>
    </row>
    <row r="191" spans="2:46" x14ac:dyDescent="0.2">
      <c r="B191" s="20" t="s">
        <v>396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>
        <f>Q171/R141</f>
        <v>8.8937942534162957</v>
      </c>
      <c r="Q191" s="181">
        <f>Q171/R141</f>
        <v>8.8937942534162957</v>
      </c>
      <c r="R191" s="20"/>
      <c r="S191" s="20"/>
      <c r="T191" s="186">
        <f>R141*(1+$K$191)</f>
        <v>16.528378756179816</v>
      </c>
      <c r="U191" s="186">
        <f>T191*(1+$K$191)</f>
        <v>17.354797693988807</v>
      </c>
      <c r="V191" s="186">
        <f t="shared" ref="V191:AC191" si="477">U191*(1+$K$191)</f>
        <v>18.22253757868825</v>
      </c>
      <c r="W191" s="186">
        <f t="shared" si="477"/>
        <v>19.133664457622665</v>
      </c>
      <c r="X191" s="186">
        <f t="shared" si="477"/>
        <v>20.0903476805038</v>
      </c>
      <c r="Y191" s="186">
        <f t="shared" si="477"/>
        <v>21.094865064528992</v>
      </c>
      <c r="Z191" s="186">
        <f t="shared" si="477"/>
        <v>22.149608317755444</v>
      </c>
      <c r="AA191" s="186">
        <f t="shared" si="477"/>
        <v>23.257088733643219</v>
      </c>
      <c r="AB191" s="186">
        <f t="shared" si="477"/>
        <v>24.419943170325382</v>
      </c>
      <c r="AC191" s="186">
        <f t="shared" si="477"/>
        <v>25.640940328841651</v>
      </c>
      <c r="AD191" s="186">
        <f t="shared" ref="AD191" si="478">AC191*(1+$K$191)</f>
        <v>26.922987345283737</v>
      </c>
      <c r="AE191" s="186">
        <f t="shared" ref="AE191" si="479">AD191*(1+$K$191)</f>
        <v>28.269136712547926</v>
      </c>
      <c r="AF191" s="186">
        <f t="shared" ref="AF191" si="480">AE191*(1+$K$191)</f>
        <v>29.682593548175323</v>
      </c>
      <c r="AG191" s="186">
        <f t="shared" ref="AG191" si="481">AF191*(1+$K$191)</f>
        <v>31.166723225584089</v>
      </c>
      <c r="AH191" s="186">
        <f t="shared" ref="AH191" si="482">AG191*(1+$K$191)</f>
        <v>32.725059386863293</v>
      </c>
      <c r="AI191" s="186">
        <f t="shared" ref="AI191" si="483">AH191*(1+$K$191)</f>
        <v>34.361312356206462</v>
      </c>
      <c r="AJ191" s="186">
        <f t="shared" ref="AJ191" si="484">AI191*(1+$K$191)</f>
        <v>36.079377974016786</v>
      </c>
      <c r="AK191" s="186">
        <f t="shared" ref="AK191" si="485">AJ191*(1+$K$191)</f>
        <v>37.883346872717624</v>
      </c>
      <c r="AL191" s="186">
        <f t="shared" ref="AL191" si="486">AK191*(1+$K$191)</f>
        <v>39.777514216353509</v>
      </c>
      <c r="AM191" s="186">
        <f t="shared" ref="AM191" si="487">AL191*(1+$K$191)</f>
        <v>41.76638992717119</v>
      </c>
      <c r="AN191" s="186">
        <f t="shared" ref="AN191" si="488">AM191*(1+$K$191)</f>
        <v>43.854709423529748</v>
      </c>
      <c r="AO191" s="186">
        <f t="shared" ref="AO191" si="489">AN191*(1+$K$191)</f>
        <v>46.047444894706238</v>
      </c>
      <c r="AP191" s="186">
        <f t="shared" ref="AP191" si="490">AO191*(1+$K$191)</f>
        <v>48.349817139441555</v>
      </c>
      <c r="AQ191" s="186">
        <f t="shared" ref="AQ191" si="491">AP191*(1+$K$191)</f>
        <v>50.767307996413635</v>
      </c>
      <c r="AR191" s="186">
        <f t="shared" ref="AR191" si="492">AQ191*(1+$K$191)</f>
        <v>53.305673396234319</v>
      </c>
      <c r="AS191" s="186">
        <f t="shared" ref="AS191" si="493">AR191*(1+$K$191)</f>
        <v>55.97095706604604</v>
      </c>
      <c r="AT191" s="186">
        <f t="shared" ref="AT191" si="494">AS191*(1+$K$191)</f>
        <v>58.769504919348343</v>
      </c>
    </row>
    <row r="192" spans="2:46" x14ac:dyDescent="0.2">
      <c r="B192" s="20" t="s">
        <v>395</v>
      </c>
      <c r="C192" s="20"/>
      <c r="D192" s="20"/>
      <c r="E192" s="23" t="s">
        <v>391</v>
      </c>
      <c r="F192" s="22">
        <v>140</v>
      </c>
      <c r="G192" s="191">
        <v>0</v>
      </c>
      <c r="H192" s="192">
        <v>13</v>
      </c>
      <c r="I192" s="191">
        <v>0.05</v>
      </c>
      <c r="J192" s="190">
        <v>10</v>
      </c>
      <c r="K192" s="184">
        <v>0.2</v>
      </c>
      <c r="L192" s="191">
        <v>0.12</v>
      </c>
      <c r="M192" s="190">
        <v>8</v>
      </c>
      <c r="N192" s="191">
        <v>0.2</v>
      </c>
      <c r="O192" s="190">
        <v>6</v>
      </c>
      <c r="P192" s="181">
        <f>Q171/Q54</f>
        <v>13.627952755905513</v>
      </c>
      <c r="Q192" s="181">
        <f>Q171/Q54</f>
        <v>13.627952755905513</v>
      </c>
      <c r="R192" s="20"/>
      <c r="S192" s="20"/>
      <c r="T192" s="186">
        <f>Q54*(1+$K$192)</f>
        <v>12.327603640040444</v>
      </c>
      <c r="U192" s="186">
        <f>T192*(1+$K$192)</f>
        <v>14.793124368048531</v>
      </c>
      <c r="V192" s="186">
        <f t="shared" ref="V192:AC192" si="495">U192*(1+$K$192)</f>
        <v>17.751749241658235</v>
      </c>
      <c r="W192" s="186">
        <f t="shared" si="495"/>
        <v>21.302099089989881</v>
      </c>
      <c r="X192" s="186">
        <f t="shared" si="495"/>
        <v>25.562518907987855</v>
      </c>
      <c r="Y192" s="186">
        <f t="shared" si="495"/>
        <v>30.675022689585425</v>
      </c>
      <c r="Z192" s="186">
        <f t="shared" si="495"/>
        <v>36.810027227502509</v>
      </c>
      <c r="AA192" s="186">
        <f t="shared" si="495"/>
        <v>44.17203267300301</v>
      </c>
      <c r="AB192" s="186">
        <f t="shared" si="495"/>
        <v>53.006439207603613</v>
      </c>
      <c r="AC192" s="186">
        <f t="shared" si="495"/>
        <v>63.607727049124335</v>
      </c>
      <c r="AD192" s="186">
        <f t="shared" ref="AD192" si="496">AC192*(1+$K$192)</f>
        <v>76.329272458949205</v>
      </c>
      <c r="AE192" s="186">
        <f t="shared" ref="AE192" si="497">AD192*(1+$K$192)</f>
        <v>91.595126950739044</v>
      </c>
      <c r="AF192" s="186">
        <f t="shared" ref="AF192" si="498">AE192*(1+$K$192)</f>
        <v>109.91415234088684</v>
      </c>
      <c r="AG192" s="186">
        <f t="shared" ref="AG192" si="499">AF192*(1+$K$192)</f>
        <v>131.89698280906421</v>
      </c>
      <c r="AH192" s="186">
        <f t="shared" ref="AH192" si="500">AG192*(1+$K$192)</f>
        <v>158.27637937087704</v>
      </c>
      <c r="AI192" s="186">
        <f t="shared" ref="AI192" si="501">AH192*(1+$K$192)</f>
        <v>189.93165524505244</v>
      </c>
      <c r="AJ192" s="186">
        <f t="shared" ref="AJ192" si="502">AI192*(1+$K$192)</f>
        <v>227.91798629406293</v>
      </c>
      <c r="AK192" s="186">
        <f t="shared" ref="AK192" si="503">AJ192*(1+$K$192)</f>
        <v>273.5015835528755</v>
      </c>
      <c r="AL192" s="186">
        <f t="shared" ref="AL192" si="504">AK192*(1+$K$192)</f>
        <v>328.20190026345057</v>
      </c>
      <c r="AM192" s="186">
        <f t="shared" ref="AM192" si="505">AL192*(1+$K$192)</f>
        <v>393.84228031614066</v>
      </c>
      <c r="AN192" s="186">
        <f t="shared" ref="AN192" si="506">AM192*(1+$K$192)</f>
        <v>472.61073637936875</v>
      </c>
      <c r="AO192" s="186">
        <f t="shared" ref="AO192" si="507">AN192*(1+$K$192)</f>
        <v>567.13288365524249</v>
      </c>
      <c r="AP192" s="186">
        <f t="shared" ref="AP192" si="508">AO192*(1+$K$192)</f>
        <v>680.55946038629099</v>
      </c>
      <c r="AQ192" s="186">
        <f t="shared" ref="AQ192" si="509">AP192*(1+$K$192)</f>
        <v>816.67135246354917</v>
      </c>
      <c r="AR192" s="186">
        <f t="shared" ref="AR192" si="510">AQ192*(1+$K$192)</f>
        <v>980.005622956259</v>
      </c>
      <c r="AS192" s="186">
        <f t="shared" ref="AS192" si="511">AR192*(1+$K$192)</f>
        <v>1176.0067475475107</v>
      </c>
      <c r="AT192" s="186">
        <f t="shared" ref="AT192" si="512">AS192*(1+$K$192)</f>
        <v>1411.2080970570128</v>
      </c>
    </row>
    <row r="193" spans="2:46" x14ac:dyDescent="0.2">
      <c r="B193" s="20"/>
      <c r="C193" s="20"/>
      <c r="D193" s="20"/>
      <c r="E193" s="23" t="s">
        <v>454</v>
      </c>
      <c r="F193" s="22">
        <v>300</v>
      </c>
      <c r="G193" s="191">
        <v>0</v>
      </c>
      <c r="H193" s="192">
        <v>20</v>
      </c>
      <c r="I193" s="191">
        <v>0.05</v>
      </c>
      <c r="J193" s="190">
        <v>17</v>
      </c>
      <c r="K193" s="190"/>
      <c r="L193" s="191">
        <v>0.12</v>
      </c>
      <c r="M193" s="190">
        <v>12</v>
      </c>
      <c r="N193" s="191">
        <v>0.2</v>
      </c>
      <c r="O193" s="20">
        <v>9</v>
      </c>
      <c r="P193" s="20"/>
      <c r="Q193" s="20"/>
      <c r="R193" s="20"/>
      <c r="S193" s="20"/>
      <c r="T193" s="129">
        <f>Q171-T192</f>
        <v>127.67239635995955</v>
      </c>
      <c r="U193" s="185">
        <f>T193-U192</f>
        <v>112.87927199191103</v>
      </c>
      <c r="V193" s="185">
        <f t="shared" ref="V193:AA193" si="513">U193-V192</f>
        <v>95.127522750252794</v>
      </c>
      <c r="W193" s="185">
        <f t="shared" si="513"/>
        <v>73.825423660262913</v>
      </c>
      <c r="X193" s="185">
        <f t="shared" si="513"/>
        <v>48.262904752275062</v>
      </c>
      <c r="Y193" s="185">
        <f t="shared" si="513"/>
        <v>17.587882062689637</v>
      </c>
      <c r="Z193" s="185">
        <f t="shared" si="513"/>
        <v>-19.222145164812872</v>
      </c>
      <c r="AA193" s="185">
        <f t="shared" si="513"/>
        <v>-63.394177837815882</v>
      </c>
      <c r="AB193" s="185">
        <f>AA193-AB192</f>
        <v>-116.40061704541949</v>
      </c>
      <c r="AC193" s="185">
        <f t="shared" ref="AC193" si="514">AB193-AC192</f>
        <v>-180.00834409454382</v>
      </c>
      <c r="AD193" s="185">
        <f t="shared" ref="AD193" si="515">AC193-AD192</f>
        <v>-256.33761655349304</v>
      </c>
      <c r="AE193" s="185">
        <f t="shared" ref="AE193" si="516">AD193-AE192</f>
        <v>-347.93274350423206</v>
      </c>
      <c r="AF193" s="185">
        <f t="shared" ref="AF193" si="517">AE193-AF192</f>
        <v>-457.84689584511892</v>
      </c>
      <c r="AG193" s="185">
        <f t="shared" ref="AG193" si="518">AF193-AG192</f>
        <v>-589.74387865418316</v>
      </c>
      <c r="AH193" s="185">
        <f t="shared" ref="AH193" si="519">AG193-AH192</f>
        <v>-748.02025802506023</v>
      </c>
      <c r="AI193" s="185">
        <f t="shared" ref="AI193" si="520">AH193-AI192</f>
        <v>-937.95191327011264</v>
      </c>
      <c r="AJ193" s="185">
        <f t="shared" ref="AJ193" si="521">AI193-AJ192</f>
        <v>-1165.8698995641755</v>
      </c>
      <c r="AK193" s="185">
        <f t="shared" ref="AK193" si="522">AJ193-AK192</f>
        <v>-1439.371483117051</v>
      </c>
      <c r="AL193" s="185">
        <f t="shared" ref="AL193" si="523">AK193-AL192</f>
        <v>-1767.5733833805016</v>
      </c>
      <c r="AM193" s="185">
        <f t="shared" ref="AM193" si="524">AL193-AM192</f>
        <v>-2161.4156636966422</v>
      </c>
      <c r="AN193" s="185">
        <f t="shared" ref="AN193" si="525">AM193-AN192</f>
        <v>-2634.0264000760108</v>
      </c>
      <c r="AO193" s="185">
        <f t="shared" ref="AO193" si="526">AN193-AO192</f>
        <v>-3201.1592837312533</v>
      </c>
      <c r="AP193" s="185">
        <f t="shared" ref="AP193" si="527">AO193-AP192</f>
        <v>-3881.7187441175442</v>
      </c>
      <c r="AQ193" s="185">
        <f t="shared" ref="AQ193" si="528">AP193-AQ192</f>
        <v>-4698.3900965810935</v>
      </c>
      <c r="AR193" s="185">
        <f t="shared" ref="AR193" si="529">AQ193-AR192</f>
        <v>-5678.3957195373523</v>
      </c>
      <c r="AS193" s="185">
        <f t="shared" ref="AS193" si="530">AR193-AS192</f>
        <v>-6854.402467084863</v>
      </c>
      <c r="AT193" s="185">
        <f t="shared" ref="AT193" si="531">AS193-AT192</f>
        <v>-8265.6105641418762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532">C10/C7</f>
        <v>#DIV/0!</v>
      </c>
      <c r="D195" s="25" t="e">
        <f t="shared" si="532"/>
        <v>#DIV/0!</v>
      </c>
      <c r="E195" s="25" t="e">
        <f t="shared" si="532"/>
        <v>#DIV/0!</v>
      </c>
      <c r="F195" s="25">
        <f t="shared" si="532"/>
        <v>1.2068965517241379E-2</v>
      </c>
      <c r="G195" s="25">
        <f t="shared" si="532"/>
        <v>1.0277777777777778E-2</v>
      </c>
      <c r="H195" s="25">
        <f t="shared" si="532"/>
        <v>6.9230769230769233E-3</v>
      </c>
      <c r="I195" s="25">
        <f t="shared" si="532"/>
        <v>6.6906474820143886E-3</v>
      </c>
      <c r="J195" s="25">
        <f t="shared" si="532"/>
        <v>6.4883720930232558E-3</v>
      </c>
      <c r="K195" s="25">
        <f t="shared" si="532"/>
        <v>5.8666442374413867E-3</v>
      </c>
      <c r="L195" s="25">
        <f t="shared" si="532"/>
        <v>0</v>
      </c>
      <c r="M195" s="25">
        <f t="shared" si="532"/>
        <v>0</v>
      </c>
      <c r="N195" s="25">
        <f t="shared" si="532"/>
        <v>0</v>
      </c>
      <c r="O195" s="25">
        <f t="shared" si="532"/>
        <v>0</v>
      </c>
      <c r="P195" s="25">
        <f t="shared" si="532"/>
        <v>0</v>
      </c>
      <c r="Q195" s="25">
        <f t="shared" ref="Q195" si="533">Q10/Q7</f>
        <v>0</v>
      </c>
      <c r="R195" s="118">
        <f t="shared" ref="R195:R197" si="534">((P195/G195)^(1/($H$2-$H$1) ))-1</f>
        <v>-1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>
        <f>F10/F12</f>
        <v>0.15</v>
      </c>
      <c r="G196" s="112">
        <f>G10/G12</f>
        <v>0.12466307277628033</v>
      </c>
      <c r="H196" s="112">
        <f t="shared" ref="H196:P196" si="535">H10/H12</f>
        <v>6.7771084337349394E-2</v>
      </c>
      <c r="I196" s="112">
        <f t="shared" si="535"/>
        <v>5.4921259842519686E-2</v>
      </c>
      <c r="J196" s="112">
        <f t="shared" si="535"/>
        <v>0.11093439363817098</v>
      </c>
      <c r="K196" s="112">
        <f t="shared" si="535"/>
        <v>1.0921474986299225E-2</v>
      </c>
      <c r="L196" s="112">
        <f t="shared" si="535"/>
        <v>0</v>
      </c>
      <c r="M196" s="112">
        <f t="shared" si="535"/>
        <v>0</v>
      </c>
      <c r="N196" s="112">
        <f t="shared" si="535"/>
        <v>0</v>
      </c>
      <c r="O196" s="112">
        <f t="shared" si="535"/>
        <v>0</v>
      </c>
      <c r="P196" s="112">
        <f t="shared" si="535"/>
        <v>0</v>
      </c>
      <c r="Q196" s="112">
        <f t="shared" ref="Q196" si="536">Q10/Q12</f>
        <v>0</v>
      </c>
      <c r="R196" s="118">
        <f t="shared" si="534"/>
        <v>-1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>
        <f>F10/(F12+F13)</f>
        <v>3.7168141592920353E-2</v>
      </c>
      <c r="G197" s="25">
        <f>G10/(G12+G13)</f>
        <v>2.3317368288379128E-2</v>
      </c>
      <c r="H197" s="25">
        <f t="shared" ref="H197:P197" si="537">H10/(H12+H13)</f>
        <v>1.8262987012987012E-2</v>
      </c>
      <c r="I197" s="25">
        <f t="shared" si="537"/>
        <v>2.9903536977491964E-2</v>
      </c>
      <c r="J197" s="25">
        <f t="shared" si="537"/>
        <v>6.1010277717034773E-2</v>
      </c>
      <c r="K197" s="25">
        <f t="shared" si="537"/>
        <v>1.0899289006953668E-2</v>
      </c>
      <c r="L197" s="25">
        <f t="shared" si="537"/>
        <v>0</v>
      </c>
      <c r="M197" s="25">
        <f t="shared" si="537"/>
        <v>0</v>
      </c>
      <c r="N197" s="25">
        <f t="shared" si="537"/>
        <v>0</v>
      </c>
      <c r="O197" s="25">
        <f t="shared" si="537"/>
        <v>0</v>
      </c>
      <c r="P197" s="25">
        <f t="shared" si="537"/>
        <v>0</v>
      </c>
      <c r="Q197" s="25">
        <f t="shared" ref="Q197" si="538">Q10/(Q12+Q13)</f>
        <v>0</v>
      </c>
      <c r="R197" s="118">
        <f t="shared" si="534"/>
        <v>-1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0" t="s">
        <v>337</v>
      </c>
      <c r="M200" s="201"/>
      <c r="N200" s="202"/>
      <c r="O200" s="23" t="s">
        <v>340</v>
      </c>
      <c r="P200" s="20"/>
      <c r="Q200" s="137"/>
      <c r="R200" s="200" t="s">
        <v>338</v>
      </c>
      <c r="S200" s="201"/>
      <c r="T200" s="202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341</v>
      </c>
      <c r="D202" s="21">
        <v>430</v>
      </c>
      <c r="E202" s="176" t="s">
        <v>384</v>
      </c>
      <c r="F202" s="22">
        <v>1</v>
      </c>
      <c r="G202" s="22">
        <v>1</v>
      </c>
      <c r="H202" s="167">
        <f>F202/G202</f>
        <v>1</v>
      </c>
      <c r="I202" s="167">
        <f>H202*D203</f>
        <v>1</v>
      </c>
      <c r="J202" s="177">
        <f>I202+D203</f>
        <v>2</v>
      </c>
      <c r="K202" s="20"/>
      <c r="L202" s="167" t="s">
        <v>341</v>
      </c>
      <c r="M202" s="167"/>
      <c r="N202" s="21">
        <v>37</v>
      </c>
      <c r="O202" s="173">
        <f>N202</f>
        <v>37</v>
      </c>
      <c r="P202" s="20"/>
      <c r="Q202" s="20"/>
      <c r="R202" s="167" t="s">
        <v>341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342</v>
      </c>
      <c r="D203" s="21">
        <v>1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344</v>
      </c>
      <c r="D204" s="168">
        <f>D202*D203</f>
        <v>430</v>
      </c>
      <c r="E204" s="176" t="s">
        <v>397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2</v>
      </c>
      <c r="K204" s="20"/>
      <c r="L204" s="167" t="s">
        <v>343</v>
      </c>
      <c r="M204" s="167"/>
      <c r="N204" s="168">
        <f>N202*N203</f>
        <v>37</v>
      </c>
      <c r="O204" s="173">
        <f>N204</f>
        <v>37</v>
      </c>
      <c r="P204" s="20"/>
      <c r="Q204" s="20"/>
      <c r="R204" s="167" t="s">
        <v>344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386</v>
      </c>
      <c r="F205" s="22">
        <v>10</v>
      </c>
      <c r="G205" s="22">
        <v>1</v>
      </c>
      <c r="H205" s="167">
        <f>F205/G205</f>
        <v>10</v>
      </c>
      <c r="I205" s="167">
        <f>H205*J204</f>
        <v>20</v>
      </c>
      <c r="J205" s="167">
        <f>I205</f>
        <v>20</v>
      </c>
      <c r="K205" s="20"/>
      <c r="L205" s="167" t="s">
        <v>345</v>
      </c>
      <c r="M205" s="167"/>
      <c r="N205" s="21">
        <v>325</v>
      </c>
      <c r="O205" s="21">
        <v>371</v>
      </c>
      <c r="P205" s="20"/>
      <c r="Q205" s="20"/>
      <c r="R205" s="167" t="s">
        <v>345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345</v>
      </c>
      <c r="D206" s="21">
        <v>320</v>
      </c>
      <c r="E206" s="176"/>
      <c r="F206" s="167"/>
      <c r="G206" s="167"/>
      <c r="H206" s="169" t="s">
        <v>387</v>
      </c>
      <c r="I206" s="167"/>
      <c r="J206" s="167">
        <f>J205</f>
        <v>20</v>
      </c>
      <c r="K206" s="20"/>
      <c r="L206" s="167" t="s">
        <v>346</v>
      </c>
      <c r="M206" s="167"/>
      <c r="N206" s="168">
        <f>N205*N203</f>
        <v>325</v>
      </c>
      <c r="O206" s="168">
        <f>O205*O203</f>
        <v>371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342</v>
      </c>
      <c r="D207" s="21">
        <v>2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344</v>
      </c>
      <c r="D208" s="168">
        <f>D207*D206</f>
        <v>640</v>
      </c>
      <c r="E208" s="167"/>
      <c r="F208" s="167"/>
      <c r="G208" s="167"/>
      <c r="H208" s="169" t="s">
        <v>387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347</v>
      </c>
      <c r="M209" s="169"/>
      <c r="N209" s="170">
        <f>N206/N204</f>
        <v>8.7837837837837842</v>
      </c>
      <c r="O209" s="170">
        <f>O206/O204</f>
        <v>10.027027027027026</v>
      </c>
      <c r="P209" s="20"/>
      <c r="Q209" s="20"/>
      <c r="R209" s="169" t="s">
        <v>347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347</v>
      </c>
      <c r="D210" s="170">
        <f>D208/D204</f>
        <v>1.4883720930232558</v>
      </c>
      <c r="E210" s="176"/>
      <c r="F210" s="167"/>
      <c r="G210" s="167"/>
      <c r="H210" s="169" t="s">
        <v>387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3" t="s">
        <v>27</v>
      </c>
      <c r="E213" s="194"/>
      <c r="F213" s="194"/>
      <c r="G213" s="195"/>
      <c r="H213" s="20"/>
      <c r="I213" s="193" t="s">
        <v>392</v>
      </c>
      <c r="J213" s="194"/>
      <c r="K213" s="195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430</v>
      </c>
      <c r="H214" s="20"/>
      <c r="I214" s="20" t="s">
        <v>28</v>
      </c>
      <c r="J214" s="127"/>
      <c r="K214" s="21">
        <f>G214</f>
        <v>430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640</v>
      </c>
      <c r="H215" s="20"/>
      <c r="I215" s="20" t="s">
        <v>29</v>
      </c>
      <c r="J215" s="20"/>
      <c r="K215" s="21">
        <f>G215</f>
        <v>640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4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0.1045309242664223</v>
      </c>
      <c r="H217" s="20"/>
      <c r="I217" s="23" t="s">
        <v>393</v>
      </c>
      <c r="J217" s="23"/>
      <c r="K217" s="23">
        <f>(K215-K214)/K214</f>
        <v>0.48837209302325579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48</v>
      </c>
      <c r="H218" s="20"/>
      <c r="I218" s="23" t="s">
        <v>394</v>
      </c>
      <c r="J218" s="23"/>
      <c r="K218" s="23">
        <f>K215/K214</f>
        <v>1.4883720930232558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4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0.1045309242664223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5" t="s">
        <v>27</v>
      </c>
      <c r="K5" s="205"/>
      <c r="M5" s="205" t="s">
        <v>65</v>
      </c>
      <c r="N5" s="205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5" t="s">
        <v>36</v>
      </c>
      <c r="K14" s="205"/>
      <c r="L14" s="205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5" t="s">
        <v>27</v>
      </c>
      <c r="S5" s="205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5" t="s">
        <v>36</v>
      </c>
      <c r="S14" s="205"/>
      <c r="T14" s="205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5" t="s">
        <v>27</v>
      </c>
      <c r="C2" s="205"/>
      <c r="E2" s="205" t="s">
        <v>65</v>
      </c>
      <c r="F2" s="205"/>
      <c r="H2" s="209" t="s">
        <v>36</v>
      </c>
      <c r="I2" s="210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6" t="s">
        <v>68</v>
      </c>
      <c r="E10" s="207"/>
      <c r="F10" s="207"/>
      <c r="G10" s="207"/>
      <c r="H10" s="208"/>
      <c r="I10" s="206" t="s">
        <v>72</v>
      </c>
      <c r="J10" s="207"/>
      <c r="K10" s="207"/>
      <c r="L10" s="20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1" t="s">
        <v>431</v>
      </c>
      <c r="C3" s="212"/>
      <c r="F3" s="211" t="s">
        <v>432</v>
      </c>
      <c r="G3" s="212"/>
    </row>
    <row r="4" spans="2:7" x14ac:dyDescent="0.2">
      <c r="B4" s="188" t="s">
        <v>433</v>
      </c>
      <c r="C4" s="188"/>
      <c r="F4" s="188" t="s">
        <v>434</v>
      </c>
      <c r="G4" s="188"/>
    </row>
    <row r="5" spans="2:7" x14ac:dyDescent="0.2">
      <c r="B5" s="188" t="s">
        <v>435</v>
      </c>
      <c r="C5" s="188"/>
      <c r="F5" s="188" t="s">
        <v>292</v>
      </c>
      <c r="G5" s="188"/>
    </row>
    <row r="6" spans="2:7" x14ac:dyDescent="0.2">
      <c r="B6" s="188" t="s">
        <v>436</v>
      </c>
      <c r="C6" s="188"/>
      <c r="F6" s="188" t="s">
        <v>437</v>
      </c>
      <c r="G6" s="188"/>
    </row>
    <row r="7" spans="2:7" x14ac:dyDescent="0.2">
      <c r="B7" s="188" t="s">
        <v>438</v>
      </c>
      <c r="C7" s="188"/>
      <c r="F7" s="188" t="s">
        <v>439</v>
      </c>
      <c r="G7" s="188"/>
    </row>
    <row r="8" spans="2:7" x14ac:dyDescent="0.2">
      <c r="B8" s="188" t="s">
        <v>440</v>
      </c>
      <c r="C8" s="188"/>
      <c r="F8" s="188" t="s">
        <v>441</v>
      </c>
      <c r="G8" s="188"/>
    </row>
    <row r="9" spans="2:7" x14ac:dyDescent="0.2">
      <c r="B9" s="188" t="s">
        <v>442</v>
      </c>
      <c r="C9" s="188"/>
      <c r="F9" s="188" t="s">
        <v>443</v>
      </c>
      <c r="G9" s="188"/>
    </row>
    <row r="10" spans="2:7" x14ac:dyDescent="0.2">
      <c r="B10" s="188" t="s">
        <v>441</v>
      </c>
      <c r="C10" s="188"/>
      <c r="F10" s="188"/>
      <c r="G10" s="188"/>
    </row>
    <row r="11" spans="2:7" x14ac:dyDescent="0.2">
      <c r="B11" s="188" t="s">
        <v>444</v>
      </c>
      <c r="C11" s="188"/>
      <c r="F11" s="188"/>
      <c r="G11" s="188"/>
    </row>
    <row r="12" spans="2:7" x14ac:dyDescent="0.2">
      <c r="B12" s="188" t="s">
        <v>445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2014-06-27T20:16:53Z</dcterms:modified>
</cp:coreProperties>
</file>
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62913"/>
</workbook>
</file>

<file path=xl/calcChain.xml><?xml version="1.0" encoding="utf-8"?>
<calcChain xmlns="http://schemas.openxmlformats.org/spreadsheetml/2006/main">
  <c r="M28" i="18" l="1"/>
  <c r="L28" i="18"/>
  <c r="K28" i="18"/>
  <c r="J28" i="18"/>
  <c r="M26" i="18"/>
  <c r="L26" i="18"/>
  <c r="K26" i="18"/>
  <c r="J26" i="18"/>
  <c r="U66" i="18"/>
  <c r="U67" i="18"/>
  <c r="U68" i="18"/>
  <c r="U70" i="18"/>
  <c r="U204" i="18" s="1"/>
  <c r="U71" i="18"/>
  <c r="U72" i="18"/>
  <c r="U214" i="18" s="1"/>
  <c r="U73" i="18"/>
  <c r="U74" i="18"/>
  <c r="U75" i="18"/>
  <c r="U76" i="18"/>
  <c r="U78" i="18"/>
  <c r="U79" i="18"/>
  <c r="U80" i="18"/>
  <c r="U82" i="18"/>
  <c r="U83" i="18"/>
  <c r="U84" i="18" s="1"/>
  <c r="U207" i="18" s="1"/>
  <c r="U85" i="18"/>
  <c r="U86" i="18"/>
  <c r="U208" i="18" s="1"/>
  <c r="U88" i="18"/>
  <c r="U90" i="18"/>
  <c r="U92" i="18" s="1"/>
  <c r="U93" i="18"/>
  <c r="U94" i="18"/>
  <c r="U95" i="18"/>
  <c r="U96" i="18"/>
  <c r="U98" i="18"/>
  <c r="U99" i="18"/>
  <c r="U100" i="18"/>
  <c r="U102" i="18"/>
  <c r="U105" i="18"/>
  <c r="U106" i="18"/>
  <c r="U107" i="18"/>
  <c r="U108" i="18"/>
  <c r="U109" i="18"/>
  <c r="U110" i="18"/>
  <c r="U112" i="18"/>
  <c r="U113" i="18"/>
  <c r="U119" i="18" s="1"/>
  <c r="U114" i="18"/>
  <c r="U115" i="18"/>
  <c r="U121" i="18" s="1"/>
  <c r="U116" i="18"/>
  <c r="U118" i="18"/>
  <c r="U120" i="18"/>
  <c r="U122" i="18"/>
  <c r="U124" i="18"/>
  <c r="U125" i="18"/>
  <c r="U126" i="18"/>
  <c r="U127" i="18"/>
  <c r="U128" i="18"/>
  <c r="U129" i="18"/>
  <c r="U130" i="18"/>
  <c r="U131" i="18"/>
  <c r="U132" i="18"/>
  <c r="U134" i="18"/>
  <c r="U135" i="18"/>
  <c r="U136" i="18"/>
  <c r="U137" i="18"/>
  <c r="U139" i="18"/>
  <c r="U140" i="18" s="1"/>
  <c r="U141" i="18" s="1"/>
  <c r="U142" i="18" s="1"/>
  <c r="U145" i="18"/>
  <c r="U146" i="18"/>
  <c r="U147" i="18"/>
  <c r="U149" i="18"/>
  <c r="U150" i="18"/>
  <c r="U151" i="18"/>
  <c r="U154" i="18"/>
  <c r="U155" i="18"/>
  <c r="U156" i="18"/>
  <c r="U157" i="18"/>
  <c r="U159" i="18"/>
  <c r="U160" i="18"/>
  <c r="U162" i="18"/>
  <c r="U163" i="18" s="1"/>
  <c r="U164" i="18"/>
  <c r="U166" i="18"/>
  <c r="U167" i="18"/>
  <c r="U202" i="18"/>
  <c r="U203" i="18"/>
  <c r="U216" i="18" s="1"/>
  <c r="U217" i="18" s="1"/>
  <c r="U205" i="18"/>
  <c r="U206" i="18"/>
  <c r="U209" i="18"/>
  <c r="U211" i="18"/>
  <c r="U212" i="18"/>
  <c r="U215" i="18"/>
  <c r="U8" i="18"/>
  <c r="U11" i="18"/>
  <c r="U26" i="18"/>
  <c r="U28" i="18"/>
  <c r="U30" i="18"/>
  <c r="U37" i="18"/>
  <c r="U39" i="18"/>
  <c r="U44" i="18"/>
  <c r="U46" i="18"/>
  <c r="U48" i="18"/>
  <c r="U52" i="18"/>
  <c r="U54" i="18"/>
  <c r="U56" i="18"/>
  <c r="U58" i="18"/>
  <c r="U60" i="18"/>
  <c r="V153" i="18"/>
  <c r="V7" i="18"/>
  <c r="V9" i="18"/>
  <c r="V10" i="18"/>
  <c r="V12" i="18"/>
  <c r="V13" i="18"/>
  <c r="V14" i="18"/>
  <c r="V15" i="18"/>
  <c r="V16" i="18"/>
  <c r="V18" i="18"/>
  <c r="V20" i="18"/>
  <c r="V21" i="18"/>
  <c r="V22" i="18"/>
  <c r="V23" i="18"/>
  <c r="V25" i="18"/>
  <c r="V27" i="18"/>
  <c r="V29" i="18"/>
  <c r="V31" i="18"/>
  <c r="V32" i="18"/>
  <c r="V33" i="18"/>
  <c r="V34" i="18"/>
  <c r="V50" i="18"/>
  <c r="V51" i="18"/>
  <c r="V53" i="18"/>
  <c r="V55" i="18"/>
  <c r="V57" i="18"/>
  <c r="V59" i="18"/>
  <c r="V6" i="18"/>
  <c r="P56" i="18"/>
  <c r="O56" i="18"/>
  <c r="N56" i="18"/>
  <c r="M56" i="18"/>
  <c r="L56" i="18"/>
  <c r="K56" i="18"/>
  <c r="J56" i="18"/>
  <c r="I56" i="18"/>
  <c r="H56" i="18"/>
  <c r="G56" i="18"/>
  <c r="P54" i="18"/>
  <c r="O54" i="18"/>
  <c r="N54" i="18"/>
  <c r="M54" i="18"/>
  <c r="L54" i="18"/>
  <c r="K54" i="18"/>
  <c r="J54" i="18"/>
  <c r="I54" i="18"/>
  <c r="H54" i="18"/>
  <c r="G54" i="18"/>
  <c r="P52" i="18"/>
  <c r="O52" i="18"/>
  <c r="N52" i="18"/>
  <c r="M52" i="18"/>
  <c r="L52" i="18"/>
  <c r="K52" i="18"/>
  <c r="J52" i="18"/>
  <c r="I52" i="18"/>
  <c r="H52" i="18"/>
  <c r="G52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I28" i="18"/>
  <c r="H28" i="18"/>
  <c r="G28" i="18"/>
  <c r="P26" i="18"/>
  <c r="O26" i="18"/>
  <c r="N26" i="18"/>
  <c r="I26" i="18"/>
  <c r="H26" i="18"/>
  <c r="G26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U143" i="18" l="1"/>
  <c r="G211" i="18"/>
  <c r="G212" i="18"/>
  <c r="G58" i="18"/>
  <c r="G60" i="18"/>
  <c r="G66" i="18"/>
  <c r="G202" i="18" s="1"/>
  <c r="G67" i="18"/>
  <c r="G68" i="18"/>
  <c r="G110" i="18" s="1"/>
  <c r="G70" i="18"/>
  <c r="G204" i="18" s="1"/>
  <c r="G71" i="18"/>
  <c r="G205" i="18" s="1"/>
  <c r="G72" i="18"/>
  <c r="G73" i="18"/>
  <c r="G74" i="18"/>
  <c r="G75" i="18"/>
  <c r="G206" i="18" s="1"/>
  <c r="G76" i="18"/>
  <c r="G78" i="18"/>
  <c r="G79" i="18"/>
  <c r="G80" i="18"/>
  <c r="G209" i="18" s="1"/>
  <c r="G82" i="18"/>
  <c r="G83" i="18"/>
  <c r="G85" i="18"/>
  <c r="G86" i="18"/>
  <c r="G208" i="18" s="1"/>
  <c r="G88" i="18"/>
  <c r="G139" i="18" s="1"/>
  <c r="G140" i="18" s="1"/>
  <c r="G141" i="18" s="1"/>
  <c r="G142" i="18" s="1"/>
  <c r="G90" i="18"/>
  <c r="G92" i="18" s="1"/>
  <c r="G93" i="18"/>
  <c r="G94" i="18"/>
  <c r="G95" i="18"/>
  <c r="G96" i="18"/>
  <c r="G98" i="18"/>
  <c r="G164" i="18" s="1"/>
  <c r="G99" i="18"/>
  <c r="G100" i="18"/>
  <c r="G102" i="18"/>
  <c r="G105" i="18"/>
  <c r="G106" i="18"/>
  <c r="G107" i="18"/>
  <c r="G108" i="18"/>
  <c r="G109" i="18"/>
  <c r="G112" i="18"/>
  <c r="G118" i="18" s="1"/>
  <c r="G113" i="18"/>
  <c r="G119" i="18" s="1"/>
  <c r="G114" i="18"/>
  <c r="G120" i="18" s="1"/>
  <c r="G115" i="18"/>
  <c r="G121" i="18" s="1"/>
  <c r="G116" i="18"/>
  <c r="G122" i="18" s="1"/>
  <c r="G134" i="18"/>
  <c r="G135" i="18"/>
  <c r="G136" i="18"/>
  <c r="G137" i="18"/>
  <c r="G145" i="18"/>
  <c r="G146" i="18"/>
  <c r="G147" i="18"/>
  <c r="G149" i="18"/>
  <c r="G150" i="18"/>
  <c r="G151" i="18"/>
  <c r="G154" i="18"/>
  <c r="G155" i="18"/>
  <c r="G156" i="18"/>
  <c r="G157" i="18"/>
  <c r="G159" i="18"/>
  <c r="G160" i="18"/>
  <c r="G162" i="18"/>
  <c r="G163" i="18" s="1"/>
  <c r="G166" i="18"/>
  <c r="G167" i="18"/>
  <c r="AI232" i="18"/>
  <c r="AJ231" i="18"/>
  <c r="AI231" i="18"/>
  <c r="AI230" i="18"/>
  <c r="AI229" i="18"/>
  <c r="R58" i="18"/>
  <c r="Q58" i="18"/>
  <c r="P58" i="18"/>
  <c r="O58" i="18"/>
  <c r="N58" i="18"/>
  <c r="M58" i="18"/>
  <c r="L58" i="18"/>
  <c r="K58" i="18"/>
  <c r="J58" i="18"/>
  <c r="I58" i="18"/>
  <c r="H58" i="18"/>
  <c r="R56" i="18"/>
  <c r="Q56" i="18"/>
  <c r="R54" i="18"/>
  <c r="Q54" i="18"/>
  <c r="R52" i="18"/>
  <c r="Q52" i="18"/>
  <c r="R30" i="18"/>
  <c r="Q30" i="18"/>
  <c r="R28" i="18"/>
  <c r="Q28" i="18"/>
  <c r="R26" i="18"/>
  <c r="Q26" i="18"/>
  <c r="R11" i="18"/>
  <c r="Q11" i="18"/>
  <c r="R8" i="18"/>
  <c r="Q8" i="18"/>
  <c r="G203" i="18" l="1"/>
  <c r="G216" i="18" s="1"/>
  <c r="G217" i="18" s="1"/>
  <c r="G84" i="18"/>
  <c r="G207" i="18" s="1"/>
  <c r="G143" i="18"/>
  <c r="G214" i="18"/>
  <c r="K124" i="20"/>
  <c r="D124" i="20"/>
  <c r="I92" i="20"/>
  <c r="I93" i="20" s="1"/>
  <c r="B92" i="20"/>
  <c r="B93" i="20" s="1"/>
  <c r="M91" i="20"/>
  <c r="N91" i="20" s="1"/>
  <c r="J92" i="20" s="1"/>
  <c r="F91" i="20"/>
  <c r="G91" i="20" s="1"/>
  <c r="C92" i="20" s="1"/>
  <c r="K81" i="20"/>
  <c r="K82" i="20" s="1"/>
  <c r="D81" i="20"/>
  <c r="D82" i="20" s="1"/>
  <c r="G80" i="20"/>
  <c r="E69" i="20"/>
  <c r="E70" i="20" s="1"/>
  <c r="H68" i="20"/>
  <c r="L55" i="20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O50" i="20"/>
  <c r="O51" i="20" s="1"/>
  <c r="O52" i="20" s="1"/>
  <c r="O53" i="20" s="1"/>
  <c r="O54" i="20" s="1"/>
  <c r="O55" i="20" s="1"/>
  <c r="O56" i="20" s="1"/>
  <c r="O57" i="20" s="1"/>
  <c r="O58" i="20" s="1"/>
  <c r="O59" i="20" s="1"/>
  <c r="O60" i="20" s="1"/>
  <c r="O61" i="20" s="1"/>
  <c r="O62" i="20" s="1"/>
  <c r="O63" i="20" s="1"/>
  <c r="O64" i="20" s="1"/>
  <c r="I50" i="20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E50" i="20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B50" i="20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A50" i="20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M49" i="20"/>
  <c r="N49" i="20" s="1"/>
  <c r="F49" i="20"/>
  <c r="G49" i="20" s="1"/>
  <c r="C50" i="20" s="1"/>
  <c r="H41" i="20"/>
  <c r="D41" i="20"/>
  <c r="D42" i="20" s="1"/>
  <c r="L38" i="20"/>
  <c r="L37" i="20"/>
  <c r="H32" i="20"/>
  <c r="L31" i="20"/>
  <c r="L32" i="20" s="1"/>
  <c r="L33" i="20" s="1"/>
  <c r="H31" i="20"/>
  <c r="C31" i="20"/>
  <c r="C32" i="20" s="1"/>
  <c r="M30" i="20"/>
  <c r="L30" i="20"/>
  <c r="M29" i="20"/>
  <c r="P21" i="20"/>
  <c r="L20" i="20"/>
  <c r="L22" i="20" s="1"/>
  <c r="P19" i="20"/>
  <c r="Q19" i="20" s="1"/>
  <c r="R19" i="20" s="1"/>
  <c r="R20" i="20" s="1"/>
  <c r="H19" i="20"/>
  <c r="H20" i="20" s="1"/>
  <c r="C19" i="20"/>
  <c r="C20" i="20" s="1"/>
  <c r="P17" i="20"/>
  <c r="L17" i="20"/>
  <c r="P16" i="20"/>
  <c r="Q15" i="20"/>
  <c r="R15" i="20" s="1"/>
  <c r="P15" i="20"/>
  <c r="N12" i="20"/>
  <c r="N11" i="20"/>
  <c r="Q10" i="20"/>
  <c r="N10" i="20"/>
  <c r="N9" i="20"/>
  <c r="H9" i="20"/>
  <c r="H10" i="20" s="1"/>
  <c r="C9" i="20"/>
  <c r="C10" i="20" s="1"/>
  <c r="N8" i="20"/>
  <c r="N7" i="20"/>
  <c r="N6" i="20"/>
  <c r="Q5" i="20"/>
  <c r="N5" i="20"/>
  <c r="Q21" i="20" l="1"/>
  <c r="R21" i="20" s="1"/>
  <c r="R22" i="20" s="1"/>
  <c r="L41" i="20"/>
  <c r="G215" i="18"/>
  <c r="H69" i="20"/>
  <c r="F50" i="20"/>
  <c r="G50" i="20" s="1"/>
  <c r="C51" i="20" s="1"/>
  <c r="J50" i="20"/>
  <c r="P49" i="20"/>
  <c r="Q16" i="20"/>
  <c r="R16" i="20" s="1"/>
  <c r="Q17" i="20" s="1"/>
  <c r="R17" i="20" s="1"/>
  <c r="R18" i="20" s="1"/>
  <c r="I94" i="20"/>
  <c r="M93" i="20"/>
  <c r="M38" i="20"/>
  <c r="L40" i="20"/>
  <c r="B94" i="20"/>
  <c r="F93" i="20"/>
  <c r="M39" i="20"/>
  <c r="M27" i="20" s="1"/>
  <c r="F92" i="20"/>
  <c r="G92" i="20" s="1"/>
  <c r="C93" i="20" s="1"/>
  <c r="M92" i="20"/>
  <c r="N92" i="20" s="1"/>
  <c r="J93" i="20" s="1"/>
  <c r="B95" i="20" l="1"/>
  <c r="F94" i="20"/>
  <c r="I95" i="20"/>
  <c r="M94" i="20"/>
  <c r="N94" i="20" s="1"/>
  <c r="J95" i="20" s="1"/>
  <c r="M50" i="20"/>
  <c r="N50" i="20" s="1"/>
  <c r="H70" i="20"/>
  <c r="F51" i="20"/>
  <c r="G51" i="20" s="1"/>
  <c r="C52" i="20" s="1"/>
  <c r="G93" i="20"/>
  <c r="C94" i="20" s="1"/>
  <c r="N93" i="20"/>
  <c r="J94" i="20" s="1"/>
  <c r="J51" i="20" l="1"/>
  <c r="P50" i="20"/>
  <c r="I96" i="20"/>
  <c r="M95" i="20"/>
  <c r="N95" i="20" s="1"/>
  <c r="J96" i="20" s="1"/>
  <c r="B96" i="20"/>
  <c r="F95" i="20"/>
  <c r="H71" i="20"/>
  <c r="G52" i="20"/>
  <c r="C53" i="20" s="1"/>
  <c r="F52" i="20"/>
  <c r="G94" i="20"/>
  <c r="C95" i="20" s="1"/>
  <c r="H72" i="20" l="1"/>
  <c r="F53" i="20"/>
  <c r="G53" i="20" s="1"/>
  <c r="C54" i="20" s="1"/>
  <c r="B97" i="20"/>
  <c r="F96" i="20"/>
  <c r="I97" i="20"/>
  <c r="M96" i="20"/>
  <c r="N96" i="20" s="1"/>
  <c r="J97" i="20" s="1"/>
  <c r="N51" i="20"/>
  <c r="M51" i="20"/>
  <c r="G95" i="20"/>
  <c r="C96" i="20" s="1"/>
  <c r="J52" i="20" l="1"/>
  <c r="P51" i="20"/>
  <c r="I98" i="20"/>
  <c r="M97" i="20"/>
  <c r="N97" i="20" s="1"/>
  <c r="J98" i="20" s="1"/>
  <c r="B98" i="20"/>
  <c r="F97" i="20"/>
  <c r="H73" i="20"/>
  <c r="G54" i="20"/>
  <c r="C55" i="20" s="1"/>
  <c r="F54" i="20"/>
  <c r="G96" i="20"/>
  <c r="C97" i="20" s="1"/>
  <c r="H74" i="20" l="1"/>
  <c r="F55" i="20"/>
  <c r="G55" i="20" s="1"/>
  <c r="C56" i="20" s="1"/>
  <c r="B99" i="20"/>
  <c r="F98" i="20"/>
  <c r="I99" i="20"/>
  <c r="M98" i="20"/>
  <c r="N98" i="20" s="1"/>
  <c r="J99" i="20" s="1"/>
  <c r="N52" i="20"/>
  <c r="M52" i="20"/>
  <c r="G97" i="20"/>
  <c r="C98" i="20" s="1"/>
  <c r="G273" i="18"/>
  <c r="G275" i="18" s="1"/>
  <c r="G276" i="18" s="1"/>
  <c r="V201" i="18"/>
  <c r="H248" i="18"/>
  <c r="I248" i="18"/>
  <c r="H249" i="18"/>
  <c r="I249" i="18"/>
  <c r="H250" i="18"/>
  <c r="I250" i="18"/>
  <c r="H211" i="18"/>
  <c r="I211" i="18"/>
  <c r="H212" i="18"/>
  <c r="I212" i="18"/>
  <c r="I60" i="18"/>
  <c r="H60" i="18"/>
  <c r="H66" i="18"/>
  <c r="I66" i="18"/>
  <c r="I202" i="18" s="1"/>
  <c r="H67" i="18"/>
  <c r="I67" i="18"/>
  <c r="H68" i="18"/>
  <c r="I68" i="18"/>
  <c r="H70" i="18"/>
  <c r="H204" i="18" s="1"/>
  <c r="I70" i="18"/>
  <c r="I204" i="18" s="1"/>
  <c r="H71" i="18"/>
  <c r="H205" i="18" s="1"/>
  <c r="I71" i="18"/>
  <c r="I205" i="18" s="1"/>
  <c r="H72" i="18"/>
  <c r="I72" i="18"/>
  <c r="I203" i="18" s="1"/>
  <c r="H73" i="18"/>
  <c r="I73" i="18"/>
  <c r="H74" i="18"/>
  <c r="I74" i="18"/>
  <c r="I75" i="18"/>
  <c r="I206" i="18" s="1"/>
  <c r="H76" i="18"/>
  <c r="I76" i="18"/>
  <c r="H78" i="18"/>
  <c r="I78" i="18"/>
  <c r="H79" i="18"/>
  <c r="I79" i="18"/>
  <c r="H80" i="18"/>
  <c r="I80" i="18"/>
  <c r="I209" i="18" s="1"/>
  <c r="H82" i="18"/>
  <c r="I82" i="18"/>
  <c r="H83" i="18"/>
  <c r="I83" i="18"/>
  <c r="I84" i="18" s="1"/>
  <c r="I207" i="18" s="1"/>
  <c r="H85" i="18"/>
  <c r="I85" i="18"/>
  <c r="H86" i="18"/>
  <c r="H208" i="18" s="1"/>
  <c r="I86" i="18"/>
  <c r="I208" i="18" s="1"/>
  <c r="H88" i="18"/>
  <c r="H139" i="18" s="1"/>
  <c r="H140" i="18" s="1"/>
  <c r="I88" i="18"/>
  <c r="H90" i="18"/>
  <c r="H92" i="18" s="1"/>
  <c r="I90" i="18"/>
  <c r="I92" i="18" s="1"/>
  <c r="H93" i="18"/>
  <c r="I93" i="18"/>
  <c r="H94" i="18"/>
  <c r="I94" i="18"/>
  <c r="H95" i="18"/>
  <c r="I95" i="18"/>
  <c r="H96" i="18"/>
  <c r="I96" i="18"/>
  <c r="H98" i="18"/>
  <c r="H164" i="18" s="1"/>
  <c r="I98" i="18"/>
  <c r="I164" i="18" s="1"/>
  <c r="H99" i="18"/>
  <c r="I99" i="18"/>
  <c r="I100" i="18"/>
  <c r="H102" i="18"/>
  <c r="I102" i="18"/>
  <c r="H105" i="18"/>
  <c r="I105" i="18"/>
  <c r="H106" i="18"/>
  <c r="I106" i="18"/>
  <c r="H107" i="18"/>
  <c r="I107" i="18"/>
  <c r="H108" i="18"/>
  <c r="I108" i="18"/>
  <c r="H109" i="18"/>
  <c r="I109" i="18"/>
  <c r="H110" i="18"/>
  <c r="I110" i="18"/>
  <c r="H112" i="18"/>
  <c r="I112" i="18"/>
  <c r="I118" i="18" s="1"/>
  <c r="H113" i="18"/>
  <c r="I113" i="18"/>
  <c r="H114" i="18"/>
  <c r="I114" i="18"/>
  <c r="I120" i="18" s="1"/>
  <c r="H115" i="18"/>
  <c r="I115" i="18"/>
  <c r="H116" i="18"/>
  <c r="I116" i="18"/>
  <c r="I122" i="18" s="1"/>
  <c r="H118" i="18"/>
  <c r="H119" i="18"/>
  <c r="I119" i="18"/>
  <c r="H120" i="18"/>
  <c r="H121" i="18"/>
  <c r="I121" i="18"/>
  <c r="H122" i="18"/>
  <c r="H134" i="18"/>
  <c r="I134" i="18"/>
  <c r="H135" i="18"/>
  <c r="I135" i="18"/>
  <c r="H136" i="18"/>
  <c r="I136" i="18"/>
  <c r="H137" i="18"/>
  <c r="I137" i="18"/>
  <c r="I139" i="18"/>
  <c r="I140" i="18" s="1"/>
  <c r="I141" i="18" s="1"/>
  <c r="I142" i="18" s="1"/>
  <c r="H145" i="18"/>
  <c r="I145" i="18"/>
  <c r="H146" i="18"/>
  <c r="I146" i="18"/>
  <c r="H147" i="18"/>
  <c r="I147" i="18"/>
  <c r="H149" i="18"/>
  <c r="I149" i="18"/>
  <c r="H150" i="18"/>
  <c r="I150" i="18"/>
  <c r="H151" i="18"/>
  <c r="I151" i="18"/>
  <c r="H154" i="18"/>
  <c r="I154" i="18"/>
  <c r="H155" i="18"/>
  <c r="I155" i="18"/>
  <c r="H156" i="18"/>
  <c r="I156" i="18"/>
  <c r="H157" i="18"/>
  <c r="I157" i="18"/>
  <c r="H159" i="18"/>
  <c r="I159" i="18"/>
  <c r="H160" i="18"/>
  <c r="I160" i="18"/>
  <c r="H162" i="18"/>
  <c r="H163" i="18" s="1"/>
  <c r="I162" i="18"/>
  <c r="I163" i="18" s="1"/>
  <c r="H166" i="18"/>
  <c r="I166" i="18"/>
  <c r="H167" i="18"/>
  <c r="I167" i="18"/>
  <c r="J47" i="18"/>
  <c r="I47" i="18" s="1"/>
  <c r="J45" i="18"/>
  <c r="I45" i="18" s="1"/>
  <c r="H45" i="18" s="1"/>
  <c r="G45" i="18" s="1"/>
  <c r="J43" i="18"/>
  <c r="I43" i="18" s="1"/>
  <c r="J42" i="18"/>
  <c r="I42" i="18" s="1"/>
  <c r="H42" i="18" s="1"/>
  <c r="J41" i="18"/>
  <c r="I41" i="18" s="1"/>
  <c r="H41" i="18" s="1"/>
  <c r="J40" i="18"/>
  <c r="I40" i="18" s="1"/>
  <c r="H40" i="18" s="1"/>
  <c r="J38" i="18"/>
  <c r="I38" i="18" s="1"/>
  <c r="H38" i="18" s="1"/>
  <c r="G38" i="18" s="1"/>
  <c r="J36" i="18"/>
  <c r="I36" i="18" s="1"/>
  <c r="G46" i="18" l="1"/>
  <c r="V45" i="18"/>
  <c r="G39" i="18"/>
  <c r="V38" i="18"/>
  <c r="H84" i="18"/>
  <c r="H207" i="18" s="1"/>
  <c r="I143" i="18"/>
  <c r="H141" i="18"/>
  <c r="H142" i="18" s="1"/>
  <c r="H143" i="18"/>
  <c r="G40" i="18"/>
  <c r="V40" i="18" s="1"/>
  <c r="G42" i="18"/>
  <c r="V42" i="18" s="1"/>
  <c r="G41" i="18"/>
  <c r="V41" i="18" s="1"/>
  <c r="H43" i="18"/>
  <c r="G43" i="18" s="1"/>
  <c r="V43" i="18" s="1"/>
  <c r="I125" i="18"/>
  <c r="I126" i="18"/>
  <c r="I127" i="18"/>
  <c r="I128" i="18"/>
  <c r="I131" i="18"/>
  <c r="H47" i="18"/>
  <c r="G47" i="18" s="1"/>
  <c r="V47" i="18" s="1"/>
  <c r="I129" i="18"/>
  <c r="I39" i="18"/>
  <c r="H39" i="18"/>
  <c r="H36" i="18"/>
  <c r="G36" i="18" s="1"/>
  <c r="V36" i="18" s="1"/>
  <c r="I124" i="18"/>
  <c r="I132" i="18"/>
  <c r="I46" i="18"/>
  <c r="H46" i="18"/>
  <c r="I215" i="18"/>
  <c r="I216" i="18"/>
  <c r="I217" i="18" s="1"/>
  <c r="I214" i="18"/>
  <c r="H214" i="18"/>
  <c r="H203" i="18"/>
  <c r="H209" i="18"/>
  <c r="H202" i="18"/>
  <c r="G98" i="20"/>
  <c r="C99" i="20" s="1"/>
  <c r="J53" i="20"/>
  <c r="P52" i="20"/>
  <c r="I100" i="20"/>
  <c r="M99" i="20"/>
  <c r="N99" i="20" s="1"/>
  <c r="J100" i="20" s="1"/>
  <c r="B100" i="20"/>
  <c r="F99" i="20"/>
  <c r="G99" i="20" s="1"/>
  <c r="C100" i="20" s="1"/>
  <c r="F56" i="20"/>
  <c r="G56" i="20" s="1"/>
  <c r="H100" i="18"/>
  <c r="H75" i="18"/>
  <c r="T129" i="18"/>
  <c r="S129" i="18"/>
  <c r="R129" i="18"/>
  <c r="Q129" i="18"/>
  <c r="P129" i="18"/>
  <c r="O129" i="18"/>
  <c r="N129" i="18"/>
  <c r="M129" i="18"/>
  <c r="L129" i="18"/>
  <c r="K129" i="18"/>
  <c r="J129" i="18"/>
  <c r="AI47" i="18"/>
  <c r="W47" i="18"/>
  <c r="X47" i="18" s="1"/>
  <c r="Y47" i="18" s="1"/>
  <c r="Z47" i="18" s="1"/>
  <c r="AA47" i="18" s="1"/>
  <c r="AB47" i="18" s="1"/>
  <c r="AC47" i="18" s="1"/>
  <c r="AD47" i="18" s="1"/>
  <c r="AE47" i="18" s="1"/>
  <c r="AF47" i="18" s="1"/>
  <c r="AG47" i="18" s="1"/>
  <c r="T48" i="18"/>
  <c r="S48" i="18"/>
  <c r="R48" i="18"/>
  <c r="Q48" i="18"/>
  <c r="P48" i="18"/>
  <c r="O48" i="18"/>
  <c r="N48" i="18"/>
  <c r="M48" i="18"/>
  <c r="L48" i="18"/>
  <c r="K48" i="18"/>
  <c r="J48" i="18"/>
  <c r="T130" i="18"/>
  <c r="S130" i="18"/>
  <c r="R130" i="18"/>
  <c r="Q130" i="18"/>
  <c r="P130" i="18"/>
  <c r="O130" i="18"/>
  <c r="N130" i="18"/>
  <c r="M130" i="18"/>
  <c r="L130" i="18"/>
  <c r="K130" i="18"/>
  <c r="X57" i="18"/>
  <c r="G129" i="18" l="1"/>
  <c r="V129" i="18" s="1"/>
  <c r="G48" i="18"/>
  <c r="G125" i="18"/>
  <c r="G127" i="18"/>
  <c r="G131" i="18"/>
  <c r="G44" i="18"/>
  <c r="G126" i="18"/>
  <c r="G128" i="18"/>
  <c r="G37" i="18"/>
  <c r="G124" i="18"/>
  <c r="G132" i="18"/>
  <c r="I48" i="18"/>
  <c r="H129" i="18"/>
  <c r="H48" i="18"/>
  <c r="I44" i="18"/>
  <c r="H125" i="18"/>
  <c r="H126" i="18"/>
  <c r="H127" i="18"/>
  <c r="H128" i="18"/>
  <c r="H131" i="18"/>
  <c r="H44" i="18"/>
  <c r="I37" i="18"/>
  <c r="H124" i="18"/>
  <c r="H132" i="18"/>
  <c r="H37" i="18"/>
  <c r="H215" i="18"/>
  <c r="H216" i="18"/>
  <c r="H206" i="18"/>
  <c r="H56" i="20"/>
  <c r="H75" i="20" s="1"/>
  <c r="C57" i="20"/>
  <c r="B101" i="20"/>
  <c r="F100" i="20"/>
  <c r="G100" i="20" s="1"/>
  <c r="C101" i="20" s="1"/>
  <c r="I101" i="20"/>
  <c r="M100" i="20"/>
  <c r="N100" i="20" s="1"/>
  <c r="J101" i="20" s="1"/>
  <c r="M53" i="20"/>
  <c r="N53" i="20" s="1"/>
  <c r="AH47" i="18"/>
  <c r="T126" i="18"/>
  <c r="V126" i="18" s="1"/>
  <c r="S126" i="18"/>
  <c r="R126" i="18"/>
  <c r="Q126" i="18"/>
  <c r="P126" i="18"/>
  <c r="O126" i="18"/>
  <c r="N126" i="18"/>
  <c r="M126" i="18"/>
  <c r="L126" i="18"/>
  <c r="K126" i="18"/>
  <c r="K46" i="18"/>
  <c r="W49" i="18"/>
  <c r="J49" i="18"/>
  <c r="T46" i="18"/>
  <c r="S46" i="18"/>
  <c r="R46" i="18"/>
  <c r="Q46" i="18"/>
  <c r="P46" i="18"/>
  <c r="O46" i="18"/>
  <c r="N46" i="18"/>
  <c r="M46" i="18"/>
  <c r="L46" i="18"/>
  <c r="J46" i="18"/>
  <c r="T44" i="18"/>
  <c r="S44" i="18"/>
  <c r="R44" i="18"/>
  <c r="Q44" i="18"/>
  <c r="P44" i="18"/>
  <c r="O44" i="18"/>
  <c r="N44" i="18"/>
  <c r="M44" i="18"/>
  <c r="L44" i="18"/>
  <c r="J44" i="18"/>
  <c r="T39" i="18"/>
  <c r="S39" i="18"/>
  <c r="R39" i="18"/>
  <c r="Q39" i="18"/>
  <c r="P39" i="18"/>
  <c r="O39" i="18"/>
  <c r="N39" i="18"/>
  <c r="M39" i="18"/>
  <c r="L39" i="18"/>
  <c r="K39" i="18"/>
  <c r="T37" i="18"/>
  <c r="S37" i="18"/>
  <c r="R37" i="18"/>
  <c r="Q37" i="18"/>
  <c r="P37" i="18"/>
  <c r="O37" i="18"/>
  <c r="N37" i="18"/>
  <c r="M37" i="18"/>
  <c r="L37" i="18"/>
  <c r="K44" i="18"/>
  <c r="J39" i="18"/>
  <c r="J126" i="18"/>
  <c r="I49" i="18" l="1"/>
  <c r="J130" i="18"/>
  <c r="H217" i="18"/>
  <c r="J54" i="20"/>
  <c r="P53" i="20"/>
  <c r="H76" i="20"/>
  <c r="F57" i="20"/>
  <c r="G57" i="20" s="1"/>
  <c r="C58" i="20" s="1"/>
  <c r="I102" i="20"/>
  <c r="M101" i="20"/>
  <c r="N101" i="20" s="1"/>
  <c r="J102" i="20" s="1"/>
  <c r="B102" i="20"/>
  <c r="F101" i="20"/>
  <c r="G101" i="20" s="1"/>
  <c r="C102" i="20" s="1"/>
  <c r="J37" i="18"/>
  <c r="K37" i="18"/>
  <c r="T132" i="18"/>
  <c r="V132" i="18" s="1"/>
  <c r="T131" i="18"/>
  <c r="V131" i="18" s="1"/>
  <c r="T128" i="18"/>
  <c r="V128" i="18" s="1"/>
  <c r="T127" i="18"/>
  <c r="V127" i="18" s="1"/>
  <c r="S132" i="18"/>
  <c r="S131" i="18"/>
  <c r="S128" i="18"/>
  <c r="S127" i="18"/>
  <c r="R132" i="18"/>
  <c r="R131" i="18"/>
  <c r="R128" i="18"/>
  <c r="R127" i="18"/>
  <c r="Q132" i="18"/>
  <c r="Q131" i="18"/>
  <c r="Q128" i="18"/>
  <c r="Q127" i="18"/>
  <c r="P132" i="18"/>
  <c r="P131" i="18"/>
  <c r="P128" i="18"/>
  <c r="P127" i="18"/>
  <c r="O132" i="18"/>
  <c r="O131" i="18"/>
  <c r="O128" i="18"/>
  <c r="O127" i="18"/>
  <c r="N132" i="18"/>
  <c r="N131" i="18"/>
  <c r="N128" i="18"/>
  <c r="N127" i="18"/>
  <c r="M132" i="18"/>
  <c r="M131" i="18"/>
  <c r="M128" i="18"/>
  <c r="M127" i="18"/>
  <c r="L132" i="18"/>
  <c r="L131" i="18"/>
  <c r="L128" i="18"/>
  <c r="L127" i="18"/>
  <c r="K132" i="18"/>
  <c r="K131" i="18"/>
  <c r="K128" i="18"/>
  <c r="K127" i="18"/>
  <c r="J132" i="18"/>
  <c r="J128" i="18"/>
  <c r="J131" i="18"/>
  <c r="J127" i="18"/>
  <c r="T125" i="18"/>
  <c r="V125" i="18" s="1"/>
  <c r="S125" i="18"/>
  <c r="R125" i="18"/>
  <c r="Q125" i="18"/>
  <c r="P125" i="18"/>
  <c r="O125" i="18"/>
  <c r="N125" i="18"/>
  <c r="M125" i="18"/>
  <c r="L125" i="18"/>
  <c r="K125" i="18"/>
  <c r="J125" i="18"/>
  <c r="T124" i="18"/>
  <c r="V124" i="18" s="1"/>
  <c r="S124" i="18"/>
  <c r="R124" i="18"/>
  <c r="Q124" i="18"/>
  <c r="P124" i="18"/>
  <c r="O124" i="18"/>
  <c r="N124" i="18"/>
  <c r="M124" i="18"/>
  <c r="L124" i="18"/>
  <c r="K124" i="18"/>
  <c r="J124" i="18"/>
  <c r="AI49" i="18"/>
  <c r="AI45" i="18"/>
  <c r="AI43" i="18"/>
  <c r="AI42" i="18"/>
  <c r="AI41" i="18"/>
  <c r="AI40" i="18"/>
  <c r="AI38" i="18"/>
  <c r="AI36" i="18"/>
  <c r="W40" i="18"/>
  <c r="X40" i="18" s="1"/>
  <c r="Y40" i="18" s="1"/>
  <c r="Z40" i="18" s="1"/>
  <c r="AA40" i="18" s="1"/>
  <c r="AB40" i="18" s="1"/>
  <c r="AC40" i="18" s="1"/>
  <c r="AD40" i="18" s="1"/>
  <c r="AE40" i="18" s="1"/>
  <c r="AF40" i="18" s="1"/>
  <c r="AG40" i="18" s="1"/>
  <c r="X49" i="18"/>
  <c r="Y49" i="18" s="1"/>
  <c r="Z49" i="18" s="1"/>
  <c r="AA49" i="18" s="1"/>
  <c r="AB49" i="18" s="1"/>
  <c r="AC49" i="18" s="1"/>
  <c r="AD49" i="18" s="1"/>
  <c r="AE49" i="18" s="1"/>
  <c r="AF49" i="18" s="1"/>
  <c r="AG49" i="18" s="1"/>
  <c r="W45" i="18"/>
  <c r="X45" i="18" s="1"/>
  <c r="Y45" i="18" s="1"/>
  <c r="Z45" i="18" s="1"/>
  <c r="AA45" i="18" s="1"/>
  <c r="AB45" i="18" s="1"/>
  <c r="AC45" i="18" s="1"/>
  <c r="AD45" i="18" s="1"/>
  <c r="AE45" i="18" s="1"/>
  <c r="AF45" i="18" s="1"/>
  <c r="AG45" i="18" s="1"/>
  <c r="H49" i="18" l="1"/>
  <c r="G49" i="18" s="1"/>
  <c r="I130" i="18"/>
  <c r="B103" i="20"/>
  <c r="F102" i="20"/>
  <c r="G102" i="20" s="1"/>
  <c r="C103" i="20" s="1"/>
  <c r="I103" i="20"/>
  <c r="M102" i="20"/>
  <c r="N102" i="20" s="1"/>
  <c r="J103" i="20" s="1"/>
  <c r="H77" i="20"/>
  <c r="F58" i="20"/>
  <c r="G58" i="20" s="1"/>
  <c r="C59" i="20" s="1"/>
  <c r="M54" i="20"/>
  <c r="N54" i="20" s="1"/>
  <c r="AH49" i="18"/>
  <c r="AH45" i="18"/>
  <c r="AH40" i="18"/>
  <c r="W43" i="18"/>
  <c r="X43" i="18" s="1"/>
  <c r="Y43" i="18" s="1"/>
  <c r="Z43" i="18" s="1"/>
  <c r="AA43" i="18" s="1"/>
  <c r="AB43" i="18" s="1"/>
  <c r="AC43" i="18" s="1"/>
  <c r="AD43" i="18" s="1"/>
  <c r="AE43" i="18" s="1"/>
  <c r="AF43" i="18" s="1"/>
  <c r="AG43" i="18" s="1"/>
  <c r="AH43" i="18" s="1"/>
  <c r="W42" i="18"/>
  <c r="X42" i="18" s="1"/>
  <c r="Y42" i="18" s="1"/>
  <c r="Z42" i="18" s="1"/>
  <c r="AA42" i="18" s="1"/>
  <c r="AB42" i="18" s="1"/>
  <c r="AC42" i="18" s="1"/>
  <c r="AD42" i="18" s="1"/>
  <c r="AE42" i="18" s="1"/>
  <c r="AF42" i="18" s="1"/>
  <c r="AG42" i="18" s="1"/>
  <c r="AH42" i="18" s="1"/>
  <c r="W41" i="18"/>
  <c r="X41" i="18" s="1"/>
  <c r="Y41" i="18" s="1"/>
  <c r="Z41" i="18" s="1"/>
  <c r="AA41" i="18" s="1"/>
  <c r="AB41" i="18" s="1"/>
  <c r="AC41" i="18" s="1"/>
  <c r="AD41" i="18" s="1"/>
  <c r="AE41" i="18" s="1"/>
  <c r="AF41" i="18" s="1"/>
  <c r="AG41" i="18" s="1"/>
  <c r="W38" i="18"/>
  <c r="X38" i="18" s="1"/>
  <c r="W36" i="18"/>
  <c r="X36" i="18" s="1"/>
  <c r="G130" i="18" l="1"/>
  <c r="V130" i="18" s="1"/>
  <c r="V49" i="18"/>
  <c r="H130" i="18"/>
  <c r="H78" i="20"/>
  <c r="F59" i="20"/>
  <c r="G59" i="20" s="1"/>
  <c r="C60" i="20" s="1"/>
  <c r="J55" i="20"/>
  <c r="P54" i="20"/>
  <c r="I104" i="20"/>
  <c r="M103" i="20"/>
  <c r="N103" i="20" s="1"/>
  <c r="J104" i="20" s="1"/>
  <c r="B104" i="20"/>
  <c r="F103" i="20"/>
  <c r="G103" i="20" s="1"/>
  <c r="C104" i="20" s="1"/>
  <c r="Y38" i="18"/>
  <c r="X127" i="18"/>
  <c r="Y36" i="18"/>
  <c r="X126" i="18"/>
  <c r="X128" i="18"/>
  <c r="AH41" i="18"/>
  <c r="B215" i="18"/>
  <c r="AI227" i="18"/>
  <c r="AI224" i="18"/>
  <c r="AI226" i="18"/>
  <c r="AI225" i="18"/>
  <c r="AI222" i="18"/>
  <c r="AI221" i="18"/>
  <c r="AI220" i="18"/>
  <c r="AI219" i="18"/>
  <c r="AI214" i="18"/>
  <c r="AI217" i="18"/>
  <c r="AI216" i="18"/>
  <c r="AI215" i="18"/>
  <c r="AI212" i="18"/>
  <c r="AI211" i="18"/>
  <c r="AI208" i="18"/>
  <c r="AI207" i="18"/>
  <c r="AI210" i="18"/>
  <c r="AI209" i="18"/>
  <c r="AI206" i="18"/>
  <c r="AI205" i="18"/>
  <c r="AI204" i="18"/>
  <c r="AI203" i="18"/>
  <c r="AI202" i="18"/>
  <c r="AI201" i="18"/>
  <c r="AJ224" i="18"/>
  <c r="B105" i="20" l="1"/>
  <c r="F104" i="20"/>
  <c r="G104" i="20" s="1"/>
  <c r="C105" i="20" s="1"/>
  <c r="I105" i="20"/>
  <c r="M104" i="20"/>
  <c r="N104" i="20" s="1"/>
  <c r="J105" i="20" s="1"/>
  <c r="M55" i="20"/>
  <c r="N55" i="20"/>
  <c r="H79" i="20"/>
  <c r="F60" i="20"/>
  <c r="G60" i="20" s="1"/>
  <c r="C61" i="20" s="1"/>
  <c r="Z38" i="18"/>
  <c r="Y127" i="18"/>
  <c r="Z36" i="18"/>
  <c r="Y126" i="18"/>
  <c r="Y128" i="18"/>
  <c r="AJ225" i="18"/>
  <c r="T212" i="18"/>
  <c r="V212" i="18" s="1"/>
  <c r="S212" i="18"/>
  <c r="R212" i="18"/>
  <c r="Q212" i="18"/>
  <c r="P212" i="18"/>
  <c r="O212" i="18"/>
  <c r="N212" i="18"/>
  <c r="M212" i="18"/>
  <c r="L212" i="18"/>
  <c r="K212" i="18"/>
  <c r="J212" i="18"/>
  <c r="H80" i="20" l="1"/>
  <c r="F61" i="20"/>
  <c r="G61" i="20" s="1"/>
  <c r="C62" i="20" s="1"/>
  <c r="J56" i="20"/>
  <c r="P55" i="20"/>
  <c r="I106" i="20"/>
  <c r="M105" i="20"/>
  <c r="N105" i="20" s="1"/>
  <c r="J106" i="20" s="1"/>
  <c r="B106" i="20"/>
  <c r="F105" i="20"/>
  <c r="G105" i="20" s="1"/>
  <c r="C106" i="20" s="1"/>
  <c r="AA38" i="18"/>
  <c r="Z127" i="18"/>
  <c r="AA36" i="18"/>
  <c r="Z128" i="18"/>
  <c r="Z126" i="18"/>
  <c r="T60" i="18"/>
  <c r="S60" i="18"/>
  <c r="R60" i="18"/>
  <c r="Q60" i="18"/>
  <c r="P60" i="18"/>
  <c r="O60" i="18"/>
  <c r="N60" i="18"/>
  <c r="M60" i="18"/>
  <c r="L60" i="18"/>
  <c r="K60" i="18"/>
  <c r="J60" i="18"/>
  <c r="T58" i="18"/>
  <c r="S58" i="18"/>
  <c r="T56" i="18"/>
  <c r="S56" i="18"/>
  <c r="T54" i="18"/>
  <c r="S54" i="18"/>
  <c r="T52" i="18"/>
  <c r="S52" i="18"/>
  <c r="T30" i="18"/>
  <c r="S30" i="18"/>
  <c r="T28" i="18"/>
  <c r="S28" i="18"/>
  <c r="T26" i="18"/>
  <c r="S26" i="18"/>
  <c r="T11" i="18"/>
  <c r="S11" i="18"/>
  <c r="T8" i="18"/>
  <c r="S8" i="18"/>
  <c r="B107" i="20" l="1"/>
  <c r="F106" i="20"/>
  <c r="G106" i="20" s="1"/>
  <c r="C107" i="20" s="1"/>
  <c r="I107" i="20"/>
  <c r="M106" i="20"/>
  <c r="N106" i="20" s="1"/>
  <c r="J107" i="20" s="1"/>
  <c r="M56" i="20"/>
  <c r="N56" i="20"/>
  <c r="H81" i="20"/>
  <c r="F62" i="20"/>
  <c r="G62" i="20" s="1"/>
  <c r="C63" i="20" s="1"/>
  <c r="AB38" i="18"/>
  <c r="AA127" i="18"/>
  <c r="AB36" i="18"/>
  <c r="AA128" i="18"/>
  <c r="AA126" i="18"/>
  <c r="T102" i="18"/>
  <c r="V102" i="18" s="1"/>
  <c r="S102" i="18"/>
  <c r="R102" i="18"/>
  <c r="Q102" i="18"/>
  <c r="P102" i="18"/>
  <c r="O102" i="18"/>
  <c r="N102" i="18"/>
  <c r="M102" i="18"/>
  <c r="L102" i="18"/>
  <c r="K102" i="18"/>
  <c r="J102" i="18"/>
  <c r="W170" i="18" s="1"/>
  <c r="U220" i="18" s="1"/>
  <c r="U170" i="18" l="1"/>
  <c r="U219" i="18"/>
  <c r="U221" i="18"/>
  <c r="U222" i="18" s="1"/>
  <c r="H82" i="20"/>
  <c r="F63" i="20"/>
  <c r="G63" i="20" s="1"/>
  <c r="C64" i="20" s="1"/>
  <c r="J57" i="20"/>
  <c r="P56" i="20"/>
  <c r="I108" i="20"/>
  <c r="M107" i="20"/>
  <c r="N107" i="20" s="1"/>
  <c r="J108" i="20" s="1"/>
  <c r="B108" i="20"/>
  <c r="F107" i="20"/>
  <c r="G107" i="20" s="1"/>
  <c r="C108" i="20" s="1"/>
  <c r="AC38" i="18"/>
  <c r="AB127" i="18"/>
  <c r="AC36" i="18"/>
  <c r="AB126" i="18"/>
  <c r="AB128" i="18"/>
  <c r="G220" i="18"/>
  <c r="T170" i="18"/>
  <c r="U225" i="18" s="1"/>
  <c r="C1" i="18"/>
  <c r="AJ47" i="18" s="1"/>
  <c r="U224" i="18" l="1"/>
  <c r="U226" i="18"/>
  <c r="U227" i="18" s="1"/>
  <c r="T225" i="18"/>
  <c r="G225" i="18"/>
  <c r="G219" i="18"/>
  <c r="G221" i="18"/>
  <c r="G222" i="18" s="1"/>
  <c r="X225" i="18"/>
  <c r="X226" i="18" s="1"/>
  <c r="X227" i="18" s="1"/>
  <c r="H225" i="18"/>
  <c r="I225" i="18"/>
  <c r="X220" i="18"/>
  <c r="X221" i="18" s="1"/>
  <c r="X222" i="18" s="1"/>
  <c r="H220" i="18"/>
  <c r="I220" i="18"/>
  <c r="B109" i="20"/>
  <c r="F108" i="20"/>
  <c r="G108" i="20" s="1"/>
  <c r="C109" i="20" s="1"/>
  <c r="I109" i="20"/>
  <c r="M108" i="20"/>
  <c r="N108" i="20" s="1"/>
  <c r="J109" i="20" s="1"/>
  <c r="M57" i="20"/>
  <c r="N57" i="20"/>
  <c r="H83" i="20"/>
  <c r="F64" i="20"/>
  <c r="G64" i="20" s="1"/>
  <c r="C65" i="20" s="1"/>
  <c r="AD38" i="18"/>
  <c r="AC127" i="18"/>
  <c r="AD36" i="18"/>
  <c r="AC126" i="18"/>
  <c r="AC128" i="18"/>
  <c r="AJ45" i="18"/>
  <c r="AJ40" i="18"/>
  <c r="AJ49" i="18"/>
  <c r="AJ41" i="18"/>
  <c r="AJ42" i="18"/>
  <c r="AJ43" i="18"/>
  <c r="N225" i="18"/>
  <c r="N226" i="18" s="1"/>
  <c r="N227" i="18" s="1"/>
  <c r="S225" i="18"/>
  <c r="S224" i="18" s="1"/>
  <c r="R225" i="18"/>
  <c r="M225" i="18"/>
  <c r="L225" i="18"/>
  <c r="Q225" i="18"/>
  <c r="K225" i="18"/>
  <c r="P225" i="18"/>
  <c r="J225" i="18"/>
  <c r="O225" i="18"/>
  <c r="S244" i="18"/>
  <c r="P220" i="18"/>
  <c r="S220" i="18"/>
  <c r="S219" i="18" s="1"/>
  <c r="O220" i="18"/>
  <c r="K220" i="18"/>
  <c r="R220" i="18"/>
  <c r="N220" i="18"/>
  <c r="J220" i="18"/>
  <c r="Q220" i="18"/>
  <c r="M220" i="18"/>
  <c r="T220" i="18"/>
  <c r="L220" i="18"/>
  <c r="AI71" i="18"/>
  <c r="AI70" i="18"/>
  <c r="AI68" i="18"/>
  <c r="J71" i="18"/>
  <c r="J205" i="18" s="1"/>
  <c r="K71" i="18"/>
  <c r="K205" i="18" s="1"/>
  <c r="L71" i="18"/>
  <c r="L205" i="18" s="1"/>
  <c r="M71" i="18"/>
  <c r="M205" i="18" s="1"/>
  <c r="N71" i="18"/>
  <c r="N205" i="18" s="1"/>
  <c r="O71" i="18"/>
  <c r="O205" i="18" s="1"/>
  <c r="P71" i="18"/>
  <c r="P205" i="18" s="1"/>
  <c r="Q71" i="18"/>
  <c r="Q205" i="18" s="1"/>
  <c r="R71" i="18"/>
  <c r="R205" i="18" s="1"/>
  <c r="S71" i="18"/>
  <c r="T71" i="18"/>
  <c r="V71" i="18" s="1"/>
  <c r="J70" i="18"/>
  <c r="J204" i="18" s="1"/>
  <c r="K70" i="18"/>
  <c r="K204" i="18" s="1"/>
  <c r="L70" i="18"/>
  <c r="L204" i="18" s="1"/>
  <c r="M70" i="18"/>
  <c r="M204" i="18" s="1"/>
  <c r="N70" i="18"/>
  <c r="N204" i="18" s="1"/>
  <c r="O70" i="18"/>
  <c r="O204" i="18" s="1"/>
  <c r="P70" i="18"/>
  <c r="P204" i="18" s="1"/>
  <c r="Q70" i="18"/>
  <c r="Q204" i="18" s="1"/>
  <c r="R70" i="18"/>
  <c r="R204" i="18" s="1"/>
  <c r="S70" i="18"/>
  <c r="S204" i="18" s="1"/>
  <c r="T70" i="18"/>
  <c r="V70" i="18" s="1"/>
  <c r="X224" i="18" l="1"/>
  <c r="G224" i="18"/>
  <c r="G226" i="18"/>
  <c r="G227" i="18" s="1"/>
  <c r="V220" i="18"/>
  <c r="T219" i="18"/>
  <c r="X219" i="18"/>
  <c r="T205" i="18"/>
  <c r="V205" i="18" s="1"/>
  <c r="T204" i="18"/>
  <c r="V204" i="18" s="1"/>
  <c r="H219" i="18"/>
  <c r="H221" i="18"/>
  <c r="I224" i="18"/>
  <c r="I226" i="18"/>
  <c r="I227" i="18" s="1"/>
  <c r="V225" i="18"/>
  <c r="I219" i="18"/>
  <c r="I221" i="18"/>
  <c r="I222" i="18" s="1"/>
  <c r="H224" i="18"/>
  <c r="H226" i="18"/>
  <c r="H84" i="20"/>
  <c r="F65" i="20"/>
  <c r="G65" i="20" s="1"/>
  <c r="C66" i="20" s="1"/>
  <c r="I110" i="20"/>
  <c r="M109" i="20"/>
  <c r="N109" i="20" s="1"/>
  <c r="J110" i="20" s="1"/>
  <c r="B110" i="20"/>
  <c r="F109" i="20"/>
  <c r="G109" i="20" s="1"/>
  <c r="C110" i="20" s="1"/>
  <c r="J58" i="20"/>
  <c r="P57" i="20"/>
  <c r="AE38" i="18"/>
  <c r="AD127" i="18"/>
  <c r="AE36" i="18"/>
  <c r="AD128" i="18"/>
  <c r="AD126" i="18"/>
  <c r="N224" i="18"/>
  <c r="S226" i="18"/>
  <c r="S227" i="18" s="1"/>
  <c r="M221" i="18"/>
  <c r="M222" i="18" s="1"/>
  <c r="M219" i="18"/>
  <c r="R221" i="18"/>
  <c r="R222" i="18" s="1"/>
  <c r="R219" i="18"/>
  <c r="P221" i="18"/>
  <c r="P222" i="18" s="1"/>
  <c r="P219" i="18"/>
  <c r="O226" i="18"/>
  <c r="O227" i="18" s="1"/>
  <c r="O224" i="18"/>
  <c r="Q226" i="18"/>
  <c r="Q227" i="18" s="1"/>
  <c r="Q224" i="18"/>
  <c r="Q221" i="18"/>
  <c r="Q222" i="18" s="1"/>
  <c r="Q219" i="18"/>
  <c r="K221" i="18"/>
  <c r="K222" i="18" s="1"/>
  <c r="K219" i="18"/>
  <c r="J226" i="18"/>
  <c r="J227" i="18" s="1"/>
  <c r="J224" i="18"/>
  <c r="L226" i="18"/>
  <c r="L227" i="18" s="1"/>
  <c r="L224" i="18"/>
  <c r="L221" i="18"/>
  <c r="L222" i="18" s="1"/>
  <c r="L219" i="18"/>
  <c r="J221" i="18"/>
  <c r="J222" i="18" s="1"/>
  <c r="J219" i="18"/>
  <c r="O221" i="18"/>
  <c r="O222" i="18" s="1"/>
  <c r="O219" i="18"/>
  <c r="P226" i="18"/>
  <c r="P227" i="18" s="1"/>
  <c r="P224" i="18"/>
  <c r="M226" i="18"/>
  <c r="M227" i="18" s="1"/>
  <c r="M224" i="18"/>
  <c r="T221" i="18"/>
  <c r="T222" i="18" s="1"/>
  <c r="N221" i="18"/>
  <c r="N222" i="18" s="1"/>
  <c r="N219" i="18"/>
  <c r="K226" i="18"/>
  <c r="K227" i="18" s="1"/>
  <c r="K224" i="18"/>
  <c r="R226" i="18"/>
  <c r="R227" i="18" s="1"/>
  <c r="R224" i="18"/>
  <c r="T226" i="18"/>
  <c r="T227" i="18" s="1"/>
  <c r="T224" i="18"/>
  <c r="S221" i="18"/>
  <c r="S205" i="18"/>
  <c r="V224" i="18" l="1"/>
  <c r="V221" i="18"/>
  <c r="H222" i="18"/>
  <c r="V222" i="18" s="1"/>
  <c r="V226" i="18"/>
  <c r="H227" i="18"/>
  <c r="V227" i="18" s="1"/>
  <c r="V219" i="18"/>
  <c r="M58" i="20"/>
  <c r="N58" i="20" s="1"/>
  <c r="B111" i="20"/>
  <c r="F110" i="20"/>
  <c r="G110" i="20" s="1"/>
  <c r="C111" i="20" s="1"/>
  <c r="I111" i="20"/>
  <c r="M110" i="20"/>
  <c r="N110" i="20" s="1"/>
  <c r="J111" i="20" s="1"/>
  <c r="F66" i="20"/>
  <c r="G66" i="20" s="1"/>
  <c r="AF38" i="18"/>
  <c r="AE127" i="18"/>
  <c r="AF36" i="18"/>
  <c r="AE128" i="18"/>
  <c r="AE126" i="18"/>
  <c r="S222" i="18"/>
  <c r="J147" i="18"/>
  <c r="K147" i="18"/>
  <c r="L147" i="18"/>
  <c r="M147" i="18"/>
  <c r="N147" i="18"/>
  <c r="O147" i="18"/>
  <c r="P147" i="18"/>
  <c r="Q147" i="18"/>
  <c r="R147" i="18"/>
  <c r="S147" i="18"/>
  <c r="T147" i="18"/>
  <c r="V147" i="18" s="1"/>
  <c r="T146" i="18"/>
  <c r="V146" i="18" s="1"/>
  <c r="J59" i="20" l="1"/>
  <c r="P58" i="20"/>
  <c r="C67" i="20"/>
  <c r="H66" i="20"/>
  <c r="H85" i="20" s="1"/>
  <c r="I112" i="20"/>
  <c r="M111" i="20"/>
  <c r="N111" i="20" s="1"/>
  <c r="J112" i="20" s="1"/>
  <c r="B112" i="20"/>
  <c r="F111" i="20"/>
  <c r="G111" i="20" s="1"/>
  <c r="C112" i="20" s="1"/>
  <c r="AG38" i="18"/>
  <c r="AF127" i="18"/>
  <c r="AG36" i="18"/>
  <c r="AF126" i="18"/>
  <c r="AF128" i="18"/>
  <c r="I261" i="18"/>
  <c r="I258" i="18"/>
  <c r="I259" i="18"/>
  <c r="I260" i="18"/>
  <c r="B113" i="20" l="1"/>
  <c r="F112" i="20"/>
  <c r="G112" i="20" s="1"/>
  <c r="C113" i="20" s="1"/>
  <c r="I113" i="20"/>
  <c r="M112" i="20"/>
  <c r="N112" i="20" s="1"/>
  <c r="J113" i="20" s="1"/>
  <c r="H86" i="20"/>
  <c r="G67" i="20"/>
  <c r="C68" i="20" s="1"/>
  <c r="F67" i="20"/>
  <c r="M59" i="20"/>
  <c r="N59" i="20" s="1"/>
  <c r="AH38" i="18"/>
  <c r="AG127" i="18"/>
  <c r="AH127" i="18" s="1"/>
  <c r="AJ38" i="18"/>
  <c r="AG126" i="18"/>
  <c r="AH126" i="18" s="1"/>
  <c r="AG128" i="18"/>
  <c r="AH128" i="18" s="1"/>
  <c r="AH36" i="18"/>
  <c r="AJ36" i="18"/>
  <c r="T250" i="18"/>
  <c r="T249" i="18"/>
  <c r="T248" i="18"/>
  <c r="T211" i="18"/>
  <c r="V211" i="18" s="1"/>
  <c r="T66" i="18"/>
  <c r="V66" i="18" s="1"/>
  <c r="T67" i="18"/>
  <c r="V67" i="18" s="1"/>
  <c r="T68" i="18"/>
  <c r="V68" i="18" s="1"/>
  <c r="T72" i="18"/>
  <c r="V72" i="18" s="1"/>
  <c r="T73" i="18"/>
  <c r="T74" i="18"/>
  <c r="V74" i="18" s="1"/>
  <c r="T75" i="18"/>
  <c r="V75" i="18" s="1"/>
  <c r="T76" i="18"/>
  <c r="V76" i="18" s="1"/>
  <c r="T78" i="18"/>
  <c r="V78" i="18" s="1"/>
  <c r="T79" i="18"/>
  <c r="V79" i="18" s="1"/>
  <c r="T80" i="18"/>
  <c r="V80" i="18" s="1"/>
  <c r="T82" i="18"/>
  <c r="V82" i="18" s="1"/>
  <c r="T83" i="18"/>
  <c r="V83" i="18" s="1"/>
  <c r="T85" i="18"/>
  <c r="V85" i="18" s="1"/>
  <c r="T86" i="18"/>
  <c r="V86" i="18" s="1"/>
  <c r="T88" i="18"/>
  <c r="V88" i="18" s="1"/>
  <c r="T90" i="18"/>
  <c r="V90" i="18" s="1"/>
  <c r="T93" i="18"/>
  <c r="V93" i="18" s="1"/>
  <c r="T94" i="18"/>
  <c r="V94" i="18" s="1"/>
  <c r="T95" i="18"/>
  <c r="V95" i="18" s="1"/>
  <c r="T96" i="18"/>
  <c r="V96" i="18" s="1"/>
  <c r="T98" i="18"/>
  <c r="V98" i="18" s="1"/>
  <c r="T99" i="18"/>
  <c r="V99" i="18" s="1"/>
  <c r="T100" i="18"/>
  <c r="V100" i="18" s="1"/>
  <c r="T105" i="18"/>
  <c r="V105" i="18" s="1"/>
  <c r="T106" i="18"/>
  <c r="V106" i="18" s="1"/>
  <c r="T107" i="18"/>
  <c r="V107" i="18" s="1"/>
  <c r="T108" i="18"/>
  <c r="V108" i="18" s="1"/>
  <c r="T109" i="18"/>
  <c r="V109" i="18" s="1"/>
  <c r="T112" i="18"/>
  <c r="V112" i="18" s="1"/>
  <c r="T113" i="18"/>
  <c r="V113" i="18" s="1"/>
  <c r="T114" i="18"/>
  <c r="V114" i="18" s="1"/>
  <c r="T115" i="18"/>
  <c r="V115" i="18" s="1"/>
  <c r="T116" i="18"/>
  <c r="V116" i="18" s="1"/>
  <c r="T134" i="18"/>
  <c r="V134" i="18" s="1"/>
  <c r="T135" i="18"/>
  <c r="V135" i="18" s="1"/>
  <c r="T136" i="18"/>
  <c r="V136" i="18" s="1"/>
  <c r="T137" i="18"/>
  <c r="V137" i="18" s="1"/>
  <c r="T145" i="18"/>
  <c r="V145" i="18" s="1"/>
  <c r="T149" i="18"/>
  <c r="V149" i="18" s="1"/>
  <c r="T150" i="18"/>
  <c r="V150" i="18" s="1"/>
  <c r="T151" i="18"/>
  <c r="V151" i="18" s="1"/>
  <c r="T154" i="18"/>
  <c r="V154" i="18" s="1"/>
  <c r="T155" i="18"/>
  <c r="V155" i="18" s="1"/>
  <c r="T156" i="18"/>
  <c r="V156" i="18" s="1"/>
  <c r="T157" i="18"/>
  <c r="V157" i="18" s="1"/>
  <c r="T159" i="18"/>
  <c r="V159" i="18" s="1"/>
  <c r="T160" i="18"/>
  <c r="V160" i="18" s="1"/>
  <c r="T162" i="18"/>
  <c r="V162" i="18" s="1"/>
  <c r="T166" i="18"/>
  <c r="V166" i="18" s="1"/>
  <c r="T167" i="18"/>
  <c r="V167" i="18" s="1"/>
  <c r="X17" i="18"/>
  <c r="X19" i="18"/>
  <c r="X24" i="18"/>
  <c r="T92" i="18" l="1"/>
  <c r="V92" i="18" s="1"/>
  <c r="T139" i="18"/>
  <c r="V139" i="18" s="1"/>
  <c r="T214" i="18"/>
  <c r="V214" i="18" s="1"/>
  <c r="T110" i="18"/>
  <c r="V110" i="18" s="1"/>
  <c r="T164" i="18"/>
  <c r="V164" i="18" s="1"/>
  <c r="T122" i="18"/>
  <c r="V122" i="18" s="1"/>
  <c r="T120" i="18"/>
  <c r="V120" i="18" s="1"/>
  <c r="T119" i="18"/>
  <c r="V119" i="18" s="1"/>
  <c r="T202" i="18"/>
  <c r="V202" i="18" s="1"/>
  <c r="T118" i="18"/>
  <c r="V118" i="18" s="1"/>
  <c r="T163" i="18"/>
  <c r="V163" i="18" s="1"/>
  <c r="T208" i="18"/>
  <c r="V208" i="18" s="1"/>
  <c r="T121" i="18"/>
  <c r="V121" i="18" s="1"/>
  <c r="T209" i="18"/>
  <c r="V209" i="18" s="1"/>
  <c r="T206" i="18"/>
  <c r="V206" i="18" s="1"/>
  <c r="J60" i="20"/>
  <c r="P59" i="20"/>
  <c r="H87" i="20"/>
  <c r="F68" i="20"/>
  <c r="G68" i="20" s="1"/>
  <c r="C69" i="20" s="1"/>
  <c r="I114" i="20"/>
  <c r="M113" i="20"/>
  <c r="N113" i="20" s="1"/>
  <c r="J114" i="20" s="1"/>
  <c r="B114" i="20"/>
  <c r="F113" i="20"/>
  <c r="G113" i="20" s="1"/>
  <c r="C114" i="20" s="1"/>
  <c r="S245" i="18"/>
  <c r="T203" i="18"/>
  <c r="V203" i="18" s="1"/>
  <c r="T84" i="18"/>
  <c r="V84" i="18" s="1"/>
  <c r="K68" i="18"/>
  <c r="K110" i="18" s="1"/>
  <c r="L68" i="18"/>
  <c r="L110" i="18" s="1"/>
  <c r="M68" i="18"/>
  <c r="M110" i="18" s="1"/>
  <c r="N68" i="18"/>
  <c r="N110" i="18" s="1"/>
  <c r="O68" i="18"/>
  <c r="O110" i="18" s="1"/>
  <c r="P68" i="18"/>
  <c r="P110" i="18" s="1"/>
  <c r="Q68" i="18"/>
  <c r="Q110" i="18" s="1"/>
  <c r="R68" i="18"/>
  <c r="R110" i="18" s="1"/>
  <c r="S68" i="18"/>
  <c r="S110" i="18" s="1"/>
  <c r="J68" i="18"/>
  <c r="J110" i="18" s="1"/>
  <c r="T140" i="18" l="1"/>
  <c r="T207" i="18"/>
  <c r="V207" i="18" s="1"/>
  <c r="F69" i="20"/>
  <c r="G69" i="20" s="1"/>
  <c r="C70" i="20" s="1"/>
  <c r="H88" i="20"/>
  <c r="B115" i="20"/>
  <c r="F114" i="20"/>
  <c r="G114" i="20" s="1"/>
  <c r="C115" i="20" s="1"/>
  <c r="I115" i="20"/>
  <c r="M114" i="20"/>
  <c r="N114" i="20" s="1"/>
  <c r="J115" i="20" s="1"/>
  <c r="M60" i="20"/>
  <c r="N60" i="20" s="1"/>
  <c r="T216" i="18"/>
  <c r="T215" i="18"/>
  <c r="V215" i="18" s="1"/>
  <c r="K245" i="18"/>
  <c r="X59" i="18"/>
  <c r="V140" i="18" l="1"/>
  <c r="T143" i="18"/>
  <c r="V143" i="18" s="1"/>
  <c r="T141" i="18"/>
  <c r="T142" i="18" s="1"/>
  <c r="V142" i="18" s="1"/>
  <c r="T217" i="18"/>
  <c r="V217" i="18" s="1"/>
  <c r="V216" i="18"/>
  <c r="F70" i="20"/>
  <c r="G70" i="20" s="1"/>
  <c r="C71" i="20" s="1"/>
  <c r="J61" i="20"/>
  <c r="P60" i="20"/>
  <c r="I116" i="20"/>
  <c r="M115" i="20"/>
  <c r="N115" i="20" s="1"/>
  <c r="J116" i="20" s="1"/>
  <c r="B116" i="20"/>
  <c r="F115" i="20"/>
  <c r="G115" i="20" s="1"/>
  <c r="C116" i="20" s="1"/>
  <c r="N241" i="18"/>
  <c r="N240" i="18"/>
  <c r="N239" i="18"/>
  <c r="N238" i="18"/>
  <c r="V141" i="18" l="1"/>
  <c r="F71" i="20"/>
  <c r="G71" i="20"/>
  <c r="C72" i="20" s="1"/>
  <c r="B117" i="20"/>
  <c r="F116" i="20"/>
  <c r="G116" i="20" s="1"/>
  <c r="C117" i="20" s="1"/>
  <c r="I117" i="20"/>
  <c r="M116" i="20"/>
  <c r="N116" i="20" s="1"/>
  <c r="J117" i="20" s="1"/>
  <c r="M61" i="20"/>
  <c r="N61" i="20" s="1"/>
  <c r="AI53" i="18"/>
  <c r="W53" i="18"/>
  <c r="J62" i="20" l="1"/>
  <c r="P61" i="20"/>
  <c r="F72" i="20"/>
  <c r="G72" i="20" s="1"/>
  <c r="C73" i="20" s="1"/>
  <c r="I118" i="20"/>
  <c r="M117" i="20"/>
  <c r="N117" i="20" s="1"/>
  <c r="J118" i="20" s="1"/>
  <c r="B118" i="20"/>
  <c r="F117" i="20"/>
  <c r="G117" i="20" s="1"/>
  <c r="C118" i="20" s="1"/>
  <c r="X53" i="18"/>
  <c r="F73" i="20" l="1"/>
  <c r="G73" i="20"/>
  <c r="C74" i="20" s="1"/>
  <c r="B119" i="20"/>
  <c r="F118" i="20"/>
  <c r="G118" i="20" s="1"/>
  <c r="C119" i="20" s="1"/>
  <c r="I119" i="20"/>
  <c r="M118" i="20"/>
  <c r="N118" i="20" s="1"/>
  <c r="J119" i="20" s="1"/>
  <c r="M62" i="20"/>
  <c r="N62" i="20" s="1"/>
  <c r="Y53" i="18"/>
  <c r="X245" i="18"/>
  <c r="X246" i="18" s="1"/>
  <c r="J63" i="20" l="1"/>
  <c r="P62" i="20"/>
  <c r="F74" i="20"/>
  <c r="G74" i="20" s="1"/>
  <c r="C75" i="20" s="1"/>
  <c r="I120" i="20"/>
  <c r="M119" i="20"/>
  <c r="N119" i="20" s="1"/>
  <c r="J120" i="20" s="1"/>
  <c r="B120" i="20"/>
  <c r="F119" i="20"/>
  <c r="G119" i="20" s="1"/>
  <c r="C120" i="20" s="1"/>
  <c r="Z53" i="18"/>
  <c r="W259" i="18"/>
  <c r="W260" i="18" s="1"/>
  <c r="D257" i="18"/>
  <c r="I257" i="18"/>
  <c r="O134" i="18"/>
  <c r="M134" i="18"/>
  <c r="K134" i="18"/>
  <c r="J134" i="18"/>
  <c r="L134" i="18"/>
  <c r="N134" i="18"/>
  <c r="P134" i="18"/>
  <c r="Q134" i="18"/>
  <c r="R134" i="18"/>
  <c r="S134" i="18"/>
  <c r="K167" i="18"/>
  <c r="L167" i="18"/>
  <c r="M167" i="18"/>
  <c r="N167" i="18"/>
  <c r="O167" i="18"/>
  <c r="P167" i="18"/>
  <c r="Q167" i="18"/>
  <c r="R167" i="18"/>
  <c r="S167" i="18"/>
  <c r="K166" i="18"/>
  <c r="L166" i="18"/>
  <c r="M166" i="18"/>
  <c r="N166" i="18"/>
  <c r="O166" i="18"/>
  <c r="P166" i="18"/>
  <c r="Q166" i="18"/>
  <c r="R166" i="18"/>
  <c r="S166" i="18"/>
  <c r="H275" i="18"/>
  <c r="H276" i="18" s="1"/>
  <c r="AI73" i="18"/>
  <c r="K73" i="18"/>
  <c r="L73" i="18"/>
  <c r="M73" i="18"/>
  <c r="N73" i="18"/>
  <c r="O73" i="18"/>
  <c r="P73" i="18"/>
  <c r="Q73" i="18"/>
  <c r="R73" i="18"/>
  <c r="S73" i="18"/>
  <c r="J73" i="18"/>
  <c r="I266" i="18"/>
  <c r="D265" i="18"/>
  <c r="I264" i="18"/>
  <c r="J264" i="18" s="1"/>
  <c r="K264" i="18" s="1"/>
  <c r="K265" i="18" s="1"/>
  <c r="I262" i="18"/>
  <c r="I256" i="18"/>
  <c r="I255" i="18"/>
  <c r="J255" i="18" s="1"/>
  <c r="K255" i="18" s="1"/>
  <c r="H272" i="18" l="1"/>
  <c r="N272" i="18" s="1"/>
  <c r="G272" i="18"/>
  <c r="H271" i="18"/>
  <c r="N271" i="18" s="1"/>
  <c r="N274" i="18" s="1"/>
  <c r="G271" i="18"/>
  <c r="F75" i="20"/>
  <c r="G75" i="20" s="1"/>
  <c r="C76" i="20" s="1"/>
  <c r="B121" i="20"/>
  <c r="F121" i="20" s="1"/>
  <c r="F120" i="20"/>
  <c r="G120" i="20" s="1"/>
  <c r="C121" i="20" s="1"/>
  <c r="I121" i="20"/>
  <c r="M121" i="20" s="1"/>
  <c r="M120" i="20"/>
  <c r="N120" i="20" s="1"/>
  <c r="J121" i="20" s="1"/>
  <c r="M63" i="20"/>
  <c r="N63" i="20"/>
  <c r="AA53" i="18"/>
  <c r="D267" i="18"/>
  <c r="J256" i="18"/>
  <c r="K256" i="18" s="1"/>
  <c r="J266" i="18"/>
  <c r="K266" i="18" s="1"/>
  <c r="K267" i="18" s="1"/>
  <c r="K109" i="18"/>
  <c r="L109" i="18"/>
  <c r="M109" i="18"/>
  <c r="N109" i="18"/>
  <c r="O109" i="18"/>
  <c r="P109" i="18"/>
  <c r="Q109" i="18"/>
  <c r="R109" i="18"/>
  <c r="S109" i="18"/>
  <c r="J109" i="18"/>
  <c r="J167" i="18"/>
  <c r="J166" i="18"/>
  <c r="AI14" i="18"/>
  <c r="W14" i="18"/>
  <c r="W256" i="18"/>
  <c r="W255" i="18"/>
  <c r="P256" i="18"/>
  <c r="P259" i="18" s="1"/>
  <c r="P255" i="18"/>
  <c r="K116" i="18"/>
  <c r="K122" i="18" s="1"/>
  <c r="L116" i="18"/>
  <c r="L122" i="18" s="1"/>
  <c r="M116" i="18"/>
  <c r="M122" i="18" s="1"/>
  <c r="N116" i="18"/>
  <c r="N122" i="18" s="1"/>
  <c r="O116" i="18"/>
  <c r="O122" i="18" s="1"/>
  <c r="P116" i="18"/>
  <c r="P122" i="18" s="1"/>
  <c r="Q116" i="18"/>
  <c r="Q122" i="18" s="1"/>
  <c r="R116" i="18"/>
  <c r="R122" i="18" s="1"/>
  <c r="S116" i="18"/>
  <c r="S122" i="18" s="1"/>
  <c r="J116" i="18"/>
  <c r="J122" i="18" s="1"/>
  <c r="K113" i="18"/>
  <c r="K119" i="18" s="1"/>
  <c r="L113" i="18"/>
  <c r="L119" i="18" s="1"/>
  <c r="M113" i="18"/>
  <c r="M119" i="18" s="1"/>
  <c r="N113" i="18"/>
  <c r="N119" i="18" s="1"/>
  <c r="O113" i="18"/>
  <c r="O119" i="18" s="1"/>
  <c r="P113" i="18"/>
  <c r="P119" i="18" s="1"/>
  <c r="Q113" i="18"/>
  <c r="Q119" i="18" s="1"/>
  <c r="R113" i="18"/>
  <c r="R119" i="18" s="1"/>
  <c r="S113" i="18"/>
  <c r="S119" i="18" s="1"/>
  <c r="J113" i="18"/>
  <c r="J119" i="18" s="1"/>
  <c r="K114" i="18"/>
  <c r="K120" i="18" s="1"/>
  <c r="L114" i="18"/>
  <c r="L120" i="18" s="1"/>
  <c r="M114" i="18"/>
  <c r="M120" i="18" s="1"/>
  <c r="N114" i="18"/>
  <c r="N120" i="18" s="1"/>
  <c r="O114" i="18"/>
  <c r="O120" i="18" s="1"/>
  <c r="P114" i="18"/>
  <c r="P120" i="18" s="1"/>
  <c r="Q114" i="18"/>
  <c r="Q120" i="18" s="1"/>
  <c r="R114" i="18"/>
  <c r="R120" i="18" s="1"/>
  <c r="S114" i="18"/>
  <c r="S120" i="18" s="1"/>
  <c r="J114" i="18"/>
  <c r="J120" i="18" s="1"/>
  <c r="K162" i="18"/>
  <c r="K163" i="18" s="1"/>
  <c r="L162" i="18"/>
  <c r="L163" i="18" s="1"/>
  <c r="M162" i="18"/>
  <c r="M163" i="18" s="1"/>
  <c r="N162" i="18"/>
  <c r="N163" i="18" s="1"/>
  <c r="O162" i="18"/>
  <c r="O163" i="18" s="1"/>
  <c r="P162" i="18"/>
  <c r="P163" i="18" s="1"/>
  <c r="Q162" i="18"/>
  <c r="Q163" i="18" s="1"/>
  <c r="R162" i="18"/>
  <c r="R163" i="18" s="1"/>
  <c r="S162" i="18"/>
  <c r="S163" i="18" s="1"/>
  <c r="J162" i="18"/>
  <c r="J163" i="18" s="1"/>
  <c r="N275" i="18" l="1"/>
  <c r="H274" i="18"/>
  <c r="H277" i="18"/>
  <c r="G277" i="18"/>
  <c r="G274" i="18"/>
  <c r="J64" i="20"/>
  <c r="P63" i="20"/>
  <c r="F76" i="20"/>
  <c r="G76" i="20" s="1"/>
  <c r="C77" i="20" s="1"/>
  <c r="N121" i="20"/>
  <c r="N124" i="20" s="1"/>
  <c r="N89" i="20" s="1"/>
  <c r="G121" i="20"/>
  <c r="G124" i="20" s="1"/>
  <c r="G89" i="20" s="1"/>
  <c r="AB53" i="18"/>
  <c r="X14" i="18"/>
  <c r="Y14" i="18" s="1"/>
  <c r="Z14" i="18" s="1"/>
  <c r="AA14" i="18" s="1"/>
  <c r="AB14" i="18" s="1"/>
  <c r="AC14" i="18" s="1"/>
  <c r="AD14" i="18" s="1"/>
  <c r="AE14" i="18" s="1"/>
  <c r="AF14" i="18" s="1"/>
  <c r="AG14" i="18" s="1"/>
  <c r="J257" i="18"/>
  <c r="K257" i="18" s="1"/>
  <c r="S108" i="18"/>
  <c r="S107" i="18"/>
  <c r="K108" i="18"/>
  <c r="L108" i="18"/>
  <c r="M108" i="18"/>
  <c r="N108" i="18"/>
  <c r="O108" i="18"/>
  <c r="P108" i="18"/>
  <c r="Q108" i="18"/>
  <c r="R108" i="18"/>
  <c r="J108" i="18"/>
  <c r="J107" i="18"/>
  <c r="K160" i="18"/>
  <c r="L160" i="18"/>
  <c r="M160" i="18"/>
  <c r="N160" i="18"/>
  <c r="O160" i="18"/>
  <c r="P160" i="18"/>
  <c r="Q160" i="18"/>
  <c r="R160" i="18"/>
  <c r="S160" i="18"/>
  <c r="J160" i="18"/>
  <c r="K159" i="18"/>
  <c r="L159" i="18"/>
  <c r="M159" i="18"/>
  <c r="N159" i="18"/>
  <c r="O159" i="18"/>
  <c r="P159" i="18"/>
  <c r="Q159" i="18"/>
  <c r="R159" i="18"/>
  <c r="S159" i="18"/>
  <c r="J159" i="18"/>
  <c r="K156" i="18"/>
  <c r="L156" i="18"/>
  <c r="M156" i="18"/>
  <c r="N156" i="18"/>
  <c r="O156" i="18"/>
  <c r="P156" i="18"/>
  <c r="Q156" i="18"/>
  <c r="R156" i="18"/>
  <c r="S156" i="18"/>
  <c r="J156" i="18"/>
  <c r="K157" i="18"/>
  <c r="L157" i="18"/>
  <c r="M157" i="18"/>
  <c r="N157" i="18"/>
  <c r="O157" i="18"/>
  <c r="P157" i="18"/>
  <c r="Q157" i="18"/>
  <c r="R157" i="18"/>
  <c r="S157" i="18"/>
  <c r="J157" i="18"/>
  <c r="K155" i="18"/>
  <c r="L155" i="18"/>
  <c r="M155" i="18"/>
  <c r="N155" i="18"/>
  <c r="O155" i="18"/>
  <c r="P155" i="18"/>
  <c r="Q155" i="18"/>
  <c r="R155" i="18"/>
  <c r="S155" i="18"/>
  <c r="J155" i="18"/>
  <c r="K154" i="18"/>
  <c r="L154" i="18"/>
  <c r="M154" i="18"/>
  <c r="N154" i="18"/>
  <c r="O154" i="18"/>
  <c r="P154" i="18"/>
  <c r="Q154" i="18"/>
  <c r="R154" i="18"/>
  <c r="S154" i="18"/>
  <c r="J154" i="18"/>
  <c r="K151" i="18"/>
  <c r="L151" i="18"/>
  <c r="M151" i="18"/>
  <c r="N151" i="18"/>
  <c r="O151" i="18"/>
  <c r="P151" i="18"/>
  <c r="Q151" i="18"/>
  <c r="R151" i="18"/>
  <c r="S151" i="18"/>
  <c r="J151" i="18"/>
  <c r="K150" i="18"/>
  <c r="L150" i="18"/>
  <c r="M150" i="18"/>
  <c r="N150" i="18"/>
  <c r="O150" i="18"/>
  <c r="P150" i="18"/>
  <c r="Q150" i="18"/>
  <c r="R150" i="18"/>
  <c r="S150" i="18"/>
  <c r="J150" i="18"/>
  <c r="K149" i="18"/>
  <c r="L149" i="18"/>
  <c r="M149" i="18"/>
  <c r="N149" i="18"/>
  <c r="O149" i="18"/>
  <c r="P149" i="18"/>
  <c r="Q149" i="18"/>
  <c r="R149" i="18"/>
  <c r="S149" i="18"/>
  <c r="J149" i="18"/>
  <c r="B151" i="18"/>
  <c r="B150" i="18"/>
  <c r="AI32" i="18"/>
  <c r="W32" i="18"/>
  <c r="J137" i="18"/>
  <c r="K137" i="18"/>
  <c r="L137" i="18"/>
  <c r="M137" i="18"/>
  <c r="N137" i="18"/>
  <c r="O137" i="18"/>
  <c r="P137" i="18"/>
  <c r="Q137" i="18"/>
  <c r="R137" i="18"/>
  <c r="S137" i="18"/>
  <c r="V260" i="18"/>
  <c r="O259" i="18"/>
  <c r="V257" i="18"/>
  <c r="W257" i="18" s="1"/>
  <c r="W262" i="18" s="1"/>
  <c r="O257" i="18"/>
  <c r="P257" i="18" s="1"/>
  <c r="P262" i="18" s="1"/>
  <c r="K146" i="18"/>
  <c r="L146" i="18"/>
  <c r="M146" i="18"/>
  <c r="N146" i="18"/>
  <c r="O146" i="18"/>
  <c r="P146" i="18"/>
  <c r="Q146" i="18"/>
  <c r="R146" i="18"/>
  <c r="S146" i="18"/>
  <c r="J146" i="18"/>
  <c r="K145" i="18"/>
  <c r="L145" i="18"/>
  <c r="M145" i="18"/>
  <c r="N145" i="18"/>
  <c r="O145" i="18"/>
  <c r="P145" i="18"/>
  <c r="Q145" i="18"/>
  <c r="R145" i="18"/>
  <c r="S145" i="18"/>
  <c r="J145" i="18"/>
  <c r="F77" i="20" l="1"/>
  <c r="G77" i="20"/>
  <c r="C78" i="20" s="1"/>
  <c r="M64" i="20"/>
  <c r="N64" i="20" s="1"/>
  <c r="J258" i="18"/>
  <c r="K258" i="18" s="1"/>
  <c r="J259" i="18" s="1"/>
  <c r="K259" i="18" s="1"/>
  <c r="J260" i="18" s="1"/>
  <c r="K260" i="18" s="1"/>
  <c r="J261" i="18" s="1"/>
  <c r="K261" i="18" s="1"/>
  <c r="J262" i="18" s="1"/>
  <c r="K262" i="18" s="1"/>
  <c r="K263" i="18" s="1"/>
  <c r="AC53" i="18"/>
  <c r="AH14" i="18"/>
  <c r="AJ14" i="18"/>
  <c r="X32" i="18"/>
  <c r="Y32" i="18" s="1"/>
  <c r="Z32" i="18" s="1"/>
  <c r="AA32" i="18" s="1"/>
  <c r="AB32" i="18" s="1"/>
  <c r="AC32" i="18" s="1"/>
  <c r="AD32" i="18" s="1"/>
  <c r="AE32" i="18" s="1"/>
  <c r="AF32" i="18" s="1"/>
  <c r="AG32" i="18" s="1"/>
  <c r="AH32" i="18" s="1"/>
  <c r="O262" i="18"/>
  <c r="V262" i="18"/>
  <c r="W9" i="18"/>
  <c r="X9" i="18" s="1"/>
  <c r="W10" i="18"/>
  <c r="X10" i="18" s="1"/>
  <c r="W12" i="18"/>
  <c r="X12" i="18" s="1"/>
  <c r="W13" i="18"/>
  <c r="X13" i="18" s="1"/>
  <c r="W15" i="18"/>
  <c r="X15" i="18" s="1"/>
  <c r="W16" i="18"/>
  <c r="X16" i="18" s="1"/>
  <c r="W18" i="18"/>
  <c r="X18" i="18" s="1"/>
  <c r="W20" i="18"/>
  <c r="X20" i="18" s="1"/>
  <c r="W21" i="18"/>
  <c r="X21" i="18" s="1"/>
  <c r="W22" i="18"/>
  <c r="X22" i="18" s="1"/>
  <c r="W23" i="18"/>
  <c r="X23" i="18" s="1"/>
  <c r="W25" i="18"/>
  <c r="X25" i="18" s="1"/>
  <c r="X129" i="18" s="1"/>
  <c r="W27" i="18"/>
  <c r="X27" i="18" s="1"/>
  <c r="W29" i="18"/>
  <c r="X29" i="18" s="1"/>
  <c r="W31" i="18"/>
  <c r="W33" i="18"/>
  <c r="X33" i="18" s="1"/>
  <c r="W34" i="18"/>
  <c r="X34" i="18" s="1"/>
  <c r="W51" i="18"/>
  <c r="X51" i="18" s="1"/>
  <c r="W55" i="18"/>
  <c r="X55" i="18" s="1"/>
  <c r="X130" i="18" s="1"/>
  <c r="W7" i="18"/>
  <c r="X7" i="18" s="1"/>
  <c r="W6" i="18"/>
  <c r="X6" i="18" s="1"/>
  <c r="AI9" i="18"/>
  <c r="AI10" i="18"/>
  <c r="AI11" i="18"/>
  <c r="AI12" i="18"/>
  <c r="AI13" i="18"/>
  <c r="AI15" i="18"/>
  <c r="AI16" i="18"/>
  <c r="AI18" i="18"/>
  <c r="AI20" i="18"/>
  <c r="AI21" i="18"/>
  <c r="AI22" i="18"/>
  <c r="AI23" i="18"/>
  <c r="AI25" i="18"/>
  <c r="AI27" i="18"/>
  <c r="AI29" i="18"/>
  <c r="AI31" i="18"/>
  <c r="AI33" i="18"/>
  <c r="AI34" i="18"/>
  <c r="AI51" i="18"/>
  <c r="AI55" i="18"/>
  <c r="AI57" i="18"/>
  <c r="AI59" i="18"/>
  <c r="AI66" i="18"/>
  <c r="AI67" i="18"/>
  <c r="AI72" i="18"/>
  <c r="AI74" i="18"/>
  <c r="AI75" i="18"/>
  <c r="AI76" i="18"/>
  <c r="AI78" i="18"/>
  <c r="AI79" i="18"/>
  <c r="AI80" i="18"/>
  <c r="AI82" i="18"/>
  <c r="AI83" i="18"/>
  <c r="AI84" i="18"/>
  <c r="AI85" i="18"/>
  <c r="AI87" i="18"/>
  <c r="AI88" i="18"/>
  <c r="AI90" i="18"/>
  <c r="AI92" i="18"/>
  <c r="AI93" i="18"/>
  <c r="AI94" i="18"/>
  <c r="AI95" i="18"/>
  <c r="AI96" i="18"/>
  <c r="AI98" i="18"/>
  <c r="AI99" i="18"/>
  <c r="AI100" i="18"/>
  <c r="AI7" i="18"/>
  <c r="AI6" i="18"/>
  <c r="J65" i="20" l="1"/>
  <c r="P64" i="20"/>
  <c r="F78" i="20"/>
  <c r="G78" i="20" s="1"/>
  <c r="X132" i="18"/>
  <c r="X131" i="18"/>
  <c r="X124" i="18"/>
  <c r="X125" i="18"/>
  <c r="X68" i="18"/>
  <c r="X110" i="18" s="1"/>
  <c r="AD53" i="18"/>
  <c r="AJ32" i="18"/>
  <c r="X31" i="18"/>
  <c r="K112" i="18"/>
  <c r="K118" i="18" s="1"/>
  <c r="L112" i="18"/>
  <c r="L118" i="18" s="1"/>
  <c r="M112" i="18"/>
  <c r="M118" i="18" s="1"/>
  <c r="N112" i="18"/>
  <c r="N118" i="18" s="1"/>
  <c r="O112" i="18"/>
  <c r="O118" i="18" s="1"/>
  <c r="P112" i="18"/>
  <c r="P118" i="18" s="1"/>
  <c r="Q112" i="18"/>
  <c r="Q118" i="18" s="1"/>
  <c r="R112" i="18"/>
  <c r="R118" i="18" s="1"/>
  <c r="S112" i="18"/>
  <c r="S118" i="18" s="1"/>
  <c r="K115" i="18"/>
  <c r="K121" i="18" s="1"/>
  <c r="L115" i="18"/>
  <c r="L121" i="18" s="1"/>
  <c r="M115" i="18"/>
  <c r="M121" i="18" s="1"/>
  <c r="N115" i="18"/>
  <c r="N121" i="18" s="1"/>
  <c r="O115" i="18"/>
  <c r="O121" i="18" s="1"/>
  <c r="P115" i="18"/>
  <c r="P121" i="18" s="1"/>
  <c r="Q115" i="18"/>
  <c r="Q121" i="18" s="1"/>
  <c r="R115" i="18"/>
  <c r="R121" i="18" s="1"/>
  <c r="S115" i="18"/>
  <c r="S121" i="18" s="1"/>
  <c r="J115" i="18"/>
  <c r="J121" i="18" s="1"/>
  <c r="J112" i="18"/>
  <c r="J118" i="18" s="1"/>
  <c r="G81" i="20" l="1"/>
  <c r="G82" i="20" s="1"/>
  <c r="C79" i="20"/>
  <c r="M65" i="20"/>
  <c r="N65" i="20"/>
  <c r="J66" i="20" s="1"/>
  <c r="AE53" i="18"/>
  <c r="Y31" i="18"/>
  <c r="X147" i="18"/>
  <c r="Y29" i="18"/>
  <c r="K136" i="18"/>
  <c r="L136" i="18"/>
  <c r="M136" i="18"/>
  <c r="N136" i="18"/>
  <c r="O136" i="18"/>
  <c r="P136" i="18"/>
  <c r="Q136" i="18"/>
  <c r="R136" i="18"/>
  <c r="S136" i="18"/>
  <c r="J136" i="18"/>
  <c r="K135" i="18"/>
  <c r="L135" i="18"/>
  <c r="M135" i="18"/>
  <c r="N135" i="18"/>
  <c r="O135" i="18"/>
  <c r="P135" i="18"/>
  <c r="Q135" i="18"/>
  <c r="R135" i="18"/>
  <c r="S135" i="18"/>
  <c r="J135" i="18"/>
  <c r="M66" i="20" l="1"/>
  <c r="N66" i="20" s="1"/>
  <c r="J67" i="20" s="1"/>
  <c r="F79" i="20"/>
  <c r="G79" i="20"/>
  <c r="AF53" i="18"/>
  <c r="Z31" i="18"/>
  <c r="Z29" i="18"/>
  <c r="AJ87" i="18"/>
  <c r="M67" i="20" l="1"/>
  <c r="N67" i="20"/>
  <c r="J68" i="20" s="1"/>
  <c r="AG53" i="18"/>
  <c r="AA31" i="18"/>
  <c r="AA29" i="18"/>
  <c r="J211" i="18"/>
  <c r="K211" i="18"/>
  <c r="L211" i="18"/>
  <c r="M211" i="18"/>
  <c r="N211" i="18"/>
  <c r="O211" i="18"/>
  <c r="P211" i="18"/>
  <c r="Q211" i="18"/>
  <c r="R211" i="18"/>
  <c r="S211" i="18"/>
  <c r="J88" i="18"/>
  <c r="J139" i="18" s="1"/>
  <c r="J140" i="18" s="1"/>
  <c r="J143" i="18" s="1"/>
  <c r="K88" i="18"/>
  <c r="K139" i="18" s="1"/>
  <c r="K140" i="18" s="1"/>
  <c r="K143" i="18" s="1"/>
  <c r="L88" i="18"/>
  <c r="L139" i="18" s="1"/>
  <c r="L140" i="18" s="1"/>
  <c r="L143" i="18" s="1"/>
  <c r="M88" i="18"/>
  <c r="M139" i="18" s="1"/>
  <c r="M140" i="18" s="1"/>
  <c r="M143" i="18" s="1"/>
  <c r="N88" i="18"/>
  <c r="N139" i="18" s="1"/>
  <c r="N140" i="18" s="1"/>
  <c r="N143" i="18" s="1"/>
  <c r="O88" i="18"/>
  <c r="O139" i="18" s="1"/>
  <c r="O140" i="18" s="1"/>
  <c r="O143" i="18" s="1"/>
  <c r="P88" i="18"/>
  <c r="P139" i="18" s="1"/>
  <c r="P140" i="18" s="1"/>
  <c r="P143" i="18" s="1"/>
  <c r="Q88" i="18"/>
  <c r="Q139" i="18" s="1"/>
  <c r="Q140" i="18" s="1"/>
  <c r="Q143" i="18" s="1"/>
  <c r="R88" i="18"/>
  <c r="R139" i="18" s="1"/>
  <c r="R140" i="18" s="1"/>
  <c r="R143" i="18" s="1"/>
  <c r="S88" i="18"/>
  <c r="S139" i="18" s="1"/>
  <c r="M68" i="20" l="1"/>
  <c r="N68" i="20" s="1"/>
  <c r="J69" i="20" s="1"/>
  <c r="AH53" i="18"/>
  <c r="AJ53" i="18"/>
  <c r="AB31" i="18"/>
  <c r="X88" i="18"/>
  <c r="AB29" i="18"/>
  <c r="Q141" i="18"/>
  <c r="Q142" i="18" s="1"/>
  <c r="M141" i="18"/>
  <c r="M142" i="18" s="1"/>
  <c r="O141" i="18"/>
  <c r="O142" i="18" s="1"/>
  <c r="K141" i="18"/>
  <c r="K142" i="18" s="1"/>
  <c r="P141" i="18"/>
  <c r="P142" i="18" s="1"/>
  <c r="L141" i="18"/>
  <c r="L142" i="18" s="1"/>
  <c r="R141" i="18"/>
  <c r="R142" i="18" s="1"/>
  <c r="N141" i="18"/>
  <c r="N142" i="18" s="1"/>
  <c r="J141" i="18"/>
  <c r="J142" i="18" s="1"/>
  <c r="S140" i="18"/>
  <c r="S143" i="18" s="1"/>
  <c r="Y59" i="18"/>
  <c r="M69" i="20" l="1"/>
  <c r="N69" i="20"/>
  <c r="J70" i="20" s="1"/>
  <c r="AC31" i="18"/>
  <c r="Z59" i="18"/>
  <c r="AC29" i="18"/>
  <c r="S141" i="18"/>
  <c r="Y88" i="18"/>
  <c r="J98" i="18"/>
  <c r="J164" i="18" s="1"/>
  <c r="K98" i="18"/>
  <c r="K164" i="18" s="1"/>
  <c r="L98" i="18"/>
  <c r="L164" i="18" s="1"/>
  <c r="M98" i="18"/>
  <c r="M164" i="18" s="1"/>
  <c r="N98" i="18"/>
  <c r="N164" i="18" s="1"/>
  <c r="O98" i="18"/>
  <c r="O164" i="18" s="1"/>
  <c r="P98" i="18"/>
  <c r="P164" i="18" s="1"/>
  <c r="Q98" i="18"/>
  <c r="Q164" i="18" s="1"/>
  <c r="R98" i="18"/>
  <c r="R164" i="18" s="1"/>
  <c r="J99" i="18"/>
  <c r="K99" i="18"/>
  <c r="L99" i="18"/>
  <c r="M99" i="18"/>
  <c r="N99" i="18"/>
  <c r="O99" i="18"/>
  <c r="P99" i="18"/>
  <c r="Q99" i="18"/>
  <c r="R99" i="18"/>
  <c r="J100" i="18"/>
  <c r="K100" i="18"/>
  <c r="L100" i="18"/>
  <c r="M100" i="18"/>
  <c r="N100" i="18"/>
  <c r="O100" i="18"/>
  <c r="P100" i="18"/>
  <c r="Q100" i="18"/>
  <c r="R100" i="18"/>
  <c r="S100" i="18"/>
  <c r="S99" i="18"/>
  <c r="S98" i="18"/>
  <c r="S164" i="18" s="1"/>
  <c r="K107" i="18"/>
  <c r="L107" i="18"/>
  <c r="M107" i="18"/>
  <c r="N107" i="18"/>
  <c r="O107" i="18"/>
  <c r="P107" i="18"/>
  <c r="Q107" i="18"/>
  <c r="R107" i="18"/>
  <c r="J106" i="18"/>
  <c r="K106" i="18"/>
  <c r="L106" i="18"/>
  <c r="M106" i="18"/>
  <c r="N106" i="18"/>
  <c r="O106" i="18"/>
  <c r="P106" i="18"/>
  <c r="Q106" i="18"/>
  <c r="R106" i="18"/>
  <c r="J105" i="18"/>
  <c r="K105" i="18"/>
  <c r="L105" i="18"/>
  <c r="M105" i="18"/>
  <c r="N105" i="18"/>
  <c r="O105" i="18"/>
  <c r="P105" i="18"/>
  <c r="Q105" i="18"/>
  <c r="R105" i="18"/>
  <c r="S106" i="18"/>
  <c r="M70" i="20" l="1"/>
  <c r="N70" i="20"/>
  <c r="J71" i="20" s="1"/>
  <c r="AD31" i="18"/>
  <c r="AA59" i="18"/>
  <c r="Z88" i="18"/>
  <c r="AD29" i="18"/>
  <c r="S105" i="18"/>
  <c r="K250" i="18"/>
  <c r="L250" i="18"/>
  <c r="M250" i="18"/>
  <c r="N250" i="18"/>
  <c r="O250" i="18"/>
  <c r="P250" i="18"/>
  <c r="Q250" i="18"/>
  <c r="R250" i="18"/>
  <c r="S250" i="18"/>
  <c r="J250" i="18"/>
  <c r="K249" i="18"/>
  <c r="L249" i="18"/>
  <c r="M249" i="18"/>
  <c r="N249" i="18"/>
  <c r="O249" i="18"/>
  <c r="P249" i="18"/>
  <c r="Q249" i="18"/>
  <c r="R249" i="18"/>
  <c r="S249" i="18"/>
  <c r="J249" i="18"/>
  <c r="K248" i="18"/>
  <c r="L248" i="18"/>
  <c r="M248" i="18"/>
  <c r="N248" i="18"/>
  <c r="O248" i="18"/>
  <c r="P248" i="18"/>
  <c r="Q248" i="18"/>
  <c r="R248" i="18"/>
  <c r="S248" i="18"/>
  <c r="J248" i="18"/>
  <c r="K67" i="18"/>
  <c r="L67" i="18"/>
  <c r="M67" i="18"/>
  <c r="N67" i="18"/>
  <c r="O67" i="18"/>
  <c r="P67" i="18"/>
  <c r="Q67" i="18"/>
  <c r="R67" i="18"/>
  <c r="S67" i="18"/>
  <c r="J67" i="18"/>
  <c r="J72" i="18"/>
  <c r="K66" i="18"/>
  <c r="K202" i="18" s="1"/>
  <c r="L66" i="18"/>
  <c r="L202" i="18" s="1"/>
  <c r="M66" i="18"/>
  <c r="M202" i="18" s="1"/>
  <c r="N66" i="18"/>
  <c r="N202" i="18" s="1"/>
  <c r="O66" i="18"/>
  <c r="O202" i="18" s="1"/>
  <c r="P66" i="18"/>
  <c r="P202" i="18" s="1"/>
  <c r="Q66" i="18"/>
  <c r="Q202" i="18" s="1"/>
  <c r="R66" i="18"/>
  <c r="R202" i="18" s="1"/>
  <c r="S66" i="18"/>
  <c r="S202" i="18" s="1"/>
  <c r="J66" i="18"/>
  <c r="J202" i="18" s="1"/>
  <c r="X113" i="18"/>
  <c r="X119" i="18" s="1"/>
  <c r="J214" i="18" l="1"/>
  <c r="M71" i="20"/>
  <c r="N71" i="20" s="1"/>
  <c r="J72" i="20" s="1"/>
  <c r="AE31" i="18"/>
  <c r="AB59" i="18"/>
  <c r="AA88" i="18"/>
  <c r="AE29" i="18"/>
  <c r="Y51" i="18"/>
  <c r="V250" i="18"/>
  <c r="V249" i="18"/>
  <c r="V248" i="18"/>
  <c r="M72" i="20" l="1"/>
  <c r="N72" i="20" s="1"/>
  <c r="J73" i="20" s="1"/>
  <c r="Y113" i="18"/>
  <c r="Y119" i="18" s="1"/>
  <c r="AF31" i="18"/>
  <c r="AC59" i="18"/>
  <c r="AB88" i="18"/>
  <c r="AF29" i="18"/>
  <c r="Z51" i="18"/>
  <c r="L95" i="18"/>
  <c r="M95" i="18"/>
  <c r="N95" i="18"/>
  <c r="O95" i="18"/>
  <c r="P95" i="18"/>
  <c r="Q95" i="18"/>
  <c r="R95" i="18"/>
  <c r="S95" i="18"/>
  <c r="L96" i="18"/>
  <c r="M96" i="18"/>
  <c r="N96" i="18"/>
  <c r="O96" i="18"/>
  <c r="P96" i="18"/>
  <c r="Q96" i="18"/>
  <c r="R96" i="18"/>
  <c r="S96" i="18"/>
  <c r="L90" i="18"/>
  <c r="L92" i="18" s="1"/>
  <c r="M90" i="18"/>
  <c r="M92" i="18" s="1"/>
  <c r="N90" i="18"/>
  <c r="N92" i="18" s="1"/>
  <c r="O90" i="18"/>
  <c r="O92" i="18" s="1"/>
  <c r="P90" i="18"/>
  <c r="P92" i="18" s="1"/>
  <c r="Q90" i="18"/>
  <c r="Q92" i="18" s="1"/>
  <c r="R90" i="18"/>
  <c r="R92" i="18" s="1"/>
  <c r="S90" i="18"/>
  <c r="S92" i="18" s="1"/>
  <c r="L93" i="18"/>
  <c r="M93" i="18"/>
  <c r="N93" i="18"/>
  <c r="O93" i="18"/>
  <c r="P93" i="18"/>
  <c r="Q93" i="18"/>
  <c r="R93" i="18"/>
  <c r="S93" i="18"/>
  <c r="L94" i="18"/>
  <c r="M94" i="18"/>
  <c r="N94" i="18"/>
  <c r="O94" i="18"/>
  <c r="P94" i="18"/>
  <c r="Q94" i="18"/>
  <c r="R94" i="18"/>
  <c r="S94" i="18"/>
  <c r="J93" i="18"/>
  <c r="J94" i="18"/>
  <c r="J95" i="18"/>
  <c r="J96" i="18"/>
  <c r="K96" i="18"/>
  <c r="K95" i="18"/>
  <c r="Y22" i="18"/>
  <c r="Z22" i="18" s="1"/>
  <c r="AA22" i="18" s="1"/>
  <c r="AB22" i="18" s="1"/>
  <c r="AC22" i="18" s="1"/>
  <c r="AD22" i="18" s="1"/>
  <c r="AE22" i="18" s="1"/>
  <c r="AF22" i="18" s="1"/>
  <c r="AG22" i="18" s="1"/>
  <c r="J90" i="18"/>
  <c r="J92" i="18" s="1"/>
  <c r="K90" i="18"/>
  <c r="K92" i="18" s="1"/>
  <c r="K94" i="18"/>
  <c r="K93" i="18"/>
  <c r="M73" i="20" l="1"/>
  <c r="N73" i="20" s="1"/>
  <c r="J74" i="20" s="1"/>
  <c r="Z113" i="18"/>
  <c r="Z119" i="18" s="1"/>
  <c r="AG31" i="18"/>
  <c r="AH31" i="18" s="1"/>
  <c r="AD59" i="18"/>
  <c r="AC88" i="18"/>
  <c r="Y23" i="18"/>
  <c r="X116" i="18"/>
  <c r="X122" i="18" s="1"/>
  <c r="AG29" i="18"/>
  <c r="AH22" i="18"/>
  <c r="AJ22" i="18"/>
  <c r="AA51" i="18"/>
  <c r="Y21" i="18"/>
  <c r="M74" i="20" l="1"/>
  <c r="N74" i="20" s="1"/>
  <c r="J75" i="20" s="1"/>
  <c r="AJ31" i="18"/>
  <c r="AA113" i="18"/>
  <c r="AA119" i="18" s="1"/>
  <c r="AD88" i="18"/>
  <c r="AE59" i="18"/>
  <c r="Z23" i="18"/>
  <c r="Y116" i="18"/>
  <c r="Y122" i="18" s="1"/>
  <c r="AJ29" i="18"/>
  <c r="AH29" i="18"/>
  <c r="Y20" i="18"/>
  <c r="X90" i="18"/>
  <c r="Z21" i="18"/>
  <c r="Y9" i="18"/>
  <c r="Z9" i="18" s="1"/>
  <c r="AA9" i="18" s="1"/>
  <c r="AB9" i="18" s="1"/>
  <c r="AC9" i="18" s="1"/>
  <c r="AD9" i="18" s="1"/>
  <c r="AE9" i="18" s="1"/>
  <c r="AF9" i="18" s="1"/>
  <c r="AG9" i="18" s="1"/>
  <c r="AJ9" i="18" s="1"/>
  <c r="X109" i="18"/>
  <c r="Y33" i="18"/>
  <c r="Z33" i="18" s="1"/>
  <c r="AA33" i="18" s="1"/>
  <c r="AB33" i="18" s="1"/>
  <c r="AC33" i="18" s="1"/>
  <c r="AD33" i="18" s="1"/>
  <c r="AE33" i="18" s="1"/>
  <c r="AF33" i="18" s="1"/>
  <c r="AG33" i="18" s="1"/>
  <c r="AJ33" i="18" s="1"/>
  <c r="Y34" i="18"/>
  <c r="Z34" i="18" s="1"/>
  <c r="AA34" i="18" s="1"/>
  <c r="AB34" i="18" s="1"/>
  <c r="AC34" i="18" s="1"/>
  <c r="AD34" i="18" s="1"/>
  <c r="AE34" i="18" s="1"/>
  <c r="AF34" i="18" s="1"/>
  <c r="AG34" i="18" s="1"/>
  <c r="AJ34" i="18" s="1"/>
  <c r="AB51" i="18"/>
  <c r="R86" i="18"/>
  <c r="R208" i="18" s="1"/>
  <c r="R85" i="18"/>
  <c r="R83" i="18"/>
  <c r="R82" i="18"/>
  <c r="R80" i="18"/>
  <c r="R209" i="18" s="1"/>
  <c r="R79" i="18"/>
  <c r="R78" i="18"/>
  <c r="R76" i="18"/>
  <c r="R75" i="18"/>
  <c r="R206" i="18" s="1"/>
  <c r="R74" i="18"/>
  <c r="R72" i="18"/>
  <c r="R214" i="18" s="1"/>
  <c r="M75" i="20" l="1"/>
  <c r="N75" i="20" s="1"/>
  <c r="J76" i="20" s="1"/>
  <c r="AB113" i="18"/>
  <c r="AB119" i="18" s="1"/>
  <c r="AE88" i="18"/>
  <c r="AF59" i="18"/>
  <c r="Y90" i="18"/>
  <c r="X156" i="18"/>
  <c r="X166" i="18"/>
  <c r="X157" i="18"/>
  <c r="X167" i="18"/>
  <c r="AA23" i="18"/>
  <c r="Z116" i="18"/>
  <c r="Z122" i="18" s="1"/>
  <c r="X150" i="18"/>
  <c r="X151" i="18"/>
  <c r="X149" i="18"/>
  <c r="X137" i="18"/>
  <c r="S142" i="18"/>
  <c r="X112" i="18"/>
  <c r="X118" i="18" s="1"/>
  <c r="X146" i="18"/>
  <c r="X145" i="18"/>
  <c r="Y18" i="18"/>
  <c r="R203" i="18"/>
  <c r="Z20" i="18"/>
  <c r="Y27" i="18"/>
  <c r="AC51" i="18"/>
  <c r="Y25" i="18"/>
  <c r="Y129" i="18" s="1"/>
  <c r="X105" i="18"/>
  <c r="AA21" i="18"/>
  <c r="AH33" i="18"/>
  <c r="AH34" i="18"/>
  <c r="AH9" i="18"/>
  <c r="R84" i="18"/>
  <c r="R207" i="18" s="1"/>
  <c r="J80" i="18"/>
  <c r="J209" i="18" s="1"/>
  <c r="K80" i="18"/>
  <c r="K209" i="18" s="1"/>
  <c r="L80" i="18"/>
  <c r="L209" i="18" s="1"/>
  <c r="M80" i="18"/>
  <c r="M209" i="18" s="1"/>
  <c r="N80" i="18"/>
  <c r="N209" i="18" s="1"/>
  <c r="O80" i="18"/>
  <c r="O209" i="18" s="1"/>
  <c r="P80" i="18"/>
  <c r="P209" i="18" s="1"/>
  <c r="Q80" i="18"/>
  <c r="Q209" i="18" s="1"/>
  <c r="S80" i="18"/>
  <c r="M76" i="20" l="1"/>
  <c r="N76" i="20" s="1"/>
  <c r="J77" i="20" s="1"/>
  <c r="Y124" i="18"/>
  <c r="Y125" i="18"/>
  <c r="R216" i="18"/>
  <c r="R217" i="18" s="1"/>
  <c r="R215" i="18"/>
  <c r="AC113" i="18"/>
  <c r="AC119" i="18" s="1"/>
  <c r="Y109" i="18"/>
  <c r="Y147" i="18"/>
  <c r="AG59" i="18"/>
  <c r="AF88" i="18"/>
  <c r="Y157" i="18"/>
  <c r="Y167" i="18"/>
  <c r="Y156" i="18"/>
  <c r="Y166" i="18"/>
  <c r="AB23" i="18"/>
  <c r="AA116" i="18"/>
  <c r="AA122" i="18" s="1"/>
  <c r="Y149" i="18"/>
  <c r="Y151" i="18"/>
  <c r="Y150" i="18"/>
  <c r="Y137" i="18"/>
  <c r="Y112" i="18"/>
  <c r="Y118" i="18" s="1"/>
  <c r="Y146" i="18"/>
  <c r="Y145" i="18"/>
  <c r="Z18" i="18"/>
  <c r="AA20" i="18"/>
  <c r="Z90" i="18"/>
  <c r="Z27" i="18"/>
  <c r="Z25" i="18"/>
  <c r="Y105" i="18"/>
  <c r="AD51" i="18"/>
  <c r="AB21" i="18"/>
  <c r="S209" i="18"/>
  <c r="J79" i="18"/>
  <c r="K79" i="18"/>
  <c r="L79" i="18"/>
  <c r="M79" i="18"/>
  <c r="N79" i="18"/>
  <c r="O79" i="18"/>
  <c r="P79" i="18"/>
  <c r="Q79" i="18"/>
  <c r="S79" i="18"/>
  <c r="J78" i="18"/>
  <c r="K78" i="18"/>
  <c r="L78" i="18"/>
  <c r="M78" i="18"/>
  <c r="N78" i="18"/>
  <c r="O78" i="18"/>
  <c r="P78" i="18"/>
  <c r="Q78" i="18"/>
  <c r="S78" i="18"/>
  <c r="M77" i="20" l="1"/>
  <c r="N77" i="20" s="1"/>
  <c r="J78" i="20" s="1"/>
  <c r="Z125" i="18"/>
  <c r="Z129" i="18"/>
  <c r="Z147" i="18"/>
  <c r="Z124" i="18"/>
  <c r="AD113" i="18"/>
  <c r="AD119" i="18" s="1"/>
  <c r="AJ59" i="18"/>
  <c r="AG88" i="18"/>
  <c r="AH59" i="18"/>
  <c r="Z156" i="18"/>
  <c r="Z166" i="18"/>
  <c r="Z157" i="18"/>
  <c r="Z167" i="18"/>
  <c r="Z109" i="18"/>
  <c r="AC23" i="18"/>
  <c r="AB116" i="18"/>
  <c r="AB122" i="18" s="1"/>
  <c r="Z151" i="18"/>
  <c r="Z150" i="18"/>
  <c r="Z149" i="18"/>
  <c r="Z137" i="18"/>
  <c r="Z112" i="18"/>
  <c r="Z118" i="18" s="1"/>
  <c r="Z146" i="18"/>
  <c r="Z145" i="18"/>
  <c r="AA18" i="18"/>
  <c r="AB20" i="18"/>
  <c r="AA90" i="18"/>
  <c r="AA27" i="18"/>
  <c r="AA25" i="18"/>
  <c r="AA129" i="18" s="1"/>
  <c r="Z105" i="18"/>
  <c r="AE51" i="18"/>
  <c r="AC21" i="18"/>
  <c r="M78" i="20" l="1"/>
  <c r="N78" i="20" s="1"/>
  <c r="AA124" i="18"/>
  <c r="AA125" i="18"/>
  <c r="AE113" i="18"/>
  <c r="AE119" i="18" s="1"/>
  <c r="AA109" i="18"/>
  <c r="AA147" i="18"/>
  <c r="X188" i="18"/>
  <c r="T237" i="18" s="1"/>
  <c r="AJ88" i="18"/>
  <c r="Y188" i="18" s="1"/>
  <c r="AH88" i="18"/>
  <c r="AA157" i="18"/>
  <c r="AA167" i="18"/>
  <c r="AA156" i="18"/>
  <c r="AA166" i="18"/>
  <c r="AD23" i="18"/>
  <c r="AC116" i="18"/>
  <c r="AC122" i="18" s="1"/>
  <c r="AA137" i="18"/>
  <c r="AA151" i="18"/>
  <c r="AA150" i="18"/>
  <c r="AA149" i="18"/>
  <c r="AA112" i="18"/>
  <c r="AA118" i="18" s="1"/>
  <c r="AA146" i="18"/>
  <c r="AA145" i="18"/>
  <c r="AB18" i="18"/>
  <c r="AC20" i="18"/>
  <c r="AB90" i="18"/>
  <c r="AB27" i="18"/>
  <c r="AB25" i="18"/>
  <c r="AA105" i="18"/>
  <c r="AF51" i="18"/>
  <c r="AD21" i="18"/>
  <c r="K72" i="18"/>
  <c r="L72" i="18"/>
  <c r="L214" i="18" s="1"/>
  <c r="M72" i="18"/>
  <c r="M214" i="18" s="1"/>
  <c r="N72" i="18"/>
  <c r="N214" i="18" s="1"/>
  <c r="O72" i="18"/>
  <c r="O214" i="18" s="1"/>
  <c r="P72" i="18"/>
  <c r="P214" i="18" s="1"/>
  <c r="Q72" i="18"/>
  <c r="Q214" i="18" s="1"/>
  <c r="S72" i="18"/>
  <c r="S214" i="18" s="1"/>
  <c r="J86" i="18"/>
  <c r="K86" i="18"/>
  <c r="K208" i="18" s="1"/>
  <c r="L86" i="18"/>
  <c r="L208" i="18" s="1"/>
  <c r="M86" i="18"/>
  <c r="M208" i="18" s="1"/>
  <c r="N86" i="18"/>
  <c r="N208" i="18" s="1"/>
  <c r="O86" i="18"/>
  <c r="O208" i="18" s="1"/>
  <c r="P86" i="18"/>
  <c r="P208" i="18" s="1"/>
  <c r="Q86" i="18"/>
  <c r="S86" i="18"/>
  <c r="J85" i="18"/>
  <c r="K85" i="18"/>
  <c r="L85" i="18"/>
  <c r="M85" i="18"/>
  <c r="N85" i="18"/>
  <c r="O85" i="18"/>
  <c r="P85" i="18"/>
  <c r="Q85" i="18"/>
  <c r="S85" i="18"/>
  <c r="J83" i="18"/>
  <c r="K83" i="18"/>
  <c r="L83" i="18"/>
  <c r="M83" i="18"/>
  <c r="N83" i="18"/>
  <c r="O83" i="18"/>
  <c r="P83" i="18"/>
  <c r="Q83" i="18"/>
  <c r="S83" i="18"/>
  <c r="J82" i="18"/>
  <c r="K82" i="18"/>
  <c r="L82" i="18"/>
  <c r="M82" i="18"/>
  <c r="N82" i="18"/>
  <c r="O82" i="18"/>
  <c r="P82" i="18"/>
  <c r="Q82" i="18"/>
  <c r="S82" i="18"/>
  <c r="J76" i="18"/>
  <c r="K76" i="18"/>
  <c r="L76" i="18"/>
  <c r="M76" i="18"/>
  <c r="N76" i="18"/>
  <c r="O76" i="18"/>
  <c r="P76" i="18"/>
  <c r="Q76" i="18"/>
  <c r="S76" i="18"/>
  <c r="J75" i="18"/>
  <c r="K75" i="18"/>
  <c r="K206" i="18" s="1"/>
  <c r="L75" i="18"/>
  <c r="L206" i="18" s="1"/>
  <c r="M75" i="18"/>
  <c r="M206" i="18" s="1"/>
  <c r="N75" i="18"/>
  <c r="N206" i="18" s="1"/>
  <c r="O75" i="18"/>
  <c r="O206" i="18" s="1"/>
  <c r="P75" i="18"/>
  <c r="P206" i="18" s="1"/>
  <c r="Q75" i="18"/>
  <c r="S75" i="18"/>
  <c r="J74" i="18"/>
  <c r="K74" i="18"/>
  <c r="L74" i="18"/>
  <c r="M74" i="18"/>
  <c r="N74" i="18"/>
  <c r="O74" i="18"/>
  <c r="P74" i="18"/>
  <c r="Q74" i="18"/>
  <c r="S74" i="18"/>
  <c r="X154" i="18"/>
  <c r="X162" i="18"/>
  <c r="X163" i="18" s="1"/>
  <c r="X114" i="18"/>
  <c r="X120" i="18" s="1"/>
  <c r="K214" i="18" l="1"/>
  <c r="V170" i="18"/>
  <c r="X244" i="18" s="1"/>
  <c r="X243" i="18" s="1"/>
  <c r="N81" i="20"/>
  <c r="N82" i="20" s="1"/>
  <c r="J79" i="20"/>
  <c r="AB125" i="18"/>
  <c r="AB129" i="18"/>
  <c r="AB147" i="18"/>
  <c r="AB124" i="18"/>
  <c r="X211" i="18"/>
  <c r="AF113" i="18"/>
  <c r="AF119" i="18" s="1"/>
  <c r="X134" i="18"/>
  <c r="W188" i="18"/>
  <c r="S237" i="18" s="1"/>
  <c r="AB156" i="18"/>
  <c r="AB166" i="18"/>
  <c r="AB109" i="18"/>
  <c r="AB157" i="18"/>
  <c r="AB167" i="18"/>
  <c r="AE23" i="18"/>
  <c r="AD116" i="18"/>
  <c r="AD122" i="18" s="1"/>
  <c r="X107" i="18"/>
  <c r="X108" i="18"/>
  <c r="X160" i="18"/>
  <c r="X159" i="18"/>
  <c r="X115" i="18"/>
  <c r="X121" i="18" s="1"/>
  <c r="X155" i="18"/>
  <c r="K203" i="18"/>
  <c r="AB137" i="18"/>
  <c r="AB150" i="18"/>
  <c r="AB149" i="18"/>
  <c r="AB151" i="18"/>
  <c r="X136" i="18"/>
  <c r="AB112" i="18"/>
  <c r="AB118" i="18" s="1"/>
  <c r="AB146" i="18"/>
  <c r="AB145" i="18"/>
  <c r="X135" i="18"/>
  <c r="AC18" i="18"/>
  <c r="S203" i="18"/>
  <c r="N203" i="18"/>
  <c r="M203" i="18"/>
  <c r="P203" i="18"/>
  <c r="L203" i="18"/>
  <c r="AD20" i="18"/>
  <c r="AC90" i="18"/>
  <c r="K84" i="18"/>
  <c r="K207" i="18" s="1"/>
  <c r="AC27" i="18"/>
  <c r="Y12" i="18"/>
  <c r="Y15" i="18"/>
  <c r="Y154" i="18" s="1"/>
  <c r="Y13" i="18"/>
  <c r="Y10" i="18"/>
  <c r="Y16" i="18"/>
  <c r="Y162" i="18" s="1"/>
  <c r="Y163" i="18" s="1"/>
  <c r="Y6" i="18"/>
  <c r="Y7" i="18"/>
  <c r="AC25" i="18"/>
  <c r="AC129" i="18" s="1"/>
  <c r="AB105" i="18"/>
  <c r="Y55" i="18"/>
  <c r="Y130" i="18" s="1"/>
  <c r="X106" i="18"/>
  <c r="AG51" i="18"/>
  <c r="O84" i="18"/>
  <c r="O207" i="18" s="1"/>
  <c r="N84" i="18"/>
  <c r="N207" i="18" s="1"/>
  <c r="M84" i="18"/>
  <c r="M207" i="18" s="1"/>
  <c r="AE21" i="18"/>
  <c r="Y201" i="18"/>
  <c r="L84" i="18"/>
  <c r="L207" i="18" s="1"/>
  <c r="J206" i="18"/>
  <c r="J203" i="18"/>
  <c r="J208" i="18"/>
  <c r="J84" i="18"/>
  <c r="Q206" i="18"/>
  <c r="Q203" i="18"/>
  <c r="Q208" i="18"/>
  <c r="S206" i="18"/>
  <c r="O203" i="18"/>
  <c r="Q84" i="18"/>
  <c r="P84" i="18"/>
  <c r="P207" i="18" s="1"/>
  <c r="S208" i="18"/>
  <c r="S84" i="18"/>
  <c r="C6" i="12"/>
  <c r="M79" i="20" l="1"/>
  <c r="N79" i="20" s="1"/>
  <c r="J80" i="20" s="1"/>
  <c r="Y132" i="18"/>
  <c r="Y131" i="18"/>
  <c r="AC124" i="18"/>
  <c r="AC125" i="18"/>
  <c r="Y211" i="18"/>
  <c r="Y220" i="18"/>
  <c r="Y225" i="18"/>
  <c r="J216" i="18"/>
  <c r="J217" i="18" s="1"/>
  <c r="J215" i="18"/>
  <c r="P216" i="18"/>
  <c r="P217" i="18" s="1"/>
  <c r="P215" i="18"/>
  <c r="N216" i="18"/>
  <c r="N217" i="18" s="1"/>
  <c r="N215" i="18"/>
  <c r="Q216" i="18"/>
  <c r="Q217" i="18" s="1"/>
  <c r="Q215" i="18"/>
  <c r="K216" i="18"/>
  <c r="K217" i="18" s="1"/>
  <c r="K215" i="18"/>
  <c r="L216" i="18"/>
  <c r="L217" i="18" s="1"/>
  <c r="L215" i="18"/>
  <c r="M216" i="18"/>
  <c r="M217" i="18" s="1"/>
  <c r="M215" i="18"/>
  <c r="S216" i="18"/>
  <c r="S217" i="18" s="1"/>
  <c r="S215" i="18"/>
  <c r="O216" i="18"/>
  <c r="O217" i="18" s="1"/>
  <c r="O215" i="18"/>
  <c r="AC109" i="18"/>
  <c r="AC147" i="18"/>
  <c r="Y114" i="18"/>
  <c r="Y120" i="18" s="1"/>
  <c r="Y68" i="18"/>
  <c r="Y110" i="18" s="1"/>
  <c r="Y245" i="18"/>
  <c r="Z245" i="18" s="1"/>
  <c r="AA245" i="18" s="1"/>
  <c r="AB245" i="18" s="1"/>
  <c r="AC245" i="18" s="1"/>
  <c r="AD245" i="18" s="1"/>
  <c r="AE245" i="18" s="1"/>
  <c r="AF245" i="18" s="1"/>
  <c r="AG245" i="18" s="1"/>
  <c r="AH245" i="18" s="1"/>
  <c r="AI245" i="18" s="1"/>
  <c r="AJ245" i="18" s="1"/>
  <c r="AK245" i="18" s="1"/>
  <c r="AL245" i="18" s="1"/>
  <c r="AM245" i="18" s="1"/>
  <c r="AN245" i="18" s="1"/>
  <c r="AO245" i="18" s="1"/>
  <c r="AP245" i="18" s="1"/>
  <c r="AQ245" i="18" s="1"/>
  <c r="AR245" i="18" s="1"/>
  <c r="AS245" i="18" s="1"/>
  <c r="AT245" i="18" s="1"/>
  <c r="AU245" i="18" s="1"/>
  <c r="AV245" i="18" s="1"/>
  <c r="AW245" i="18" s="1"/>
  <c r="AX245" i="18" s="1"/>
  <c r="Y134" i="18"/>
  <c r="AC156" i="18"/>
  <c r="AC166" i="18"/>
  <c r="AC157" i="18"/>
  <c r="AC167" i="18"/>
  <c r="AJ51" i="18"/>
  <c r="AG113" i="18"/>
  <c r="AF23" i="18"/>
  <c r="AE116" i="18"/>
  <c r="AE122" i="18" s="1"/>
  <c r="Y160" i="18"/>
  <c r="Y159" i="18"/>
  <c r="Y115" i="18"/>
  <c r="Y121" i="18" s="1"/>
  <c r="Y155" i="18"/>
  <c r="Y108" i="18"/>
  <c r="AC149" i="18"/>
  <c r="AC150" i="18"/>
  <c r="AC151" i="18"/>
  <c r="AC137" i="18"/>
  <c r="AC112" i="18"/>
  <c r="AC118" i="18" s="1"/>
  <c r="AC146" i="18"/>
  <c r="AC145" i="18"/>
  <c r="Y135" i="18"/>
  <c r="Y136" i="18"/>
  <c r="AD18" i="18"/>
  <c r="AE20" i="18"/>
  <c r="AD90" i="18"/>
  <c r="AD27" i="18"/>
  <c r="Z15" i="18"/>
  <c r="Z154" i="18" s="1"/>
  <c r="Z13" i="18"/>
  <c r="Z12" i="18"/>
  <c r="Z16" i="18"/>
  <c r="Z162" i="18" s="1"/>
  <c r="Z163" i="18" s="1"/>
  <c r="Z10" i="18"/>
  <c r="Z7" i="18"/>
  <c r="Z6" i="18"/>
  <c r="AH51" i="18"/>
  <c r="AD25" i="18"/>
  <c r="AD129" i="18" s="1"/>
  <c r="AC105" i="18"/>
  <c r="Z55" i="18"/>
  <c r="Z130" i="18" s="1"/>
  <c r="Y107" i="18"/>
  <c r="Y106" i="18"/>
  <c r="AF21" i="18"/>
  <c r="Z201" i="18"/>
  <c r="J207" i="18"/>
  <c r="Q207" i="18"/>
  <c r="S207" i="18"/>
  <c r="M80" i="20" l="1"/>
  <c r="N80" i="20" s="1"/>
  <c r="Z131" i="18"/>
  <c r="Z132" i="18"/>
  <c r="AD124" i="18"/>
  <c r="AD125" i="18"/>
  <c r="Y226" i="18"/>
  <c r="Y227" i="18" s="1"/>
  <c r="Y224" i="18"/>
  <c r="Y221" i="18"/>
  <c r="Y222" i="18" s="1"/>
  <c r="Y219" i="18"/>
  <c r="Z211" i="18"/>
  <c r="Z225" i="18"/>
  <c r="Z220" i="18"/>
  <c r="AD109" i="18"/>
  <c r="AD147" i="18"/>
  <c r="Z114" i="18"/>
  <c r="Z120" i="18" s="1"/>
  <c r="Z68" i="18"/>
  <c r="Z110" i="18" s="1"/>
  <c r="Y246" i="18"/>
  <c r="Z246" i="18" s="1"/>
  <c r="AA246" i="18" s="1"/>
  <c r="AB246" i="18" s="1"/>
  <c r="AC246" i="18" s="1"/>
  <c r="AD246" i="18" s="1"/>
  <c r="AE246" i="18" s="1"/>
  <c r="AF246" i="18" s="1"/>
  <c r="AG246" i="18" s="1"/>
  <c r="AH246" i="18" s="1"/>
  <c r="AI246" i="18" s="1"/>
  <c r="AJ246" i="18" s="1"/>
  <c r="AK246" i="18" s="1"/>
  <c r="AL246" i="18" s="1"/>
  <c r="AM246" i="18" s="1"/>
  <c r="AN246" i="18" s="1"/>
  <c r="AO246" i="18" s="1"/>
  <c r="AP246" i="18" s="1"/>
  <c r="AQ246" i="18" s="1"/>
  <c r="AR246" i="18" s="1"/>
  <c r="AS246" i="18" s="1"/>
  <c r="AT246" i="18" s="1"/>
  <c r="AU246" i="18" s="1"/>
  <c r="AV246" i="18" s="1"/>
  <c r="AW246" i="18" s="1"/>
  <c r="AX246" i="18" s="1"/>
  <c r="AH113" i="18"/>
  <c r="AG119" i="18"/>
  <c r="AH119" i="18" s="1"/>
  <c r="Y244" i="18"/>
  <c r="Z244" i="18" s="1"/>
  <c r="AA244" i="18" s="1"/>
  <c r="AB244" i="18" s="1"/>
  <c r="AC244" i="18" s="1"/>
  <c r="AD244" i="18" s="1"/>
  <c r="AE244" i="18" s="1"/>
  <c r="AF244" i="18" s="1"/>
  <c r="AG244" i="18" s="1"/>
  <c r="AH244" i="18" s="1"/>
  <c r="Z134" i="18"/>
  <c r="AD156" i="18"/>
  <c r="AD166" i="18"/>
  <c r="AD157" i="18"/>
  <c r="AD167" i="18"/>
  <c r="AG23" i="18"/>
  <c r="AF116" i="18"/>
  <c r="AF122" i="18" s="1"/>
  <c r="Z115" i="18"/>
  <c r="Z121" i="18" s="1"/>
  <c r="Z155" i="18"/>
  <c r="Z160" i="18"/>
  <c r="Z159" i="18"/>
  <c r="Z108" i="18"/>
  <c r="AD151" i="18"/>
  <c r="AD150" i="18"/>
  <c r="AD149" i="18"/>
  <c r="AD137" i="18"/>
  <c r="AD112" i="18"/>
  <c r="AD118" i="18" s="1"/>
  <c r="AD146" i="18"/>
  <c r="AD145" i="18"/>
  <c r="Z135" i="18"/>
  <c r="Z136" i="18"/>
  <c r="AE18" i="18"/>
  <c r="AF20" i="18"/>
  <c r="AE90" i="18"/>
  <c r="AE27" i="18"/>
  <c r="AA13" i="18"/>
  <c r="AA12" i="18"/>
  <c r="AA15" i="18"/>
  <c r="AA154" i="18" s="1"/>
  <c r="AA10" i="18"/>
  <c r="AA16" i="18"/>
  <c r="AA162" i="18" s="1"/>
  <c r="AA163" i="18" s="1"/>
  <c r="AA6" i="18"/>
  <c r="AA7" i="18"/>
  <c r="AA55" i="18"/>
  <c r="AA130" i="18" s="1"/>
  <c r="Z107" i="18"/>
  <c r="Z106" i="18"/>
  <c r="AE25" i="18"/>
  <c r="AE129" i="18" s="1"/>
  <c r="AD105" i="18"/>
  <c r="AG21" i="18"/>
  <c r="AJ21" i="18" s="1"/>
  <c r="AA201" i="18"/>
  <c r="AA132" i="18" l="1"/>
  <c r="AA131" i="18"/>
  <c r="AE124" i="18"/>
  <c r="AE125" i="18"/>
  <c r="Z221" i="18"/>
  <c r="Z222" i="18" s="1"/>
  <c r="Z219" i="18"/>
  <c r="Z226" i="18"/>
  <c r="Z227" i="18" s="1"/>
  <c r="Z224" i="18"/>
  <c r="AA211" i="18"/>
  <c r="AA220" i="18"/>
  <c r="AA225" i="18"/>
  <c r="AE109" i="18"/>
  <c r="AE147" i="18"/>
  <c r="AA114" i="18"/>
  <c r="AA120" i="18" s="1"/>
  <c r="AA68" i="18"/>
  <c r="AA110" i="18" s="1"/>
  <c r="Y243" i="18"/>
  <c r="Z243" i="18" s="1"/>
  <c r="AA243" i="18" s="1"/>
  <c r="AB243" i="18" s="1"/>
  <c r="AC243" i="18" s="1"/>
  <c r="AD243" i="18" s="1"/>
  <c r="AE243" i="18" s="1"/>
  <c r="AF243" i="18" s="1"/>
  <c r="AG243" i="18" s="1"/>
  <c r="AH243" i="18" s="1"/>
  <c r="AI244" i="18"/>
  <c r="AJ244" i="18" s="1"/>
  <c r="AK244" i="18" s="1"/>
  <c r="AL244" i="18" s="1"/>
  <c r="AM244" i="18" s="1"/>
  <c r="AN244" i="18" s="1"/>
  <c r="AO244" i="18" s="1"/>
  <c r="AP244" i="18" s="1"/>
  <c r="AQ244" i="18" s="1"/>
  <c r="AR244" i="18" s="1"/>
  <c r="AS244" i="18" s="1"/>
  <c r="AT244" i="18" s="1"/>
  <c r="AU244" i="18" s="1"/>
  <c r="AV244" i="18" s="1"/>
  <c r="AW244" i="18" s="1"/>
  <c r="AX244" i="18" s="1"/>
  <c r="AA134" i="18"/>
  <c r="AE156" i="18"/>
  <c r="AE166" i="18"/>
  <c r="AE157" i="18"/>
  <c r="AE167" i="18"/>
  <c r="AJ23" i="18"/>
  <c r="AG116" i="18"/>
  <c r="AH23" i="18"/>
  <c r="AA108" i="18"/>
  <c r="AA159" i="18"/>
  <c r="AA160" i="18"/>
  <c r="AA115" i="18"/>
  <c r="AA121" i="18" s="1"/>
  <c r="AA155" i="18"/>
  <c r="AE151" i="18"/>
  <c r="AE150" i="18"/>
  <c r="AE149" i="18"/>
  <c r="AE137" i="18"/>
  <c r="AE112" i="18"/>
  <c r="AE118" i="18" s="1"/>
  <c r="AE146" i="18"/>
  <c r="AE145" i="18"/>
  <c r="AA136" i="18"/>
  <c r="AA135" i="18"/>
  <c r="AF18" i="18"/>
  <c r="AG20" i="18"/>
  <c r="AF90" i="18"/>
  <c r="AF27" i="18"/>
  <c r="AB12" i="18"/>
  <c r="AB15" i="18"/>
  <c r="AB154" i="18" s="1"/>
  <c r="AB13" i="18"/>
  <c r="AB16" i="18"/>
  <c r="AB162" i="18" s="1"/>
  <c r="AB163" i="18" s="1"/>
  <c r="AB10" i="18"/>
  <c r="AB7" i="18"/>
  <c r="AB6" i="18"/>
  <c r="AF25" i="18"/>
  <c r="AE105" i="18"/>
  <c r="AB55" i="18"/>
  <c r="AB130" i="18" s="1"/>
  <c r="AA106" i="18"/>
  <c r="AA107" i="18"/>
  <c r="AH21" i="18"/>
  <c r="AB201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F125" i="18" l="1"/>
  <c r="AF129" i="18"/>
  <c r="AB132" i="18"/>
  <c r="AB131" i="18"/>
  <c r="AF147" i="18"/>
  <c r="AF124" i="18"/>
  <c r="AA226" i="18"/>
  <c r="AA227" i="18" s="1"/>
  <c r="AA224" i="18"/>
  <c r="AA221" i="18"/>
  <c r="AA222" i="18" s="1"/>
  <c r="AA219" i="18"/>
  <c r="AB211" i="18"/>
  <c r="AB225" i="18"/>
  <c r="AB220" i="18"/>
  <c r="AB114" i="18"/>
  <c r="AB120" i="18" s="1"/>
  <c r="AB68" i="18"/>
  <c r="AB110" i="18" s="1"/>
  <c r="AI243" i="18"/>
  <c r="AJ243" i="18" s="1"/>
  <c r="AK243" i="18" s="1"/>
  <c r="AL243" i="18" s="1"/>
  <c r="AM243" i="18" s="1"/>
  <c r="AN243" i="18" s="1"/>
  <c r="AO243" i="18" s="1"/>
  <c r="AP243" i="18" s="1"/>
  <c r="AQ243" i="18" s="1"/>
  <c r="AR243" i="18" s="1"/>
  <c r="AS243" i="18" s="1"/>
  <c r="AT243" i="18" s="1"/>
  <c r="AU243" i="18" s="1"/>
  <c r="AV243" i="18" s="1"/>
  <c r="AW243" i="18" s="1"/>
  <c r="AX243" i="18" s="1"/>
  <c r="AH116" i="18"/>
  <c r="AG122" i="18"/>
  <c r="AH122" i="18" s="1"/>
  <c r="AB134" i="18"/>
  <c r="AF156" i="18"/>
  <c r="AF166" i="18"/>
  <c r="AF157" i="18"/>
  <c r="AF167" i="18"/>
  <c r="AJ20" i="18"/>
  <c r="AF109" i="18"/>
  <c r="AB160" i="18"/>
  <c r="AB159" i="18"/>
  <c r="AB115" i="18"/>
  <c r="AB121" i="18" s="1"/>
  <c r="AB155" i="18"/>
  <c r="AB108" i="18"/>
  <c r="AF150" i="18"/>
  <c r="AF149" i="18"/>
  <c r="AF151" i="18"/>
  <c r="AF137" i="18"/>
  <c r="AF112" i="18"/>
  <c r="AF118" i="18" s="1"/>
  <c r="AF146" i="18"/>
  <c r="AF145" i="18"/>
  <c r="AB136" i="18"/>
  <c r="AB135" i="18"/>
  <c r="AG18" i="18"/>
  <c r="AH20" i="18"/>
  <c r="AG90" i="18"/>
  <c r="AG27" i="18"/>
  <c r="AG167" i="18" s="1"/>
  <c r="AH167" i="18" s="1"/>
  <c r="AC15" i="18"/>
  <c r="AC154" i="18" s="1"/>
  <c r="AC13" i="18"/>
  <c r="AC12" i="18"/>
  <c r="AC10" i="18"/>
  <c r="AC16" i="18"/>
  <c r="AC162" i="18" s="1"/>
  <c r="AC163" i="18" s="1"/>
  <c r="AC6" i="18"/>
  <c r="AC7" i="18"/>
  <c r="AC55" i="18"/>
  <c r="AC130" i="18" s="1"/>
  <c r="AB107" i="18"/>
  <c r="AB106" i="18"/>
  <c r="AG25" i="18"/>
  <c r="AG129" i="18" s="1"/>
  <c r="AH129" i="18" s="1"/>
  <c r="AF105" i="18"/>
  <c r="AC201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AC132" i="18" l="1"/>
  <c r="AC131" i="18"/>
  <c r="AG124" i="18"/>
  <c r="AH124" i="18" s="1"/>
  <c r="AG125" i="18"/>
  <c r="AH125" i="18" s="1"/>
  <c r="AB221" i="18"/>
  <c r="AB222" i="18" s="1"/>
  <c r="AB219" i="18"/>
  <c r="AB226" i="18"/>
  <c r="AB227" i="18" s="1"/>
  <c r="AB224" i="18"/>
  <c r="AC211" i="18"/>
  <c r="AC225" i="18"/>
  <c r="AC220" i="18"/>
  <c r="AG109" i="18"/>
  <c r="AH109" i="18" s="1"/>
  <c r="AG147" i="18"/>
  <c r="AH147" i="18" s="1"/>
  <c r="AC114" i="18"/>
  <c r="AC120" i="18" s="1"/>
  <c r="AC68" i="18"/>
  <c r="AC110" i="18" s="1"/>
  <c r="AC134" i="18"/>
  <c r="AG156" i="18"/>
  <c r="AH156" i="18" s="1"/>
  <c r="AG166" i="18"/>
  <c r="AH166" i="18" s="1"/>
  <c r="AC115" i="18"/>
  <c r="AC121" i="18" s="1"/>
  <c r="AC155" i="18"/>
  <c r="AC160" i="18"/>
  <c r="AC159" i="18"/>
  <c r="AJ27" i="18"/>
  <c r="AG157" i="18"/>
  <c r="AH157" i="18" s="1"/>
  <c r="AC108" i="18"/>
  <c r="AG149" i="18"/>
  <c r="AH149" i="18" s="1"/>
  <c r="AG151" i="18"/>
  <c r="AH151" i="18" s="1"/>
  <c r="AG150" i="18"/>
  <c r="AH150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G137" i="18"/>
  <c r="AH137" i="18" s="1"/>
  <c r="AG112" i="18"/>
  <c r="AG146" i="18"/>
  <c r="AH146" i="18" s="1"/>
  <c r="AG145" i="18"/>
  <c r="AH145" i="18" s="1"/>
  <c r="AC136" i="18"/>
  <c r="AC135" i="18"/>
  <c r="AJ25" i="18"/>
  <c r="AJ18" i="18"/>
  <c r="AH18" i="18"/>
  <c r="X190" i="18"/>
  <c r="AJ90" i="18"/>
  <c r="AH90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H27" i="18"/>
  <c r="AD12" i="18"/>
  <c r="AD15" i="18"/>
  <c r="AD154" i="18" s="1"/>
  <c r="AD13" i="18"/>
  <c r="AD10" i="18"/>
  <c r="AD16" i="18"/>
  <c r="AD162" i="18" s="1"/>
  <c r="AD163" i="18" s="1"/>
  <c r="AD7" i="18"/>
  <c r="AD6" i="18"/>
  <c r="AH25" i="18"/>
  <c r="AG105" i="18"/>
  <c r="AH105" i="18" s="1"/>
  <c r="AD55" i="18"/>
  <c r="AD130" i="18" s="1"/>
  <c r="AC107" i="18"/>
  <c r="AC106" i="18"/>
  <c r="O31" i="9"/>
  <c r="O32" i="9" s="1"/>
  <c r="AD201" i="18"/>
  <c r="P31" i="11"/>
  <c r="N32" i="11"/>
  <c r="T19" i="9"/>
  <c r="D22" i="9"/>
  <c r="AD131" i="18" l="1"/>
  <c r="AD132" i="18"/>
  <c r="AC221" i="18"/>
  <c r="AC222" i="18" s="1"/>
  <c r="AC219" i="18"/>
  <c r="AC226" i="18"/>
  <c r="AC227" i="18" s="1"/>
  <c r="AC224" i="18"/>
  <c r="AD211" i="18"/>
  <c r="AD220" i="18"/>
  <c r="AD225" i="18"/>
  <c r="AD114" i="18"/>
  <c r="AD120" i="18" s="1"/>
  <c r="AD68" i="18"/>
  <c r="AD110" i="18" s="1"/>
  <c r="AH112" i="18"/>
  <c r="AG118" i="18"/>
  <c r="AH118" i="18" s="1"/>
  <c r="AD134" i="18"/>
  <c r="AD160" i="18"/>
  <c r="AD159" i="18"/>
  <c r="AD115" i="18"/>
  <c r="AD121" i="18" s="1"/>
  <c r="AD155" i="18"/>
  <c r="AD108" i="18"/>
  <c r="AD135" i="18"/>
  <c r="AD136" i="18"/>
  <c r="Y190" i="18"/>
  <c r="W190" i="18" s="1"/>
  <c r="AE13" i="18"/>
  <c r="AE12" i="18"/>
  <c r="AE15" i="18"/>
  <c r="AE154" i="18" s="1"/>
  <c r="AE10" i="18"/>
  <c r="AE16" i="18"/>
  <c r="AE162" i="18" s="1"/>
  <c r="AE163" i="18" s="1"/>
  <c r="AE6" i="18"/>
  <c r="AE7" i="18"/>
  <c r="AE55" i="18"/>
  <c r="AE130" i="18" s="1"/>
  <c r="AD107" i="18"/>
  <c r="AD106" i="18"/>
  <c r="AE201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E132" i="18" l="1"/>
  <c r="AE131" i="18"/>
  <c r="AD226" i="18"/>
  <c r="AD227" i="18" s="1"/>
  <c r="AD224" i="18"/>
  <c r="AD221" i="18"/>
  <c r="AD222" i="18" s="1"/>
  <c r="AD219" i="18"/>
  <c r="AE211" i="18"/>
  <c r="AE225" i="18"/>
  <c r="AE220" i="18"/>
  <c r="AE114" i="18"/>
  <c r="AE120" i="18" s="1"/>
  <c r="AE68" i="18"/>
  <c r="AE110" i="18" s="1"/>
  <c r="AE134" i="18"/>
  <c r="AE115" i="18"/>
  <c r="AE121" i="18" s="1"/>
  <c r="AE155" i="18"/>
  <c r="AE159" i="18"/>
  <c r="AE160" i="18"/>
  <c r="AE108" i="18"/>
  <c r="AE135" i="18"/>
  <c r="AE136" i="18"/>
  <c r="AF12" i="18"/>
  <c r="AF15" i="18"/>
  <c r="AF154" i="18" s="1"/>
  <c r="AF13" i="18"/>
  <c r="AF10" i="18"/>
  <c r="AF16" i="18"/>
  <c r="AF162" i="18" s="1"/>
  <c r="AF163" i="18" s="1"/>
  <c r="AF7" i="18"/>
  <c r="AF6" i="18"/>
  <c r="AF55" i="18"/>
  <c r="AF130" i="18" s="1"/>
  <c r="AE106" i="18"/>
  <c r="AE107" i="18"/>
  <c r="AF201" i="18"/>
  <c r="N34" i="11"/>
  <c r="O33" i="11"/>
  <c r="AF132" i="18" l="1"/>
  <c r="AF131" i="18"/>
  <c r="AE221" i="18"/>
  <c r="AE222" i="18" s="1"/>
  <c r="AE219" i="18"/>
  <c r="AE226" i="18"/>
  <c r="AE227" i="18" s="1"/>
  <c r="AE224" i="18"/>
  <c r="AF211" i="18"/>
  <c r="AF225" i="18"/>
  <c r="AF220" i="18"/>
  <c r="AF114" i="18"/>
  <c r="AF120" i="18" s="1"/>
  <c r="AF68" i="18"/>
  <c r="AF110" i="18" s="1"/>
  <c r="AF134" i="18"/>
  <c r="AF108" i="18"/>
  <c r="AF159" i="18"/>
  <c r="AF160" i="18"/>
  <c r="AF115" i="18"/>
  <c r="AF121" i="18" s="1"/>
  <c r="AF155" i="18"/>
  <c r="AF135" i="18"/>
  <c r="AF136" i="18"/>
  <c r="AG15" i="18"/>
  <c r="AG13" i="18"/>
  <c r="AJ13" i="18" s="1"/>
  <c r="AG12" i="18"/>
  <c r="AG155" i="18" s="1"/>
  <c r="AH155" i="18" s="1"/>
  <c r="AG10" i="18"/>
  <c r="AG16" i="18"/>
  <c r="AG6" i="18"/>
  <c r="AJ6" i="18" s="1"/>
  <c r="AG7" i="18"/>
  <c r="AJ7" i="18" s="1"/>
  <c r="AG55" i="18"/>
  <c r="AG130" i="18" s="1"/>
  <c r="AH130" i="18" s="1"/>
  <c r="AF107" i="18"/>
  <c r="AF106" i="18"/>
  <c r="AG201" i="18"/>
  <c r="N35" i="11"/>
  <c r="O34" i="11"/>
  <c r="AG132" i="18" l="1"/>
  <c r="AH132" i="18" s="1"/>
  <c r="AG131" i="18"/>
  <c r="AH131" i="18" s="1"/>
  <c r="AF221" i="18"/>
  <c r="AF222" i="18" s="1"/>
  <c r="AF219" i="18"/>
  <c r="AF226" i="18"/>
  <c r="AF227" i="18" s="1"/>
  <c r="AF224" i="18"/>
  <c r="AG211" i="18"/>
  <c r="AH211" i="18" s="1"/>
  <c r="AJ211" i="18" s="1"/>
  <c r="AJ227" i="18" s="1"/>
  <c r="AG225" i="18"/>
  <c r="AG224" i="18" s="1"/>
  <c r="AH224" i="18" s="1"/>
  <c r="AG220" i="18"/>
  <c r="AG219" i="18" s="1"/>
  <c r="AH219" i="18" s="1"/>
  <c r="AG114" i="18"/>
  <c r="AG120" i="18" s="1"/>
  <c r="AH120" i="18" s="1"/>
  <c r="AG68" i="18"/>
  <c r="AG134" i="18"/>
  <c r="AH134" i="18" s="1"/>
  <c r="AJ16" i="18"/>
  <c r="AG162" i="18"/>
  <c r="AG160" i="18"/>
  <c r="AH160" i="18" s="1"/>
  <c r="AG159" i="18"/>
  <c r="AH159" i="18" s="1"/>
  <c r="AJ15" i="18"/>
  <c r="AG154" i="18"/>
  <c r="AH154" i="18" s="1"/>
  <c r="AG108" i="18"/>
  <c r="AH108" i="18" s="1"/>
  <c r="AJ10" i="18"/>
  <c r="AJ12" i="18"/>
  <c r="AG115" i="18"/>
  <c r="AJ55" i="18"/>
  <c r="AG135" i="18"/>
  <c r="AH135" i="18" s="1"/>
  <c r="AG136" i="18"/>
  <c r="AH136" i="18" s="1"/>
  <c r="AH15" i="18"/>
  <c r="AH13" i="18"/>
  <c r="X184" i="18"/>
  <c r="AH12" i="18"/>
  <c r="AH10" i="18"/>
  <c r="AH16" i="18"/>
  <c r="AH7" i="18"/>
  <c r="AH6" i="18"/>
  <c r="AG107" i="18"/>
  <c r="AH107" i="18" s="1"/>
  <c r="AG106" i="18"/>
  <c r="AH106" i="18" s="1"/>
  <c r="AH55" i="18"/>
  <c r="AH201" i="18"/>
  <c r="AJ201" i="18" s="1"/>
  <c r="N36" i="11"/>
  <c r="O35" i="11"/>
  <c r="AG221" i="18" l="1"/>
  <c r="AH220" i="18"/>
  <c r="AH225" i="18"/>
  <c r="AG226" i="18"/>
  <c r="AH68" i="18"/>
  <c r="AJ68" i="18"/>
  <c r="AH114" i="18"/>
  <c r="AG110" i="18"/>
  <c r="AH110" i="18" s="1"/>
  <c r="AH115" i="18"/>
  <c r="AG121" i="18"/>
  <c r="AH121" i="18" s="1"/>
  <c r="AH162" i="18"/>
  <c r="AG163" i="18"/>
  <c r="AH163" i="18" s="1"/>
  <c r="Y184" i="18"/>
  <c r="Y185" i="18" s="1"/>
  <c r="X185" i="18"/>
  <c r="T240" i="18" s="1"/>
  <c r="N37" i="11"/>
  <c r="O36" i="11"/>
  <c r="AH221" i="18" l="1"/>
  <c r="AG222" i="18"/>
  <c r="AH222" i="18" s="1"/>
  <c r="AG227" i="18"/>
  <c r="AH227" i="18" s="1"/>
  <c r="AH226" i="18"/>
  <c r="W184" i="18"/>
  <c r="W185" i="18"/>
  <c r="N38" i="11"/>
  <c r="O37" i="11"/>
  <c r="P240" i="18" l="1"/>
  <c r="S240" i="18"/>
  <c r="N39" i="11"/>
  <c r="O38" i="11"/>
  <c r="N40" i="11" l="1"/>
  <c r="O39" i="11"/>
  <c r="N41" i="11" l="1"/>
  <c r="O40" i="11"/>
  <c r="N42" i="11" l="1"/>
  <c r="O41" i="11"/>
  <c r="X212" i="18"/>
  <c r="X93" i="18"/>
  <c r="X74" i="18"/>
  <c r="X79" i="18"/>
  <c r="X100" i="18"/>
  <c r="X102" i="18"/>
  <c r="X95" i="18"/>
  <c r="X92" i="18"/>
  <c r="X78" i="18"/>
  <c r="X73" i="18"/>
  <c r="X67" i="18"/>
  <c r="X85" i="18"/>
  <c r="X99" i="18"/>
  <c r="X83" i="18"/>
  <c r="X76" i="18"/>
  <c r="X94" i="18"/>
  <c r="X96" i="18"/>
  <c r="X80" i="18"/>
  <c r="X209" i="18" s="1"/>
  <c r="X66" i="18"/>
  <c r="X202" i="18" s="1"/>
  <c r="X71" i="18"/>
  <c r="X205" i="18" s="1"/>
  <c r="X86" i="18"/>
  <c r="X208" i="18" s="1"/>
  <c r="X98" i="18"/>
  <c r="X164" i="18" s="1"/>
  <c r="X70" i="18"/>
  <c r="X204" i="18" s="1"/>
  <c r="X82" i="18"/>
  <c r="X139" i="18"/>
  <c r="X140" i="18" s="1"/>
  <c r="X72" i="18"/>
  <c r="X214" i="18" s="1"/>
  <c r="X75" i="18"/>
  <c r="X206" i="18" s="1"/>
  <c r="X230" i="18" s="1"/>
  <c r="Y57" i="18"/>
  <c r="X231" i="18" l="1"/>
  <c r="X232" i="18" s="1"/>
  <c r="X229" i="18"/>
  <c r="X84" i="18"/>
  <c r="X207" i="18" s="1"/>
  <c r="Y76" i="18"/>
  <c r="Y99" i="18"/>
  <c r="Y83" i="18"/>
  <c r="Y95" i="18"/>
  <c r="Y79" i="18"/>
  <c r="Y78" i="18"/>
  <c r="Y212" i="18"/>
  <c r="Y94" i="18"/>
  <c r="Y74" i="18"/>
  <c r="Y98" i="18"/>
  <c r="Y164" i="18" s="1"/>
  <c r="Y86" i="18"/>
  <c r="Y208" i="18" s="1"/>
  <c r="Y70" i="18"/>
  <c r="Y204" i="18" s="1"/>
  <c r="Y139" i="18"/>
  <c r="Y140" i="18" s="1"/>
  <c r="Y92" i="18"/>
  <c r="Y73" i="18"/>
  <c r="Y102" i="18"/>
  <c r="Y85" i="18"/>
  <c r="Y100" i="18"/>
  <c r="Y93" i="18"/>
  <c r="Y96" i="18"/>
  <c r="Y67" i="18"/>
  <c r="Y75" i="18"/>
  <c r="Y206" i="18" s="1"/>
  <c r="Y230" i="18" s="1"/>
  <c r="Y66" i="18"/>
  <c r="Y202" i="18" s="1"/>
  <c r="Y80" i="18"/>
  <c r="Y209" i="18" s="1"/>
  <c r="Y71" i="18"/>
  <c r="Y205" i="18" s="1"/>
  <c r="Y72" i="18"/>
  <c r="Y214" i="18" s="1"/>
  <c r="Z57" i="18"/>
  <c r="Y82" i="18"/>
  <c r="X141" i="18"/>
  <c r="X142" i="18" s="1"/>
  <c r="X143" i="18"/>
  <c r="X203" i="18"/>
  <c r="Y231" i="18" l="1"/>
  <c r="Y232" i="18" s="1"/>
  <c r="Y229" i="18"/>
  <c r="Y84" i="18"/>
  <c r="Y207" i="18" s="1"/>
  <c r="X216" i="18"/>
  <c r="X217" i="18" s="1"/>
  <c r="X215" i="18"/>
  <c r="Z93" i="18"/>
  <c r="Z70" i="18"/>
  <c r="Z204" i="18" s="1"/>
  <c r="Z94" i="18"/>
  <c r="Z95" i="18"/>
  <c r="Z99" i="18"/>
  <c r="Z79" i="18"/>
  <c r="Z76" i="18"/>
  <c r="Z102" i="18"/>
  <c r="Z85" i="18"/>
  <c r="Z83" i="18"/>
  <c r="Z66" i="18"/>
  <c r="Z202" i="18" s="1"/>
  <c r="Z75" i="18"/>
  <c r="Z206" i="18" s="1"/>
  <c r="Z230" i="18" s="1"/>
  <c r="Z71" i="18"/>
  <c r="Z205" i="18" s="1"/>
  <c r="Z74" i="18"/>
  <c r="Z73" i="18"/>
  <c r="Z92" i="18"/>
  <c r="Z96" i="18"/>
  <c r="Z67" i="18"/>
  <c r="Z80" i="18"/>
  <c r="Z209" i="18" s="1"/>
  <c r="Z100" i="18"/>
  <c r="Z78" i="18"/>
  <c r="Z212" i="18"/>
  <c r="Z98" i="18"/>
  <c r="Z164" i="18" s="1"/>
  <c r="Z86" i="18"/>
  <c r="Z208" i="18" s="1"/>
  <c r="Z82" i="18"/>
  <c r="Z139" i="18"/>
  <c r="Z140" i="18" s="1"/>
  <c r="Z72" i="18"/>
  <c r="Z214" i="18" s="1"/>
  <c r="AA57" i="18"/>
  <c r="Y203" i="18"/>
  <c r="Y143" i="18"/>
  <c r="Y141" i="18"/>
  <c r="Y142" i="18" s="1"/>
  <c r="Z231" i="18" l="1"/>
  <c r="Z232" i="18" s="1"/>
  <c r="Z229" i="18"/>
  <c r="Y216" i="18"/>
  <c r="Y217" i="18" s="1"/>
  <c r="Y215" i="18"/>
  <c r="AA93" i="18"/>
  <c r="AA212" i="18"/>
  <c r="AA67" i="18"/>
  <c r="AA94" i="18"/>
  <c r="AA79" i="18"/>
  <c r="AA74" i="18"/>
  <c r="AA78" i="18"/>
  <c r="AA92" i="18"/>
  <c r="AA98" i="18"/>
  <c r="AA164" i="18" s="1"/>
  <c r="AA70" i="18"/>
  <c r="AA204" i="18" s="1"/>
  <c r="AA71" i="18"/>
  <c r="AA205" i="18" s="1"/>
  <c r="AA86" i="18"/>
  <c r="AA208" i="18" s="1"/>
  <c r="AA102" i="18"/>
  <c r="AA73" i="18"/>
  <c r="AA96" i="18"/>
  <c r="AA100" i="18"/>
  <c r="AA99" i="18"/>
  <c r="AA76" i="18"/>
  <c r="AA95" i="18"/>
  <c r="AA85" i="18"/>
  <c r="AA83" i="18"/>
  <c r="AA80" i="18"/>
  <c r="AA209" i="18" s="1"/>
  <c r="AA66" i="18"/>
  <c r="AA202" i="18" s="1"/>
  <c r="AA139" i="18"/>
  <c r="AA140" i="18" s="1"/>
  <c r="AA72" i="18"/>
  <c r="AA214" i="18" s="1"/>
  <c r="AA75" i="18"/>
  <c r="AA206" i="18" s="1"/>
  <c r="AA230" i="18" s="1"/>
  <c r="AB57" i="18"/>
  <c r="AA82" i="18"/>
  <c r="Z203" i="18"/>
  <c r="Z141" i="18"/>
  <c r="Z142" i="18" s="1"/>
  <c r="Z143" i="18"/>
  <c r="Z84" i="18"/>
  <c r="Z207" i="18" s="1"/>
  <c r="AA231" i="18" l="1"/>
  <c r="AA232" i="18" s="1"/>
  <c r="AA229" i="18"/>
  <c r="Z216" i="18"/>
  <c r="Z217" i="18" s="1"/>
  <c r="Z215" i="18"/>
  <c r="AA203" i="18"/>
  <c r="AA84" i="18"/>
  <c r="AA207" i="18" s="1"/>
  <c r="AA143" i="18"/>
  <c r="AA141" i="18"/>
  <c r="AA142" i="18" s="1"/>
  <c r="AB73" i="18"/>
  <c r="AB94" i="18"/>
  <c r="AB83" i="18"/>
  <c r="AB93" i="18"/>
  <c r="AB92" i="18"/>
  <c r="AB78" i="18"/>
  <c r="AB67" i="18"/>
  <c r="AB76" i="18"/>
  <c r="AB75" i="18"/>
  <c r="AB206" i="18" s="1"/>
  <c r="AB230" i="18" s="1"/>
  <c r="AB66" i="18"/>
  <c r="AB202" i="18" s="1"/>
  <c r="AB98" i="18"/>
  <c r="AB164" i="18" s="1"/>
  <c r="AB212" i="18"/>
  <c r="AB96" i="18"/>
  <c r="AB74" i="18"/>
  <c r="AB102" i="18"/>
  <c r="AB95" i="18"/>
  <c r="AB79" i="18"/>
  <c r="AB85" i="18"/>
  <c r="AB99" i="18"/>
  <c r="AB100" i="18"/>
  <c r="AB70" i="18"/>
  <c r="AB204" i="18" s="1"/>
  <c r="AB71" i="18"/>
  <c r="AB205" i="18" s="1"/>
  <c r="AB86" i="18"/>
  <c r="AB208" i="18" s="1"/>
  <c r="AB80" i="18"/>
  <c r="AB209" i="18" s="1"/>
  <c r="AB82" i="18"/>
  <c r="AB72" i="18"/>
  <c r="AB214" i="18" s="1"/>
  <c r="AB139" i="18"/>
  <c r="AB140" i="18" s="1"/>
  <c r="AC57" i="18"/>
  <c r="AB231" i="18" l="1"/>
  <c r="AB232" i="18" s="1"/>
  <c r="AB229" i="18"/>
  <c r="AB84" i="18"/>
  <c r="AB207" i="18" s="1"/>
  <c r="AA216" i="18"/>
  <c r="AA217" i="18" s="1"/>
  <c r="AA215" i="18"/>
  <c r="AC73" i="18"/>
  <c r="AC76" i="18"/>
  <c r="AC78" i="18"/>
  <c r="AC67" i="18"/>
  <c r="AC80" i="18"/>
  <c r="AC209" i="18" s="1"/>
  <c r="AC92" i="18"/>
  <c r="AC85" i="18"/>
  <c r="AC93" i="18"/>
  <c r="AC83" i="18"/>
  <c r="AC71" i="18"/>
  <c r="AC205" i="18" s="1"/>
  <c r="AC66" i="18"/>
  <c r="AC202" i="18" s="1"/>
  <c r="AC75" i="18"/>
  <c r="AC206" i="18" s="1"/>
  <c r="AC230" i="18" s="1"/>
  <c r="AC95" i="18"/>
  <c r="AC94" i="18"/>
  <c r="AC74" i="18"/>
  <c r="AC100" i="18"/>
  <c r="AC86" i="18"/>
  <c r="AC208" i="18" s="1"/>
  <c r="AC102" i="18"/>
  <c r="AC212" i="18"/>
  <c r="AC99" i="18"/>
  <c r="AC96" i="18"/>
  <c r="AC79" i="18"/>
  <c r="AC98" i="18"/>
  <c r="AC164" i="18" s="1"/>
  <c r="AC70" i="18"/>
  <c r="AC204" i="18" s="1"/>
  <c r="AD57" i="18"/>
  <c r="AC139" i="18"/>
  <c r="AC140" i="18" s="1"/>
  <c r="AC82" i="18"/>
  <c r="AC72" i="18"/>
  <c r="AC214" i="18" s="1"/>
  <c r="AB141" i="18"/>
  <c r="AB142" i="18" s="1"/>
  <c r="AB143" i="18"/>
  <c r="AB203" i="18"/>
  <c r="AC231" i="18" l="1"/>
  <c r="AC232" i="18" s="1"/>
  <c r="AC229" i="18"/>
  <c r="AB216" i="18"/>
  <c r="AB217" i="18" s="1"/>
  <c r="AB215" i="18"/>
  <c r="AC84" i="18"/>
  <c r="AC207" i="18" s="1"/>
  <c r="AD92" i="18"/>
  <c r="AD79" i="18"/>
  <c r="AD212" i="18"/>
  <c r="AD78" i="18"/>
  <c r="AD80" i="18"/>
  <c r="AD209" i="18" s="1"/>
  <c r="AD95" i="18"/>
  <c r="AD67" i="18"/>
  <c r="AD83" i="18"/>
  <c r="AD100" i="18"/>
  <c r="AD98" i="18"/>
  <c r="AD164" i="18" s="1"/>
  <c r="AD66" i="18"/>
  <c r="AD202" i="18" s="1"/>
  <c r="AD99" i="18"/>
  <c r="AD74" i="18"/>
  <c r="AD76" i="18"/>
  <c r="AD96" i="18"/>
  <c r="AD86" i="18"/>
  <c r="AD208" i="18" s="1"/>
  <c r="AD73" i="18"/>
  <c r="AD102" i="18"/>
  <c r="AD94" i="18"/>
  <c r="AD93" i="18"/>
  <c r="AD85" i="18"/>
  <c r="AD70" i="18"/>
  <c r="AD204" i="18" s="1"/>
  <c r="AD71" i="18"/>
  <c r="AD205" i="18" s="1"/>
  <c r="AD75" i="18"/>
  <c r="AD206" i="18" s="1"/>
  <c r="AD230" i="18" s="1"/>
  <c r="AD139" i="18"/>
  <c r="AD140" i="18" s="1"/>
  <c r="AD72" i="18"/>
  <c r="AD214" i="18" s="1"/>
  <c r="AD82" i="18"/>
  <c r="AE57" i="18"/>
  <c r="AC203" i="18"/>
  <c r="AC141" i="18"/>
  <c r="AC142" i="18" s="1"/>
  <c r="AC143" i="18"/>
  <c r="AD231" i="18" l="1"/>
  <c r="AD232" i="18" s="1"/>
  <c r="AD229" i="18"/>
  <c r="AC216" i="18"/>
  <c r="AC217" i="18" s="1"/>
  <c r="AC215" i="18"/>
  <c r="AD84" i="18"/>
  <c r="AD207" i="18" s="1"/>
  <c r="AD143" i="18"/>
  <c r="AD141" i="18"/>
  <c r="AD142" i="18" s="1"/>
  <c r="AE92" i="18"/>
  <c r="AE94" i="18"/>
  <c r="AE76" i="18"/>
  <c r="AE96" i="18"/>
  <c r="AE66" i="18"/>
  <c r="AE202" i="18" s="1"/>
  <c r="AE74" i="18"/>
  <c r="AE83" i="18"/>
  <c r="AE100" i="18"/>
  <c r="AE95" i="18"/>
  <c r="AE70" i="18"/>
  <c r="AE204" i="18" s="1"/>
  <c r="AE80" i="18"/>
  <c r="AE209" i="18" s="1"/>
  <c r="AE85" i="18"/>
  <c r="AE79" i="18"/>
  <c r="AE212" i="18"/>
  <c r="AE99" i="18"/>
  <c r="AE102" i="18"/>
  <c r="AE93" i="18"/>
  <c r="AE67" i="18"/>
  <c r="AE73" i="18"/>
  <c r="AE78" i="18"/>
  <c r="AE71" i="18"/>
  <c r="AE205" i="18" s="1"/>
  <c r="AE86" i="18"/>
  <c r="AE208" i="18" s="1"/>
  <c r="AE98" i="18"/>
  <c r="AE164" i="18" s="1"/>
  <c r="AE75" i="18"/>
  <c r="AE206" i="18" s="1"/>
  <c r="AE230" i="18" s="1"/>
  <c r="AE139" i="18"/>
  <c r="AE140" i="18" s="1"/>
  <c r="AE82" i="18"/>
  <c r="AE72" i="18"/>
  <c r="AE214" i="18" s="1"/>
  <c r="AF57" i="18"/>
  <c r="AD203" i="18"/>
  <c r="AE231" i="18" l="1"/>
  <c r="AE232" i="18" s="1"/>
  <c r="AE229" i="18"/>
  <c r="AD216" i="18"/>
  <c r="AD217" i="18" s="1"/>
  <c r="AD215" i="18"/>
  <c r="AE203" i="18"/>
  <c r="AE84" i="18"/>
  <c r="AE207" i="18" s="1"/>
  <c r="AE141" i="18"/>
  <c r="AE142" i="18" s="1"/>
  <c r="AE143" i="18"/>
  <c r="AF79" i="18"/>
  <c r="AF92" i="18"/>
  <c r="AF83" i="18"/>
  <c r="AF73" i="18"/>
  <c r="AF98" i="18"/>
  <c r="AF164" i="18" s="1"/>
  <c r="AF100" i="18"/>
  <c r="AF93" i="18"/>
  <c r="AF99" i="18"/>
  <c r="AF76" i="18"/>
  <c r="AF66" i="18"/>
  <c r="AF202" i="18" s="1"/>
  <c r="AF86" i="18"/>
  <c r="AF208" i="18" s="1"/>
  <c r="AF96" i="18"/>
  <c r="AF71" i="18"/>
  <c r="AF205" i="18" s="1"/>
  <c r="AF102" i="18"/>
  <c r="AF94" i="18"/>
  <c r="AF95" i="18"/>
  <c r="AF85" i="18"/>
  <c r="AF78" i="18"/>
  <c r="AF67" i="18"/>
  <c r="AF212" i="18"/>
  <c r="AF74" i="18"/>
  <c r="AF70" i="18"/>
  <c r="AF204" i="18" s="1"/>
  <c r="AF80" i="18"/>
  <c r="AF209" i="18" s="1"/>
  <c r="AF75" i="18"/>
  <c r="AF206" i="18" s="1"/>
  <c r="AF230" i="18" s="1"/>
  <c r="AF139" i="18"/>
  <c r="AF140" i="18" s="1"/>
  <c r="AF72" i="18"/>
  <c r="AF214" i="18" s="1"/>
  <c r="AG57" i="18"/>
  <c r="AF82" i="18"/>
  <c r="AF231" i="18" l="1"/>
  <c r="AF232" i="18" s="1"/>
  <c r="AF229" i="18"/>
  <c r="AE216" i="18"/>
  <c r="AE217" i="18" s="1"/>
  <c r="AE215" i="18"/>
  <c r="AF84" i="18"/>
  <c r="AF207" i="18" s="1"/>
  <c r="AF203" i="18"/>
  <c r="AG212" i="18"/>
  <c r="AG99" i="18"/>
  <c r="AG100" i="18"/>
  <c r="AG67" i="18"/>
  <c r="AH57" i="18"/>
  <c r="AG73" i="18"/>
  <c r="AJ57" i="18"/>
  <c r="AG102" i="18"/>
  <c r="AG98" i="18"/>
  <c r="AG70" i="18"/>
  <c r="AG66" i="18"/>
  <c r="AG71" i="18"/>
  <c r="AG75" i="18"/>
  <c r="AG85" i="18"/>
  <c r="AG72" i="18"/>
  <c r="AG214" i="18" s="1"/>
  <c r="AG86" i="18"/>
  <c r="AG93" i="18"/>
  <c r="AG95" i="18"/>
  <c r="AG80" i="18"/>
  <c r="AG82" i="18"/>
  <c r="AG78" i="18"/>
  <c r="AG83" i="18"/>
  <c r="AG94" i="18"/>
  <c r="AG92" i="18"/>
  <c r="AG76" i="18"/>
  <c r="AG96" i="18"/>
  <c r="AG139" i="18"/>
  <c r="AG74" i="18"/>
  <c r="AG79" i="18"/>
  <c r="AF143" i="18"/>
  <c r="AF141" i="18"/>
  <c r="AF142" i="18" s="1"/>
  <c r="AF216" i="18" l="1"/>
  <c r="AF217" i="18" s="1"/>
  <c r="AF215" i="18"/>
  <c r="AG140" i="18"/>
  <c r="AH139" i="18"/>
  <c r="AH94" i="18"/>
  <c r="X194" i="18"/>
  <c r="AJ94" i="18"/>
  <c r="Y194" i="18" s="1"/>
  <c r="AJ80" i="18"/>
  <c r="Y179" i="18" s="1"/>
  <c r="AG209" i="18"/>
  <c r="AH80" i="18"/>
  <c r="X179" i="18"/>
  <c r="AH72" i="18"/>
  <c r="AJ72" i="18"/>
  <c r="Y171" i="18" s="1"/>
  <c r="X171" i="18"/>
  <c r="AG203" i="18"/>
  <c r="AG215" i="18" s="1"/>
  <c r="AH215" i="18" s="1"/>
  <c r="AJ66" i="18"/>
  <c r="AH66" i="18"/>
  <c r="AG202" i="18"/>
  <c r="AH100" i="18"/>
  <c r="AJ100" i="18"/>
  <c r="X198" i="18"/>
  <c r="AJ96" i="18"/>
  <c r="Y198" i="18" s="1"/>
  <c r="AH96" i="18"/>
  <c r="AJ83" i="18"/>
  <c r="AH83" i="18"/>
  <c r="AJ95" i="18"/>
  <c r="Y195" i="18" s="1"/>
  <c r="AH95" i="18"/>
  <c r="X195" i="18"/>
  <c r="AH85" i="18"/>
  <c r="X181" i="18"/>
  <c r="AJ85" i="18"/>
  <c r="Y181" i="18" s="1"/>
  <c r="AH70" i="18"/>
  <c r="AJ70" i="18"/>
  <c r="AG204" i="18"/>
  <c r="AH73" i="18"/>
  <c r="AJ73" i="18"/>
  <c r="AJ99" i="18"/>
  <c r="AH99" i="18"/>
  <c r="AH79" i="18"/>
  <c r="AJ79" i="18"/>
  <c r="Y178" i="18" s="1"/>
  <c r="X178" i="18"/>
  <c r="AH76" i="18"/>
  <c r="X174" i="18"/>
  <c r="AJ76" i="18"/>
  <c r="Y174" i="18" s="1"/>
  <c r="X177" i="18"/>
  <c r="AH78" i="18"/>
  <c r="AJ78" i="18"/>
  <c r="Y177" i="18" s="1"/>
  <c r="AH93" i="18"/>
  <c r="X193" i="18"/>
  <c r="AJ93" i="18"/>
  <c r="Y193" i="18" s="1"/>
  <c r="AH75" i="18"/>
  <c r="AJ75" i="18"/>
  <c r="Y173" i="18" s="1"/>
  <c r="AG206" i="18"/>
  <c r="AG230" i="18" s="1"/>
  <c r="X173" i="18"/>
  <c r="AJ98" i="18"/>
  <c r="AH98" i="18"/>
  <c r="AG164" i="18"/>
  <c r="AH164" i="18" s="1"/>
  <c r="AH212" i="18"/>
  <c r="AJ212" i="18" s="1"/>
  <c r="X172" i="18"/>
  <c r="AJ74" i="18"/>
  <c r="Y172" i="18" s="1"/>
  <c r="AH74" i="18"/>
  <c r="AH92" i="18"/>
  <c r="X192" i="18"/>
  <c r="AJ92" i="18"/>
  <c r="Y192" i="18" s="1"/>
  <c r="AH82" i="18"/>
  <c r="AJ82" i="18"/>
  <c r="Y175" i="18" s="1"/>
  <c r="X175" i="18"/>
  <c r="AG84" i="18"/>
  <c r="AH86" i="18"/>
  <c r="AG208" i="18"/>
  <c r="X182" i="18"/>
  <c r="AJ86" i="18"/>
  <c r="Y182" i="18" s="1"/>
  <c r="AH71" i="18"/>
  <c r="AJ71" i="18"/>
  <c r="AG205" i="18"/>
  <c r="AH67" i="18"/>
  <c r="AJ67" i="18"/>
  <c r="G230" i="18" l="1"/>
  <c r="U230" i="18"/>
  <c r="G229" i="18"/>
  <c r="G231" i="18"/>
  <c r="G232" i="18" s="1"/>
  <c r="AG231" i="18"/>
  <c r="AG232" i="18" s="1"/>
  <c r="AG229" i="18"/>
  <c r="I230" i="18"/>
  <c r="K230" i="18"/>
  <c r="M230" i="18"/>
  <c r="O230" i="18"/>
  <c r="Q230" i="18"/>
  <c r="S230" i="18"/>
  <c r="H230" i="18"/>
  <c r="J230" i="18"/>
  <c r="L230" i="18"/>
  <c r="N230" i="18"/>
  <c r="P230" i="18"/>
  <c r="R230" i="18"/>
  <c r="T230" i="18"/>
  <c r="W175" i="18"/>
  <c r="Y196" i="18"/>
  <c r="AH214" i="18"/>
  <c r="AJ214" i="18" s="1"/>
  <c r="W192" i="18"/>
  <c r="W177" i="18"/>
  <c r="W173" i="18"/>
  <c r="W181" i="18"/>
  <c r="AJ84" i="18"/>
  <c r="AG207" i="18"/>
  <c r="AH84" i="18"/>
  <c r="AH206" i="18"/>
  <c r="AJ206" i="18" s="1"/>
  <c r="X196" i="18"/>
  <c r="W193" i="18"/>
  <c r="W178" i="18"/>
  <c r="T241" i="18"/>
  <c r="W198" i="18"/>
  <c r="AJ226" i="18"/>
  <c r="W194" i="18"/>
  <c r="AH205" i="18"/>
  <c r="AJ205" i="18" s="1"/>
  <c r="W182" i="18"/>
  <c r="T239" i="18"/>
  <c r="W172" i="18"/>
  <c r="W195" i="18"/>
  <c r="AH209" i="18"/>
  <c r="AJ209" i="18" s="1"/>
  <c r="AH208" i="18"/>
  <c r="AJ208" i="18" s="1"/>
  <c r="AJ222" i="18" s="1"/>
  <c r="W174" i="18"/>
  <c r="AG216" i="18"/>
  <c r="AH203" i="18"/>
  <c r="AJ203" i="18" s="1"/>
  <c r="AJ216" i="18" s="1"/>
  <c r="AJ232" i="18" s="1"/>
  <c r="AH204" i="18"/>
  <c r="AJ204" i="18" s="1"/>
  <c r="AJ217" i="18" s="1"/>
  <c r="AH202" i="18"/>
  <c r="AJ202" i="18" s="1"/>
  <c r="AJ215" i="18" s="1"/>
  <c r="W171" i="18"/>
  <c r="S242" i="18" s="1"/>
  <c r="S243" i="18" s="1"/>
  <c r="T242" i="18"/>
  <c r="T243" i="18" s="1"/>
  <c r="W179" i="18"/>
  <c r="T238" i="18"/>
  <c r="AG143" i="18"/>
  <c r="AH140" i="18"/>
  <c r="AG141" i="18"/>
  <c r="U229" i="18" l="1"/>
  <c r="U231" i="18"/>
  <c r="U232" i="18" s="1"/>
  <c r="AJ230" i="18"/>
  <c r="AJ229" i="18"/>
  <c r="T231" i="18"/>
  <c r="T229" i="18"/>
  <c r="V230" i="18"/>
  <c r="P231" i="18"/>
  <c r="P232" i="18" s="1"/>
  <c r="P229" i="18"/>
  <c r="L231" i="18"/>
  <c r="L232" i="18" s="1"/>
  <c r="L229" i="18"/>
  <c r="H231" i="18"/>
  <c r="H232" i="18" s="1"/>
  <c r="H229" i="18"/>
  <c r="Q231" i="18"/>
  <c r="Q232" i="18" s="1"/>
  <c r="Q229" i="18"/>
  <c r="M231" i="18"/>
  <c r="M232" i="18" s="1"/>
  <c r="M229" i="18"/>
  <c r="I231" i="18"/>
  <c r="I232" i="18" s="1"/>
  <c r="I229" i="18"/>
  <c r="R229" i="18"/>
  <c r="R231" i="18"/>
  <c r="R232" i="18" s="1"/>
  <c r="N229" i="18"/>
  <c r="N231" i="18"/>
  <c r="N232" i="18" s="1"/>
  <c r="J229" i="18"/>
  <c r="AH229" i="18" s="1"/>
  <c r="J231" i="18"/>
  <c r="AH230" i="18"/>
  <c r="S231" i="18"/>
  <c r="S232" i="18" s="1"/>
  <c r="S229" i="18"/>
  <c r="O231" i="18"/>
  <c r="O232" i="18" s="1"/>
  <c r="O229" i="18"/>
  <c r="K231" i="18"/>
  <c r="K232" i="18" s="1"/>
  <c r="K229" i="18"/>
  <c r="AJ220" i="18"/>
  <c r="AJ219" i="18"/>
  <c r="AH216" i="18"/>
  <c r="AG217" i="18"/>
  <c r="AH217" i="18" s="1"/>
  <c r="W196" i="18"/>
  <c r="AH141" i="18"/>
  <c r="AG142" i="18"/>
  <c r="AH142" i="18" s="1"/>
  <c r="S238" i="18"/>
  <c r="P238" i="18"/>
  <c r="P239" i="18"/>
  <c r="S239" i="18"/>
  <c r="P241" i="18"/>
  <c r="S241" i="18"/>
  <c r="AH207" i="18"/>
  <c r="AJ207" i="18" s="1"/>
  <c r="AJ221" i="18" s="1"/>
  <c r="V229" i="18" l="1"/>
  <c r="J232" i="18"/>
  <c r="AH232" i="18" s="1"/>
  <c r="AH231" i="18"/>
  <c r="V231" i="18"/>
  <c r="T232" i="18"/>
  <c r="V232" i="18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T17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W17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<sst xmlns="http://schemas.openxmlformats.org/spreadsheetml/2006/main" count="783" uniqueCount="517">
  <si>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</si>
  <si>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</si>
  <si>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</si>
  <si>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</si>
  <si>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</si>
  <si>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</si>
  <si>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</si>
  <si>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</si>
  <si>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</si>
  <si>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</si>
  <si>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</si>
  <si>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</si>
  <si>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</si>
  <si>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</si>
  <si>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</si>
  <si>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</si>
  <si>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</si>
  <si>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</si>
  <si>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</si>
  <si>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</si>
  <si>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</si>
  <si>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</si>
  <si>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</si>
  <si>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</si>
  <si>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</si>
  <si>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</si>
  <si>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</si>
  <si>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</si>
  <si>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</si>
  <si>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</si>
  <si>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</si>
  <si>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</si>
  <si>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</si>
  <si>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</si>
  <si>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</si>
  <si>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</si>
  <si>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</si>
  <si>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</si>
  <si>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</si>
  <si>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</si>
  <si>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</si>
  <si>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</si>
  <si>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</si>
  <si>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</si>
  <si>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</si>
  <si>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</si>
  <si>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</si>
  <si>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</si>
  <si>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</si>
  <si>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</si>
  <si>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</si>
  <si>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</si>
  <si>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</si>
  <si>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</si>
  <si>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</si>
  <si>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</si>
  <si>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</si>
  <si>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</si>
  <si>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</si>
  <si>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</si>
  <si>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</si>
  <si>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</si>
  <si>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</si>
  <si>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</si>
  <si>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</si>
  <si>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</si>
  <si>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</si>
  <si>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</si>
  <si>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</si>
  <si>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</si>
  <si>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</si>
  <si>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</si>
  <si>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</si>
  <si>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</si>
  <si>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</si>
  <si>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</si>
  <si>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</si>
  <si>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</si>
  <si>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</si>
  <si>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</si>
  <si>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</si>
  <si>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</si>
  <si>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</si>
  <si>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</si>
  <si>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</si>
  <si>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</si>
  <si>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</si>
  <si>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</si>
  <si>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</si>
  <si>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</si>
  <si>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</si>
  <si>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</si>
  <si>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</si>
  <si>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</si>
  <si>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</si>
  <si>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</si>
  <si>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</si>
  <si>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</si>
  <si>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</si>
  <si>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</si>
  <si>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</si>
  <si>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</si>
  <si>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</si>
  <si>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</si>
  <si>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</si>
  <si>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</si>
  <si>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</si>
  <si>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</si>
  <si>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</si>
  <si>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</si>
  <si>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</si>
  <si>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</si>
  <si>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</si>
  <si>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</si>
  <si>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</si>
  <si>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</si>
  <si>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</si>
  <si>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</si>
  <si>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</si>
  <si>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</si>
  <si>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</si>
  <si>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</si>
  <si>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</si>
  <si>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</si>
  <si>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</si>
  <si>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</si>
  <si>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</si>
  <si>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</si>
  <si>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</si>
  <si>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</si>
  <si>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</si>
  <si>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</si>
  <si>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</si>
  <si>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</si>
  <si>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</si>
  <si>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</si>
  <si>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</si>
  <si>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</si>
  <si>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</si>
  <si>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</si>
  <si>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</si>
  <si>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</si>
  <si>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</si>
  <si>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</si>
  <si>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</si>
  <si>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</si>
  <si>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</si>
  <si>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</si>
  <si>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</si>
  <si>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</si>
  <si>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</si>
  <si>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</si>
  <si>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</si>
  <si>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</si>
  <si>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</si>
  <si>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</si>
  <si>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</si>
  <si>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</si>
  <si>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</si>
  <si>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</si>
  <si>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</si>
  <si>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</si>
  <si>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</si>
  <si>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</si>
  <si>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</si>
  <si>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</si>
  <si>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</si>
  <si>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</si>
  <si>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</si>
  <si>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</si>
  <si>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</si>
  <si>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</si>
  <si>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</si>
  <si>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</si>
  <si>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</si>
  <si>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</si>
  <si>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</si>
  <si>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</si>
  <si>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</si>
  <si>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</si>
  <si>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</si>
  <si>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</si>
  <si>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</si>
  <si>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</si>
  <si>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</si>
  <si>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</si>
  <si>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</si>
  <si>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</si>
  <si>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</si>
  <si>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</si>
  <si>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</si>
  <si>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</si>
  <si>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</si>
  <si>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</si>
  <si>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</si>
  <si>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</si>
  <si>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</si>
  <si>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</si>
  <si>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</si>
  <si>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</si>
  <si>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</si>
  <si>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</si>
  <si>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</si>
  <si>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</si>
  <si>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</si>
  <si>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</si>
  <si>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</si>
  <si>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</si>
  <si>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</si>
  <si>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</si>
  <si>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</si>
  <si>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</si>
  <si>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</si>
  <si>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</si>
  <si>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</si>
  <si>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</si>
  <si>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</si>
  <si>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</si>
  <si>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</si>
  <si>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</si>
  <si>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</si>
  <si>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</si>
  <si>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</si>
  <si>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</si>
  <si>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</si>
  <si>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</si>
  <si>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</si>
  <si>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</si>
  <si>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</si>
  <si>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</si>
  <si>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</si>
  <si>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</si>
  <si>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</si>
  <si>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</si>
  <si>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</si>
  <si>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</si>
  <si>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</si>
  <si>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</si>
  <si>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</si>
  <si>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</si>
  <si>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</si>
  <si>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</si>
  <si>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</si>
  <si>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</si>
  <si>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</si>
  <si>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</si>
  <si>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</si>
  <si>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</si>
  <si>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</si>
  <si>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</si>
  <si>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</si>
  <si>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</si>
  <si>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</si>
  <si>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</si>
  <si>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</si>
  <si>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</si>
  <si>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</si>
  <si>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</si>
  <si>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</si>
  <si>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</si>
  <si>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</si>
  <si>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</si>
  <si>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</si>
  <si>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</si>
  <si>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</si>
  <si>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</si>
  <si>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</si>
  <si>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</si>
  <si>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</si>
  <si>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</si>
  <si>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</si>
  <si>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</si>
  <si>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</si>
  <si>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</si>
  <si>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</si>
  <si>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</si>
  <si>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</si>
  <si>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</si>
  <si>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</si>
  <si>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</si>
  <si>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</si>
  <si>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</si>
  <si>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</si>
  <si>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</si>
  <si>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</si>
  <si>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</si>
  <si>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</si>
  <si>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</si>
  <si>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</si>
  <si>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</si>
  <si>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</si>
  <si>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</si>
  <si>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</si>
  <si>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</si>
  <si>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</si>
  <si>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</si>
  <si>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</si>
  <si>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</si>
  <si>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</si>
  <si>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</si>
  <si>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</si>
  <si>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</si>
  <si>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</si>
  <si>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</si>
  <si>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</si>
  <si>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</si>
  <si>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</si>
  <si>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</si>
  <si>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</si>
  <si>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</si>
  <si>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</si>
  <si>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</si>
  <si>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</si>
  <si>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</si>
  <si>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</si>
  <si>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</si>
  <si>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</si>
  <si>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</si>
  <si>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</si>
  <si>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</si>
  <si>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</si>
  <si>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</si>
  <si>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</si>
  <si>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</si>
  <si>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</si>
  <si>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</si>
  <si>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</si>
  <si>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</si>
  <si>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</si>
  <si>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</si>
  <si>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</si>
  <si>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</si>
  <si>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</si>
  <si>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</si>
  <si>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</si>
  <si>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</si>
  <si>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</si>
  <si>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</si>
  <si>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</si>
  <si>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</si>
  <si>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</si>
  <si>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</si>
  <si>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</si>
  <si>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</si>
  <si>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</si>
  <si>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</si>
  <si>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</si>
  <si>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</si>
  <si>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</si>
  <si>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</si>
  <si>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</si>
  <si>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</si>
  <si>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</si>
  <si>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</si>
  <si>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</si>
  <si>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</si>
  <si>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</si>
  <si>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</si>
  <si>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</si>
  <si>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</si>
  <si>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</si>
  <si>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</si>
  <si>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</si>
  <si>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</si>
  <si>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</si>
  <si>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</si>
  <si>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</si>
  <si>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</si>
  <si>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</si>
  <si>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</si>
  <si>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</si>
  <si>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</si>
  <si>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</si>
  <si>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</si>
  <si>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</si>
  <si>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</si>
  <si>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</si>
  <si>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</si>
  <si>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</si>
  <si>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</si>
  <si>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</si>
  <si>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</si>
  <si>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</si>
  <si>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</si>
  <si>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</si>
  <si>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</si>
  <si>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</si>
  <si>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</si>
  <si>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</si>
  <si>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</si>
  <si>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</si>
  <si>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</si>
  <si>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</si>
  <si>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</si>
  <si>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</si>
  <si>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</si>
  <si>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</si>
  <si>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</si>
  <si>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</si>
  <si>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</si>
  <si>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</si>
  <si>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</si>
  <si>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</si>
  <si>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</si>
  <si>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</si>
  <si>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</si>
  <si>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</si>
  <si>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</si>
  <si>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</si>
  <si>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</si>
  <si>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</si>
  <si>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</si>
  <si>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</si>
  <si>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</si>
  <si>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</si>
  <si>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</si>
  <si>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</si>
  <si>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</si>
  <si>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</si>
  <si>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</si>
  <si>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</si>
  <si>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</si>
  <si>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</si>
  <si>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</si>
  <si>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</si>
  <si>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</si>
  <si>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</si>
  <si>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</si>
  <si>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</si>
  <si>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</si>
  <si>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</si>
  <si>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</si>
  <si>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</si>
  <si>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</si>
  <si>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</si>
  <si>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</si>
  <si>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</si>
  <si>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</si>
  <si>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</si>
  <si>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</si>
  <si>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</si>
  <si>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</si>
  <si>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</si>
  <si>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</si>
  <si>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</si>
  <si>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</si>
  <si>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</si>
  <si>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</si>
  <si>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</si>
  <si>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</si>
  <si>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</si>
  <si>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</si>
  <si>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</si>
  <si>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</si>
  <si>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</si>
  <si>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</si>
  <si>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</si>
  <si>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</si>
  <si>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</si>
  <si>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</si>
  <si>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</si>
  <si>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</si>
  <si>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</si>
  <si>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</si>
  <si>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</si>
  <si>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</si>
  <si>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</si>
  <si>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</si>
  <si>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</si>
  <si>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</si>
  <si>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</si>
  <si>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</si>
  <si>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</si>
  <si>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Total Investment needed</t>
  </si>
  <si>
    <t>Per scrip Investment in scrips in Lakhs</t>
  </si>
  <si>
    <t>returns per scrips in Lakhs</t>
  </si>
  <si>
    <t>Growth rate</t>
  </si>
  <si>
    <t>Double in years</t>
  </si>
  <si>
    <t>PVAn (due)</t>
  </si>
  <si>
    <t>FVAn (due)</t>
  </si>
  <si>
    <t>Target Amt</t>
  </si>
  <si>
    <t>no. of times change</t>
  </si>
  <si>
    <t>In INR Cr</t>
  </si>
  <si>
    <t>No. scrips needed to reach target amount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</si>
  <si>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</si>
  <si>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</si>
  <si>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</si>
  <si>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</si>
  <si>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</si>
  <si>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</si>
  <si>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</si>
  <si>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</si>
  <si>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</si>
  <si>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</si>
  <si>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</si>
  <si>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</si>
  <si>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</si>
  <si>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</si>
  <si>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</si>
  <si>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</si>
  <si>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</si>
  <si>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</si>
  <si>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</si>
  <si>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</si>
  <si>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</si>
  <si>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</si>
  <si>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</si>
  <si>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</si>
  <si>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</si>
  <si>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</si>
  <si>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xxxx</t>
  </si>
  <si>
    <t>Avg 13 yrs</t>
  </si>
  <si>
    <t>DUMMY</t>
  </si>
  <si>
    <t>Top Expenses ( Employee )</t>
  </si>
  <si>
    <t>2nd highest Expenses Comp. (Misc )</t>
  </si>
  <si>
    <t>10x1</t>
  </si>
  <si>
    <t>35x100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</si>
</sst>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3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7" fillId="5" borderId="1" xfId="0" applyFont="1" applyFill="1" applyBorder="1" applyAlignment="1">
      <alignment horizontal="right"/>
    </xf>
    <xf numFmtId="0" fontId="20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0" applyNumberFormat="1"/>
    <xf numFmtId="164" fontId="0" fillId="0" borderId="0" xfId="2" applyNumberFormat="1" applyFont="1"/>
    <xf numFmtId="180" fontId="0" fillId="0" borderId="0" xfId="0" applyNumberForma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21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74" fontId="4" fillId="16" borderId="1" xfId="2" applyNumberFormat="1" applyFont="1" applyFill="1" applyBorder="1"/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0" fillId="9" borderId="29" xfId="0" applyFill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D4-477B-8D3A-56B8D07E3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653568"/>
        <c:axId val="42655104"/>
      </c:lineChart>
      <c:catAx>
        <c:axId val="42653568"/>
        <c:scaling>
          <c:orientation val="minMax"/>
        </c:scaling>
        <c:delete val="0"/>
        <c:axPos val="b"/>
        <c:majorTickMark val="out"/>
        <c:minorTickMark val="none"/>
        <c:tickLblPos val="nextTo"/>
        <c:crossAx val="42655104"/>
        <c:crosses val="autoZero"/>
        <c:auto val="1"/>
        <c:lblAlgn val="ctr"/>
        <c:lblOffset val="100"/>
        <c:noMultiLvlLbl val="0"/>
      </c:catAx>
      <c:valAx>
        <c:axId val="42655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65356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C38" sqref="C38"/>
    </sheetView>
  </sheetViews>
  <sheetFormatPr defaultRowHeight="12.75" x14ac:dyDescent="0.2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 x14ac:dyDescent="0.2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 x14ac:dyDescent="0.2">
      <c r="B4" s="88"/>
      <c r="C4" s="10"/>
      <c r="D4" s="10"/>
      <c r="E4" s="10"/>
      <c r="F4" s="10"/>
    </row>
    <row r="5" spans="2:6" x14ac:dyDescent="0.2">
      <c r="B5" s="88"/>
      <c r="C5" s="93" t="s">
        <v>105</v>
      </c>
      <c r="D5" s="10"/>
      <c r="E5" s="10"/>
      <c r="F5" s="10"/>
    </row>
    <row r="6" spans="2:6" x14ac:dyDescent="0.2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 x14ac:dyDescent="0.2">
      <c r="B7" s="88"/>
      <c r="C7" s="10"/>
      <c r="D7" s="10" t="s">
        <v>108</v>
      </c>
      <c r="E7" s="10"/>
      <c r="F7" s="10"/>
    </row>
    <row r="8" spans="2:6" x14ac:dyDescent="0.2">
      <c r="B8" s="88"/>
      <c r="C8" s="10"/>
      <c r="D8" s="10" t="s">
        <v>114</v>
      </c>
      <c r="E8" s="10"/>
      <c r="F8" s="10"/>
    </row>
    <row r="9" spans="2:6" x14ac:dyDescent="0.2">
      <c r="B9" s="88"/>
      <c r="C9" s="10"/>
      <c r="D9" s="10"/>
      <c r="E9" s="10"/>
      <c r="F9" s="10"/>
    </row>
    <row r="10" spans="2:6" x14ac:dyDescent="0.2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 x14ac:dyDescent="0.2">
      <c r="B11" s="88"/>
      <c r="C11" s="10"/>
      <c r="D11" s="10" t="s">
        <v>110</v>
      </c>
      <c r="E11" s="10"/>
      <c r="F11" s="10"/>
    </row>
    <row r="12" spans="2:6" x14ac:dyDescent="0.2">
      <c r="B12" s="88"/>
      <c r="C12" s="10"/>
      <c r="D12" s="10"/>
      <c r="E12" s="10"/>
      <c r="F12" s="10"/>
    </row>
    <row r="13" spans="2:6" x14ac:dyDescent="0.2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 x14ac:dyDescent="0.2">
      <c r="B14" s="88"/>
      <c r="C14" s="10"/>
      <c r="D14" s="10" t="s">
        <v>115</v>
      </c>
      <c r="E14" s="10" t="s">
        <v>118</v>
      </c>
      <c r="F14" s="10"/>
    </row>
    <row r="15" spans="2:6" x14ac:dyDescent="0.2">
      <c r="B15" s="88"/>
      <c r="C15" s="10"/>
      <c r="D15" s="10"/>
      <c r="E15" s="10" t="s">
        <v>119</v>
      </c>
      <c r="F15" s="10"/>
    </row>
    <row r="16" spans="2:6" x14ac:dyDescent="0.2">
      <c r="B16" s="88"/>
      <c r="C16" s="10"/>
      <c r="D16" s="10"/>
      <c r="E16" s="10"/>
      <c r="F16" s="10"/>
    </row>
    <row r="17" spans="2:6" x14ac:dyDescent="0.2">
      <c r="B17" s="88">
        <v>4</v>
      </c>
      <c r="C17" s="10" t="s">
        <v>120</v>
      </c>
      <c r="D17" s="10" t="s">
        <v>121</v>
      </c>
      <c r="E17" s="10"/>
      <c r="F17" s="10"/>
    </row>
    <row r="18" spans="2:6" x14ac:dyDescent="0.2">
      <c r="B18" s="88"/>
      <c r="C18" s="10"/>
      <c r="D18" s="10" t="s">
        <v>122</v>
      </c>
      <c r="E18" s="10"/>
      <c r="F18" s="10"/>
    </row>
    <row r="19" spans="2:6" x14ac:dyDescent="0.2">
      <c r="B19" s="88"/>
      <c r="C19" s="10"/>
      <c r="D19" s="10" t="s">
        <v>123</v>
      </c>
      <c r="E19" s="10"/>
      <c r="F19" s="10"/>
    </row>
    <row r="20" spans="2:6" x14ac:dyDescent="0.2">
      <c r="B20" s="88"/>
      <c r="C20" s="10"/>
      <c r="D20" s="10" t="s">
        <v>124</v>
      </c>
      <c r="E20" s="10"/>
      <c r="F20" s="10"/>
    </row>
    <row r="21" spans="2:6" x14ac:dyDescent="0.2">
      <c r="B21" s="88"/>
      <c r="C21" s="10"/>
      <c r="D21" s="10"/>
      <c r="E21" s="10"/>
      <c r="F21" s="10"/>
    </row>
    <row r="22" spans="2:6" x14ac:dyDescent="0.2">
      <c r="B22" s="88">
        <v>5</v>
      </c>
      <c r="C22" s="10" t="s">
        <v>125</v>
      </c>
      <c r="D22" s="10" t="s">
        <v>126</v>
      </c>
      <c r="E22" s="10"/>
      <c r="F22" s="10"/>
    </row>
    <row r="23" spans="2:6" x14ac:dyDescent="0.2">
      <c r="B23" s="88"/>
      <c r="C23" s="10"/>
      <c r="D23" s="10" t="s">
        <v>127</v>
      </c>
      <c r="E23" s="10"/>
      <c r="F23" s="10"/>
    </row>
    <row r="24" spans="2:6" ht="25.5" x14ac:dyDescent="0.2">
      <c r="B24" s="88"/>
      <c r="C24" s="10"/>
      <c r="D24" s="10" t="s">
        <v>128</v>
      </c>
      <c r="E24" s="91" t="s">
        <v>129</v>
      </c>
      <c r="F24" s="10"/>
    </row>
    <row r="25" spans="2:6" x14ac:dyDescent="0.2">
      <c r="B25" s="88"/>
      <c r="C25" s="10"/>
      <c r="D25" s="10"/>
      <c r="E25" s="10"/>
      <c r="F25" s="10"/>
    </row>
    <row r="26" spans="2:6" x14ac:dyDescent="0.2">
      <c r="B26" s="88"/>
      <c r="C26" s="10"/>
      <c r="D26" s="10"/>
      <c r="E26" s="10"/>
      <c r="F26" s="10"/>
    </row>
    <row r="27" spans="2:6" x14ac:dyDescent="0.2">
      <c r="B27" s="88"/>
      <c r="C27" s="93" t="s">
        <v>67</v>
      </c>
      <c r="D27" s="10"/>
      <c r="E27" s="10"/>
      <c r="F27" s="10"/>
    </row>
    <row r="28" spans="2:6" x14ac:dyDescent="0.2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 x14ac:dyDescent="0.2">
      <c r="B29" s="88"/>
      <c r="C29" s="10"/>
      <c r="D29" s="10" t="s">
        <v>71</v>
      </c>
      <c r="E29" s="10" t="s">
        <v>73</v>
      </c>
      <c r="F29" s="10"/>
    </row>
    <row r="30" spans="2:6" x14ac:dyDescent="0.2">
      <c r="B30" s="88"/>
      <c r="C30" s="10"/>
      <c r="D30" s="10"/>
      <c r="E30" s="10"/>
      <c r="F30" s="10"/>
    </row>
    <row r="31" spans="2:6" x14ac:dyDescent="0.2">
      <c r="B31" s="88">
        <v>2</v>
      </c>
      <c r="C31" s="10" t="s">
        <v>77</v>
      </c>
      <c r="D31" s="10" t="s">
        <v>78</v>
      </c>
      <c r="E31" s="10"/>
      <c r="F31" s="10"/>
    </row>
    <row r="32" spans="2:6" x14ac:dyDescent="0.2">
      <c r="B32" s="88"/>
      <c r="C32" s="10"/>
      <c r="D32" s="10" t="s">
        <v>13</v>
      </c>
      <c r="E32" s="10"/>
      <c r="F32" s="10"/>
    </row>
    <row r="33" spans="2:6" x14ac:dyDescent="0.2">
      <c r="B33" s="88"/>
      <c r="C33" s="10"/>
      <c r="D33" s="10" t="s">
        <v>79</v>
      </c>
      <c r="E33" s="10"/>
      <c r="F33" s="10"/>
    </row>
    <row r="34" spans="2:6" x14ac:dyDescent="0.2">
      <c r="B34" s="88"/>
      <c r="C34" s="10"/>
      <c r="D34" s="10"/>
      <c r="E34" s="10"/>
      <c r="F34" s="10"/>
    </row>
    <row r="35" spans="2:6" x14ac:dyDescent="0.2">
      <c r="B35" s="88">
        <v>3</v>
      </c>
      <c r="C35" s="10" t="s">
        <v>80</v>
      </c>
      <c r="D35" s="10" t="s">
        <v>13</v>
      </c>
      <c r="E35" s="10"/>
      <c r="F35" s="10"/>
    </row>
    <row r="36" spans="2:6" x14ac:dyDescent="0.2">
      <c r="B36" s="88"/>
      <c r="C36" s="10"/>
      <c r="D36" s="10" t="s">
        <v>81</v>
      </c>
      <c r="E36" s="10"/>
      <c r="F36" s="10"/>
    </row>
    <row r="37" spans="2:6" x14ac:dyDescent="0.2">
      <c r="B37" s="88"/>
      <c r="C37" s="10"/>
      <c r="D37" s="10" t="s">
        <v>82</v>
      </c>
      <c r="E37" s="10"/>
      <c r="F37" s="10"/>
    </row>
    <row r="38" spans="2:6" x14ac:dyDescent="0.2">
      <c r="B38" s="88"/>
      <c r="C38" s="10"/>
      <c r="D38" s="10" t="s">
        <v>83</v>
      </c>
      <c r="E38" s="10"/>
      <c r="F38" s="10"/>
    </row>
    <row r="39" spans="2:6" x14ac:dyDescent="0.2">
      <c r="B39" s="88"/>
      <c r="C39" s="10"/>
      <c r="D39" s="10"/>
      <c r="E39" s="10"/>
      <c r="F39" s="10"/>
    </row>
    <row r="40" spans="2:6" x14ac:dyDescent="0.2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 x14ac:dyDescent="0.2">
      <c r="B41" s="88"/>
      <c r="C41" s="10"/>
      <c r="D41" s="10" t="s">
        <v>85</v>
      </c>
      <c r="E41" s="10"/>
      <c r="F41" s="10"/>
    </row>
    <row r="42" spans="2:6" x14ac:dyDescent="0.2">
      <c r="B42" s="88"/>
      <c r="C42" s="10"/>
      <c r="D42" s="10" t="s">
        <v>89</v>
      </c>
      <c r="E42" s="10" t="s">
        <v>90</v>
      </c>
      <c r="F42" s="10" t="s">
        <v>87</v>
      </c>
    </row>
    <row r="43" spans="2:6" x14ac:dyDescent="0.2">
      <c r="B43" s="88"/>
      <c r="C43" s="10"/>
      <c r="D43" s="10"/>
      <c r="E43" s="91" t="s">
        <v>104</v>
      </c>
      <c r="F43" s="10"/>
    </row>
    <row r="44" spans="2:6" x14ac:dyDescent="0.2">
      <c r="B44" s="88"/>
      <c r="C44" s="10"/>
      <c r="D44" s="10"/>
      <c r="E44" s="10"/>
      <c r="F44" s="10"/>
    </row>
    <row r="45" spans="2:6" x14ac:dyDescent="0.2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 x14ac:dyDescent="0.2">
      <c r="B46" s="88"/>
      <c r="C46" s="10" t="s">
        <v>92</v>
      </c>
      <c r="D46" s="10" t="s">
        <v>94</v>
      </c>
      <c r="E46" s="10"/>
      <c r="F46" s="10"/>
    </row>
    <row r="47" spans="2:6" x14ac:dyDescent="0.2">
      <c r="B47" s="88"/>
      <c r="C47" s="10"/>
      <c r="D47" s="10" t="s">
        <v>95</v>
      </c>
      <c r="E47" s="10"/>
      <c r="F47" s="10"/>
    </row>
    <row r="48" spans="2:6" x14ac:dyDescent="0.2">
      <c r="B48" s="88"/>
      <c r="C48" s="10"/>
      <c r="D48" s="10"/>
      <c r="E48" s="10"/>
      <c r="F48" s="10"/>
    </row>
    <row r="49" spans="2:6" x14ac:dyDescent="0.2">
      <c r="B49" s="88">
        <v>6</v>
      </c>
      <c r="C49" s="10" t="s">
        <v>98</v>
      </c>
      <c r="D49" s="10" t="s">
        <v>99</v>
      </c>
      <c r="E49" s="10"/>
      <c r="F49" s="10"/>
    </row>
    <row r="50" spans="2:6" x14ac:dyDescent="0.2">
      <c r="B50" s="88"/>
      <c r="C50" s="10"/>
      <c r="D50" s="10" t="s">
        <v>100</v>
      </c>
      <c r="E50" s="10"/>
      <c r="F50" s="10"/>
    </row>
    <row r="51" spans="2:6" x14ac:dyDescent="0.2">
      <c r="B51" s="88"/>
      <c r="C51" s="10"/>
      <c r="D51" s="10"/>
      <c r="E51" s="10"/>
      <c r="F51" s="10"/>
    </row>
    <row r="52" spans="2:6" x14ac:dyDescent="0.2">
      <c r="B52" s="88">
        <v>7</v>
      </c>
      <c r="C52" s="10" t="s">
        <v>101</v>
      </c>
      <c r="D52" s="10" t="s">
        <v>103</v>
      </c>
      <c r="E52" s="10"/>
      <c r="F52" s="10"/>
    </row>
    <row r="53" spans="2:6" ht="25.5" x14ac:dyDescent="0.2">
      <c r="B53" s="88"/>
      <c r="C53" s="10"/>
      <c r="D53" s="91" t="s">
        <v>102</v>
      </c>
      <c r="E53" s="10"/>
      <c r="F53" s="10"/>
    </row>
    <row r="54" spans="2:6" x14ac:dyDescent="0.2">
      <c r="B54" s="88"/>
      <c r="C54" s="10"/>
      <c r="D54" s="10"/>
      <c r="E54" s="10"/>
      <c r="F54" s="10"/>
    </row>
    <row r="55" spans="2:6" x14ac:dyDescent="0.2">
      <c r="B55" s="88"/>
      <c r="C55" s="10"/>
      <c r="D55" s="10"/>
      <c r="E55" s="10"/>
      <c r="F55" s="10"/>
    </row>
    <row r="56" spans="2:6" x14ac:dyDescent="0.2">
      <c r="B56" s="88"/>
      <c r="C56" s="93" t="s">
        <v>130</v>
      </c>
      <c r="D56" s="10"/>
      <c r="E56" s="10"/>
      <c r="F56" s="10"/>
    </row>
    <row r="57" spans="2:6" x14ac:dyDescent="0.2">
      <c r="B57" s="88">
        <v>1</v>
      </c>
      <c r="C57" s="10" t="s">
        <v>131</v>
      </c>
      <c r="D57" s="10" t="s">
        <v>132</v>
      </c>
      <c r="E57" s="10"/>
      <c r="F57" s="10"/>
    </row>
    <row r="58" spans="2:6" x14ac:dyDescent="0.2">
      <c r="B58" s="88"/>
      <c r="C58" s="10"/>
      <c r="D58" s="10" t="s">
        <v>133</v>
      </c>
      <c r="E58" s="10"/>
      <c r="F58" s="10"/>
    </row>
    <row r="59" spans="2:6" x14ac:dyDescent="0.2">
      <c r="B59" s="88"/>
      <c r="C59" s="10"/>
      <c r="D59" s="10" t="s">
        <v>134</v>
      </c>
      <c r="E59" s="10"/>
      <c r="F59" s="10"/>
    </row>
    <row r="60" spans="2:6" x14ac:dyDescent="0.2">
      <c r="B60" s="88"/>
      <c r="C60" s="10"/>
      <c r="D60" s="10"/>
      <c r="E60" s="10"/>
      <c r="F60" s="10"/>
    </row>
    <row r="61" spans="2:6" x14ac:dyDescent="0.2">
      <c r="B61" s="88">
        <v>2</v>
      </c>
      <c r="C61" s="10" t="s">
        <v>135</v>
      </c>
      <c r="D61" s="10" t="s">
        <v>136</v>
      </c>
      <c r="E61" s="10"/>
      <c r="F61" s="10"/>
    </row>
    <row r="62" spans="2:6" x14ac:dyDescent="0.2">
      <c r="B62" s="88"/>
      <c r="C62" s="10"/>
      <c r="D62" s="10"/>
      <c r="E62" s="10"/>
      <c r="F62" s="10"/>
    </row>
    <row r="63" spans="2:6" x14ac:dyDescent="0.2">
      <c r="B63" s="88">
        <v>3</v>
      </c>
      <c r="C63" s="10" t="s">
        <v>137</v>
      </c>
      <c r="D63" s="10" t="s">
        <v>138</v>
      </c>
      <c r="E63" s="10"/>
      <c r="F63" s="10"/>
    </row>
    <row r="64" spans="2:6" x14ac:dyDescent="0.2">
      <c r="B64" s="88"/>
      <c r="C64" s="10"/>
      <c r="D64" s="10"/>
      <c r="E64" s="10"/>
      <c r="F64" s="10"/>
    </row>
    <row r="65" spans="2:6" ht="25.5" x14ac:dyDescent="0.2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 x14ac:dyDescent="0.2">
      <c r="B66" s="88"/>
      <c r="C66" s="10"/>
      <c r="D66" s="10" t="s">
        <v>141</v>
      </c>
      <c r="E66" s="10" t="s">
        <v>147</v>
      </c>
      <c r="F66" s="10"/>
    </row>
    <row r="67" spans="2:6" x14ac:dyDescent="0.2">
      <c r="B67" s="88"/>
      <c r="C67" s="10"/>
      <c r="D67" s="10" t="s">
        <v>142</v>
      </c>
      <c r="E67" s="10"/>
      <c r="F67" s="10"/>
    </row>
    <row r="68" spans="2:6" x14ac:dyDescent="0.2">
      <c r="B68" s="88"/>
      <c r="C68" s="10"/>
      <c r="D68" s="10" t="s">
        <v>143</v>
      </c>
      <c r="E68" s="10"/>
      <c r="F68" s="10"/>
    </row>
    <row r="69" spans="2:6" x14ac:dyDescent="0.2">
      <c r="B69" s="88"/>
      <c r="C69" s="10"/>
      <c r="D69" s="10" t="s">
        <v>144</v>
      </c>
      <c r="E69" s="10"/>
      <c r="F69" s="10"/>
    </row>
    <row r="70" spans="2:6" x14ac:dyDescent="0.2">
      <c r="B70" s="88"/>
      <c r="C70" s="10"/>
      <c r="D70" s="10"/>
      <c r="E70" s="10"/>
      <c r="F70" s="10"/>
    </row>
    <row r="71" spans="2:6" x14ac:dyDescent="0.2">
      <c r="B71" s="88">
        <v>5</v>
      </c>
      <c r="C71" s="10" t="s">
        <v>148</v>
      </c>
      <c r="D71" s="10" t="s">
        <v>149</v>
      </c>
      <c r="E71" s="10"/>
      <c r="F71" s="10"/>
    </row>
    <row r="72" spans="2:6" x14ac:dyDescent="0.2">
      <c r="B72" s="88"/>
      <c r="C72" s="10"/>
      <c r="D72" s="10" t="s">
        <v>150</v>
      </c>
      <c r="E72" s="10"/>
      <c r="F72" s="10"/>
    </row>
    <row r="73" spans="2:6" x14ac:dyDescent="0.2">
      <c r="B73" s="88"/>
      <c r="C73" s="10"/>
      <c r="D73" s="10" t="s">
        <v>151</v>
      </c>
      <c r="E73" s="10" t="s">
        <v>152</v>
      </c>
      <c r="F73" s="10" t="s">
        <v>153</v>
      </c>
    </row>
    <row r="74" spans="2:6" x14ac:dyDescent="0.2">
      <c r="B74" s="88"/>
      <c r="C74" s="10"/>
      <c r="D74" s="10" t="s">
        <v>154</v>
      </c>
      <c r="E74" s="10"/>
      <c r="F74" s="10"/>
    </row>
    <row r="75" spans="2:6" x14ac:dyDescent="0.2">
      <c r="B75" s="88"/>
      <c r="C75" s="10"/>
      <c r="D75" s="10"/>
      <c r="E75" s="10"/>
      <c r="F75" s="10"/>
    </row>
    <row r="76" spans="2:6" x14ac:dyDescent="0.2">
      <c r="B76" s="88">
        <v>6</v>
      </c>
      <c r="C76" s="10" t="s">
        <v>155</v>
      </c>
      <c r="D76" s="10" t="s">
        <v>156</v>
      </c>
      <c r="E76" s="10"/>
      <c r="F76" s="10"/>
    </row>
    <row r="77" spans="2:6" x14ac:dyDescent="0.2">
      <c r="B77" s="88"/>
      <c r="C77" s="10"/>
      <c r="D77" s="10" t="s">
        <v>157</v>
      </c>
      <c r="E77" s="10"/>
      <c r="F77" s="10"/>
    </row>
    <row r="78" spans="2:6" x14ac:dyDescent="0.2">
      <c r="B78" s="88"/>
      <c r="C78" s="10"/>
      <c r="D78" s="10"/>
      <c r="E78" s="10"/>
      <c r="F78" s="10"/>
    </row>
    <row r="79" spans="2:6" x14ac:dyDescent="0.2">
      <c r="B79" s="88">
        <v>7</v>
      </c>
      <c r="C79" s="10" t="s">
        <v>158</v>
      </c>
      <c r="D79" s="10" t="s">
        <v>159</v>
      </c>
      <c r="E79" s="10"/>
      <c r="F79" s="10"/>
    </row>
    <row r="80" spans="2:6" x14ac:dyDescent="0.2">
      <c r="B80" s="88"/>
      <c r="C80" s="10"/>
      <c r="D80" s="10" t="s">
        <v>160</v>
      </c>
      <c r="E80" s="10"/>
      <c r="F80" s="10"/>
    </row>
    <row r="81" spans="2:6" x14ac:dyDescent="0.2">
      <c r="B81" s="88"/>
      <c r="C81" s="10"/>
      <c r="D81" s="10"/>
      <c r="E81" s="10"/>
      <c r="F81" s="10"/>
    </row>
    <row r="82" spans="2:6" x14ac:dyDescent="0.2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 x14ac:dyDescent="0.2">
      <c r="B83" s="88"/>
      <c r="C83" s="10"/>
      <c r="D83" s="10" t="s">
        <v>163</v>
      </c>
      <c r="E83" s="10" t="s">
        <v>165</v>
      </c>
      <c r="F83" s="10"/>
    </row>
    <row r="84" spans="2:6" x14ac:dyDescent="0.2">
      <c r="B84" s="88"/>
      <c r="C84" s="10"/>
      <c r="D84" s="10"/>
      <c r="E84" s="10"/>
      <c r="F84" s="10"/>
    </row>
    <row r="85" spans="2:6" x14ac:dyDescent="0.2">
      <c r="B85" s="88">
        <v>9</v>
      </c>
      <c r="C85" s="10" t="s">
        <v>166</v>
      </c>
      <c r="D85" s="10" t="s">
        <v>167</v>
      </c>
      <c r="E85" s="13"/>
      <c r="F85" s="10"/>
    </row>
    <row r="86" spans="2:6" x14ac:dyDescent="0.2">
      <c r="B86" s="88"/>
      <c r="C86" s="10"/>
      <c r="D86" s="10" t="s">
        <v>168</v>
      </c>
      <c r="E86" s="10"/>
      <c r="F86" s="10"/>
    </row>
    <row r="87" spans="2:6" x14ac:dyDescent="0.2">
      <c r="B87" s="88"/>
      <c r="C87" s="10"/>
      <c r="D87" s="10" t="s">
        <v>169</v>
      </c>
      <c r="E87" s="10"/>
      <c r="F87" s="10"/>
    </row>
    <row r="88" spans="2:6" ht="25.5" x14ac:dyDescent="0.2">
      <c r="B88" s="88"/>
      <c r="C88" s="10"/>
      <c r="D88" s="94" t="s">
        <v>189</v>
      </c>
      <c r="E88" s="13" t="s">
        <v>190</v>
      </c>
      <c r="F88" s="10"/>
    </row>
    <row r="89" spans="2:6" x14ac:dyDescent="0.2">
      <c r="B89" s="88"/>
      <c r="C89" s="10"/>
      <c r="D89" s="10" t="s">
        <v>170</v>
      </c>
      <c r="E89" s="10"/>
      <c r="F89" s="10"/>
    </row>
    <row r="90" spans="2:6" x14ac:dyDescent="0.2">
      <c r="B90" s="88"/>
      <c r="C90" s="10"/>
      <c r="D90" s="10"/>
      <c r="E90" s="10"/>
      <c r="F90" s="10"/>
    </row>
    <row r="91" spans="2:6" x14ac:dyDescent="0.2">
      <c r="B91" s="88">
        <v>10</v>
      </c>
      <c r="C91" s="10" t="s">
        <v>89</v>
      </c>
      <c r="D91" s="10" t="s">
        <v>171</v>
      </c>
      <c r="E91" s="10"/>
      <c r="F91" s="10"/>
    </row>
    <row r="92" spans="2:6" x14ac:dyDescent="0.2">
      <c r="B92" s="88"/>
      <c r="C92" s="10"/>
      <c r="D92" s="10"/>
      <c r="E92" s="10"/>
      <c r="F92" s="10"/>
    </row>
    <row r="93" spans="2:6" x14ac:dyDescent="0.2">
      <c r="B93" s="88">
        <v>11</v>
      </c>
      <c r="C93" s="10" t="s">
        <v>172</v>
      </c>
      <c r="D93" s="10" t="s">
        <v>173</v>
      </c>
      <c r="E93" s="10"/>
      <c r="F93" s="10"/>
    </row>
    <row r="94" spans="2:6" x14ac:dyDescent="0.2">
      <c r="B94" s="88"/>
      <c r="C94" s="10"/>
      <c r="D94" s="10"/>
      <c r="E94" s="10"/>
      <c r="F94" s="10"/>
    </row>
    <row r="95" spans="2:6" x14ac:dyDescent="0.2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 x14ac:dyDescent="0.2">
      <c r="B96" s="88"/>
      <c r="C96" s="10"/>
      <c r="D96" s="10" t="s">
        <v>183</v>
      </c>
      <c r="E96" s="10" t="s">
        <v>186</v>
      </c>
      <c r="F96" s="10"/>
    </row>
    <row r="97" spans="2:6" x14ac:dyDescent="0.2">
      <c r="B97" s="88"/>
      <c r="C97" s="10"/>
      <c r="D97" s="10"/>
      <c r="E97" s="10" t="s">
        <v>184</v>
      </c>
      <c r="F97" s="10"/>
    </row>
    <row r="98" spans="2:6" x14ac:dyDescent="0.2">
      <c r="B98" s="88"/>
      <c r="C98" s="10"/>
      <c r="D98" s="10"/>
      <c r="E98" s="10"/>
      <c r="F98" s="10"/>
    </row>
    <row r="99" spans="2:6" x14ac:dyDescent="0.2">
      <c r="B99" s="88">
        <v>13</v>
      </c>
      <c r="C99" s="10" t="s">
        <v>175</v>
      </c>
      <c r="D99" s="10" t="s">
        <v>176</v>
      </c>
      <c r="E99" s="10"/>
      <c r="F99" s="10"/>
    </row>
    <row r="100" spans="2:6" x14ac:dyDescent="0.2">
      <c r="B100" s="88"/>
      <c r="C100" s="10"/>
      <c r="D100" s="10" t="s">
        <v>177</v>
      </c>
      <c r="E100" s="10"/>
      <c r="F100" s="10"/>
    </row>
    <row r="101" spans="2:6" x14ac:dyDescent="0.2">
      <c r="B101" s="88"/>
      <c r="C101" s="10"/>
      <c r="D101" s="10" t="s">
        <v>178</v>
      </c>
      <c r="E101" s="10"/>
      <c r="F101" s="10"/>
    </row>
    <row r="102" spans="2:6" x14ac:dyDescent="0.2">
      <c r="B102" s="88"/>
      <c r="C102" s="10"/>
      <c r="D102" s="10"/>
      <c r="E102" s="10"/>
      <c r="F102" s="10"/>
    </row>
    <row r="103" spans="2:6" x14ac:dyDescent="0.2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 x14ac:dyDescent="0.2">
      <c r="B104" s="88"/>
      <c r="C104" s="10"/>
      <c r="D104" s="10" t="s">
        <v>181</v>
      </c>
      <c r="E104" s="10"/>
      <c r="F104" s="10"/>
    </row>
    <row r="105" spans="2:6" x14ac:dyDescent="0.2">
      <c r="B105" s="88"/>
      <c r="C105" s="10"/>
      <c r="D105" s="10"/>
      <c r="E105" s="10"/>
      <c r="F105" s="10"/>
    </row>
    <row r="106" spans="2:6" x14ac:dyDescent="0.2">
      <c r="B106" s="88"/>
      <c r="C106" s="10"/>
      <c r="D106" s="10"/>
      <c r="E106" s="10"/>
      <c r="F106" s="10"/>
    </row>
    <row r="107" spans="2:6" x14ac:dyDescent="0.2">
      <c r="B107" s="88"/>
      <c r="C107" s="10"/>
      <c r="D107" s="10"/>
      <c r="E107" s="10"/>
      <c r="F107" s="10"/>
    </row>
    <row r="108" spans="2:6" x14ac:dyDescent="0.2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25"/>
  <sheetViews>
    <sheetView zoomScale="80" zoomScaleNormal="80" workbookViewId="0">
      <selection activeCell="J23" sqref="J23"/>
    </sheetView>
  </sheetViews>
  <sheetFormatPr defaultRowHeight="15" x14ac:dyDescent="0.2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 x14ac:dyDescent="0.3"/>
    <row r="3" spans="2:23" x14ac:dyDescent="0.25">
      <c r="B3" s="290" t="s">
        <v>440</v>
      </c>
      <c r="C3" s="290"/>
      <c r="D3" s="290"/>
      <c r="G3" s="290" t="s">
        <v>441</v>
      </c>
      <c r="H3" s="290"/>
      <c r="I3" s="290"/>
      <c r="P3" s="299" t="s">
        <v>442</v>
      </c>
      <c r="Q3" s="300"/>
      <c r="R3" s="300"/>
      <c r="S3" s="301"/>
      <c r="T3" s="299" t="s">
        <v>443</v>
      </c>
      <c r="U3" s="300"/>
      <c r="V3" s="300"/>
      <c r="W3" s="301"/>
    </row>
    <row r="4" spans="2:23" x14ac:dyDescent="0.25">
      <c r="B4" s="185" t="s">
        <v>444</v>
      </c>
      <c r="C4" s="302">
        <v>9500000</v>
      </c>
      <c r="D4" s="302"/>
      <c r="G4" s="185" t="s">
        <v>445</v>
      </c>
      <c r="H4" s="292">
        <v>200000</v>
      </c>
      <c r="I4" s="292"/>
      <c r="K4" s="186" t="s">
        <v>446</v>
      </c>
      <c r="L4" s="186" t="s">
        <v>78</v>
      </c>
      <c r="M4" s="186" t="s">
        <v>393</v>
      </c>
      <c r="N4" s="186" t="s">
        <v>447</v>
      </c>
      <c r="O4" s="186" t="s">
        <v>448</v>
      </c>
      <c r="P4" s="187" t="s">
        <v>449</v>
      </c>
      <c r="Q4" s="188" t="s">
        <v>287</v>
      </c>
      <c r="R4" s="188" t="s">
        <v>448</v>
      </c>
      <c r="S4" s="189" t="s">
        <v>450</v>
      </c>
      <c r="T4" s="187" t="s">
        <v>449</v>
      </c>
      <c r="U4" s="188" t="s">
        <v>287</v>
      </c>
      <c r="V4" s="188" t="s">
        <v>448</v>
      </c>
      <c r="W4" s="189" t="s">
        <v>450</v>
      </c>
    </row>
    <row r="5" spans="2:23" x14ac:dyDescent="0.25">
      <c r="B5" s="185" t="s">
        <v>451</v>
      </c>
      <c r="C5" s="293">
        <v>0.08</v>
      </c>
      <c r="D5" s="294"/>
      <c r="G5" s="185" t="s">
        <v>451</v>
      </c>
      <c r="H5" s="298">
        <v>0.12</v>
      </c>
      <c r="I5" s="298"/>
      <c r="K5" s="185" t="s">
        <v>452</v>
      </c>
      <c r="L5" s="185">
        <v>200</v>
      </c>
      <c r="M5" s="185">
        <v>560</v>
      </c>
      <c r="N5" s="190">
        <f t="shared" ref="N5:N12" si="0">(M5-L5)/L5</f>
        <v>1.8</v>
      </c>
      <c r="O5" s="191">
        <v>1</v>
      </c>
      <c r="P5" s="192">
        <v>17500</v>
      </c>
      <c r="Q5" s="193">
        <f>P5/L5</f>
        <v>87.5</v>
      </c>
      <c r="R5" s="194">
        <v>1</v>
      </c>
      <c r="S5" s="195"/>
      <c r="T5" s="192">
        <v>14000</v>
      </c>
      <c r="U5" s="196">
        <v>50</v>
      </c>
      <c r="V5" s="197">
        <v>1</v>
      </c>
      <c r="W5" s="195"/>
    </row>
    <row r="6" spans="2:23" x14ac:dyDescent="0.25">
      <c r="B6" s="185" t="s">
        <v>453</v>
      </c>
      <c r="C6" s="292">
        <v>30</v>
      </c>
      <c r="D6" s="292"/>
      <c r="G6" s="185" t="s">
        <v>453</v>
      </c>
      <c r="H6" s="292">
        <v>10</v>
      </c>
      <c r="I6" s="292"/>
      <c r="K6" s="185" t="s">
        <v>454</v>
      </c>
      <c r="L6" s="185">
        <v>450</v>
      </c>
      <c r="M6" s="185">
        <v>900</v>
      </c>
      <c r="N6" s="190">
        <f t="shared" si="0"/>
        <v>1</v>
      </c>
      <c r="O6" s="191">
        <v>5</v>
      </c>
      <c r="P6" s="192"/>
      <c r="Q6" s="198"/>
      <c r="R6" s="198"/>
      <c r="S6" s="199"/>
      <c r="T6" s="192">
        <v>18000</v>
      </c>
      <c r="U6" s="200">
        <v>400</v>
      </c>
      <c r="V6" s="200">
        <v>2</v>
      </c>
      <c r="W6" s="199" t="s">
        <v>455</v>
      </c>
    </row>
    <row r="7" spans="2:23" x14ac:dyDescent="0.25">
      <c r="B7" s="185"/>
      <c r="C7" s="291"/>
      <c r="D7" s="291"/>
      <c r="G7" s="185"/>
      <c r="H7" s="291"/>
      <c r="I7" s="291"/>
      <c r="K7" s="185" t="s">
        <v>456</v>
      </c>
      <c r="L7" s="185">
        <v>32</v>
      </c>
      <c r="M7" s="185">
        <v>70</v>
      </c>
      <c r="N7" s="190">
        <f t="shared" si="0"/>
        <v>1.1875</v>
      </c>
      <c r="O7" s="191">
        <v>3</v>
      </c>
      <c r="P7" s="201"/>
      <c r="Q7" s="202"/>
      <c r="R7" s="202"/>
      <c r="S7" s="199"/>
      <c r="T7" s="201"/>
      <c r="U7" s="198"/>
      <c r="V7" s="198"/>
      <c r="W7" s="199"/>
    </row>
    <row r="8" spans="2:23" x14ac:dyDescent="0.25">
      <c r="B8" s="185"/>
      <c r="C8" s="291"/>
      <c r="D8" s="291"/>
      <c r="G8" s="185"/>
      <c r="H8" s="291"/>
      <c r="I8" s="291"/>
      <c r="K8" s="185" t="s">
        <v>457</v>
      </c>
      <c r="L8" s="185">
        <v>260</v>
      </c>
      <c r="M8" s="185">
        <v>400</v>
      </c>
      <c r="N8" s="190">
        <f t="shared" si="0"/>
        <v>0.53846153846153844</v>
      </c>
      <c r="O8" s="191">
        <v>6</v>
      </c>
      <c r="P8" s="201"/>
      <c r="Q8" s="198"/>
      <c r="R8" s="198"/>
      <c r="S8" s="199"/>
      <c r="T8" s="201"/>
      <c r="U8" s="198"/>
      <c r="V8" s="198"/>
      <c r="W8" s="199"/>
    </row>
    <row r="9" spans="2:23" x14ac:dyDescent="0.25">
      <c r="B9" s="203" t="s">
        <v>445</v>
      </c>
      <c r="C9" s="289">
        <f>C4*(1/(1+C5)^C6)</f>
        <v>944084.6592231117</v>
      </c>
      <c r="D9" s="289"/>
      <c r="G9" s="203" t="s">
        <v>458</v>
      </c>
      <c r="H9" s="289">
        <f>H4*((1+H5)^H6)</f>
        <v>621169.64166884217</v>
      </c>
      <c r="I9" s="289"/>
      <c r="K9" s="185" t="s">
        <v>459</v>
      </c>
      <c r="L9" s="185">
        <v>300</v>
      </c>
      <c r="M9" s="185">
        <v>500</v>
      </c>
      <c r="N9" s="190">
        <f t="shared" si="0"/>
        <v>0.66666666666666663</v>
      </c>
      <c r="O9" s="191">
        <v>7</v>
      </c>
      <c r="P9" s="201"/>
      <c r="Q9" s="198"/>
      <c r="R9" s="198"/>
      <c r="S9" s="199"/>
      <c r="T9" s="201"/>
      <c r="U9" s="198"/>
      <c r="V9" s="198"/>
      <c r="W9" s="199"/>
    </row>
    <row r="10" spans="2:23" x14ac:dyDescent="0.25">
      <c r="B10" s="203" t="s">
        <v>460</v>
      </c>
      <c r="C10" s="289">
        <f>C4-C9</f>
        <v>8555915.3407768887</v>
      </c>
      <c r="D10" s="289"/>
      <c r="G10" s="203" t="s">
        <v>460</v>
      </c>
      <c r="H10" s="297">
        <f>H9-H4</f>
        <v>421169.64166884217</v>
      </c>
      <c r="I10" s="297"/>
      <c r="K10" s="185" t="s">
        <v>461</v>
      </c>
      <c r="L10" s="185">
        <v>112</v>
      </c>
      <c r="M10" s="185">
        <v>272</v>
      </c>
      <c r="N10" s="190">
        <f t="shared" si="0"/>
        <v>1.4285714285714286</v>
      </c>
      <c r="O10" s="191">
        <v>2</v>
      </c>
      <c r="P10" s="201">
        <v>7000</v>
      </c>
      <c r="Q10" s="204">
        <f>P10/L10</f>
        <v>62.5</v>
      </c>
      <c r="R10" s="204">
        <v>1</v>
      </c>
      <c r="S10" s="199"/>
      <c r="T10" s="201"/>
      <c r="U10" s="198"/>
      <c r="V10" s="198"/>
      <c r="W10" s="199"/>
    </row>
    <row r="11" spans="2:23" x14ac:dyDescent="0.25">
      <c r="K11" s="185" t="s">
        <v>462</v>
      </c>
      <c r="L11" s="185">
        <v>700</v>
      </c>
      <c r="M11" s="185">
        <v>1500</v>
      </c>
      <c r="N11" s="190">
        <f t="shared" si="0"/>
        <v>1.1428571428571428</v>
      </c>
      <c r="O11" s="191">
        <v>4</v>
      </c>
      <c r="P11" s="205">
        <v>7000</v>
      </c>
      <c r="Q11" s="196">
        <v>200</v>
      </c>
      <c r="R11" s="197">
        <v>2</v>
      </c>
      <c r="S11" s="195"/>
      <c r="T11" s="205"/>
      <c r="U11" s="196"/>
      <c r="V11" s="197"/>
      <c r="W11" s="195"/>
    </row>
    <row r="12" spans="2:23" ht="15.75" thickBot="1" x14ac:dyDescent="0.3">
      <c r="K12" s="185" t="s">
        <v>463</v>
      </c>
      <c r="L12" s="185">
        <v>488</v>
      </c>
      <c r="M12" s="185">
        <v>900</v>
      </c>
      <c r="N12" s="190">
        <f t="shared" si="0"/>
        <v>0.84426229508196726</v>
      </c>
      <c r="O12" s="191"/>
      <c r="P12" s="206"/>
      <c r="Q12" s="207"/>
      <c r="R12" s="207"/>
      <c r="S12" s="208"/>
      <c r="T12" s="206"/>
      <c r="U12" s="207"/>
      <c r="V12" s="207"/>
      <c r="W12" s="208"/>
    </row>
    <row r="13" spans="2:23" x14ac:dyDescent="0.25">
      <c r="K13" s="209" t="s">
        <v>322</v>
      </c>
    </row>
    <row r="14" spans="2:23" x14ac:dyDescent="0.25">
      <c r="B14" s="290" t="s">
        <v>464</v>
      </c>
      <c r="C14" s="290"/>
      <c r="D14" s="290"/>
      <c r="G14" s="290" t="s">
        <v>465</v>
      </c>
      <c r="H14" s="290"/>
      <c r="I14" s="290"/>
      <c r="K14" s="184" t="s">
        <v>284</v>
      </c>
      <c r="L14" s="184" t="s">
        <v>0</v>
      </c>
      <c r="M14" s="184" t="s">
        <v>323</v>
      </c>
      <c r="N14" s="184" t="s">
        <v>324</v>
      </c>
      <c r="O14" s="184" t="s">
        <v>325</v>
      </c>
      <c r="P14" s="184" t="s">
        <v>326</v>
      </c>
      <c r="Q14" s="184" t="s">
        <v>327</v>
      </c>
      <c r="R14" s="184" t="s">
        <v>328</v>
      </c>
    </row>
    <row r="15" spans="2:23" x14ac:dyDescent="0.25">
      <c r="B15" s="185" t="s">
        <v>466</v>
      </c>
      <c r="C15" s="292">
        <v>24000</v>
      </c>
      <c r="D15" s="292"/>
      <c r="G15" s="185" t="s">
        <v>466</v>
      </c>
      <c r="H15" s="292">
        <v>200000</v>
      </c>
      <c r="I15" s="292"/>
      <c r="K15" s="185" t="s">
        <v>286</v>
      </c>
      <c r="L15" s="210">
        <v>50</v>
      </c>
      <c r="M15" s="211" t="s">
        <v>329</v>
      </c>
      <c r="N15" s="212">
        <v>4</v>
      </c>
      <c r="O15" s="212">
        <v>1</v>
      </c>
      <c r="P15" s="185">
        <f>N15/O15</f>
        <v>4</v>
      </c>
      <c r="Q15" s="185">
        <f>P15*L16</f>
        <v>4</v>
      </c>
      <c r="R15" s="213">
        <f>Q15+L16</f>
        <v>5</v>
      </c>
    </row>
    <row r="16" spans="2:23" x14ac:dyDescent="0.25">
      <c r="B16" s="185" t="s">
        <v>451</v>
      </c>
      <c r="C16" s="293">
        <v>0.1</v>
      </c>
      <c r="D16" s="294"/>
      <c r="G16" s="185" t="s">
        <v>451</v>
      </c>
      <c r="H16" s="293">
        <v>0.12</v>
      </c>
      <c r="I16" s="294"/>
      <c r="K16" s="185" t="s">
        <v>287</v>
      </c>
      <c r="L16" s="210">
        <v>1</v>
      </c>
      <c r="M16" s="211" t="s">
        <v>330</v>
      </c>
      <c r="N16" s="212">
        <v>1</v>
      </c>
      <c r="O16" s="212">
        <v>1</v>
      </c>
      <c r="P16" s="185">
        <f>N16/O16</f>
        <v>1</v>
      </c>
      <c r="Q16" s="185">
        <f>P16*R15</f>
        <v>5</v>
      </c>
      <c r="R16" s="185">
        <f>Q16+R15</f>
        <v>10</v>
      </c>
    </row>
    <row r="17" spans="2:18" x14ac:dyDescent="0.25">
      <c r="B17" s="185" t="s">
        <v>453</v>
      </c>
      <c r="C17" s="292">
        <v>20</v>
      </c>
      <c r="D17" s="292"/>
      <c r="G17" s="185" t="s">
        <v>453</v>
      </c>
      <c r="H17" s="292">
        <v>10</v>
      </c>
      <c r="I17" s="292"/>
      <c r="K17" s="185" t="s">
        <v>289</v>
      </c>
      <c r="L17" s="214">
        <f>L15*L16</f>
        <v>50</v>
      </c>
      <c r="M17" s="211" t="s">
        <v>331</v>
      </c>
      <c r="N17" s="212">
        <v>0</v>
      </c>
      <c r="O17" s="212">
        <v>2</v>
      </c>
      <c r="P17" s="185">
        <f>N17/O17</f>
        <v>0</v>
      </c>
      <c r="Q17" s="185">
        <f>P17*R16</f>
        <v>0</v>
      </c>
      <c r="R17" s="185">
        <f>Q17</f>
        <v>0</v>
      </c>
    </row>
    <row r="18" spans="2:18" x14ac:dyDescent="0.25">
      <c r="B18" s="185"/>
      <c r="C18" s="291"/>
      <c r="D18" s="291"/>
      <c r="G18" s="185"/>
      <c r="H18" s="291"/>
      <c r="I18" s="291"/>
      <c r="K18" s="185" t="s">
        <v>290</v>
      </c>
      <c r="L18" s="210">
        <v>95</v>
      </c>
      <c r="M18" s="211"/>
      <c r="N18" s="185"/>
      <c r="O18" s="185"/>
      <c r="P18" s="203" t="s">
        <v>332</v>
      </c>
      <c r="Q18" s="185"/>
      <c r="R18" s="185">
        <f>R17</f>
        <v>0</v>
      </c>
    </row>
    <row r="19" spans="2:18" x14ac:dyDescent="0.25">
      <c r="B19" s="203" t="s">
        <v>467</v>
      </c>
      <c r="C19" s="285">
        <f>( ( 1-  (1/ ( (1+C16)^C17) ) ) / C16)</f>
        <v>8.5135637197585652</v>
      </c>
      <c r="D19" s="286"/>
      <c r="G19" s="203" t="s">
        <v>468</v>
      </c>
      <c r="H19" s="285">
        <f>( ((1+H16)^H17) -1 ) / H16</f>
        <v>17.548735069535095</v>
      </c>
      <c r="I19" s="286"/>
      <c r="K19" s="185" t="s">
        <v>287</v>
      </c>
      <c r="L19" s="210">
        <v>10</v>
      </c>
      <c r="M19" s="211" t="s">
        <v>331</v>
      </c>
      <c r="N19" s="212">
        <v>10</v>
      </c>
      <c r="O19" s="212">
        <v>2</v>
      </c>
      <c r="P19" s="185">
        <f>N19/O19</f>
        <v>5</v>
      </c>
      <c r="Q19" s="213">
        <f>P19*L16</f>
        <v>5</v>
      </c>
      <c r="R19" s="213">
        <f>Q19</f>
        <v>5</v>
      </c>
    </row>
    <row r="20" spans="2:18" x14ac:dyDescent="0.25">
      <c r="B20" s="203" t="s">
        <v>469</v>
      </c>
      <c r="C20" s="295">
        <f>C19 * C15</f>
        <v>204325.52927420556</v>
      </c>
      <c r="D20" s="296"/>
      <c r="G20" s="203" t="s">
        <v>470</v>
      </c>
      <c r="H20" s="285">
        <f>H19 * H15</f>
        <v>3509747.013907019</v>
      </c>
      <c r="I20" s="286"/>
      <c r="K20" s="185" t="s">
        <v>289</v>
      </c>
      <c r="L20" s="214">
        <f>L19*L18</f>
        <v>950</v>
      </c>
      <c r="M20" s="185"/>
      <c r="N20" s="185"/>
      <c r="O20" s="185"/>
      <c r="P20" s="203" t="s">
        <v>332</v>
      </c>
      <c r="Q20" s="185"/>
      <c r="R20" s="185">
        <f>R19</f>
        <v>5</v>
      </c>
    </row>
    <row r="21" spans="2:18" x14ac:dyDescent="0.25">
      <c r="B21" s="203"/>
      <c r="C21" s="287"/>
      <c r="D21" s="288"/>
      <c r="G21" s="203"/>
      <c r="H21" s="287"/>
      <c r="I21" s="288"/>
      <c r="K21" s="185"/>
      <c r="L21" s="214"/>
      <c r="M21" s="211" t="s">
        <v>331</v>
      </c>
      <c r="N21" s="212">
        <v>10</v>
      </c>
      <c r="O21" s="212">
        <v>2</v>
      </c>
      <c r="P21" s="185">
        <f>N21/O21</f>
        <v>5</v>
      </c>
      <c r="Q21" s="185">
        <f>P21*R20</f>
        <v>25</v>
      </c>
      <c r="R21" s="185">
        <f>Q21</f>
        <v>25</v>
      </c>
    </row>
    <row r="22" spans="2:18" x14ac:dyDescent="0.25">
      <c r="B22" s="203"/>
      <c r="C22" s="289"/>
      <c r="D22" s="289"/>
      <c r="G22" s="203"/>
      <c r="H22" s="289"/>
      <c r="I22" s="289"/>
      <c r="K22" s="203" t="s">
        <v>292</v>
      </c>
      <c r="L22" s="215">
        <f>L20/L17</f>
        <v>19</v>
      </c>
      <c r="M22" s="211"/>
      <c r="N22" s="185"/>
      <c r="O22" s="185"/>
      <c r="P22" s="203" t="s">
        <v>332</v>
      </c>
      <c r="Q22" s="185"/>
      <c r="R22" s="185">
        <f>R21</f>
        <v>25</v>
      </c>
    </row>
    <row r="26" spans="2:18" x14ac:dyDescent="0.25">
      <c r="B26" s="290" t="s">
        <v>471</v>
      </c>
      <c r="C26" s="290"/>
      <c r="D26" s="290"/>
      <c r="G26" s="290" t="s">
        <v>472</v>
      </c>
      <c r="H26" s="290"/>
      <c r="I26" s="290"/>
      <c r="K26" s="290" t="s">
        <v>15</v>
      </c>
      <c r="L26" s="290"/>
    </row>
    <row r="27" spans="2:18" x14ac:dyDescent="0.25">
      <c r="B27" s="185" t="s">
        <v>466</v>
      </c>
      <c r="C27" s="292">
        <v>100</v>
      </c>
      <c r="D27" s="292"/>
      <c r="G27" s="185" t="s">
        <v>466</v>
      </c>
      <c r="H27" s="292">
        <v>200000</v>
      </c>
      <c r="I27" s="292"/>
      <c r="K27" s="10" t="s">
        <v>16</v>
      </c>
      <c r="L27" s="11">
        <v>45</v>
      </c>
      <c r="M27" s="216">
        <f>L27*M39</f>
        <v>9375000</v>
      </c>
      <c r="N27" t="s">
        <v>473</v>
      </c>
    </row>
    <row r="28" spans="2:18" x14ac:dyDescent="0.25">
      <c r="B28" s="185" t="s">
        <v>451</v>
      </c>
      <c r="C28" s="293">
        <v>0.05</v>
      </c>
      <c r="D28" s="294"/>
      <c r="G28" s="185" t="s">
        <v>451</v>
      </c>
      <c r="H28" s="293">
        <v>0.12</v>
      </c>
      <c r="I28" s="294"/>
      <c r="K28" s="10" t="s">
        <v>17</v>
      </c>
      <c r="L28" s="11">
        <v>240</v>
      </c>
      <c r="M28" s="217"/>
      <c r="R28">
        <v>416</v>
      </c>
    </row>
    <row r="29" spans="2:18" x14ac:dyDescent="0.25">
      <c r="B29" s="185" t="s">
        <v>453</v>
      </c>
      <c r="C29" s="292">
        <v>3</v>
      </c>
      <c r="D29" s="292"/>
      <c r="G29" s="185" t="s">
        <v>453</v>
      </c>
      <c r="H29" s="292">
        <v>11</v>
      </c>
      <c r="I29" s="292"/>
      <c r="K29" s="10" t="s">
        <v>18</v>
      </c>
      <c r="L29" s="12">
        <v>10</v>
      </c>
      <c r="M29" s="218">
        <f>L27/100000</f>
        <v>4.4999999999999999E-4</v>
      </c>
      <c r="N29" t="s">
        <v>474</v>
      </c>
    </row>
    <row r="30" spans="2:18" ht="15.75" thickBot="1" x14ac:dyDescent="0.3">
      <c r="B30" s="185"/>
      <c r="C30" s="291"/>
      <c r="D30" s="291"/>
      <c r="G30" s="185"/>
      <c r="H30" s="291"/>
      <c r="I30" s="291"/>
      <c r="K30" s="13" t="s">
        <v>19</v>
      </c>
      <c r="L30" s="3">
        <f>((L28/L27)^(1/L29))-1</f>
        <v>0.18222427548378417</v>
      </c>
      <c r="M30" s="218">
        <f>L28/100000</f>
        <v>2.3999999999999998E-3</v>
      </c>
      <c r="N30" t="s">
        <v>475</v>
      </c>
    </row>
    <row r="31" spans="2:18" x14ac:dyDescent="0.25">
      <c r="B31" s="203" t="s">
        <v>467</v>
      </c>
      <c r="C31" s="285">
        <f>( ( ( 1-  (1/ ( (1+C28)^C29) ) ) / C28) ) * (1+C28)</f>
        <v>2.859410430839004</v>
      </c>
      <c r="D31" s="286"/>
      <c r="G31" s="203" t="s">
        <v>468</v>
      </c>
      <c r="H31" s="285">
        <f>(( ((1+H28)^H29) -1 ) / H28 ) * ( 1+H28)</f>
        <v>23.133133271224832</v>
      </c>
      <c r="I31" s="286"/>
      <c r="K31" s="13" t="s">
        <v>20</v>
      </c>
      <c r="L31" s="14">
        <f>L29*12</f>
        <v>120</v>
      </c>
      <c r="P31" s="219" t="s">
        <v>476</v>
      </c>
      <c r="Q31" s="220" t="s">
        <v>477</v>
      </c>
    </row>
    <row r="32" spans="2:18" x14ac:dyDescent="0.25">
      <c r="B32" s="203" t="s">
        <v>478</v>
      </c>
      <c r="C32" s="285">
        <f>C31 * C27</f>
        <v>285.94104308390041</v>
      </c>
      <c r="D32" s="286"/>
      <c r="G32" s="203" t="s">
        <v>479</v>
      </c>
      <c r="H32" s="285">
        <f>H31 * H27</f>
        <v>4626626.6542449668</v>
      </c>
      <c r="I32" s="286"/>
      <c r="K32" s="10" t="s">
        <v>18</v>
      </c>
      <c r="L32" s="15">
        <f>L31/12</f>
        <v>10</v>
      </c>
      <c r="M32">
        <v>62.56</v>
      </c>
      <c r="P32" s="221">
        <v>0.05</v>
      </c>
      <c r="Q32" s="222">
        <v>14</v>
      </c>
    </row>
    <row r="33" spans="2:17" x14ac:dyDescent="0.25">
      <c r="B33" s="203"/>
      <c r="C33" s="287"/>
      <c r="D33" s="288"/>
      <c r="G33" s="203"/>
      <c r="H33" s="287"/>
      <c r="I33" s="288"/>
      <c r="K33" s="13" t="s">
        <v>21</v>
      </c>
      <c r="L33" s="3">
        <f>((L28/L27)^(1/L32))-1</f>
        <v>0.18222427548378417</v>
      </c>
      <c r="P33" s="221">
        <v>0.08</v>
      </c>
      <c r="Q33" s="222">
        <v>9</v>
      </c>
    </row>
    <row r="34" spans="2:17" x14ac:dyDescent="0.25">
      <c r="B34" s="203"/>
      <c r="C34" s="289"/>
      <c r="D34" s="289"/>
      <c r="G34" s="203"/>
      <c r="H34" s="289"/>
      <c r="I34" s="289"/>
      <c r="P34" s="221">
        <v>0.1</v>
      </c>
      <c r="Q34" s="222">
        <v>10</v>
      </c>
    </row>
    <row r="35" spans="2:17" x14ac:dyDescent="0.25">
      <c r="P35" s="221">
        <v>0.15</v>
      </c>
      <c r="Q35" s="222">
        <v>5</v>
      </c>
    </row>
    <row r="36" spans="2:17" x14ac:dyDescent="0.25">
      <c r="B36" s="290" t="s">
        <v>24</v>
      </c>
      <c r="C36" s="290"/>
      <c r="D36" s="290"/>
      <c r="E36" s="223"/>
      <c r="G36" s="290" t="s">
        <v>53</v>
      </c>
      <c r="H36" s="290"/>
      <c r="K36" s="290" t="s">
        <v>337</v>
      </c>
      <c r="L36" s="290"/>
      <c r="P36" s="221">
        <v>0.2</v>
      </c>
      <c r="Q36" s="222">
        <v>4</v>
      </c>
    </row>
    <row r="37" spans="2:17" x14ac:dyDescent="0.25">
      <c r="B37" s="19" t="s">
        <v>25</v>
      </c>
      <c r="C37" s="19"/>
      <c r="D37" s="224">
        <v>1000000</v>
      </c>
      <c r="E37" s="223"/>
      <c r="G37" s="19" t="s">
        <v>29</v>
      </c>
      <c r="H37" s="44">
        <v>342</v>
      </c>
      <c r="K37" s="10" t="s">
        <v>16</v>
      </c>
      <c r="L37" s="11">
        <f>L27</f>
        <v>45</v>
      </c>
      <c r="M37" s="217">
        <v>50000000</v>
      </c>
      <c r="N37" t="s">
        <v>480</v>
      </c>
      <c r="P37" s="221">
        <v>0.25</v>
      </c>
      <c r="Q37" s="222">
        <v>3</v>
      </c>
    </row>
    <row r="38" spans="2:17" x14ac:dyDescent="0.25">
      <c r="B38" s="19" t="s">
        <v>26</v>
      </c>
      <c r="C38" s="19"/>
      <c r="D38" s="21">
        <v>0.66</v>
      </c>
      <c r="E38" s="223"/>
      <c r="G38" s="19" t="s">
        <v>26</v>
      </c>
      <c r="H38" s="21">
        <v>0.12</v>
      </c>
      <c r="K38" s="10" t="s">
        <v>17</v>
      </c>
      <c r="L38" s="11">
        <f>L28</f>
        <v>240</v>
      </c>
      <c r="M38" s="217">
        <f>L38/L37</f>
        <v>5.333333333333333</v>
      </c>
      <c r="N38" t="s">
        <v>481</v>
      </c>
      <c r="P38" s="221">
        <v>0.3</v>
      </c>
      <c r="Q38" s="222">
        <v>2.5</v>
      </c>
    </row>
    <row r="39" spans="2:17" x14ac:dyDescent="0.25">
      <c r="B39" s="19" t="s">
        <v>27</v>
      </c>
      <c r="C39" s="19"/>
      <c r="D39" s="225">
        <v>6</v>
      </c>
      <c r="E39" s="223"/>
      <c r="G39" s="19" t="s">
        <v>27</v>
      </c>
      <c r="H39" s="22">
        <v>10</v>
      </c>
      <c r="K39" s="10" t="s">
        <v>482</v>
      </c>
      <c r="L39" s="10"/>
      <c r="M39" s="217">
        <f>M37/L38</f>
        <v>208333.33333333334</v>
      </c>
      <c r="N39" t="s">
        <v>483</v>
      </c>
      <c r="P39" s="226">
        <v>0.4</v>
      </c>
      <c r="Q39" s="227">
        <v>2</v>
      </c>
    </row>
    <row r="40" spans="2:17" x14ac:dyDescent="0.25">
      <c r="B40" s="19" t="s">
        <v>28</v>
      </c>
      <c r="C40" s="19"/>
      <c r="D40" s="23">
        <v>500000</v>
      </c>
      <c r="E40" s="223"/>
      <c r="G40" s="19" t="s">
        <v>28</v>
      </c>
      <c r="H40" s="20">
        <v>0</v>
      </c>
      <c r="K40" s="10" t="s">
        <v>338</v>
      </c>
      <c r="L40" s="190">
        <f>(L38-L37)/L37</f>
        <v>4.333333333333333</v>
      </c>
      <c r="P40" s="226">
        <v>0.5</v>
      </c>
      <c r="Q40" s="227">
        <v>1</v>
      </c>
    </row>
    <row r="41" spans="2:17" x14ac:dyDescent="0.25">
      <c r="B41" s="24" t="s">
        <v>29</v>
      </c>
      <c r="C41" s="24"/>
      <c r="D41" s="45">
        <f>FV(D38,D39,-D40,-D37)</f>
        <v>36018262.604416013</v>
      </c>
      <c r="E41" s="223"/>
      <c r="G41" s="24" t="s">
        <v>54</v>
      </c>
      <c r="H41" s="45">
        <f>PV(H38,H39,H40,-H37)</f>
        <v>110.11484691401803</v>
      </c>
      <c r="K41" s="10" t="s">
        <v>339</v>
      </c>
      <c r="L41" s="228">
        <f>L38/L37</f>
        <v>5.333333333333333</v>
      </c>
      <c r="P41" s="226">
        <v>0.75</v>
      </c>
      <c r="Q41" s="227">
        <v>1.3</v>
      </c>
    </row>
    <row r="42" spans="2:17" ht="15.75" thickBot="1" x14ac:dyDescent="0.3">
      <c r="B42" s="229" t="s">
        <v>484</v>
      </c>
      <c r="D42" s="230">
        <f>D41/10000000</f>
        <v>3.6018262604416011</v>
      </c>
      <c r="P42" s="231">
        <v>1</v>
      </c>
      <c r="Q42" s="232">
        <v>1</v>
      </c>
    </row>
    <row r="43" spans="2:17" ht="15.75" thickBot="1" x14ac:dyDescent="0.3">
      <c r="C43" s="284" t="s">
        <v>458</v>
      </c>
      <c r="D43" s="284"/>
      <c r="E43" s="284"/>
      <c r="F43" s="284"/>
      <c r="J43" s="284" t="s">
        <v>458</v>
      </c>
      <c r="K43" s="284"/>
      <c r="L43" s="284"/>
      <c r="M43" s="284"/>
    </row>
    <row r="44" spans="2:17" ht="15.75" thickBot="1" x14ac:dyDescent="0.3">
      <c r="B44" s="233"/>
      <c r="C44" s="277" t="s">
        <v>485</v>
      </c>
      <c r="D44" s="278"/>
      <c r="E44" s="234" t="s">
        <v>486</v>
      </c>
      <c r="F44" s="234"/>
      <c r="G44" s="235"/>
      <c r="I44" s="233"/>
      <c r="J44" s="277" t="s">
        <v>487</v>
      </c>
      <c r="K44" s="278"/>
      <c r="L44" s="234" t="s">
        <v>488</v>
      </c>
      <c r="M44" s="234"/>
      <c r="N44" s="235"/>
    </row>
    <row r="45" spans="2:17" ht="15.75" thickBot="1" x14ac:dyDescent="0.3">
      <c r="B45" s="201"/>
      <c r="C45" s="198"/>
      <c r="D45" s="198"/>
      <c r="E45" s="198"/>
      <c r="F45" s="198"/>
      <c r="G45" s="199"/>
      <c r="I45" s="201"/>
      <c r="J45" s="198"/>
      <c r="K45" s="198"/>
      <c r="L45" s="198"/>
      <c r="M45" s="198"/>
      <c r="N45" s="199"/>
    </row>
    <row r="46" spans="2:17" ht="15.75" thickBot="1" x14ac:dyDescent="0.3">
      <c r="B46" s="279" t="s">
        <v>489</v>
      </c>
      <c r="C46" s="280"/>
      <c r="D46" s="280"/>
      <c r="E46" s="280"/>
      <c r="F46" s="280"/>
      <c r="G46" s="281"/>
      <c r="I46" s="279" t="s">
        <v>489</v>
      </c>
      <c r="J46" s="280"/>
      <c r="K46" s="280"/>
      <c r="L46" s="280"/>
      <c r="M46" s="280"/>
      <c r="N46" s="281"/>
    </row>
    <row r="47" spans="2:17" x14ac:dyDescent="0.25">
      <c r="B47" s="201"/>
      <c r="C47" s="198"/>
      <c r="D47" s="236">
        <v>1100000</v>
      </c>
      <c r="E47" s="198"/>
      <c r="F47" s="198"/>
      <c r="G47" s="199"/>
      <c r="I47" s="201"/>
      <c r="J47" s="198"/>
      <c r="K47" s="198"/>
      <c r="L47" s="198"/>
      <c r="M47" s="198"/>
      <c r="N47" s="199"/>
    </row>
    <row r="48" spans="2:17" ht="30" x14ac:dyDescent="0.25">
      <c r="B48" s="237" t="s">
        <v>14</v>
      </c>
      <c r="C48" s="238" t="s">
        <v>490</v>
      </c>
      <c r="D48" s="238" t="s">
        <v>491</v>
      </c>
      <c r="E48" s="238" t="s">
        <v>492</v>
      </c>
      <c r="F48" s="238" t="s">
        <v>493</v>
      </c>
      <c r="G48" s="239" t="s">
        <v>494</v>
      </c>
      <c r="I48" s="237" t="s">
        <v>14</v>
      </c>
      <c r="J48" s="238" t="s">
        <v>490</v>
      </c>
      <c r="K48" s="238" t="s">
        <v>495</v>
      </c>
      <c r="L48" s="238" t="s">
        <v>492</v>
      </c>
      <c r="M48" s="238" t="s">
        <v>493</v>
      </c>
      <c r="N48" s="239" t="s">
        <v>494</v>
      </c>
      <c r="O48" s="240" t="s">
        <v>496</v>
      </c>
      <c r="P48" s="241" t="s">
        <v>4</v>
      </c>
    </row>
    <row r="49" spans="1:16" x14ac:dyDescent="0.25">
      <c r="A49">
        <v>2013</v>
      </c>
      <c r="B49" s="242">
        <v>0</v>
      </c>
      <c r="C49" s="243">
        <v>0</v>
      </c>
      <c r="D49" s="244">
        <v>1000000</v>
      </c>
      <c r="E49" s="245">
        <v>0.5</v>
      </c>
      <c r="F49" s="246">
        <f xml:space="preserve"> (C49) * E49</f>
        <v>0</v>
      </c>
      <c r="G49" s="247">
        <f>C49+D49+F49</f>
        <v>1000000</v>
      </c>
      <c r="H49" s="217"/>
      <c r="I49" s="242">
        <v>0</v>
      </c>
      <c r="J49" s="243">
        <v>1</v>
      </c>
      <c r="K49" s="244">
        <v>0</v>
      </c>
      <c r="L49" s="245">
        <v>3</v>
      </c>
      <c r="M49" s="243">
        <f xml:space="preserve"> (J49+K49) * L49</f>
        <v>3</v>
      </c>
      <c r="N49" s="248">
        <f>J49+K49+M49</f>
        <v>4</v>
      </c>
      <c r="O49">
        <v>2015</v>
      </c>
      <c r="P49" s="249">
        <f t="shared" ref="P49:P64" si="1">N49/10000000</f>
        <v>3.9999999999999998E-7</v>
      </c>
    </row>
    <row r="50" spans="1:16" x14ac:dyDescent="0.25">
      <c r="A50">
        <f>A49+1</f>
        <v>2014</v>
      </c>
      <c r="B50" s="242">
        <f>B49+1</f>
        <v>1</v>
      </c>
      <c r="C50" s="243">
        <f t="shared" ref="C50:C79" si="2">G49</f>
        <v>1000000</v>
      </c>
      <c r="D50" s="244">
        <v>1500000</v>
      </c>
      <c r="E50" s="245">
        <f>E49</f>
        <v>0.5</v>
      </c>
      <c r="F50" s="246">
        <f t="shared" ref="F50:F79" si="3" xml:space="preserve"> (C50) * E50</f>
        <v>500000</v>
      </c>
      <c r="G50" s="247">
        <f t="shared" ref="G50:G80" si="4">C50+D50+F50</f>
        <v>3000000</v>
      </c>
      <c r="H50" s="217"/>
      <c r="I50" s="242">
        <f>I49+1</f>
        <v>1</v>
      </c>
      <c r="J50" s="243">
        <f>N49</f>
        <v>4</v>
      </c>
      <c r="K50" s="244">
        <v>0</v>
      </c>
      <c r="L50" s="245">
        <v>2</v>
      </c>
      <c r="M50" s="243">
        <f t="shared" ref="M50:M80" si="5" xml:space="preserve"> (J50+K50) * L50</f>
        <v>8</v>
      </c>
      <c r="N50" s="248">
        <f t="shared" ref="N50:N80" si="6">J50+K50+M50</f>
        <v>12</v>
      </c>
      <c r="O50">
        <f t="shared" ref="O50:O64" si="7">O49+1</f>
        <v>2016</v>
      </c>
      <c r="P50" s="249">
        <f t="shared" si="1"/>
        <v>1.1999999999999999E-6</v>
      </c>
    </row>
    <row r="51" spans="1:16" x14ac:dyDescent="0.25">
      <c r="A51">
        <f t="shared" ref="A51:B66" si="8">A50+1</f>
        <v>2015</v>
      </c>
      <c r="B51" s="242">
        <f t="shared" si="8"/>
        <v>2</v>
      </c>
      <c r="C51" s="243">
        <f t="shared" si="2"/>
        <v>3000000</v>
      </c>
      <c r="D51" s="244">
        <v>2000000</v>
      </c>
      <c r="E51" s="245">
        <f>E50</f>
        <v>0.5</v>
      </c>
      <c r="F51" s="246">
        <f t="shared" si="3"/>
        <v>1500000</v>
      </c>
      <c r="G51" s="247">
        <f t="shared" si="4"/>
        <v>6500000</v>
      </c>
      <c r="H51" s="217"/>
      <c r="I51" s="242">
        <f t="shared" ref="I51:I79" si="9">I50+1</f>
        <v>2</v>
      </c>
      <c r="J51" s="243">
        <f t="shared" ref="J51:J80" si="10">N50</f>
        <v>12</v>
      </c>
      <c r="K51" s="244">
        <v>0</v>
      </c>
      <c r="L51" s="245">
        <v>0.8</v>
      </c>
      <c r="M51" s="243">
        <f t="shared" si="5"/>
        <v>9.6000000000000014</v>
      </c>
      <c r="N51" s="248">
        <f t="shared" si="6"/>
        <v>21.6</v>
      </c>
      <c r="O51">
        <f t="shared" si="7"/>
        <v>2017</v>
      </c>
      <c r="P51" s="249">
        <f t="shared" si="1"/>
        <v>2.1600000000000001E-6</v>
      </c>
    </row>
    <row r="52" spans="1:16" x14ac:dyDescent="0.25">
      <c r="A52">
        <f t="shared" si="8"/>
        <v>2016</v>
      </c>
      <c r="B52" s="242">
        <f t="shared" si="8"/>
        <v>3</v>
      </c>
      <c r="C52" s="243">
        <f t="shared" si="2"/>
        <v>6500000</v>
      </c>
      <c r="D52" s="244">
        <v>2500000</v>
      </c>
      <c r="E52" s="245">
        <f t="shared" ref="E52:E70" si="11">E51</f>
        <v>0.5</v>
      </c>
      <c r="F52" s="246">
        <f t="shared" si="3"/>
        <v>3250000</v>
      </c>
      <c r="G52" s="247">
        <f t="shared" si="4"/>
        <v>12250000</v>
      </c>
      <c r="H52" s="217"/>
      <c r="I52" s="242">
        <f t="shared" si="9"/>
        <v>3</v>
      </c>
      <c r="J52" s="243">
        <f t="shared" si="10"/>
        <v>21.6</v>
      </c>
      <c r="K52" s="244">
        <v>0</v>
      </c>
      <c r="L52" s="250">
        <v>0.4</v>
      </c>
      <c r="M52" s="243">
        <f t="shared" si="5"/>
        <v>8.64</v>
      </c>
      <c r="N52" s="248">
        <f t="shared" si="6"/>
        <v>30.240000000000002</v>
      </c>
      <c r="O52">
        <f t="shared" si="7"/>
        <v>2018</v>
      </c>
      <c r="P52" s="249">
        <f t="shared" si="1"/>
        <v>3.0240000000000002E-6</v>
      </c>
    </row>
    <row r="53" spans="1:16" x14ac:dyDescent="0.25">
      <c r="A53">
        <f t="shared" si="8"/>
        <v>2017</v>
      </c>
      <c r="B53" s="242">
        <f t="shared" si="8"/>
        <v>4</v>
      </c>
      <c r="C53" s="243">
        <f t="shared" si="2"/>
        <v>12250000</v>
      </c>
      <c r="D53" s="244">
        <v>3000000</v>
      </c>
      <c r="E53" s="245">
        <f t="shared" si="11"/>
        <v>0.5</v>
      </c>
      <c r="F53" s="246">
        <f t="shared" si="3"/>
        <v>6125000</v>
      </c>
      <c r="G53" s="247">
        <f t="shared" si="4"/>
        <v>21375000</v>
      </c>
      <c r="H53" s="217"/>
      <c r="I53" s="242">
        <f t="shared" si="9"/>
        <v>4</v>
      </c>
      <c r="J53" s="243">
        <f t="shared" si="10"/>
        <v>30.240000000000002</v>
      </c>
      <c r="K53" s="244">
        <v>0</v>
      </c>
      <c r="L53" s="250">
        <v>0.3</v>
      </c>
      <c r="M53" s="243">
        <f t="shared" si="5"/>
        <v>9.072000000000001</v>
      </c>
      <c r="N53" s="248">
        <f t="shared" si="6"/>
        <v>39.312000000000005</v>
      </c>
      <c r="O53">
        <f t="shared" si="7"/>
        <v>2019</v>
      </c>
      <c r="P53" s="249">
        <f t="shared" si="1"/>
        <v>3.9312000000000006E-6</v>
      </c>
    </row>
    <row r="54" spans="1:16" x14ac:dyDescent="0.25">
      <c r="A54">
        <f t="shared" si="8"/>
        <v>2018</v>
      </c>
      <c r="B54" s="242">
        <f t="shared" si="8"/>
        <v>5</v>
      </c>
      <c r="C54" s="243">
        <f t="shared" si="2"/>
        <v>21375000</v>
      </c>
      <c r="D54" s="244">
        <v>3500000</v>
      </c>
      <c r="E54" s="245">
        <f t="shared" si="11"/>
        <v>0.5</v>
      </c>
      <c r="F54" s="246">
        <f t="shared" si="3"/>
        <v>10687500</v>
      </c>
      <c r="G54" s="247">
        <f t="shared" si="4"/>
        <v>35562500</v>
      </c>
      <c r="H54" s="217"/>
      <c r="I54" s="242">
        <f t="shared" si="9"/>
        <v>5</v>
      </c>
      <c r="J54" s="243">
        <f t="shared" si="10"/>
        <v>39.312000000000005</v>
      </c>
      <c r="K54" s="244">
        <v>0</v>
      </c>
      <c r="L54" s="245">
        <v>0.2</v>
      </c>
      <c r="M54" s="243">
        <f t="shared" si="5"/>
        <v>7.8624000000000009</v>
      </c>
      <c r="N54" s="248">
        <f t="shared" si="6"/>
        <v>47.174400000000006</v>
      </c>
      <c r="O54">
        <f t="shared" si="7"/>
        <v>2020</v>
      </c>
      <c r="P54" s="249">
        <f t="shared" si="1"/>
        <v>4.7174400000000002E-6</v>
      </c>
    </row>
    <row r="55" spans="1:16" x14ac:dyDescent="0.25">
      <c r="A55">
        <f t="shared" si="8"/>
        <v>2019</v>
      </c>
      <c r="B55" s="242">
        <f t="shared" si="8"/>
        <v>6</v>
      </c>
      <c r="C55" s="243">
        <f t="shared" si="2"/>
        <v>35562500</v>
      </c>
      <c r="D55" s="244">
        <v>4000000</v>
      </c>
      <c r="E55" s="245">
        <f t="shared" si="11"/>
        <v>0.5</v>
      </c>
      <c r="F55" s="246">
        <f t="shared" si="3"/>
        <v>17781250</v>
      </c>
      <c r="G55" s="247">
        <f t="shared" si="4"/>
        <v>57343750</v>
      </c>
      <c r="H55" s="217"/>
      <c r="I55" s="242">
        <f t="shared" si="9"/>
        <v>6</v>
      </c>
      <c r="J55" s="243">
        <f t="shared" si="10"/>
        <v>47.174400000000006</v>
      </c>
      <c r="K55" s="244">
        <v>0</v>
      </c>
      <c r="L55" s="245">
        <f t="shared" ref="L55:L67" si="12">L54</f>
        <v>0.2</v>
      </c>
      <c r="M55" s="243">
        <f t="shared" si="5"/>
        <v>9.4348800000000015</v>
      </c>
      <c r="N55" s="248">
        <f t="shared" si="6"/>
        <v>56.609280000000005</v>
      </c>
      <c r="O55">
        <f t="shared" si="7"/>
        <v>2021</v>
      </c>
      <c r="P55" s="249">
        <f t="shared" si="1"/>
        <v>5.6609280000000002E-6</v>
      </c>
    </row>
    <row r="56" spans="1:16" x14ac:dyDescent="0.25">
      <c r="A56">
        <f t="shared" si="8"/>
        <v>2020</v>
      </c>
      <c r="B56" s="242">
        <f t="shared" si="8"/>
        <v>7</v>
      </c>
      <c r="C56" s="243">
        <f t="shared" si="2"/>
        <v>57343750</v>
      </c>
      <c r="D56" s="244">
        <v>5000000</v>
      </c>
      <c r="E56" s="245">
        <f t="shared" si="11"/>
        <v>0.5</v>
      </c>
      <c r="F56" s="246">
        <f t="shared" si="3"/>
        <v>28671875</v>
      </c>
      <c r="G56" s="247">
        <f t="shared" si="4"/>
        <v>91015625</v>
      </c>
      <c r="H56" s="217">
        <f>G56/10000000</f>
        <v>9.1015625</v>
      </c>
      <c r="I56" s="242">
        <f t="shared" si="9"/>
        <v>7</v>
      </c>
      <c r="J56" s="243">
        <f t="shared" si="10"/>
        <v>56.609280000000005</v>
      </c>
      <c r="K56" s="244">
        <v>0</v>
      </c>
      <c r="L56" s="245">
        <f t="shared" si="12"/>
        <v>0.2</v>
      </c>
      <c r="M56" s="243">
        <f t="shared" si="5"/>
        <v>11.321856000000002</v>
      </c>
      <c r="N56" s="248">
        <f t="shared" si="6"/>
        <v>67.931136000000009</v>
      </c>
      <c r="O56">
        <f t="shared" si="7"/>
        <v>2022</v>
      </c>
      <c r="P56" s="249">
        <f t="shared" si="1"/>
        <v>6.7931136000000013E-6</v>
      </c>
    </row>
    <row r="57" spans="1:16" x14ac:dyDescent="0.25">
      <c r="A57">
        <f t="shared" si="8"/>
        <v>2021</v>
      </c>
      <c r="B57" s="242">
        <f t="shared" si="8"/>
        <v>8</v>
      </c>
      <c r="C57" s="243">
        <f t="shared" si="2"/>
        <v>91015625</v>
      </c>
      <c r="D57" s="244">
        <v>0</v>
      </c>
      <c r="E57" s="245">
        <f t="shared" si="11"/>
        <v>0.5</v>
      </c>
      <c r="F57" s="246">
        <f t="shared" si="3"/>
        <v>45507812.5</v>
      </c>
      <c r="G57" s="247">
        <f t="shared" si="4"/>
        <v>136523437.5</v>
      </c>
      <c r="H57" s="217"/>
      <c r="I57" s="242">
        <f t="shared" si="9"/>
        <v>8</v>
      </c>
      <c r="J57" s="243">
        <f t="shared" si="10"/>
        <v>67.931136000000009</v>
      </c>
      <c r="K57" s="244">
        <v>0</v>
      </c>
      <c r="L57" s="245">
        <f t="shared" si="12"/>
        <v>0.2</v>
      </c>
      <c r="M57" s="243">
        <f t="shared" si="5"/>
        <v>13.586227200000003</v>
      </c>
      <c r="N57" s="248">
        <f t="shared" si="6"/>
        <v>81.517363200000005</v>
      </c>
      <c r="O57">
        <f t="shared" si="7"/>
        <v>2023</v>
      </c>
      <c r="P57" s="249">
        <f t="shared" si="1"/>
        <v>8.1517363199999998E-6</v>
      </c>
    </row>
    <row r="58" spans="1:16" x14ac:dyDescent="0.25">
      <c r="A58">
        <f t="shared" si="8"/>
        <v>2022</v>
      </c>
      <c r="B58" s="242">
        <f t="shared" si="8"/>
        <v>9</v>
      </c>
      <c r="C58" s="243">
        <f t="shared" si="2"/>
        <v>136523437.5</v>
      </c>
      <c r="D58" s="244">
        <v>0</v>
      </c>
      <c r="E58" s="245">
        <f t="shared" si="11"/>
        <v>0.5</v>
      </c>
      <c r="F58" s="246">
        <f t="shared" si="3"/>
        <v>68261718.75</v>
      </c>
      <c r="G58" s="247">
        <f t="shared" si="4"/>
        <v>204785156.25</v>
      </c>
      <c r="H58" s="217"/>
      <c r="I58" s="242">
        <f t="shared" si="9"/>
        <v>9</v>
      </c>
      <c r="J58" s="243">
        <f t="shared" si="10"/>
        <v>81.517363200000005</v>
      </c>
      <c r="K58" s="244">
        <v>0</v>
      </c>
      <c r="L58" s="245">
        <f t="shared" si="12"/>
        <v>0.2</v>
      </c>
      <c r="M58" s="243">
        <f t="shared" si="5"/>
        <v>16.303472640000003</v>
      </c>
      <c r="N58" s="248">
        <f t="shared" si="6"/>
        <v>97.820835840000001</v>
      </c>
      <c r="O58">
        <f t="shared" si="7"/>
        <v>2024</v>
      </c>
      <c r="P58" s="249">
        <f t="shared" si="1"/>
        <v>9.7820835840000005E-6</v>
      </c>
    </row>
    <row r="59" spans="1:16" x14ac:dyDescent="0.25">
      <c r="A59">
        <f t="shared" si="8"/>
        <v>2023</v>
      </c>
      <c r="B59" s="242">
        <f t="shared" si="8"/>
        <v>10</v>
      </c>
      <c r="C59" s="243">
        <f t="shared" si="2"/>
        <v>204785156.25</v>
      </c>
      <c r="D59" s="244">
        <v>0</v>
      </c>
      <c r="E59" s="245">
        <f t="shared" si="11"/>
        <v>0.5</v>
      </c>
      <c r="F59" s="246">
        <f t="shared" si="3"/>
        <v>102392578.125</v>
      </c>
      <c r="G59" s="247">
        <f t="shared" si="4"/>
        <v>307177734.375</v>
      </c>
      <c r="H59" s="217"/>
      <c r="I59" s="242">
        <f t="shared" si="9"/>
        <v>10</v>
      </c>
      <c r="J59" s="243">
        <f t="shared" si="10"/>
        <v>97.820835840000001</v>
      </c>
      <c r="K59" s="244">
        <v>0</v>
      </c>
      <c r="L59" s="245">
        <f t="shared" si="12"/>
        <v>0.2</v>
      </c>
      <c r="M59" s="243">
        <f t="shared" si="5"/>
        <v>19.564167168000001</v>
      </c>
      <c r="N59" s="248">
        <f t="shared" si="6"/>
        <v>117.385003008</v>
      </c>
      <c r="O59">
        <f t="shared" si="7"/>
        <v>2025</v>
      </c>
      <c r="P59" s="249">
        <f t="shared" si="1"/>
        <v>1.17385003008E-5</v>
      </c>
    </row>
    <row r="60" spans="1:16" x14ac:dyDescent="0.25">
      <c r="A60">
        <f t="shared" si="8"/>
        <v>2024</v>
      </c>
      <c r="B60" s="242">
        <f t="shared" si="8"/>
        <v>11</v>
      </c>
      <c r="C60" s="243">
        <f t="shared" si="2"/>
        <v>307177734.375</v>
      </c>
      <c r="D60" s="244">
        <v>0</v>
      </c>
      <c r="E60" s="245">
        <f t="shared" si="11"/>
        <v>0.5</v>
      </c>
      <c r="F60" s="246">
        <f t="shared" si="3"/>
        <v>153588867.1875</v>
      </c>
      <c r="G60" s="247">
        <f t="shared" si="4"/>
        <v>460766601.5625</v>
      </c>
      <c r="H60" s="217"/>
      <c r="I60" s="242">
        <f t="shared" si="9"/>
        <v>11</v>
      </c>
      <c r="J60" s="243">
        <f t="shared" si="10"/>
        <v>117.385003008</v>
      </c>
      <c r="K60" s="244">
        <v>0</v>
      </c>
      <c r="L60" s="245">
        <f t="shared" si="12"/>
        <v>0.2</v>
      </c>
      <c r="M60" s="243">
        <f t="shared" si="5"/>
        <v>23.4770006016</v>
      </c>
      <c r="N60" s="248">
        <f t="shared" si="6"/>
        <v>140.86200360960001</v>
      </c>
      <c r="O60">
        <f t="shared" si="7"/>
        <v>2026</v>
      </c>
      <c r="P60" s="249">
        <f t="shared" si="1"/>
        <v>1.4086200360960001E-5</v>
      </c>
    </row>
    <row r="61" spans="1:16" x14ac:dyDescent="0.25">
      <c r="A61">
        <f t="shared" si="8"/>
        <v>2025</v>
      </c>
      <c r="B61" s="242">
        <f t="shared" si="8"/>
        <v>12</v>
      </c>
      <c r="C61" s="243">
        <f t="shared" si="2"/>
        <v>460766601.5625</v>
      </c>
      <c r="D61" s="244">
        <v>0</v>
      </c>
      <c r="E61" s="245">
        <f t="shared" si="11"/>
        <v>0.5</v>
      </c>
      <c r="F61" s="246">
        <f t="shared" si="3"/>
        <v>230383300.78125</v>
      </c>
      <c r="G61" s="247">
        <f t="shared" si="4"/>
        <v>691149902.34375</v>
      </c>
      <c r="H61" s="217"/>
      <c r="I61" s="242">
        <f t="shared" si="9"/>
        <v>12</v>
      </c>
      <c r="J61" s="243">
        <f t="shared" si="10"/>
        <v>140.86200360960001</v>
      </c>
      <c r="K61" s="244">
        <v>0</v>
      </c>
      <c r="L61" s="245">
        <f t="shared" si="12"/>
        <v>0.2</v>
      </c>
      <c r="M61" s="243">
        <f t="shared" si="5"/>
        <v>28.172400721920003</v>
      </c>
      <c r="N61" s="248">
        <f t="shared" si="6"/>
        <v>169.03440433152002</v>
      </c>
      <c r="O61">
        <f t="shared" si="7"/>
        <v>2027</v>
      </c>
      <c r="P61" s="249">
        <f t="shared" si="1"/>
        <v>1.6903440433152003E-5</v>
      </c>
    </row>
    <row r="62" spans="1:16" x14ac:dyDescent="0.25">
      <c r="A62">
        <f t="shared" si="8"/>
        <v>2026</v>
      </c>
      <c r="B62" s="242">
        <f t="shared" si="8"/>
        <v>13</v>
      </c>
      <c r="C62" s="243">
        <f t="shared" si="2"/>
        <v>691149902.34375</v>
      </c>
      <c r="D62" s="244">
        <v>0</v>
      </c>
      <c r="E62" s="245">
        <f t="shared" si="11"/>
        <v>0.5</v>
      </c>
      <c r="F62" s="246">
        <f t="shared" si="3"/>
        <v>345574951.171875</v>
      </c>
      <c r="G62" s="247">
        <f t="shared" si="4"/>
        <v>1036724853.515625</v>
      </c>
      <c r="H62" s="217"/>
      <c r="I62" s="242">
        <f t="shared" si="9"/>
        <v>13</v>
      </c>
      <c r="J62" s="243">
        <f t="shared" si="10"/>
        <v>169.03440433152002</v>
      </c>
      <c r="K62" s="244">
        <v>0</v>
      </c>
      <c r="L62" s="245">
        <f t="shared" si="12"/>
        <v>0.2</v>
      </c>
      <c r="M62" s="243">
        <f t="shared" si="5"/>
        <v>33.806880866304006</v>
      </c>
      <c r="N62" s="248">
        <f t="shared" si="6"/>
        <v>202.84128519782402</v>
      </c>
      <c r="O62">
        <f t="shared" si="7"/>
        <v>2028</v>
      </c>
      <c r="P62" s="249">
        <f t="shared" si="1"/>
        <v>2.0284128519782403E-5</v>
      </c>
    </row>
    <row r="63" spans="1:16" x14ac:dyDescent="0.25">
      <c r="A63">
        <f t="shared" si="8"/>
        <v>2027</v>
      </c>
      <c r="B63" s="242">
        <f t="shared" si="8"/>
        <v>14</v>
      </c>
      <c r="C63" s="243">
        <f t="shared" si="2"/>
        <v>1036724853.515625</v>
      </c>
      <c r="D63" s="244">
        <v>0</v>
      </c>
      <c r="E63" s="245">
        <f t="shared" si="11"/>
        <v>0.5</v>
      </c>
      <c r="F63" s="246">
        <f t="shared" si="3"/>
        <v>518362426.7578125</v>
      </c>
      <c r="G63" s="247">
        <f t="shared" si="4"/>
        <v>1555087280.2734375</v>
      </c>
      <c r="H63" s="217"/>
      <c r="I63" s="242">
        <f t="shared" si="9"/>
        <v>14</v>
      </c>
      <c r="J63" s="243">
        <f t="shared" si="10"/>
        <v>202.84128519782402</v>
      </c>
      <c r="K63" s="244">
        <v>0</v>
      </c>
      <c r="L63" s="245">
        <f t="shared" si="12"/>
        <v>0.2</v>
      </c>
      <c r="M63" s="243">
        <f t="shared" si="5"/>
        <v>40.568257039564806</v>
      </c>
      <c r="N63" s="248">
        <f t="shared" si="6"/>
        <v>243.40954223738882</v>
      </c>
      <c r="O63">
        <f t="shared" si="7"/>
        <v>2029</v>
      </c>
      <c r="P63" s="249">
        <f t="shared" si="1"/>
        <v>2.4340954223738881E-5</v>
      </c>
    </row>
    <row r="64" spans="1:16" x14ac:dyDescent="0.25">
      <c r="A64">
        <f t="shared" si="8"/>
        <v>2028</v>
      </c>
      <c r="B64" s="242">
        <f t="shared" si="8"/>
        <v>15</v>
      </c>
      <c r="C64" s="243">
        <f t="shared" si="2"/>
        <v>1555087280.2734375</v>
      </c>
      <c r="D64" s="244">
        <v>0</v>
      </c>
      <c r="E64" s="245">
        <f t="shared" si="11"/>
        <v>0.5</v>
      </c>
      <c r="F64" s="246">
        <f t="shared" si="3"/>
        <v>777543640.13671875</v>
      </c>
      <c r="G64" s="247">
        <f t="shared" si="4"/>
        <v>2332630920.4101563</v>
      </c>
      <c r="H64" s="217"/>
      <c r="I64" s="242">
        <f t="shared" si="9"/>
        <v>15</v>
      </c>
      <c r="J64" s="243">
        <f t="shared" si="10"/>
        <v>243.40954223738882</v>
      </c>
      <c r="K64" s="244">
        <v>0</v>
      </c>
      <c r="L64" s="245">
        <f t="shared" si="12"/>
        <v>0.2</v>
      </c>
      <c r="M64" s="243">
        <f t="shared" si="5"/>
        <v>48.681908447477767</v>
      </c>
      <c r="N64" s="248">
        <f t="shared" si="6"/>
        <v>292.09145068486657</v>
      </c>
      <c r="O64">
        <f t="shared" si="7"/>
        <v>2030</v>
      </c>
      <c r="P64" s="249">
        <f t="shared" si="1"/>
        <v>2.9209145068486657E-5</v>
      </c>
    </row>
    <row r="65" spans="1:14" x14ac:dyDescent="0.25">
      <c r="A65">
        <f t="shared" si="8"/>
        <v>2029</v>
      </c>
      <c r="B65" s="242">
        <f t="shared" si="8"/>
        <v>16</v>
      </c>
      <c r="C65" s="243">
        <f t="shared" si="2"/>
        <v>2332630920.4101563</v>
      </c>
      <c r="D65" s="244">
        <v>0</v>
      </c>
      <c r="E65" s="245">
        <f t="shared" si="11"/>
        <v>0.5</v>
      </c>
      <c r="F65" s="246">
        <f t="shared" si="3"/>
        <v>1166315460.2050781</v>
      </c>
      <c r="G65" s="247">
        <f t="shared" si="4"/>
        <v>3498946380.6152344</v>
      </c>
      <c r="H65" s="217"/>
      <c r="I65" s="242">
        <f t="shared" si="9"/>
        <v>16</v>
      </c>
      <c r="J65" s="243">
        <f t="shared" si="10"/>
        <v>292.09145068486657</v>
      </c>
      <c r="K65" s="244">
        <v>0</v>
      </c>
      <c r="L65" s="245">
        <f t="shared" si="12"/>
        <v>0.2</v>
      </c>
      <c r="M65" s="243">
        <f t="shared" si="5"/>
        <v>58.418290136973319</v>
      </c>
      <c r="N65" s="248">
        <f t="shared" si="6"/>
        <v>350.5097408218399</v>
      </c>
    </row>
    <row r="66" spans="1:14" x14ac:dyDescent="0.25">
      <c r="A66" s="251">
        <f t="shared" si="8"/>
        <v>2030</v>
      </c>
      <c r="B66" s="242">
        <f t="shared" si="8"/>
        <v>17</v>
      </c>
      <c r="C66" s="243">
        <f t="shared" si="2"/>
        <v>3498946380.6152344</v>
      </c>
      <c r="D66" s="244">
        <v>0</v>
      </c>
      <c r="E66" s="245">
        <f t="shared" si="11"/>
        <v>0.5</v>
      </c>
      <c r="F66" s="246">
        <f t="shared" si="3"/>
        <v>1749473190.3076172</v>
      </c>
      <c r="G66" s="252">
        <f t="shared" si="4"/>
        <v>5248419570.9228516</v>
      </c>
      <c r="H66" s="217">
        <f>G66/10000000</f>
        <v>524.84195709228516</v>
      </c>
      <c r="I66" s="242">
        <f t="shared" si="9"/>
        <v>17</v>
      </c>
      <c r="J66" s="243">
        <f t="shared" si="10"/>
        <v>350.5097408218399</v>
      </c>
      <c r="K66" s="244">
        <v>0</v>
      </c>
      <c r="L66" s="245">
        <f t="shared" si="12"/>
        <v>0.2</v>
      </c>
      <c r="M66" s="243">
        <f t="shared" si="5"/>
        <v>70.101948164367982</v>
      </c>
      <c r="N66" s="248">
        <f t="shared" si="6"/>
        <v>420.61168898620787</v>
      </c>
    </row>
    <row r="67" spans="1:14" x14ac:dyDescent="0.25">
      <c r="A67">
        <f t="shared" ref="A67:B79" si="13">A66+1</f>
        <v>2031</v>
      </c>
      <c r="B67" s="242">
        <f t="shared" si="13"/>
        <v>18</v>
      </c>
      <c r="C67" s="243">
        <f t="shared" si="2"/>
        <v>5248419570.9228516</v>
      </c>
      <c r="D67" s="244">
        <v>0</v>
      </c>
      <c r="E67" s="245">
        <v>0</v>
      </c>
      <c r="F67" s="246">
        <f t="shared" si="3"/>
        <v>0</v>
      </c>
      <c r="G67" s="247">
        <f t="shared" si="4"/>
        <v>5248419570.9228516</v>
      </c>
      <c r="H67" s="253"/>
      <c r="I67" s="242">
        <f t="shared" si="9"/>
        <v>18</v>
      </c>
      <c r="J67" s="243">
        <f t="shared" si="10"/>
        <v>420.61168898620787</v>
      </c>
      <c r="K67" s="244">
        <v>0</v>
      </c>
      <c r="L67" s="245">
        <f t="shared" si="12"/>
        <v>0.2</v>
      </c>
      <c r="M67" s="243">
        <f t="shared" si="5"/>
        <v>84.122337797241585</v>
      </c>
      <c r="N67" s="248">
        <f t="shared" si="6"/>
        <v>504.73402678344945</v>
      </c>
    </row>
    <row r="68" spans="1:14" x14ac:dyDescent="0.25">
      <c r="B68" s="242">
        <f t="shared" si="13"/>
        <v>19</v>
      </c>
      <c r="C68" s="243">
        <f t="shared" si="2"/>
        <v>5248419570.9228516</v>
      </c>
      <c r="D68" s="244">
        <v>0</v>
      </c>
      <c r="E68" s="245">
        <v>0</v>
      </c>
      <c r="F68" s="246">
        <f t="shared" si="3"/>
        <v>0</v>
      </c>
      <c r="G68" s="247">
        <f t="shared" si="4"/>
        <v>5248419570.9228516</v>
      </c>
      <c r="H68" s="254" t="e">
        <f>H49/C49</f>
        <v>#DIV/0!</v>
      </c>
      <c r="I68" s="242">
        <f t="shared" si="9"/>
        <v>19</v>
      </c>
      <c r="J68" s="243">
        <f t="shared" si="10"/>
        <v>504.73402678344945</v>
      </c>
      <c r="K68" s="244"/>
      <c r="L68" s="245"/>
      <c r="M68" s="243">
        <f t="shared" si="5"/>
        <v>0</v>
      </c>
      <c r="N68" s="248">
        <f t="shared" si="6"/>
        <v>504.73402678344945</v>
      </c>
    </row>
    <row r="69" spans="1:14" x14ac:dyDescent="0.25">
      <c r="B69" s="242">
        <f t="shared" si="13"/>
        <v>20</v>
      </c>
      <c r="C69" s="243">
        <f t="shared" si="2"/>
        <v>5248419570.9228516</v>
      </c>
      <c r="D69" s="244">
        <v>0</v>
      </c>
      <c r="E69" s="245">
        <f t="shared" si="11"/>
        <v>0</v>
      </c>
      <c r="F69" s="246">
        <f t="shared" si="3"/>
        <v>0</v>
      </c>
      <c r="G69" s="247">
        <f t="shared" si="4"/>
        <v>5248419570.9228516</v>
      </c>
      <c r="H69" s="254">
        <f t="shared" ref="H69:H88" si="14">H50/C50</f>
        <v>0</v>
      </c>
      <c r="I69" s="242">
        <f t="shared" si="9"/>
        <v>20</v>
      </c>
      <c r="J69" s="243">
        <f t="shared" si="10"/>
        <v>504.73402678344945</v>
      </c>
      <c r="K69" s="244"/>
      <c r="L69" s="245"/>
      <c r="M69" s="243">
        <f t="shared" si="5"/>
        <v>0</v>
      </c>
      <c r="N69" s="248">
        <f t="shared" si="6"/>
        <v>504.73402678344945</v>
      </c>
    </row>
    <row r="70" spans="1:14" x14ac:dyDescent="0.25">
      <c r="B70" s="242">
        <f t="shared" si="13"/>
        <v>21</v>
      </c>
      <c r="C70" s="243">
        <f t="shared" si="2"/>
        <v>5248419570.9228516</v>
      </c>
      <c r="D70" s="244"/>
      <c r="E70" s="245">
        <f t="shared" si="11"/>
        <v>0</v>
      </c>
      <c r="F70" s="246">
        <f t="shared" si="3"/>
        <v>0</v>
      </c>
      <c r="G70" s="247">
        <f t="shared" si="4"/>
        <v>5248419570.9228516</v>
      </c>
      <c r="H70" s="254">
        <f t="shared" si="14"/>
        <v>0</v>
      </c>
      <c r="I70" s="242">
        <f t="shared" si="9"/>
        <v>21</v>
      </c>
      <c r="J70" s="243">
        <f t="shared" si="10"/>
        <v>504.73402678344945</v>
      </c>
      <c r="K70" s="244"/>
      <c r="L70" s="245"/>
      <c r="M70" s="243">
        <f t="shared" si="5"/>
        <v>0</v>
      </c>
      <c r="N70" s="248">
        <f t="shared" si="6"/>
        <v>504.73402678344945</v>
      </c>
    </row>
    <row r="71" spans="1:14" x14ac:dyDescent="0.25">
      <c r="B71" s="242">
        <f t="shared" si="13"/>
        <v>22</v>
      </c>
      <c r="C71" s="243">
        <f t="shared" si="2"/>
        <v>5248419570.9228516</v>
      </c>
      <c r="D71" s="244"/>
      <c r="E71" s="245"/>
      <c r="F71" s="246">
        <f t="shared" si="3"/>
        <v>0</v>
      </c>
      <c r="G71" s="247">
        <f t="shared" si="4"/>
        <v>5248419570.9228516</v>
      </c>
      <c r="H71" s="254">
        <f t="shared" si="14"/>
        <v>0</v>
      </c>
      <c r="I71" s="242">
        <f t="shared" si="9"/>
        <v>22</v>
      </c>
      <c r="J71" s="243">
        <f t="shared" si="10"/>
        <v>504.73402678344945</v>
      </c>
      <c r="K71" s="244"/>
      <c r="L71" s="245"/>
      <c r="M71" s="243">
        <f t="shared" si="5"/>
        <v>0</v>
      </c>
      <c r="N71" s="248">
        <f t="shared" si="6"/>
        <v>504.73402678344945</v>
      </c>
    </row>
    <row r="72" spans="1:14" x14ac:dyDescent="0.25">
      <c r="B72" s="242">
        <f t="shared" si="13"/>
        <v>23</v>
      </c>
      <c r="C72" s="243">
        <f t="shared" si="2"/>
        <v>5248419570.9228516</v>
      </c>
      <c r="D72" s="244"/>
      <c r="E72" s="245"/>
      <c r="F72" s="246">
        <f t="shared" si="3"/>
        <v>0</v>
      </c>
      <c r="G72" s="247">
        <f t="shared" si="4"/>
        <v>5248419570.9228516</v>
      </c>
      <c r="H72" s="254">
        <f t="shared" si="14"/>
        <v>0</v>
      </c>
      <c r="I72" s="242">
        <f t="shared" si="9"/>
        <v>23</v>
      </c>
      <c r="J72" s="243">
        <f t="shared" si="10"/>
        <v>504.73402678344945</v>
      </c>
      <c r="K72" s="244"/>
      <c r="L72" s="245"/>
      <c r="M72" s="243">
        <f t="shared" si="5"/>
        <v>0</v>
      </c>
      <c r="N72" s="248">
        <f t="shared" si="6"/>
        <v>504.73402678344945</v>
      </c>
    </row>
    <row r="73" spans="1:14" x14ac:dyDescent="0.25">
      <c r="B73" s="242">
        <f t="shared" si="13"/>
        <v>24</v>
      </c>
      <c r="C73" s="243">
        <f t="shared" si="2"/>
        <v>5248419570.9228516</v>
      </c>
      <c r="D73" s="244"/>
      <c r="E73" s="245"/>
      <c r="F73" s="246">
        <f t="shared" si="3"/>
        <v>0</v>
      </c>
      <c r="G73" s="247">
        <f t="shared" si="4"/>
        <v>5248419570.9228516</v>
      </c>
      <c r="H73" s="254">
        <f t="shared" si="14"/>
        <v>0</v>
      </c>
      <c r="I73" s="242">
        <f t="shared" si="9"/>
        <v>24</v>
      </c>
      <c r="J73" s="243">
        <f t="shared" si="10"/>
        <v>504.73402678344945</v>
      </c>
      <c r="K73" s="244"/>
      <c r="L73" s="245"/>
      <c r="M73" s="243">
        <f t="shared" si="5"/>
        <v>0</v>
      </c>
      <c r="N73" s="248">
        <f t="shared" si="6"/>
        <v>504.73402678344945</v>
      </c>
    </row>
    <row r="74" spans="1:14" x14ac:dyDescent="0.25">
      <c r="B74" s="242">
        <f t="shared" si="13"/>
        <v>25</v>
      </c>
      <c r="C74" s="243">
        <f t="shared" si="2"/>
        <v>5248419570.9228516</v>
      </c>
      <c r="D74" s="244"/>
      <c r="E74" s="245"/>
      <c r="F74" s="246">
        <f t="shared" si="3"/>
        <v>0</v>
      </c>
      <c r="G74" s="247">
        <f t="shared" si="4"/>
        <v>5248419570.9228516</v>
      </c>
      <c r="H74" s="254">
        <f t="shared" si="14"/>
        <v>0</v>
      </c>
      <c r="I74" s="242">
        <f t="shared" si="9"/>
        <v>25</v>
      </c>
      <c r="J74" s="243">
        <f t="shared" si="10"/>
        <v>504.73402678344945</v>
      </c>
      <c r="K74" s="244"/>
      <c r="L74" s="245"/>
      <c r="M74" s="243">
        <f t="shared" si="5"/>
        <v>0</v>
      </c>
      <c r="N74" s="248">
        <f t="shared" si="6"/>
        <v>504.73402678344945</v>
      </c>
    </row>
    <row r="75" spans="1:14" x14ac:dyDescent="0.25">
      <c r="B75" s="242">
        <f t="shared" si="13"/>
        <v>26</v>
      </c>
      <c r="C75" s="243">
        <f t="shared" si="2"/>
        <v>5248419570.9228516</v>
      </c>
      <c r="D75" s="244"/>
      <c r="E75" s="245"/>
      <c r="F75" s="246">
        <f t="shared" si="3"/>
        <v>0</v>
      </c>
      <c r="G75" s="247">
        <f t="shared" si="4"/>
        <v>5248419570.9228516</v>
      </c>
      <c r="H75" s="254">
        <f t="shared" si="14"/>
        <v>1.5871934604904632E-7</v>
      </c>
      <c r="I75" s="242">
        <f t="shared" si="9"/>
        <v>26</v>
      </c>
      <c r="J75" s="243">
        <f t="shared" si="10"/>
        <v>504.73402678344945</v>
      </c>
      <c r="K75" s="244"/>
      <c r="L75" s="245"/>
      <c r="M75" s="243">
        <f t="shared" si="5"/>
        <v>0</v>
      </c>
      <c r="N75" s="248">
        <f t="shared" si="6"/>
        <v>504.73402678344945</v>
      </c>
    </row>
    <row r="76" spans="1:14" x14ac:dyDescent="0.25">
      <c r="B76" s="242">
        <f t="shared" si="13"/>
        <v>27</v>
      </c>
      <c r="C76" s="243">
        <f t="shared" si="2"/>
        <v>5248419570.9228516</v>
      </c>
      <c r="D76" s="244"/>
      <c r="E76" s="245"/>
      <c r="F76" s="246">
        <f t="shared" si="3"/>
        <v>0</v>
      </c>
      <c r="G76" s="247">
        <f t="shared" si="4"/>
        <v>5248419570.9228516</v>
      </c>
      <c r="H76" s="254">
        <f t="shared" si="14"/>
        <v>0</v>
      </c>
      <c r="I76" s="242">
        <f t="shared" si="9"/>
        <v>27</v>
      </c>
      <c r="J76" s="243">
        <f t="shared" si="10"/>
        <v>504.73402678344945</v>
      </c>
      <c r="K76" s="244"/>
      <c r="L76" s="245"/>
      <c r="M76" s="243">
        <f t="shared" si="5"/>
        <v>0</v>
      </c>
      <c r="N76" s="248">
        <f t="shared" si="6"/>
        <v>504.73402678344945</v>
      </c>
    </row>
    <row r="77" spans="1:14" x14ac:dyDescent="0.25">
      <c r="B77" s="242">
        <f t="shared" si="13"/>
        <v>28</v>
      </c>
      <c r="C77" s="243">
        <f t="shared" si="2"/>
        <v>5248419570.9228516</v>
      </c>
      <c r="D77" s="244"/>
      <c r="E77" s="245"/>
      <c r="F77" s="246">
        <f t="shared" si="3"/>
        <v>0</v>
      </c>
      <c r="G77" s="247">
        <f t="shared" si="4"/>
        <v>5248419570.9228516</v>
      </c>
      <c r="H77" s="254">
        <f t="shared" si="14"/>
        <v>0</v>
      </c>
      <c r="I77" s="242">
        <f t="shared" si="9"/>
        <v>28</v>
      </c>
      <c r="J77" s="243">
        <f t="shared" si="10"/>
        <v>504.73402678344945</v>
      </c>
      <c r="K77" s="244"/>
      <c r="L77" s="245"/>
      <c r="M77" s="243">
        <f t="shared" si="5"/>
        <v>0</v>
      </c>
      <c r="N77" s="248">
        <f t="shared" si="6"/>
        <v>504.73402678344945</v>
      </c>
    </row>
    <row r="78" spans="1:14" x14ac:dyDescent="0.25">
      <c r="B78" s="242">
        <f t="shared" si="13"/>
        <v>29</v>
      </c>
      <c r="C78" s="243">
        <f t="shared" si="2"/>
        <v>5248419570.9228516</v>
      </c>
      <c r="D78" s="244"/>
      <c r="E78" s="245"/>
      <c r="F78" s="246">
        <f t="shared" si="3"/>
        <v>0</v>
      </c>
      <c r="G78" s="247">
        <f t="shared" si="4"/>
        <v>5248419570.9228516</v>
      </c>
      <c r="H78" s="254">
        <f t="shared" si="14"/>
        <v>0</v>
      </c>
      <c r="I78" s="242">
        <f t="shared" si="9"/>
        <v>29</v>
      </c>
      <c r="J78" s="243">
        <f t="shared" si="10"/>
        <v>504.73402678344945</v>
      </c>
      <c r="K78" s="244"/>
      <c r="L78" s="245"/>
      <c r="M78" s="243">
        <f t="shared" si="5"/>
        <v>0</v>
      </c>
      <c r="N78" s="248">
        <f t="shared" si="6"/>
        <v>504.73402678344945</v>
      </c>
    </row>
    <row r="79" spans="1:14" x14ac:dyDescent="0.25">
      <c r="B79" s="242">
        <f t="shared" si="13"/>
        <v>30</v>
      </c>
      <c r="C79" s="243">
        <f t="shared" si="2"/>
        <v>5248419570.9228516</v>
      </c>
      <c r="D79" s="244"/>
      <c r="E79" s="245"/>
      <c r="F79" s="246">
        <f t="shared" si="3"/>
        <v>0</v>
      </c>
      <c r="G79" s="247">
        <f t="shared" si="4"/>
        <v>5248419570.9228516</v>
      </c>
      <c r="H79" s="254">
        <f t="shared" si="14"/>
        <v>0</v>
      </c>
      <c r="I79" s="242">
        <f t="shared" si="9"/>
        <v>30</v>
      </c>
      <c r="J79" s="243">
        <f t="shared" si="10"/>
        <v>504.73402678344945</v>
      </c>
      <c r="K79" s="244"/>
      <c r="L79" s="245"/>
      <c r="M79" s="243">
        <f t="shared" si="5"/>
        <v>0</v>
      </c>
      <c r="N79" s="248">
        <f t="shared" si="6"/>
        <v>504.73402678344945</v>
      </c>
    </row>
    <row r="80" spans="1:14" ht="15.75" thickBot="1" x14ac:dyDescent="0.3">
      <c r="B80" s="242"/>
      <c r="C80" s="255"/>
      <c r="D80" s="244"/>
      <c r="E80" s="245"/>
      <c r="F80" s="255"/>
      <c r="G80" s="247">
        <f t="shared" si="4"/>
        <v>0</v>
      </c>
      <c r="H80" s="254">
        <f t="shared" si="14"/>
        <v>0</v>
      </c>
      <c r="I80" s="242"/>
      <c r="J80" s="243">
        <f t="shared" si="10"/>
        <v>504.73402678344945</v>
      </c>
      <c r="K80" s="244"/>
      <c r="L80" s="245"/>
      <c r="M80" s="243">
        <f t="shared" si="5"/>
        <v>0</v>
      </c>
      <c r="N80" s="248">
        <f t="shared" si="6"/>
        <v>504.73402678344945</v>
      </c>
    </row>
    <row r="81" spans="2:14" ht="15.75" thickBot="1" x14ac:dyDescent="0.3">
      <c r="B81" s="282" t="s">
        <v>497</v>
      </c>
      <c r="C81" s="283"/>
      <c r="D81" s="256">
        <f>SUM(D48:D80)</f>
        <v>22500000</v>
      </c>
      <c r="E81" s="257"/>
      <c r="F81" s="257"/>
      <c r="G81" s="258">
        <f>G78</f>
        <v>5248419570.9228516</v>
      </c>
      <c r="H81" s="254">
        <f t="shared" si="14"/>
        <v>0</v>
      </c>
      <c r="I81" s="282" t="s">
        <v>497</v>
      </c>
      <c r="J81" s="283"/>
      <c r="K81" s="259">
        <f>SUM(K48:K80)</f>
        <v>0</v>
      </c>
      <c r="L81" s="257"/>
      <c r="M81" s="256"/>
      <c r="N81" s="260">
        <f>N78</f>
        <v>504.73402678344945</v>
      </c>
    </row>
    <row r="82" spans="2:14" ht="15.75" thickBot="1" x14ac:dyDescent="0.3">
      <c r="B82" s="261"/>
      <c r="C82" s="262" t="s">
        <v>498</v>
      </c>
      <c r="D82" s="263">
        <f>D81/10000000</f>
        <v>2.25</v>
      </c>
      <c r="E82" s="262"/>
      <c r="F82" s="262"/>
      <c r="G82" s="264">
        <f>G81/10000000</f>
        <v>524.84195709228516</v>
      </c>
      <c r="H82" s="254">
        <f t="shared" si="14"/>
        <v>0</v>
      </c>
      <c r="I82" s="261"/>
      <c r="J82" s="262" t="s">
        <v>498</v>
      </c>
      <c r="K82" s="263">
        <f>K81/10000000</f>
        <v>0</v>
      </c>
      <c r="L82" s="262"/>
      <c r="M82" s="262"/>
      <c r="N82" s="264">
        <f>N81/10000000</f>
        <v>5.0473402678344942E-5</v>
      </c>
    </row>
    <row r="83" spans="2:14" x14ac:dyDescent="0.25">
      <c r="G83" s="265"/>
      <c r="H83" s="254">
        <f t="shared" si="14"/>
        <v>0</v>
      </c>
    </row>
    <row r="84" spans="2:14" ht="15.75" thickBot="1" x14ac:dyDescent="0.3">
      <c r="C84" s="284" t="s">
        <v>499</v>
      </c>
      <c r="D84" s="284"/>
      <c r="E84" s="284"/>
      <c r="F84" s="284"/>
      <c r="H84" s="254">
        <f t="shared" si="14"/>
        <v>0</v>
      </c>
      <c r="J84" s="284" t="s">
        <v>499</v>
      </c>
      <c r="K84" s="284"/>
      <c r="L84" s="284"/>
      <c r="M84" s="284"/>
    </row>
    <row r="85" spans="2:14" ht="15.75" thickBot="1" x14ac:dyDescent="0.3">
      <c r="H85" s="254">
        <f t="shared" si="14"/>
        <v>1.4999999999999999E-7</v>
      </c>
    </row>
    <row r="86" spans="2:14" ht="15.75" thickBot="1" x14ac:dyDescent="0.3">
      <c r="B86" s="233"/>
      <c r="C86" s="277" t="s">
        <v>485</v>
      </c>
      <c r="D86" s="278"/>
      <c r="E86" s="234" t="s">
        <v>486</v>
      </c>
      <c r="F86" s="234"/>
      <c r="G86" s="235"/>
      <c r="H86" s="254">
        <f t="shared" si="14"/>
        <v>0</v>
      </c>
      <c r="I86" s="233"/>
      <c r="J86" s="277" t="s">
        <v>500</v>
      </c>
      <c r="K86" s="278"/>
      <c r="L86" s="234" t="s">
        <v>501</v>
      </c>
      <c r="M86" s="234"/>
      <c r="N86" s="235"/>
    </row>
    <row r="87" spans="2:14" ht="15.75" thickBot="1" x14ac:dyDescent="0.3">
      <c r="B87" s="201"/>
      <c r="C87" s="198"/>
      <c r="D87" s="198"/>
      <c r="E87" s="198"/>
      <c r="F87" s="198"/>
      <c r="G87" s="199"/>
      <c r="H87" s="254" t="e">
        <f t="shared" si="14"/>
        <v>#DIV/0!</v>
      </c>
      <c r="I87" s="201"/>
      <c r="J87" s="198"/>
      <c r="K87" s="198"/>
      <c r="L87" s="198"/>
      <c r="M87" s="198"/>
      <c r="N87" s="199"/>
    </row>
    <row r="88" spans="2:14" ht="15.75" thickBot="1" x14ac:dyDescent="0.3">
      <c r="B88" s="279" t="s">
        <v>502</v>
      </c>
      <c r="C88" s="280"/>
      <c r="D88" s="280"/>
      <c r="E88" s="280"/>
      <c r="F88" s="280"/>
      <c r="G88" s="281"/>
      <c r="H88" s="254">
        <f t="shared" si="14"/>
        <v>0</v>
      </c>
      <c r="I88" s="279" t="s">
        <v>502</v>
      </c>
      <c r="J88" s="280"/>
      <c r="K88" s="280"/>
      <c r="L88" s="280"/>
      <c r="M88" s="280"/>
      <c r="N88" s="281"/>
    </row>
    <row r="89" spans="2:14" x14ac:dyDescent="0.25">
      <c r="B89" s="266"/>
      <c r="C89" s="267"/>
      <c r="D89" s="267"/>
      <c r="E89" s="267"/>
      <c r="F89" s="267"/>
      <c r="G89" s="268">
        <f>G124</f>
        <v>1413.1902480939689</v>
      </c>
      <c r="I89" s="266"/>
      <c r="J89" s="267"/>
      <c r="K89" s="267"/>
      <c r="L89" s="267"/>
      <c r="M89" s="267"/>
      <c r="N89" s="268">
        <f>N124</f>
        <v>285.94104308390024</v>
      </c>
    </row>
    <row r="90" spans="2:14" ht="30" x14ac:dyDescent="0.25">
      <c r="B90" s="237" t="s">
        <v>14</v>
      </c>
      <c r="C90" s="238" t="s">
        <v>490</v>
      </c>
      <c r="D90" s="238" t="s">
        <v>503</v>
      </c>
      <c r="E90" s="238" t="s">
        <v>492</v>
      </c>
      <c r="F90" s="238" t="s">
        <v>504</v>
      </c>
      <c r="G90" s="239" t="s">
        <v>505</v>
      </c>
      <c r="I90" s="237" t="s">
        <v>14</v>
      </c>
      <c r="J90" s="238" t="s">
        <v>506</v>
      </c>
      <c r="K90" s="238" t="s">
        <v>507</v>
      </c>
      <c r="L90" s="238" t="s">
        <v>492</v>
      </c>
      <c r="M90" s="238" t="s">
        <v>504</v>
      </c>
      <c r="N90" s="239" t="s">
        <v>505</v>
      </c>
    </row>
    <row r="91" spans="2:14" x14ac:dyDescent="0.25">
      <c r="B91" s="242">
        <v>0</v>
      </c>
      <c r="C91" s="255">
        <v>0</v>
      </c>
      <c r="D91" s="255">
        <v>100</v>
      </c>
      <c r="E91" s="269">
        <v>0.06</v>
      </c>
      <c r="F91" s="255">
        <f>((1/(1+E91) ) ^ (B91 + 1) ) * D91</f>
        <v>94.339622641509422</v>
      </c>
      <c r="G91" s="270">
        <f>F91+C91</f>
        <v>94.339622641509422</v>
      </c>
      <c r="I91" s="242">
        <v>0</v>
      </c>
      <c r="J91" s="255">
        <v>0</v>
      </c>
      <c r="K91" s="255">
        <v>100</v>
      </c>
      <c r="L91" s="269">
        <v>0</v>
      </c>
      <c r="M91" s="255">
        <f t="shared" ref="M91:M92" si="15">((1/(1+L91) ) ^ (I91) ) * K91</f>
        <v>100</v>
      </c>
      <c r="N91" s="270">
        <f>M91+J91</f>
        <v>100</v>
      </c>
    </row>
    <row r="92" spans="2:14" x14ac:dyDescent="0.25">
      <c r="B92" s="242">
        <f>B91+1</f>
        <v>1</v>
      </c>
      <c r="C92" s="255">
        <f>G91</f>
        <v>94.339622641509422</v>
      </c>
      <c r="D92" s="255">
        <v>200</v>
      </c>
      <c r="E92" s="269">
        <v>0.06</v>
      </c>
      <c r="F92" s="255">
        <f>((1/(1+E92) ) ^ (B92 + 1) ) * D92</f>
        <v>177.99928800284795</v>
      </c>
      <c r="G92" s="270">
        <f>F92+C92</f>
        <v>272.33891064435738</v>
      </c>
      <c r="I92" s="242">
        <f>I91+1</f>
        <v>1</v>
      </c>
      <c r="J92" s="255">
        <f>N91</f>
        <v>100</v>
      </c>
      <c r="K92" s="255">
        <v>100</v>
      </c>
      <c r="L92" s="269">
        <v>0.05</v>
      </c>
      <c r="M92" s="255">
        <f t="shared" si="15"/>
        <v>95.238095238095227</v>
      </c>
      <c r="N92" s="270">
        <f>M92+J92</f>
        <v>195.23809523809524</v>
      </c>
    </row>
    <row r="93" spans="2:14" x14ac:dyDescent="0.25">
      <c r="B93" s="242">
        <f t="shared" ref="B93:B121" si="16">B92+1</f>
        <v>2</v>
      </c>
      <c r="C93" s="255">
        <f t="shared" ref="C93:C121" si="17">G92</f>
        <v>272.33891064435738</v>
      </c>
      <c r="D93" s="255">
        <v>200</v>
      </c>
      <c r="E93" s="269">
        <v>0.06</v>
      </c>
      <c r="F93" s="255">
        <f t="shared" ref="F93:F121" si="18">((1/(1+E93) ) ^ (B93 + 1) ) * D93</f>
        <v>167.9238566064603</v>
      </c>
      <c r="G93" s="270">
        <f t="shared" ref="G93:G121" si="19">F93+C93</f>
        <v>440.26276725081766</v>
      </c>
      <c r="I93" s="242">
        <f t="shared" ref="I93:I121" si="20">I92+1</f>
        <v>2</v>
      </c>
      <c r="J93" s="255">
        <f t="shared" ref="J93:J121" si="21">N92</f>
        <v>195.23809523809524</v>
      </c>
      <c r="K93" s="255">
        <v>100</v>
      </c>
      <c r="L93" s="269">
        <v>0.05</v>
      </c>
      <c r="M93" s="255">
        <f>((1/(1+L93) ) ^ (I93) ) * K93</f>
        <v>90.702947845804985</v>
      </c>
      <c r="N93" s="270">
        <f t="shared" ref="N93:N121" si="22">M93+J93</f>
        <v>285.94104308390024</v>
      </c>
    </row>
    <row r="94" spans="2:14" x14ac:dyDescent="0.25">
      <c r="B94" s="242">
        <f t="shared" si="16"/>
        <v>3</v>
      </c>
      <c r="C94" s="255">
        <f t="shared" si="17"/>
        <v>440.26276725081766</v>
      </c>
      <c r="D94" s="255">
        <v>200</v>
      </c>
      <c r="E94" s="269">
        <v>0.06</v>
      </c>
      <c r="F94" s="255">
        <f t="shared" si="18"/>
        <v>158.41873264760403</v>
      </c>
      <c r="G94" s="270">
        <f t="shared" si="19"/>
        <v>598.68149989842163</v>
      </c>
      <c r="I94" s="242">
        <f t="shared" si="20"/>
        <v>3</v>
      </c>
      <c r="J94" s="255">
        <f t="shared" si="21"/>
        <v>285.94104308390024</v>
      </c>
      <c r="K94" s="255"/>
      <c r="L94" s="269">
        <v>0.05</v>
      </c>
      <c r="M94" s="255">
        <f t="shared" ref="M94:M121" si="23">((1/(1+L94) ) ^ (I94) ) * K94</f>
        <v>0</v>
      </c>
      <c r="N94" s="270">
        <f t="shared" si="22"/>
        <v>285.94104308390024</v>
      </c>
    </row>
    <row r="95" spans="2:14" x14ac:dyDescent="0.25">
      <c r="B95" s="242">
        <f t="shared" si="16"/>
        <v>4</v>
      </c>
      <c r="C95" s="255">
        <f t="shared" si="17"/>
        <v>598.68149989842163</v>
      </c>
      <c r="D95" s="255">
        <v>200</v>
      </c>
      <c r="E95" s="269">
        <v>0.06</v>
      </c>
      <c r="F95" s="255">
        <f t="shared" si="18"/>
        <v>149.45163457321135</v>
      </c>
      <c r="G95" s="270">
        <f t="shared" si="19"/>
        <v>748.13313447163296</v>
      </c>
      <c r="I95" s="242">
        <f t="shared" si="20"/>
        <v>4</v>
      </c>
      <c r="J95" s="255">
        <f t="shared" si="21"/>
        <v>285.94104308390024</v>
      </c>
      <c r="K95" s="255"/>
      <c r="L95" s="269">
        <v>0.05</v>
      </c>
      <c r="M95" s="255">
        <f t="shared" si="23"/>
        <v>0</v>
      </c>
      <c r="N95" s="270">
        <f t="shared" si="22"/>
        <v>285.94104308390024</v>
      </c>
    </row>
    <row r="96" spans="2:14" x14ac:dyDescent="0.25">
      <c r="B96" s="242">
        <f t="shared" si="16"/>
        <v>5</v>
      </c>
      <c r="C96" s="255">
        <f t="shared" si="17"/>
        <v>748.13313447163296</v>
      </c>
      <c r="D96" s="255">
        <v>0</v>
      </c>
      <c r="E96" s="269">
        <v>0.06</v>
      </c>
      <c r="F96" s="255">
        <f t="shared" si="18"/>
        <v>0</v>
      </c>
      <c r="G96" s="270">
        <f t="shared" si="19"/>
        <v>748.13313447163296</v>
      </c>
      <c r="I96" s="242">
        <f t="shared" si="20"/>
        <v>5</v>
      </c>
      <c r="J96" s="255">
        <f t="shared" si="21"/>
        <v>285.94104308390024</v>
      </c>
      <c r="K96" s="255"/>
      <c r="L96" s="269">
        <v>0.05</v>
      </c>
      <c r="M96" s="255">
        <f t="shared" si="23"/>
        <v>0</v>
      </c>
      <c r="N96" s="270">
        <f t="shared" si="22"/>
        <v>285.94104308390024</v>
      </c>
    </row>
    <row r="97" spans="2:14" x14ac:dyDescent="0.25">
      <c r="B97" s="242">
        <f t="shared" si="16"/>
        <v>6</v>
      </c>
      <c r="C97" s="255">
        <f t="shared" si="17"/>
        <v>748.13313447163296</v>
      </c>
      <c r="D97" s="255">
        <v>1000</v>
      </c>
      <c r="E97" s="269">
        <v>0.06</v>
      </c>
      <c r="F97" s="255">
        <f t="shared" si="18"/>
        <v>665.05711362233581</v>
      </c>
      <c r="G97" s="270">
        <f t="shared" si="19"/>
        <v>1413.1902480939689</v>
      </c>
      <c r="I97" s="242">
        <f t="shared" si="20"/>
        <v>6</v>
      </c>
      <c r="J97" s="255">
        <f t="shared" si="21"/>
        <v>285.94104308390024</v>
      </c>
      <c r="K97" s="255"/>
      <c r="L97" s="269">
        <v>0.05</v>
      </c>
      <c r="M97" s="255">
        <f t="shared" si="23"/>
        <v>0</v>
      </c>
      <c r="N97" s="270">
        <f t="shared" si="22"/>
        <v>285.94104308390024</v>
      </c>
    </row>
    <row r="98" spans="2:14" x14ac:dyDescent="0.25">
      <c r="B98" s="242">
        <f t="shared" si="16"/>
        <v>7</v>
      </c>
      <c r="C98" s="255">
        <f t="shared" si="17"/>
        <v>1413.1902480939689</v>
      </c>
      <c r="D98" s="255"/>
      <c r="E98" s="269">
        <v>0.05</v>
      </c>
      <c r="F98" s="255">
        <f t="shared" si="18"/>
        <v>0</v>
      </c>
      <c r="G98" s="270">
        <f t="shared" si="19"/>
        <v>1413.1902480939689</v>
      </c>
      <c r="I98" s="242">
        <f t="shared" si="20"/>
        <v>7</v>
      </c>
      <c r="J98" s="255">
        <f t="shared" si="21"/>
        <v>285.94104308390024</v>
      </c>
      <c r="K98" s="255"/>
      <c r="L98" s="269">
        <v>0.05</v>
      </c>
      <c r="M98" s="255">
        <f t="shared" si="23"/>
        <v>0</v>
      </c>
      <c r="N98" s="270">
        <f t="shared" si="22"/>
        <v>285.94104308390024</v>
      </c>
    </row>
    <row r="99" spans="2:14" x14ac:dyDescent="0.25">
      <c r="B99" s="242">
        <f t="shared" si="16"/>
        <v>8</v>
      </c>
      <c r="C99" s="255">
        <f t="shared" si="17"/>
        <v>1413.1902480939689</v>
      </c>
      <c r="D99" s="255"/>
      <c r="E99" s="269">
        <v>0.05</v>
      </c>
      <c r="F99" s="255">
        <f t="shared" si="18"/>
        <v>0</v>
      </c>
      <c r="G99" s="270">
        <f t="shared" si="19"/>
        <v>1413.1902480939689</v>
      </c>
      <c r="I99" s="242">
        <f t="shared" si="20"/>
        <v>8</v>
      </c>
      <c r="J99" s="255">
        <f t="shared" si="21"/>
        <v>285.94104308390024</v>
      </c>
      <c r="K99" s="255"/>
      <c r="L99" s="269">
        <v>0.05</v>
      </c>
      <c r="M99" s="255">
        <f t="shared" si="23"/>
        <v>0</v>
      </c>
      <c r="N99" s="270">
        <f t="shared" si="22"/>
        <v>285.94104308390024</v>
      </c>
    </row>
    <row r="100" spans="2:14" x14ac:dyDescent="0.25">
      <c r="B100" s="242">
        <f t="shared" si="16"/>
        <v>9</v>
      </c>
      <c r="C100" s="255">
        <f t="shared" si="17"/>
        <v>1413.1902480939689</v>
      </c>
      <c r="D100" s="255"/>
      <c r="E100" s="269">
        <v>0.05</v>
      </c>
      <c r="F100" s="255">
        <f t="shared" si="18"/>
        <v>0</v>
      </c>
      <c r="G100" s="270">
        <f t="shared" si="19"/>
        <v>1413.1902480939689</v>
      </c>
      <c r="I100" s="242">
        <f t="shared" si="20"/>
        <v>9</v>
      </c>
      <c r="J100" s="255">
        <f t="shared" si="21"/>
        <v>285.94104308390024</v>
      </c>
      <c r="K100" s="255"/>
      <c r="L100" s="269">
        <v>0.05</v>
      </c>
      <c r="M100" s="255">
        <f t="shared" si="23"/>
        <v>0</v>
      </c>
      <c r="N100" s="270">
        <f t="shared" si="22"/>
        <v>285.94104308390024</v>
      </c>
    </row>
    <row r="101" spans="2:14" x14ac:dyDescent="0.25">
      <c r="B101" s="242">
        <f t="shared" si="16"/>
        <v>10</v>
      </c>
      <c r="C101" s="255">
        <f t="shared" si="17"/>
        <v>1413.1902480939689</v>
      </c>
      <c r="D101" s="255"/>
      <c r="E101" s="269">
        <v>0.05</v>
      </c>
      <c r="F101" s="255">
        <f t="shared" si="18"/>
        <v>0</v>
      </c>
      <c r="G101" s="270">
        <f t="shared" si="19"/>
        <v>1413.1902480939689</v>
      </c>
      <c r="I101" s="242">
        <f t="shared" si="20"/>
        <v>10</v>
      </c>
      <c r="J101" s="255">
        <f t="shared" si="21"/>
        <v>285.94104308390024</v>
      </c>
      <c r="K101" s="255"/>
      <c r="L101" s="269">
        <v>0.05</v>
      </c>
      <c r="M101" s="255">
        <f t="shared" si="23"/>
        <v>0</v>
      </c>
      <c r="N101" s="270">
        <f t="shared" si="22"/>
        <v>285.94104308390024</v>
      </c>
    </row>
    <row r="102" spans="2:14" x14ac:dyDescent="0.25">
      <c r="B102" s="242">
        <f t="shared" si="16"/>
        <v>11</v>
      </c>
      <c r="C102" s="255">
        <f t="shared" si="17"/>
        <v>1413.1902480939689</v>
      </c>
      <c r="D102" s="255"/>
      <c r="E102" s="269">
        <v>0.05</v>
      </c>
      <c r="F102" s="255">
        <f t="shared" si="18"/>
        <v>0</v>
      </c>
      <c r="G102" s="270">
        <f t="shared" si="19"/>
        <v>1413.1902480939689</v>
      </c>
      <c r="I102" s="242">
        <f t="shared" si="20"/>
        <v>11</v>
      </c>
      <c r="J102" s="255">
        <f t="shared" si="21"/>
        <v>285.94104308390024</v>
      </c>
      <c r="K102" s="255"/>
      <c r="L102" s="269">
        <v>0.05</v>
      </c>
      <c r="M102" s="255">
        <f t="shared" si="23"/>
        <v>0</v>
      </c>
      <c r="N102" s="270">
        <f t="shared" si="22"/>
        <v>285.94104308390024</v>
      </c>
    </row>
    <row r="103" spans="2:14" x14ac:dyDescent="0.25">
      <c r="B103" s="242">
        <f t="shared" si="16"/>
        <v>12</v>
      </c>
      <c r="C103" s="255">
        <f t="shared" si="17"/>
        <v>1413.1902480939689</v>
      </c>
      <c r="D103" s="255"/>
      <c r="E103" s="269">
        <v>0.05</v>
      </c>
      <c r="F103" s="255">
        <f t="shared" si="18"/>
        <v>0</v>
      </c>
      <c r="G103" s="270">
        <f t="shared" si="19"/>
        <v>1413.1902480939689</v>
      </c>
      <c r="I103" s="242">
        <f t="shared" si="20"/>
        <v>12</v>
      </c>
      <c r="J103" s="255">
        <f t="shared" si="21"/>
        <v>285.94104308390024</v>
      </c>
      <c r="K103" s="255"/>
      <c r="L103" s="269">
        <v>0.05</v>
      </c>
      <c r="M103" s="255">
        <f t="shared" si="23"/>
        <v>0</v>
      </c>
      <c r="N103" s="270">
        <f t="shared" si="22"/>
        <v>285.94104308390024</v>
      </c>
    </row>
    <row r="104" spans="2:14" x14ac:dyDescent="0.25">
      <c r="B104" s="242">
        <f t="shared" si="16"/>
        <v>13</v>
      </c>
      <c r="C104" s="255">
        <f t="shared" si="17"/>
        <v>1413.1902480939689</v>
      </c>
      <c r="D104" s="255"/>
      <c r="E104" s="269">
        <v>0.05</v>
      </c>
      <c r="F104" s="255">
        <f t="shared" si="18"/>
        <v>0</v>
      </c>
      <c r="G104" s="270">
        <f t="shared" si="19"/>
        <v>1413.1902480939689</v>
      </c>
      <c r="I104" s="242">
        <f t="shared" si="20"/>
        <v>13</v>
      </c>
      <c r="J104" s="255">
        <f t="shared" si="21"/>
        <v>285.94104308390024</v>
      </c>
      <c r="K104" s="255"/>
      <c r="L104" s="269">
        <v>0.05</v>
      </c>
      <c r="M104" s="255">
        <f t="shared" si="23"/>
        <v>0</v>
      </c>
      <c r="N104" s="270">
        <f t="shared" si="22"/>
        <v>285.94104308390024</v>
      </c>
    </row>
    <row r="105" spans="2:14" x14ac:dyDescent="0.25">
      <c r="B105" s="242">
        <f t="shared" si="16"/>
        <v>14</v>
      </c>
      <c r="C105" s="255">
        <f t="shared" si="17"/>
        <v>1413.1902480939689</v>
      </c>
      <c r="D105" s="255"/>
      <c r="E105" s="269">
        <v>0.05</v>
      </c>
      <c r="F105" s="255">
        <f t="shared" si="18"/>
        <v>0</v>
      </c>
      <c r="G105" s="270">
        <f t="shared" si="19"/>
        <v>1413.1902480939689</v>
      </c>
      <c r="I105" s="242">
        <f t="shared" si="20"/>
        <v>14</v>
      </c>
      <c r="J105" s="255">
        <f t="shared" si="21"/>
        <v>285.94104308390024</v>
      </c>
      <c r="K105" s="255"/>
      <c r="L105" s="269">
        <v>0.05</v>
      </c>
      <c r="M105" s="255">
        <f t="shared" si="23"/>
        <v>0</v>
      </c>
      <c r="N105" s="270">
        <f t="shared" si="22"/>
        <v>285.94104308390024</v>
      </c>
    </row>
    <row r="106" spans="2:14" x14ac:dyDescent="0.25">
      <c r="B106" s="242">
        <f t="shared" si="16"/>
        <v>15</v>
      </c>
      <c r="C106" s="255">
        <f t="shared" si="17"/>
        <v>1413.1902480939689</v>
      </c>
      <c r="D106" s="255"/>
      <c r="E106" s="269">
        <v>0.05</v>
      </c>
      <c r="F106" s="255">
        <f t="shared" si="18"/>
        <v>0</v>
      </c>
      <c r="G106" s="270">
        <f t="shared" si="19"/>
        <v>1413.1902480939689</v>
      </c>
      <c r="I106" s="242">
        <f t="shared" si="20"/>
        <v>15</v>
      </c>
      <c r="J106" s="255">
        <f t="shared" si="21"/>
        <v>285.94104308390024</v>
      </c>
      <c r="K106" s="255"/>
      <c r="L106" s="269">
        <v>0.05</v>
      </c>
      <c r="M106" s="255">
        <f t="shared" si="23"/>
        <v>0</v>
      </c>
      <c r="N106" s="270">
        <f t="shared" si="22"/>
        <v>285.94104308390024</v>
      </c>
    </row>
    <row r="107" spans="2:14" x14ac:dyDescent="0.25">
      <c r="B107" s="242">
        <f t="shared" si="16"/>
        <v>16</v>
      </c>
      <c r="C107" s="255">
        <f t="shared" si="17"/>
        <v>1413.1902480939689</v>
      </c>
      <c r="D107" s="255"/>
      <c r="E107" s="269">
        <v>0.05</v>
      </c>
      <c r="F107" s="255">
        <f t="shared" si="18"/>
        <v>0</v>
      </c>
      <c r="G107" s="270">
        <f t="shared" si="19"/>
        <v>1413.1902480939689</v>
      </c>
      <c r="I107" s="242">
        <f t="shared" si="20"/>
        <v>16</v>
      </c>
      <c r="J107" s="255">
        <f t="shared" si="21"/>
        <v>285.94104308390024</v>
      </c>
      <c r="K107" s="255"/>
      <c r="L107" s="269">
        <v>0.05</v>
      </c>
      <c r="M107" s="255">
        <f t="shared" si="23"/>
        <v>0</v>
      </c>
      <c r="N107" s="270">
        <f t="shared" si="22"/>
        <v>285.94104308390024</v>
      </c>
    </row>
    <row r="108" spans="2:14" x14ac:dyDescent="0.25">
      <c r="B108" s="242">
        <f t="shared" si="16"/>
        <v>17</v>
      </c>
      <c r="C108" s="255">
        <f t="shared" si="17"/>
        <v>1413.1902480939689</v>
      </c>
      <c r="D108" s="255"/>
      <c r="E108" s="269">
        <v>0.05</v>
      </c>
      <c r="F108" s="255">
        <f t="shared" si="18"/>
        <v>0</v>
      </c>
      <c r="G108" s="270">
        <f t="shared" si="19"/>
        <v>1413.1902480939689</v>
      </c>
      <c r="I108" s="242">
        <f t="shared" si="20"/>
        <v>17</v>
      </c>
      <c r="J108" s="255">
        <f t="shared" si="21"/>
        <v>285.94104308390024</v>
      </c>
      <c r="K108" s="255"/>
      <c r="L108" s="269">
        <v>0.05</v>
      </c>
      <c r="M108" s="255">
        <f t="shared" si="23"/>
        <v>0</v>
      </c>
      <c r="N108" s="270">
        <f t="shared" si="22"/>
        <v>285.94104308390024</v>
      </c>
    </row>
    <row r="109" spans="2:14" x14ac:dyDescent="0.25">
      <c r="B109" s="242">
        <f t="shared" si="16"/>
        <v>18</v>
      </c>
      <c r="C109" s="255">
        <f t="shared" si="17"/>
        <v>1413.1902480939689</v>
      </c>
      <c r="D109" s="255"/>
      <c r="E109" s="269">
        <v>0.05</v>
      </c>
      <c r="F109" s="255">
        <f t="shared" si="18"/>
        <v>0</v>
      </c>
      <c r="G109" s="270">
        <f t="shared" si="19"/>
        <v>1413.1902480939689</v>
      </c>
      <c r="I109" s="242">
        <f t="shared" si="20"/>
        <v>18</v>
      </c>
      <c r="J109" s="255">
        <f t="shared" si="21"/>
        <v>285.94104308390024</v>
      </c>
      <c r="K109" s="255"/>
      <c r="L109" s="269">
        <v>0.05</v>
      </c>
      <c r="M109" s="255">
        <f t="shared" si="23"/>
        <v>0</v>
      </c>
      <c r="N109" s="270">
        <f t="shared" si="22"/>
        <v>285.94104308390024</v>
      </c>
    </row>
    <row r="110" spans="2:14" x14ac:dyDescent="0.25">
      <c r="B110" s="242">
        <f t="shared" si="16"/>
        <v>19</v>
      </c>
      <c r="C110" s="255">
        <f t="shared" si="17"/>
        <v>1413.1902480939689</v>
      </c>
      <c r="D110" s="255"/>
      <c r="E110" s="269">
        <v>0.05</v>
      </c>
      <c r="F110" s="255">
        <f t="shared" si="18"/>
        <v>0</v>
      </c>
      <c r="G110" s="270">
        <f t="shared" si="19"/>
        <v>1413.1902480939689</v>
      </c>
      <c r="I110" s="242">
        <f t="shared" si="20"/>
        <v>19</v>
      </c>
      <c r="J110" s="255">
        <f t="shared" si="21"/>
        <v>285.94104308390024</v>
      </c>
      <c r="K110" s="255"/>
      <c r="L110" s="269">
        <v>0.05</v>
      </c>
      <c r="M110" s="255">
        <f t="shared" si="23"/>
        <v>0</v>
      </c>
      <c r="N110" s="270">
        <f t="shared" si="22"/>
        <v>285.94104308390024</v>
      </c>
    </row>
    <row r="111" spans="2:14" x14ac:dyDescent="0.25">
      <c r="B111" s="242">
        <f t="shared" si="16"/>
        <v>20</v>
      </c>
      <c r="C111" s="255">
        <f t="shared" si="17"/>
        <v>1413.1902480939689</v>
      </c>
      <c r="D111" s="255"/>
      <c r="E111" s="269">
        <v>0.05</v>
      </c>
      <c r="F111" s="255">
        <f t="shared" si="18"/>
        <v>0</v>
      </c>
      <c r="G111" s="270">
        <f t="shared" si="19"/>
        <v>1413.1902480939689</v>
      </c>
      <c r="I111" s="242">
        <f t="shared" si="20"/>
        <v>20</v>
      </c>
      <c r="J111" s="255">
        <f t="shared" si="21"/>
        <v>285.94104308390024</v>
      </c>
      <c r="K111" s="255"/>
      <c r="L111" s="269">
        <v>0.05</v>
      </c>
      <c r="M111" s="255">
        <f t="shared" si="23"/>
        <v>0</v>
      </c>
      <c r="N111" s="270">
        <f t="shared" si="22"/>
        <v>285.94104308390024</v>
      </c>
    </row>
    <row r="112" spans="2:14" x14ac:dyDescent="0.25">
      <c r="B112" s="242">
        <f t="shared" si="16"/>
        <v>21</v>
      </c>
      <c r="C112" s="255">
        <f t="shared" si="17"/>
        <v>1413.1902480939689</v>
      </c>
      <c r="D112" s="255"/>
      <c r="E112" s="269">
        <v>0.05</v>
      </c>
      <c r="F112" s="255">
        <f t="shared" si="18"/>
        <v>0</v>
      </c>
      <c r="G112" s="270">
        <f t="shared" si="19"/>
        <v>1413.1902480939689</v>
      </c>
      <c r="I112" s="242">
        <f t="shared" si="20"/>
        <v>21</v>
      </c>
      <c r="J112" s="255">
        <f t="shared" si="21"/>
        <v>285.94104308390024</v>
      </c>
      <c r="K112" s="255"/>
      <c r="L112" s="269">
        <v>0.05</v>
      </c>
      <c r="M112" s="255">
        <f t="shared" si="23"/>
        <v>0</v>
      </c>
      <c r="N112" s="270">
        <f t="shared" si="22"/>
        <v>285.94104308390024</v>
      </c>
    </row>
    <row r="113" spans="2:14" x14ac:dyDescent="0.25">
      <c r="B113" s="242">
        <f t="shared" si="16"/>
        <v>22</v>
      </c>
      <c r="C113" s="255">
        <f t="shared" si="17"/>
        <v>1413.1902480939689</v>
      </c>
      <c r="D113" s="255"/>
      <c r="E113" s="269">
        <v>0.05</v>
      </c>
      <c r="F113" s="255">
        <f t="shared" si="18"/>
        <v>0</v>
      </c>
      <c r="G113" s="270">
        <f t="shared" si="19"/>
        <v>1413.1902480939689</v>
      </c>
      <c r="I113" s="242">
        <f t="shared" si="20"/>
        <v>22</v>
      </c>
      <c r="J113" s="255">
        <f t="shared" si="21"/>
        <v>285.94104308390024</v>
      </c>
      <c r="K113" s="255"/>
      <c r="L113" s="269">
        <v>0.05</v>
      </c>
      <c r="M113" s="255">
        <f t="shared" si="23"/>
        <v>0</v>
      </c>
      <c r="N113" s="270">
        <f t="shared" si="22"/>
        <v>285.94104308390024</v>
      </c>
    </row>
    <row r="114" spans="2:14" x14ac:dyDescent="0.25">
      <c r="B114" s="242">
        <f t="shared" si="16"/>
        <v>23</v>
      </c>
      <c r="C114" s="255">
        <f t="shared" si="17"/>
        <v>1413.1902480939689</v>
      </c>
      <c r="D114" s="255"/>
      <c r="E114" s="269">
        <v>0.05</v>
      </c>
      <c r="F114" s="255">
        <f t="shared" si="18"/>
        <v>0</v>
      </c>
      <c r="G114" s="270">
        <f t="shared" si="19"/>
        <v>1413.1902480939689</v>
      </c>
      <c r="I114" s="242">
        <f t="shared" si="20"/>
        <v>23</v>
      </c>
      <c r="J114" s="255">
        <f t="shared" si="21"/>
        <v>285.94104308390024</v>
      </c>
      <c r="K114" s="255"/>
      <c r="L114" s="269">
        <v>0.05</v>
      </c>
      <c r="M114" s="255">
        <f t="shared" si="23"/>
        <v>0</v>
      </c>
      <c r="N114" s="270">
        <f t="shared" si="22"/>
        <v>285.94104308390024</v>
      </c>
    </row>
    <row r="115" spans="2:14" x14ac:dyDescent="0.25">
      <c r="B115" s="242">
        <f t="shared" si="16"/>
        <v>24</v>
      </c>
      <c r="C115" s="255">
        <f t="shared" si="17"/>
        <v>1413.1902480939689</v>
      </c>
      <c r="D115" s="255"/>
      <c r="E115" s="269">
        <v>0.05</v>
      </c>
      <c r="F115" s="255">
        <f t="shared" si="18"/>
        <v>0</v>
      </c>
      <c r="G115" s="270">
        <f t="shared" si="19"/>
        <v>1413.1902480939689</v>
      </c>
      <c r="I115" s="242">
        <f t="shared" si="20"/>
        <v>24</v>
      </c>
      <c r="J115" s="255">
        <f t="shared" si="21"/>
        <v>285.94104308390024</v>
      </c>
      <c r="K115" s="255"/>
      <c r="L115" s="269">
        <v>0.05</v>
      </c>
      <c r="M115" s="255">
        <f t="shared" si="23"/>
        <v>0</v>
      </c>
      <c r="N115" s="270">
        <f t="shared" si="22"/>
        <v>285.94104308390024</v>
      </c>
    </row>
    <row r="116" spans="2:14" x14ac:dyDescent="0.25">
      <c r="B116" s="242">
        <f t="shared" si="16"/>
        <v>25</v>
      </c>
      <c r="C116" s="255">
        <f t="shared" si="17"/>
        <v>1413.1902480939689</v>
      </c>
      <c r="D116" s="255"/>
      <c r="E116" s="269">
        <v>0.05</v>
      </c>
      <c r="F116" s="255">
        <f t="shared" si="18"/>
        <v>0</v>
      </c>
      <c r="G116" s="270">
        <f t="shared" si="19"/>
        <v>1413.1902480939689</v>
      </c>
      <c r="I116" s="242">
        <f t="shared" si="20"/>
        <v>25</v>
      </c>
      <c r="J116" s="255">
        <f t="shared" si="21"/>
        <v>285.94104308390024</v>
      </c>
      <c r="K116" s="255"/>
      <c r="L116" s="269">
        <v>0.05</v>
      </c>
      <c r="M116" s="255">
        <f t="shared" si="23"/>
        <v>0</v>
      </c>
      <c r="N116" s="270">
        <f t="shared" si="22"/>
        <v>285.94104308390024</v>
      </c>
    </row>
    <row r="117" spans="2:14" x14ac:dyDescent="0.25">
      <c r="B117" s="242">
        <f t="shared" si="16"/>
        <v>26</v>
      </c>
      <c r="C117" s="255">
        <f t="shared" si="17"/>
        <v>1413.1902480939689</v>
      </c>
      <c r="D117" s="255"/>
      <c r="E117" s="269">
        <v>0.05</v>
      </c>
      <c r="F117" s="255">
        <f t="shared" si="18"/>
        <v>0</v>
      </c>
      <c r="G117" s="270">
        <f t="shared" si="19"/>
        <v>1413.1902480939689</v>
      </c>
      <c r="I117" s="242">
        <f t="shared" si="20"/>
        <v>26</v>
      </c>
      <c r="J117" s="255">
        <f t="shared" si="21"/>
        <v>285.94104308390024</v>
      </c>
      <c r="K117" s="255"/>
      <c r="L117" s="269">
        <v>0.05</v>
      </c>
      <c r="M117" s="255">
        <f t="shared" si="23"/>
        <v>0</v>
      </c>
      <c r="N117" s="270">
        <f t="shared" si="22"/>
        <v>285.94104308390024</v>
      </c>
    </row>
    <row r="118" spans="2:14" x14ac:dyDescent="0.25">
      <c r="B118" s="242">
        <f t="shared" si="16"/>
        <v>27</v>
      </c>
      <c r="C118" s="255">
        <f t="shared" si="17"/>
        <v>1413.1902480939689</v>
      </c>
      <c r="D118" s="255"/>
      <c r="E118" s="269">
        <v>0.05</v>
      </c>
      <c r="F118" s="255">
        <f t="shared" si="18"/>
        <v>0</v>
      </c>
      <c r="G118" s="270">
        <f t="shared" si="19"/>
        <v>1413.1902480939689</v>
      </c>
      <c r="I118" s="242">
        <f t="shared" si="20"/>
        <v>27</v>
      </c>
      <c r="J118" s="255">
        <f t="shared" si="21"/>
        <v>285.94104308390024</v>
      </c>
      <c r="K118" s="255"/>
      <c r="L118" s="269">
        <v>0.05</v>
      </c>
      <c r="M118" s="255">
        <f t="shared" si="23"/>
        <v>0</v>
      </c>
      <c r="N118" s="270">
        <f t="shared" si="22"/>
        <v>285.94104308390024</v>
      </c>
    </row>
    <row r="119" spans="2:14" x14ac:dyDescent="0.25">
      <c r="B119" s="242">
        <f t="shared" si="16"/>
        <v>28</v>
      </c>
      <c r="C119" s="255">
        <f t="shared" si="17"/>
        <v>1413.1902480939689</v>
      </c>
      <c r="D119" s="255"/>
      <c r="E119" s="269">
        <v>0.05</v>
      </c>
      <c r="F119" s="255">
        <f t="shared" si="18"/>
        <v>0</v>
      </c>
      <c r="G119" s="270">
        <f t="shared" si="19"/>
        <v>1413.1902480939689</v>
      </c>
      <c r="I119" s="242">
        <f t="shared" si="20"/>
        <v>28</v>
      </c>
      <c r="J119" s="255">
        <f t="shared" si="21"/>
        <v>285.94104308390024</v>
      </c>
      <c r="K119" s="255"/>
      <c r="L119" s="269">
        <v>0.05</v>
      </c>
      <c r="M119" s="255">
        <f t="shared" si="23"/>
        <v>0</v>
      </c>
      <c r="N119" s="270">
        <f t="shared" si="22"/>
        <v>285.94104308390024</v>
      </c>
    </row>
    <row r="120" spans="2:14" x14ac:dyDescent="0.25">
      <c r="B120" s="242">
        <f t="shared" si="16"/>
        <v>29</v>
      </c>
      <c r="C120" s="255">
        <f t="shared" si="17"/>
        <v>1413.1902480939689</v>
      </c>
      <c r="D120" s="255"/>
      <c r="E120" s="269">
        <v>0.05</v>
      </c>
      <c r="F120" s="255">
        <f t="shared" si="18"/>
        <v>0</v>
      </c>
      <c r="G120" s="270">
        <f t="shared" si="19"/>
        <v>1413.1902480939689</v>
      </c>
      <c r="I120" s="242">
        <f t="shared" si="20"/>
        <v>29</v>
      </c>
      <c r="J120" s="255">
        <f t="shared" si="21"/>
        <v>285.94104308390024</v>
      </c>
      <c r="K120" s="255"/>
      <c r="L120" s="269">
        <v>0.05</v>
      </c>
      <c r="M120" s="255">
        <f t="shared" si="23"/>
        <v>0</v>
      </c>
      <c r="N120" s="270">
        <f t="shared" si="22"/>
        <v>285.94104308390024</v>
      </c>
    </row>
    <row r="121" spans="2:14" x14ac:dyDescent="0.25">
      <c r="B121" s="242">
        <f t="shared" si="16"/>
        <v>30</v>
      </c>
      <c r="C121" s="255">
        <f t="shared" si="17"/>
        <v>1413.1902480939689</v>
      </c>
      <c r="D121" s="255"/>
      <c r="E121" s="269">
        <v>0.05</v>
      </c>
      <c r="F121" s="255">
        <f t="shared" si="18"/>
        <v>0</v>
      </c>
      <c r="G121" s="270">
        <f t="shared" si="19"/>
        <v>1413.1902480939689</v>
      </c>
      <c r="I121" s="242">
        <f t="shared" si="20"/>
        <v>30</v>
      </c>
      <c r="J121" s="255">
        <f t="shared" si="21"/>
        <v>285.94104308390024</v>
      </c>
      <c r="K121" s="255"/>
      <c r="L121" s="269">
        <v>0.05</v>
      </c>
      <c r="M121" s="255">
        <f t="shared" si="23"/>
        <v>0</v>
      </c>
      <c r="N121" s="270">
        <f t="shared" si="22"/>
        <v>285.94104308390024</v>
      </c>
    </row>
    <row r="122" spans="2:14" x14ac:dyDescent="0.25">
      <c r="B122" s="201"/>
      <c r="C122" s="198"/>
      <c r="D122" s="198"/>
      <c r="E122" s="198"/>
      <c r="F122" s="198"/>
      <c r="G122" s="199"/>
      <c r="I122" s="201"/>
      <c r="J122" s="198"/>
      <c r="K122" s="198"/>
      <c r="L122" s="198"/>
      <c r="M122" s="198"/>
      <c r="N122" s="199"/>
    </row>
    <row r="123" spans="2:14" ht="15.75" thickBot="1" x14ac:dyDescent="0.3">
      <c r="B123" s="201"/>
      <c r="C123" s="198"/>
      <c r="D123" s="198"/>
      <c r="E123" s="198"/>
      <c r="F123" s="198"/>
      <c r="G123" s="199"/>
      <c r="I123" s="201"/>
      <c r="J123" s="198"/>
      <c r="K123" s="198"/>
      <c r="L123" s="198"/>
      <c r="M123" s="198"/>
      <c r="N123" s="199"/>
    </row>
    <row r="124" spans="2:14" ht="15.75" thickBot="1" x14ac:dyDescent="0.3">
      <c r="B124" s="282" t="s">
        <v>508</v>
      </c>
      <c r="C124" s="283"/>
      <c r="D124" s="259">
        <f>SUM(D91:D123)</f>
        <v>1900</v>
      </c>
      <c r="E124" s="257"/>
      <c r="F124" s="257"/>
      <c r="G124" s="271">
        <f>G121</f>
        <v>1413.1902480939689</v>
      </c>
      <c r="I124" s="282" t="s">
        <v>508</v>
      </c>
      <c r="J124" s="283"/>
      <c r="K124" s="259">
        <f>SUM(K91:K123)</f>
        <v>300</v>
      </c>
      <c r="L124" s="257"/>
      <c r="M124" s="257"/>
      <c r="N124" s="271">
        <f>N121</f>
        <v>285.94104308390024</v>
      </c>
    </row>
    <row r="125" spans="2:14" ht="15.75" thickBot="1" x14ac:dyDescent="0.3">
      <c r="B125" s="206"/>
      <c r="C125" s="207"/>
      <c r="D125" s="207"/>
      <c r="E125" s="207"/>
      <c r="F125" s="207"/>
      <c r="G125" s="208"/>
      <c r="I125" s="206"/>
      <c r="J125" s="207"/>
      <c r="K125" s="207"/>
      <c r="L125" s="207"/>
      <c r="M125" s="207"/>
      <c r="N125" s="208"/>
    </row>
  </sheetData>
  <mergeCells count="74">
    <mergeCell ref="B3:D3"/>
    <mergeCell ref="G3:I3"/>
    <mergeCell ref="P3:S3"/>
    <mergeCell ref="T3:W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B14:D14"/>
    <mergeCell ref="G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30:D30"/>
    <mergeCell ref="H30:I30"/>
    <mergeCell ref="C31:D31"/>
    <mergeCell ref="H31:I31"/>
    <mergeCell ref="C44:D4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B46:G46"/>
    <mergeCell ref="I46:N46"/>
    <mergeCell ref="B81:C81"/>
    <mergeCell ref="I81:J81"/>
    <mergeCell ref="C84:F84"/>
    <mergeCell ref="J84:M84"/>
    <mergeCell ref="C86:D86"/>
    <mergeCell ref="J86:K86"/>
    <mergeCell ref="B88:G88"/>
    <mergeCell ref="I88:N88"/>
    <mergeCell ref="B124:C124"/>
    <mergeCell ref="I124:J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279"/>
  <sheetViews>
    <sheetView tabSelected="1" zoomScale="80" zoomScaleNormal="80" workbookViewId="0">
      <pane xSplit="2" ySplit="3" topLeftCell="C197" activePane="bottomRight" state="frozen"/>
      <selection pane="topRight" activeCell="C1" sqref="C1"/>
      <selection pane="bottomLeft" activeCell="A5" sqref="A5"/>
      <selection pane="bottomRight" activeCell="S212" sqref="S212"/>
    </sheetView>
  </sheetViews>
  <sheetFormatPr defaultRowHeight="12.75" x14ac:dyDescent="0.2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7" width="8.42578125" style="89" customWidth="1"/>
    <col min="8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42578125" style="89" bestFit="1" customWidth="1"/>
    <col min="23" max="23" width="10.85546875" style="89" bestFit="1" customWidth="1"/>
    <col min="24" max="25" width="9.7109375" style="89" bestFit="1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 x14ac:dyDescent="0.2">
      <c r="B1" s="106" t="s">
        <v>199</v>
      </c>
      <c r="C1" s="107">
        <f>S2</f>
        <v>0.22</v>
      </c>
      <c r="I1" s="89" t="s">
        <v>210</v>
      </c>
      <c r="K1" s="108">
        <v>2004</v>
      </c>
      <c r="M1" s="89" t="s">
        <v>272</v>
      </c>
      <c r="O1" s="141">
        <v>0.05</v>
      </c>
      <c r="Q1" s="89" t="s">
        <v>343</v>
      </c>
      <c r="S1" s="141">
        <v>0.05</v>
      </c>
    </row>
    <row r="2" spans="2:36" x14ac:dyDescent="0.2">
      <c r="B2" s="130" t="s">
        <v>262</v>
      </c>
      <c r="C2" s="103"/>
      <c r="I2" s="89" t="s">
        <v>211</v>
      </c>
      <c r="K2" s="108">
        <v>2018</v>
      </c>
      <c r="M2" s="89" t="s">
        <v>273</v>
      </c>
      <c r="O2" s="141">
        <v>0.15</v>
      </c>
      <c r="Q2" s="89" t="s">
        <v>409</v>
      </c>
      <c r="S2" s="141">
        <v>0.22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7" t="s">
        <v>241</v>
      </c>
      <c r="AJ2" s="308"/>
    </row>
    <row r="3" spans="2:36" x14ac:dyDescent="0.2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212</v>
      </c>
      <c r="X3" s="98">
        <v>2018</v>
      </c>
      <c r="Y3" s="98">
        <v>2019</v>
      </c>
      <c r="Z3" s="98">
        <v>2020</v>
      </c>
      <c r="AA3" s="98">
        <v>2021</v>
      </c>
      <c r="AB3" s="98">
        <v>2022</v>
      </c>
      <c r="AC3" s="98">
        <v>2023</v>
      </c>
      <c r="AD3" s="98">
        <v>2024</v>
      </c>
      <c r="AE3" s="98">
        <v>2025</v>
      </c>
      <c r="AF3" s="98">
        <v>2026</v>
      </c>
      <c r="AG3" s="98">
        <v>2027</v>
      </c>
      <c r="AH3" s="114" t="s">
        <v>1</v>
      </c>
      <c r="AI3" s="309" t="s">
        <v>242</v>
      </c>
      <c r="AJ3" s="310"/>
    </row>
    <row r="4" spans="2:36" x14ac:dyDescent="0.2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5"/>
      <c r="AI4" s="10"/>
      <c r="AJ4" s="10"/>
    </row>
    <row r="5" spans="2:36" x14ac:dyDescent="0.2">
      <c r="B5" s="93" t="s">
        <v>200</v>
      </c>
      <c r="C5" s="10"/>
      <c r="D5" s="10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276" t="s">
        <v>512</v>
      </c>
      <c r="V5" s="10"/>
      <c r="W5" s="10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15"/>
      <c r="AI5" s="10"/>
      <c r="AJ5" s="131"/>
    </row>
    <row r="6" spans="2:36" x14ac:dyDescent="0.2">
      <c r="B6" s="10" t="s">
        <v>10</v>
      </c>
      <c r="C6" s="119"/>
      <c r="D6" s="119"/>
      <c r="E6" s="125"/>
      <c r="F6" s="125"/>
      <c r="G6" s="125">
        <v>130</v>
      </c>
      <c r="H6" s="125">
        <v>152</v>
      </c>
      <c r="I6" s="125">
        <v>38</v>
      </c>
      <c r="J6" s="125">
        <v>75</v>
      </c>
      <c r="K6" s="125">
        <v>102</v>
      </c>
      <c r="L6" s="125">
        <v>280</v>
      </c>
      <c r="M6" s="125">
        <v>319</v>
      </c>
      <c r="N6" s="125">
        <v>370</v>
      </c>
      <c r="O6" s="125">
        <v>416</v>
      </c>
      <c r="P6" s="125">
        <v>663</v>
      </c>
      <c r="Q6" s="125"/>
      <c r="R6" s="125">
        <v>1301</v>
      </c>
      <c r="S6" s="182">
        <v>1372</v>
      </c>
      <c r="T6" s="182">
        <v>1483</v>
      </c>
      <c r="U6" s="182">
        <v>1483</v>
      </c>
      <c r="V6" s="101">
        <f>((T6/G6)^(1/($K$2-$K$1) ))-1</f>
        <v>0.18991003871671364</v>
      </c>
      <c r="W6" s="21">
        <f>$O$2</f>
        <v>0.15</v>
      </c>
      <c r="X6" s="131">
        <f>T6*(1+$W6)</f>
        <v>1705.4499999999998</v>
      </c>
      <c r="Y6" s="131">
        <f>X6*(1+$W6)</f>
        <v>1961.2674999999997</v>
      </c>
      <c r="Z6" s="131">
        <f t="shared" ref="Z6:AG6" si="0">Y6*(1+$W6)</f>
        <v>2255.4576249999996</v>
      </c>
      <c r="AA6" s="131">
        <f t="shared" si="0"/>
        <v>2593.7762687499994</v>
      </c>
      <c r="AB6" s="131">
        <f t="shared" si="0"/>
        <v>2982.8427090624991</v>
      </c>
      <c r="AC6" s="131">
        <f t="shared" si="0"/>
        <v>3430.2691154218737</v>
      </c>
      <c r="AD6" s="131">
        <f t="shared" si="0"/>
        <v>3944.8094827351547</v>
      </c>
      <c r="AE6" s="131">
        <f t="shared" si="0"/>
        <v>4536.5309051454278</v>
      </c>
      <c r="AF6" s="131">
        <f t="shared" si="0"/>
        <v>5217.010540917242</v>
      </c>
      <c r="AG6" s="131">
        <f t="shared" si="0"/>
        <v>5999.5621220548283</v>
      </c>
      <c r="AH6" s="116">
        <f>((AG6/J6)^(1/($AG$3-$K$1) ))-1</f>
        <v>0.20987823705906128</v>
      </c>
      <c r="AI6" s="21">
        <f>$O$1</f>
        <v>0.05</v>
      </c>
      <c r="AJ6" s="124">
        <f t="shared" ref="AJ6:AJ59" si="1">(AG6*(1+AI6))/($C$1-AI6)</f>
        <v>37056.118989162176</v>
      </c>
    </row>
    <row r="7" spans="2:36" x14ac:dyDescent="0.2">
      <c r="B7" s="10" t="s">
        <v>198</v>
      </c>
      <c r="C7" s="119"/>
      <c r="D7" s="119"/>
      <c r="E7" s="125"/>
      <c r="F7" s="125"/>
      <c r="G7" s="125">
        <v>144</v>
      </c>
      <c r="H7" s="125">
        <v>166</v>
      </c>
      <c r="I7" s="125">
        <v>54</v>
      </c>
      <c r="J7" s="125">
        <v>195</v>
      </c>
      <c r="K7" s="125">
        <v>223</v>
      </c>
      <c r="L7" s="125">
        <v>302</v>
      </c>
      <c r="M7" s="125">
        <v>340</v>
      </c>
      <c r="N7" s="125">
        <v>392</v>
      </c>
      <c r="O7" s="125">
        <v>438</v>
      </c>
      <c r="P7" s="125">
        <v>688</v>
      </c>
      <c r="Q7" s="125"/>
      <c r="R7" s="125">
        <v>1333</v>
      </c>
      <c r="S7" s="182">
        <v>1372</v>
      </c>
      <c r="T7" s="182">
        <v>1645</v>
      </c>
      <c r="U7" s="182">
        <v>1645</v>
      </c>
      <c r="V7" s="101">
        <f t="shared" ref="V7:V59" si="2">((T7/G7)^(1/($K$2-$K$1) ))-1</f>
        <v>0.19002856577395688</v>
      </c>
      <c r="W7" s="21">
        <f>$O$2</f>
        <v>0.15</v>
      </c>
      <c r="X7" s="131">
        <f t="shared" ref="X7:X59" si="3">T7*(1+$W7)</f>
        <v>1891.7499999999998</v>
      </c>
      <c r="Y7" s="131">
        <f t="shared" ref="Y7:AG7" si="4">X7*(1+$W7)</f>
        <v>2175.5124999999994</v>
      </c>
      <c r="Z7" s="131">
        <f t="shared" si="4"/>
        <v>2501.8393749999991</v>
      </c>
      <c r="AA7" s="131">
        <f t="shared" si="4"/>
        <v>2877.1152812499986</v>
      </c>
      <c r="AB7" s="131">
        <f t="shared" si="4"/>
        <v>3308.6825734374979</v>
      </c>
      <c r="AC7" s="131">
        <f t="shared" si="4"/>
        <v>3804.9849594531224</v>
      </c>
      <c r="AD7" s="131">
        <f t="shared" si="4"/>
        <v>4375.7327033710908</v>
      </c>
      <c r="AE7" s="131">
        <f t="shared" si="4"/>
        <v>5032.0926088767537</v>
      </c>
      <c r="AF7" s="131">
        <f t="shared" si="4"/>
        <v>5786.9065002082662</v>
      </c>
      <c r="AG7" s="131">
        <f t="shared" si="4"/>
        <v>6654.9424752395053</v>
      </c>
      <c r="AH7" s="116">
        <f>((AG7/J7)^(1/($AG$3-$K$1) ))-1</f>
        <v>0.16588829778730352</v>
      </c>
      <c r="AI7" s="21">
        <f>$O$1</f>
        <v>0.05</v>
      </c>
      <c r="AJ7" s="124">
        <f t="shared" si="1"/>
        <v>41104.056464714595</v>
      </c>
    </row>
    <row r="8" spans="2:36" x14ac:dyDescent="0.2">
      <c r="B8" s="10"/>
      <c r="C8" s="119"/>
      <c r="D8" s="119"/>
      <c r="E8" s="125"/>
      <c r="F8" s="272"/>
      <c r="G8" s="272">
        <f>(G7-F7)/G7</f>
        <v>1</v>
      </c>
      <c r="H8" s="128">
        <f>(H7-G7)/H7</f>
        <v>0.13253012048192772</v>
      </c>
      <c r="I8" s="128">
        <f t="shared" ref="I8:P8" si="5">(I7-H7)/I7</f>
        <v>-2.074074074074074</v>
      </c>
      <c r="J8" s="128">
        <f t="shared" si="5"/>
        <v>0.72307692307692306</v>
      </c>
      <c r="K8" s="128">
        <f t="shared" si="5"/>
        <v>0.12556053811659193</v>
      </c>
      <c r="L8" s="128">
        <f t="shared" si="5"/>
        <v>0.26158940397350994</v>
      </c>
      <c r="M8" s="128">
        <f t="shared" si="5"/>
        <v>0.11176470588235295</v>
      </c>
      <c r="N8" s="128">
        <f t="shared" si="5"/>
        <v>0.1326530612244898</v>
      </c>
      <c r="O8" s="128">
        <f t="shared" si="5"/>
        <v>0.1050228310502283</v>
      </c>
      <c r="P8" s="128">
        <f t="shared" si="5"/>
        <v>0.36337209302325579</v>
      </c>
      <c r="Q8" s="128" t="e">
        <f t="shared" ref="Q8:R8" si="6">(Q7-P7)/Q7</f>
        <v>#DIV/0!</v>
      </c>
      <c r="R8" s="128">
        <f t="shared" si="6"/>
        <v>1</v>
      </c>
      <c r="S8" s="128">
        <f t="shared" ref="S8:U8" si="7">(S7-R7)/R7</f>
        <v>2.9257314328582147E-2</v>
      </c>
      <c r="T8" s="128">
        <f t="shared" si="7"/>
        <v>0.19897959183673469</v>
      </c>
      <c r="U8" s="128">
        <f t="shared" si="7"/>
        <v>0</v>
      </c>
      <c r="V8" s="10"/>
      <c r="W8" s="10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15"/>
      <c r="AI8" s="115"/>
      <c r="AJ8" s="124"/>
    </row>
    <row r="9" spans="2:36" x14ac:dyDescent="0.2">
      <c r="B9" s="10" t="s">
        <v>221</v>
      </c>
      <c r="C9" s="119"/>
      <c r="D9" s="119"/>
      <c r="E9" s="125"/>
      <c r="F9" s="125"/>
      <c r="G9" s="125">
        <v>91</v>
      </c>
      <c r="H9" s="125">
        <v>110</v>
      </c>
      <c r="I9" s="125">
        <v>235</v>
      </c>
      <c r="J9" s="125">
        <v>186</v>
      </c>
      <c r="K9" s="125">
        <v>163</v>
      </c>
      <c r="L9" s="125">
        <v>238</v>
      </c>
      <c r="M9" s="125">
        <v>240</v>
      </c>
      <c r="N9" s="125">
        <v>293</v>
      </c>
      <c r="O9" s="125">
        <v>320</v>
      </c>
      <c r="P9" s="125">
        <v>594</v>
      </c>
      <c r="Q9" s="125"/>
      <c r="R9" s="125">
        <v>1156</v>
      </c>
      <c r="S9" s="182">
        <v>2613</v>
      </c>
      <c r="T9" s="182">
        <v>3129</v>
      </c>
      <c r="U9" s="182">
        <v>3129</v>
      </c>
      <c r="V9" s="101">
        <f t="shared" si="2"/>
        <v>0.28747942659228887</v>
      </c>
      <c r="W9" s="21">
        <f t="shared" ref="W9:W55" si="8">$O$2</f>
        <v>0.15</v>
      </c>
      <c r="X9" s="131">
        <f t="shared" si="3"/>
        <v>3598.35</v>
      </c>
      <c r="Y9" s="131">
        <f t="shared" ref="Y9" si="9">X9*(1+$W9)</f>
        <v>4138.1025</v>
      </c>
      <c r="Z9" s="131">
        <f t="shared" ref="Z9" si="10">Y9*(1+$W9)</f>
        <v>4758.8178749999997</v>
      </c>
      <c r="AA9" s="131">
        <f t="shared" ref="AA9" si="11">Z9*(1+$W9)</f>
        <v>5472.6405562499995</v>
      </c>
      <c r="AB9" s="131">
        <f t="shared" ref="AB9" si="12">AA9*(1+$W9)</f>
        <v>6293.5366396874988</v>
      </c>
      <c r="AC9" s="131">
        <f t="shared" ref="AC9" si="13">AB9*(1+$W9)</f>
        <v>7237.5671356406228</v>
      </c>
      <c r="AD9" s="131">
        <f t="shared" ref="AD9" si="14">AC9*(1+$W9)</f>
        <v>8323.2022059867159</v>
      </c>
      <c r="AE9" s="131">
        <f t="shared" ref="AE9" si="15">AD9*(1+$W9)</f>
        <v>9571.6825368847221</v>
      </c>
      <c r="AF9" s="131">
        <f t="shared" ref="AF9" si="16">AE9*(1+$W9)</f>
        <v>11007.434917417429</v>
      </c>
      <c r="AG9" s="131">
        <f t="shared" ref="AG9" si="17">AF9*(1+$W9)</f>
        <v>12658.550155030043</v>
      </c>
      <c r="AH9" s="116">
        <f>((AG9/J9)^(1/($AG$3-$K$1) ))-1</f>
        <v>0.20140668579534382</v>
      </c>
      <c r="AI9" s="21">
        <f t="shared" ref="AI9:AI99" si="18">$O$1</f>
        <v>0.05</v>
      </c>
      <c r="AJ9" s="124">
        <f t="shared" si="1"/>
        <v>78185.162722244393</v>
      </c>
    </row>
    <row r="10" spans="2:36" x14ac:dyDescent="0.2">
      <c r="B10" s="10" t="s">
        <v>3</v>
      </c>
      <c r="C10" s="119"/>
      <c r="D10" s="119"/>
      <c r="E10" s="125"/>
      <c r="F10" s="125"/>
      <c r="G10" s="125">
        <v>15</v>
      </c>
      <c r="H10" s="125">
        <v>0.2</v>
      </c>
      <c r="I10" s="125">
        <v>252</v>
      </c>
      <c r="J10" s="125">
        <v>286</v>
      </c>
      <c r="K10" s="125">
        <v>260</v>
      </c>
      <c r="L10" s="125">
        <v>170</v>
      </c>
      <c r="M10" s="125">
        <v>201</v>
      </c>
      <c r="N10" s="125">
        <v>225</v>
      </c>
      <c r="O10" s="125">
        <v>186</v>
      </c>
      <c r="P10" s="125">
        <v>180</v>
      </c>
      <c r="Q10" s="125"/>
      <c r="R10" s="125">
        <v>371</v>
      </c>
      <c r="S10" s="182">
        <v>814</v>
      </c>
      <c r="T10" s="182">
        <v>1168</v>
      </c>
      <c r="U10" s="182">
        <v>1168</v>
      </c>
      <c r="V10" s="101">
        <f t="shared" si="2"/>
        <v>0.36488651095160507</v>
      </c>
      <c r="W10" s="21">
        <f t="shared" si="8"/>
        <v>0.15</v>
      </c>
      <c r="X10" s="131">
        <f t="shared" si="3"/>
        <v>1343.1999999999998</v>
      </c>
      <c r="Y10" s="131">
        <f t="shared" ref="Y10:AG10" si="19">X10*(1+$W10)</f>
        <v>1544.6799999999996</v>
      </c>
      <c r="Z10" s="131">
        <f t="shared" si="19"/>
        <v>1776.3819999999994</v>
      </c>
      <c r="AA10" s="131">
        <f t="shared" si="19"/>
        <v>2042.8392999999992</v>
      </c>
      <c r="AB10" s="131">
        <f t="shared" si="19"/>
        <v>2349.265194999999</v>
      </c>
      <c r="AC10" s="131">
        <f t="shared" si="19"/>
        <v>2701.6549742499988</v>
      </c>
      <c r="AD10" s="131">
        <f t="shared" si="19"/>
        <v>3106.9032203874985</v>
      </c>
      <c r="AE10" s="131">
        <f t="shared" si="19"/>
        <v>3572.9387034456231</v>
      </c>
      <c r="AF10" s="131">
        <f t="shared" si="19"/>
        <v>4108.8795089624664</v>
      </c>
      <c r="AG10" s="131">
        <f t="shared" si="19"/>
        <v>4725.2114353068364</v>
      </c>
      <c r="AH10" s="116">
        <f t="shared" ref="AH10:AH57" si="20">((AG10/J10)^(1/($AG$3-$K$1) ))-1</f>
        <v>0.12968905812520237</v>
      </c>
      <c r="AI10" s="21">
        <f t="shared" si="18"/>
        <v>0.05</v>
      </c>
      <c r="AJ10" s="124">
        <f t="shared" si="1"/>
        <v>29185.12945336576</v>
      </c>
    </row>
    <row r="11" spans="2:36" x14ac:dyDescent="0.2">
      <c r="B11" s="10"/>
      <c r="C11" s="119"/>
      <c r="D11" s="119"/>
      <c r="E11" s="125"/>
      <c r="F11" s="272"/>
      <c r="G11" s="272">
        <f>(G10-F10)/G10</f>
        <v>1</v>
      </c>
      <c r="H11" s="272">
        <f t="shared" ref="H11:P11" si="21">(H10-G10)/H10</f>
        <v>-74</v>
      </c>
      <c r="I11" s="272">
        <f t="shared" si="21"/>
        <v>0.99920634920634921</v>
      </c>
      <c r="J11" s="272">
        <f t="shared" si="21"/>
        <v>0.11888111888111888</v>
      </c>
      <c r="K11" s="272">
        <f t="shared" si="21"/>
        <v>-0.1</v>
      </c>
      <c r="L11" s="272">
        <f t="shared" si="21"/>
        <v>-0.52941176470588236</v>
      </c>
      <c r="M11" s="272">
        <f t="shared" si="21"/>
        <v>0.15422885572139303</v>
      </c>
      <c r="N11" s="272">
        <f t="shared" si="21"/>
        <v>0.10666666666666667</v>
      </c>
      <c r="O11" s="272">
        <f t="shared" si="21"/>
        <v>-0.20967741935483872</v>
      </c>
      <c r="P11" s="272">
        <f t="shared" si="21"/>
        <v>-3.3333333333333333E-2</v>
      </c>
      <c r="Q11" s="272" t="e">
        <f t="shared" ref="Q11:R11" si="22">(Q10-P10)/Q10</f>
        <v>#DIV/0!</v>
      </c>
      <c r="R11" s="272">
        <f t="shared" si="22"/>
        <v>1</v>
      </c>
      <c r="S11" s="128">
        <f t="shared" ref="S11:U11" si="23">(S10-R10)/R10</f>
        <v>1.1940700808625337</v>
      </c>
      <c r="T11" s="128">
        <f t="shared" si="23"/>
        <v>0.43488943488943488</v>
      </c>
      <c r="U11" s="128">
        <f t="shared" si="23"/>
        <v>0</v>
      </c>
      <c r="V11" s="10"/>
      <c r="W11" s="10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02"/>
      <c r="AI11" s="21">
        <f t="shared" si="18"/>
        <v>0.05</v>
      </c>
      <c r="AJ11" s="131"/>
    </row>
    <row r="12" spans="2:36" x14ac:dyDescent="0.2">
      <c r="B12" s="10" t="s">
        <v>2</v>
      </c>
      <c r="C12" s="119"/>
      <c r="D12" s="119"/>
      <c r="E12" s="125"/>
      <c r="F12" s="125"/>
      <c r="G12" s="125">
        <v>95</v>
      </c>
      <c r="H12" s="125">
        <v>85</v>
      </c>
      <c r="I12" s="125">
        <v>180</v>
      </c>
      <c r="J12" s="125">
        <v>168</v>
      </c>
      <c r="K12" s="125">
        <v>158</v>
      </c>
      <c r="L12" s="125">
        <v>144</v>
      </c>
      <c r="M12" s="125">
        <v>136</v>
      </c>
      <c r="N12" s="125">
        <v>272</v>
      </c>
      <c r="O12" s="125">
        <v>208</v>
      </c>
      <c r="P12" s="125">
        <v>330</v>
      </c>
      <c r="Q12" s="125"/>
      <c r="R12" s="125">
        <v>645</v>
      </c>
      <c r="S12" s="182">
        <v>827</v>
      </c>
      <c r="T12" s="182">
        <v>938</v>
      </c>
      <c r="U12" s="182">
        <v>938</v>
      </c>
      <c r="V12" s="101">
        <f t="shared" si="2"/>
        <v>0.17769879565856561</v>
      </c>
      <c r="W12" s="21">
        <f t="shared" si="8"/>
        <v>0.15</v>
      </c>
      <c r="X12" s="131">
        <f t="shared" si="3"/>
        <v>1078.6999999999998</v>
      </c>
      <c r="Y12" s="131">
        <f t="shared" ref="Y12:AG12" si="24">X12*(1+$W12)</f>
        <v>1240.5049999999997</v>
      </c>
      <c r="Z12" s="131">
        <f t="shared" si="24"/>
        <v>1426.5807499999994</v>
      </c>
      <c r="AA12" s="131">
        <f t="shared" si="24"/>
        <v>1640.5678624999991</v>
      </c>
      <c r="AB12" s="131">
        <f t="shared" si="24"/>
        <v>1886.653041874999</v>
      </c>
      <c r="AC12" s="131">
        <f t="shared" si="24"/>
        <v>2169.6509981562485</v>
      </c>
      <c r="AD12" s="131">
        <f t="shared" si="24"/>
        <v>2495.0986478796858</v>
      </c>
      <c r="AE12" s="131">
        <f t="shared" si="24"/>
        <v>2869.3634450616387</v>
      </c>
      <c r="AF12" s="131">
        <f t="shared" si="24"/>
        <v>3299.767961820884</v>
      </c>
      <c r="AG12" s="131">
        <f t="shared" si="24"/>
        <v>3794.7331560940165</v>
      </c>
      <c r="AH12" s="116">
        <f t="shared" si="20"/>
        <v>0.14515427386324808</v>
      </c>
      <c r="AI12" s="21">
        <f t="shared" si="18"/>
        <v>0.05</v>
      </c>
      <c r="AJ12" s="124">
        <f t="shared" si="1"/>
        <v>23438.057728815988</v>
      </c>
    </row>
    <row r="13" spans="2:36" x14ac:dyDescent="0.2">
      <c r="B13" s="10" t="s">
        <v>191</v>
      </c>
      <c r="C13" s="119"/>
      <c r="D13" s="119"/>
      <c r="E13" s="125"/>
      <c r="F13" s="125"/>
      <c r="G13" s="125">
        <v>0.61</v>
      </c>
      <c r="H13" s="125">
        <v>14</v>
      </c>
      <c r="I13" s="125">
        <v>12</v>
      </c>
      <c r="J13" s="125">
        <v>0.7</v>
      </c>
      <c r="K13" s="125">
        <v>0.22</v>
      </c>
      <c r="L13" s="125">
        <v>35</v>
      </c>
      <c r="M13" s="125">
        <v>16</v>
      </c>
      <c r="N13" s="125">
        <v>38</v>
      </c>
      <c r="O13" s="125">
        <v>109</v>
      </c>
      <c r="P13" s="125">
        <v>208</v>
      </c>
      <c r="Q13" s="125"/>
      <c r="R13" s="125">
        <v>339</v>
      </c>
      <c r="S13" s="182">
        <v>133</v>
      </c>
      <c r="T13" s="182">
        <v>439</v>
      </c>
      <c r="U13" s="182">
        <v>439</v>
      </c>
      <c r="V13" s="101">
        <f t="shared" si="2"/>
        <v>0.59985656933777687</v>
      </c>
      <c r="W13" s="21">
        <f t="shared" si="8"/>
        <v>0.15</v>
      </c>
      <c r="X13" s="131">
        <f t="shared" si="3"/>
        <v>504.84999999999997</v>
      </c>
      <c r="Y13" s="131">
        <f t="shared" ref="Y13:AG13" si="25">X13*(1+$W13)</f>
        <v>580.57749999999987</v>
      </c>
      <c r="Z13" s="131">
        <f t="shared" si="25"/>
        <v>667.66412499999979</v>
      </c>
      <c r="AA13" s="131">
        <f t="shared" si="25"/>
        <v>767.81374374999973</v>
      </c>
      <c r="AB13" s="131">
        <f t="shared" si="25"/>
        <v>882.98580531249968</v>
      </c>
      <c r="AC13" s="131">
        <f t="shared" si="25"/>
        <v>1015.4336761093746</v>
      </c>
      <c r="AD13" s="131">
        <f t="shared" si="25"/>
        <v>1167.7487275257806</v>
      </c>
      <c r="AE13" s="131">
        <f t="shared" si="25"/>
        <v>1342.9110366546477</v>
      </c>
      <c r="AF13" s="131">
        <f t="shared" si="25"/>
        <v>1544.3476921528447</v>
      </c>
      <c r="AG13" s="131">
        <f t="shared" si="25"/>
        <v>1775.9998459757712</v>
      </c>
      <c r="AH13" s="116">
        <f t="shared" si="20"/>
        <v>0.40609607176734541</v>
      </c>
      <c r="AI13" s="21">
        <f t="shared" si="18"/>
        <v>0.05</v>
      </c>
      <c r="AJ13" s="124">
        <f t="shared" si="1"/>
        <v>10969.410813379764</v>
      </c>
    </row>
    <row r="14" spans="2:36" x14ac:dyDescent="0.2">
      <c r="B14" s="10" t="s">
        <v>318</v>
      </c>
      <c r="C14" s="119"/>
      <c r="D14" s="119"/>
      <c r="E14" s="125"/>
      <c r="F14" s="125"/>
      <c r="G14" s="125">
        <v>0.01</v>
      </c>
      <c r="H14" s="125">
        <v>0</v>
      </c>
      <c r="I14" s="125">
        <v>0</v>
      </c>
      <c r="J14" s="125">
        <v>0</v>
      </c>
      <c r="K14" s="125">
        <v>0</v>
      </c>
      <c r="L14" s="125">
        <v>0</v>
      </c>
      <c r="M14" s="125">
        <v>0</v>
      </c>
      <c r="N14" s="125">
        <v>0</v>
      </c>
      <c r="O14" s="125">
        <v>0</v>
      </c>
      <c r="P14" s="125">
        <v>0</v>
      </c>
      <c r="Q14" s="125"/>
      <c r="R14" s="125">
        <v>3.03</v>
      </c>
      <c r="S14" s="182">
        <v>3</v>
      </c>
      <c r="T14" s="182">
        <v>7</v>
      </c>
      <c r="U14" s="182">
        <v>7</v>
      </c>
      <c r="V14" s="101">
        <f t="shared" si="2"/>
        <v>0.59669251194552864</v>
      </c>
      <c r="W14" s="21">
        <f t="shared" si="8"/>
        <v>0.15</v>
      </c>
      <c r="X14" s="131">
        <f t="shared" si="3"/>
        <v>8.0499999999999989</v>
      </c>
      <c r="Y14" s="131">
        <f t="shared" ref="Y14" si="26">X14*(1+$W14)</f>
        <v>9.2574999999999985</v>
      </c>
      <c r="Z14" s="131">
        <f t="shared" ref="Z14" si="27">Y14*(1+$W14)</f>
        <v>10.646124999999998</v>
      </c>
      <c r="AA14" s="131">
        <f t="shared" ref="AA14" si="28">Z14*(1+$W14)</f>
        <v>12.243043749999996</v>
      </c>
      <c r="AB14" s="131">
        <f t="shared" ref="AB14" si="29">AA14*(1+$W14)</f>
        <v>14.079500312499995</v>
      </c>
      <c r="AC14" s="131">
        <f t="shared" ref="AC14" si="30">AB14*(1+$W14)</f>
        <v>16.191425359374993</v>
      </c>
      <c r="AD14" s="131">
        <f t="shared" ref="AD14" si="31">AC14*(1+$W14)</f>
        <v>18.620139163281241</v>
      </c>
      <c r="AE14" s="131">
        <f t="shared" ref="AE14" si="32">AD14*(1+$W14)</f>
        <v>21.413160037773427</v>
      </c>
      <c r="AF14" s="131">
        <f t="shared" ref="AF14" si="33">AE14*(1+$W14)</f>
        <v>24.625134043439438</v>
      </c>
      <c r="AG14" s="131">
        <f t="shared" ref="AG14" si="34">AF14*(1+$W14)</f>
        <v>28.318904149955351</v>
      </c>
      <c r="AH14" s="116" t="e">
        <f t="shared" ref="AH14" si="35">((AG14/J14)^(1/($AG$3-$K$1) ))-1</f>
        <v>#DIV/0!</v>
      </c>
      <c r="AI14" s="21">
        <f t="shared" si="18"/>
        <v>0.05</v>
      </c>
      <c r="AJ14" s="124">
        <f t="shared" ref="AJ14" si="36">(AG14*(1+AI14))/($C$1-AI14)</f>
        <v>174.91087857325365</v>
      </c>
    </row>
    <row r="15" spans="2:36" x14ac:dyDescent="0.2">
      <c r="B15" s="10" t="s">
        <v>11</v>
      </c>
      <c r="C15" s="119"/>
      <c r="D15" s="119"/>
      <c r="E15" s="125"/>
      <c r="F15" s="125"/>
      <c r="G15" s="125">
        <v>168</v>
      </c>
      <c r="H15" s="125">
        <v>165</v>
      </c>
      <c r="I15" s="125">
        <v>362</v>
      </c>
      <c r="J15" s="125">
        <v>366</v>
      </c>
      <c r="K15" s="125">
        <v>310</v>
      </c>
      <c r="L15" s="125">
        <v>351</v>
      </c>
      <c r="M15" s="125">
        <v>358</v>
      </c>
      <c r="N15" s="125">
        <v>498</v>
      </c>
      <c r="O15" s="125">
        <v>418</v>
      </c>
      <c r="P15" s="125">
        <v>490</v>
      </c>
      <c r="Q15" s="125"/>
      <c r="R15" s="125">
        <v>925</v>
      </c>
      <c r="S15" s="125">
        <v>1815</v>
      </c>
      <c r="T15" s="182">
        <v>2322</v>
      </c>
      <c r="U15" s="182">
        <v>2322</v>
      </c>
      <c r="V15" s="101">
        <f t="shared" si="2"/>
        <v>0.20633538410739893</v>
      </c>
      <c r="W15" s="21">
        <f t="shared" si="8"/>
        <v>0.15</v>
      </c>
      <c r="X15" s="131">
        <f t="shared" si="3"/>
        <v>2670.2999999999997</v>
      </c>
      <c r="Y15" s="131">
        <f t="shared" ref="Y15:AG15" si="37">X15*(1+$W15)</f>
        <v>3070.8449999999993</v>
      </c>
      <c r="Z15" s="131">
        <f t="shared" si="37"/>
        <v>3531.4717499999988</v>
      </c>
      <c r="AA15" s="131">
        <f t="shared" si="37"/>
        <v>4061.1925124999984</v>
      </c>
      <c r="AB15" s="131">
        <f t="shared" si="37"/>
        <v>4670.3713893749982</v>
      </c>
      <c r="AC15" s="131">
        <f t="shared" si="37"/>
        <v>5370.9270977812475</v>
      </c>
      <c r="AD15" s="131">
        <f t="shared" si="37"/>
        <v>6176.5661624484346</v>
      </c>
      <c r="AE15" s="131">
        <f t="shared" si="37"/>
        <v>7103.0510868156989</v>
      </c>
      <c r="AF15" s="131">
        <f t="shared" si="37"/>
        <v>8168.5087498380535</v>
      </c>
      <c r="AG15" s="131">
        <f t="shared" si="37"/>
        <v>9393.7850623137601</v>
      </c>
      <c r="AH15" s="116">
        <f t="shared" si="20"/>
        <v>0.15153330016929889</v>
      </c>
      <c r="AI15" s="21">
        <f t="shared" si="18"/>
        <v>0.05</v>
      </c>
      <c r="AJ15" s="124">
        <f t="shared" si="1"/>
        <v>58020.437149584992</v>
      </c>
    </row>
    <row r="16" spans="2:36" x14ac:dyDescent="0.2">
      <c r="B16" s="10" t="s">
        <v>12</v>
      </c>
      <c r="C16" s="119"/>
      <c r="D16" s="119"/>
      <c r="E16" s="125"/>
      <c r="F16" s="125"/>
      <c r="G16" s="125">
        <v>105</v>
      </c>
      <c r="H16" s="125">
        <v>97</v>
      </c>
      <c r="I16" s="125">
        <v>185</v>
      </c>
      <c r="J16" s="125">
        <v>263</v>
      </c>
      <c r="K16" s="125">
        <v>268</v>
      </c>
      <c r="L16" s="125">
        <v>217</v>
      </c>
      <c r="M16" s="125">
        <v>279</v>
      </c>
      <c r="N16" s="125">
        <v>330</v>
      </c>
      <c r="O16" s="125">
        <v>267</v>
      </c>
      <c r="P16" s="125">
        <v>227</v>
      </c>
      <c r="Q16" s="125"/>
      <c r="R16" s="125">
        <v>278</v>
      </c>
      <c r="S16" s="182">
        <v>200</v>
      </c>
      <c r="T16" s="182">
        <v>491</v>
      </c>
      <c r="U16" s="182">
        <v>491</v>
      </c>
      <c r="V16" s="101">
        <f t="shared" si="2"/>
        <v>0.11647612992091672</v>
      </c>
      <c r="W16" s="21">
        <f t="shared" si="8"/>
        <v>0.15</v>
      </c>
      <c r="X16" s="131">
        <f t="shared" si="3"/>
        <v>564.65</v>
      </c>
      <c r="Y16" s="131">
        <f t="shared" ref="Y16:AG16" si="38">X16*(1+$W16)</f>
        <v>649.34749999999997</v>
      </c>
      <c r="Z16" s="131">
        <f t="shared" si="38"/>
        <v>746.74962499999992</v>
      </c>
      <c r="AA16" s="131">
        <f t="shared" si="38"/>
        <v>858.7620687499998</v>
      </c>
      <c r="AB16" s="131">
        <f t="shared" si="38"/>
        <v>987.57637906249965</v>
      </c>
      <c r="AC16" s="131">
        <f t="shared" si="38"/>
        <v>1135.7128359218746</v>
      </c>
      <c r="AD16" s="131">
        <f t="shared" si="38"/>
        <v>1306.0697613101556</v>
      </c>
      <c r="AE16" s="131">
        <f t="shared" si="38"/>
        <v>1501.9802255066788</v>
      </c>
      <c r="AF16" s="131">
        <f t="shared" si="38"/>
        <v>1727.2772593326806</v>
      </c>
      <c r="AG16" s="131">
        <f t="shared" si="38"/>
        <v>1986.3688482325826</v>
      </c>
      <c r="AH16" s="116">
        <f t="shared" si="20"/>
        <v>9.1888875233381073E-2</v>
      </c>
      <c r="AI16" s="21">
        <f t="shared" si="18"/>
        <v>0.05</v>
      </c>
      <c r="AJ16" s="124">
        <f t="shared" si="1"/>
        <v>12268.748768495365</v>
      </c>
    </row>
    <row r="17" spans="2:36" x14ac:dyDescent="0.2">
      <c r="B17" s="10"/>
      <c r="C17" s="119"/>
      <c r="D17" s="119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82"/>
      <c r="T17" s="182"/>
      <c r="U17" s="182"/>
      <c r="V17" s="10"/>
      <c r="W17" s="10"/>
      <c r="X17" s="131">
        <f t="shared" si="3"/>
        <v>0</v>
      </c>
      <c r="Y17" s="131"/>
      <c r="Z17" s="131"/>
      <c r="AA17" s="131"/>
      <c r="AB17" s="131"/>
      <c r="AC17" s="131"/>
      <c r="AD17" s="131"/>
      <c r="AE17" s="131"/>
      <c r="AF17" s="131"/>
      <c r="AG17" s="131"/>
      <c r="AH17" s="117"/>
      <c r="AI17" s="115"/>
      <c r="AJ17" s="131"/>
    </row>
    <row r="18" spans="2:36" x14ac:dyDescent="0.2">
      <c r="B18" s="10" t="s">
        <v>229</v>
      </c>
      <c r="C18" s="119"/>
      <c r="D18" s="119"/>
      <c r="E18" s="125"/>
      <c r="F18" s="125"/>
      <c r="G18" s="125">
        <v>52</v>
      </c>
      <c r="H18" s="125">
        <v>52</v>
      </c>
      <c r="I18" s="125">
        <v>213</v>
      </c>
      <c r="J18" s="125">
        <v>213</v>
      </c>
      <c r="K18" s="125">
        <v>214</v>
      </c>
      <c r="L18" s="125">
        <v>217</v>
      </c>
      <c r="M18" s="125">
        <v>240</v>
      </c>
      <c r="N18" s="125">
        <v>245</v>
      </c>
      <c r="O18" s="125">
        <v>244</v>
      </c>
      <c r="P18" s="125">
        <v>474</v>
      </c>
      <c r="Q18" s="125"/>
      <c r="R18" s="125">
        <v>1200</v>
      </c>
      <c r="S18" s="182">
        <v>1903</v>
      </c>
      <c r="T18" s="182">
        <v>2108</v>
      </c>
      <c r="U18" s="182">
        <v>2108</v>
      </c>
      <c r="V18" s="101">
        <f t="shared" si="2"/>
        <v>0.30270974413757701</v>
      </c>
      <c r="W18" s="21">
        <f t="shared" si="8"/>
        <v>0.15</v>
      </c>
      <c r="X18" s="131">
        <f t="shared" si="3"/>
        <v>2424.1999999999998</v>
      </c>
      <c r="Y18" s="131">
        <f t="shared" ref="Y18:Y34" si="39">X18*(1+$W18)</f>
        <v>2787.8299999999995</v>
      </c>
      <c r="Z18" s="131">
        <f t="shared" ref="Z18:Z34" si="40">Y18*(1+$W18)</f>
        <v>3206.0044999999991</v>
      </c>
      <c r="AA18" s="131">
        <f t="shared" ref="AA18:AA34" si="41">Z18*(1+$W18)</f>
        <v>3686.9051749999985</v>
      </c>
      <c r="AB18" s="131">
        <f t="shared" ref="AB18:AB51" si="42">AA18*(1+$W18)</f>
        <v>4239.9409512499979</v>
      </c>
      <c r="AC18" s="131">
        <f t="shared" ref="AC18:AC51" si="43">AB18*(1+$W18)</f>
        <v>4875.9320939374975</v>
      </c>
      <c r="AD18" s="131">
        <f t="shared" ref="AD18:AD51" si="44">AC18*(1+$W18)</f>
        <v>5607.3219080281215</v>
      </c>
      <c r="AE18" s="131">
        <f t="shared" ref="AE18:AE51" si="45">AD18*(1+$W18)</f>
        <v>6448.4201942323389</v>
      </c>
      <c r="AF18" s="131">
        <f t="shared" ref="AF18:AF51" si="46">AE18*(1+$W18)</f>
        <v>7415.6832233671894</v>
      </c>
      <c r="AG18" s="131">
        <f t="shared" ref="AG18:AG51" si="47">AF18*(1+$W18)</f>
        <v>8528.0357068722678</v>
      </c>
      <c r="AH18" s="116">
        <f t="shared" si="20"/>
        <v>0.1740121267357424</v>
      </c>
      <c r="AI18" s="21">
        <f t="shared" si="18"/>
        <v>0.05</v>
      </c>
      <c r="AJ18" s="124">
        <f t="shared" si="1"/>
        <v>52673.161718916956</v>
      </c>
    </row>
    <row r="19" spans="2:36" x14ac:dyDescent="0.2">
      <c r="B19" s="10"/>
      <c r="C19" s="119"/>
      <c r="D19" s="119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82"/>
      <c r="T19" s="182"/>
      <c r="U19" s="182"/>
      <c r="V19" s="10"/>
      <c r="W19" s="10"/>
      <c r="X19" s="131">
        <f t="shared" si="3"/>
        <v>0</v>
      </c>
      <c r="Y19" s="131"/>
      <c r="Z19" s="131"/>
      <c r="AA19" s="131"/>
      <c r="AB19" s="131"/>
      <c r="AC19" s="131"/>
      <c r="AD19" s="131"/>
      <c r="AE19" s="131"/>
      <c r="AF19" s="131"/>
      <c r="AG19" s="131"/>
      <c r="AH19" s="117"/>
      <c r="AI19" s="115"/>
      <c r="AJ19" s="131"/>
    </row>
    <row r="20" spans="2:36" x14ac:dyDescent="0.2">
      <c r="B20" s="10" t="s">
        <v>234</v>
      </c>
      <c r="C20" s="119"/>
      <c r="D20" s="119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82"/>
      <c r="T20" s="182"/>
      <c r="U20" s="182"/>
      <c r="V20" s="101" t="e">
        <f t="shared" si="2"/>
        <v>#DIV/0!</v>
      </c>
      <c r="W20" s="21">
        <f t="shared" si="8"/>
        <v>0.15</v>
      </c>
      <c r="X20" s="131">
        <f t="shared" si="3"/>
        <v>0</v>
      </c>
      <c r="Y20" s="131">
        <f t="shared" ref="Y20:Y22" si="48">X20*(1+$W20)</f>
        <v>0</v>
      </c>
      <c r="Z20" s="131">
        <f t="shared" ref="Z20:Z22" si="49">Y20*(1+$W20)</f>
        <v>0</v>
      </c>
      <c r="AA20" s="131">
        <f t="shared" ref="AA20:AA22" si="50">Z20*(1+$W20)</f>
        <v>0</v>
      </c>
      <c r="AB20" s="131">
        <f t="shared" ref="AB20:AB22" si="51">AA20*(1+$W20)</f>
        <v>0</v>
      </c>
      <c r="AC20" s="131">
        <f t="shared" ref="AC20:AC22" si="52">AB20*(1+$W20)</f>
        <v>0</v>
      </c>
      <c r="AD20" s="131">
        <f t="shared" ref="AD20:AD22" si="53">AC20*(1+$W20)</f>
        <v>0</v>
      </c>
      <c r="AE20" s="131">
        <f t="shared" ref="AE20:AE22" si="54">AD20*(1+$W20)</f>
        <v>0</v>
      </c>
      <c r="AF20" s="131">
        <f t="shared" ref="AF20:AF22" si="55">AE20*(1+$W20)</f>
        <v>0</v>
      </c>
      <c r="AG20" s="131">
        <f t="shared" ref="AG20:AG22" si="56">AF20*(1+$W20)</f>
        <v>0</v>
      </c>
      <c r="AH20" s="116" t="e">
        <f t="shared" ref="AH20:AH22" si="57">((AG20/J20)^(1/($AG$3-$K$1) ))-1</f>
        <v>#DIV/0!</v>
      </c>
      <c r="AI20" s="21">
        <f t="shared" si="18"/>
        <v>0.05</v>
      </c>
      <c r="AJ20" s="124">
        <f t="shared" si="1"/>
        <v>0</v>
      </c>
    </row>
    <row r="21" spans="2:36" x14ac:dyDescent="0.2">
      <c r="B21" s="10" t="s">
        <v>235</v>
      </c>
      <c r="C21" s="119"/>
      <c r="D21" s="119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82"/>
      <c r="T21" s="182"/>
      <c r="U21" s="182"/>
      <c r="V21" s="101" t="e">
        <f t="shared" si="2"/>
        <v>#DIV/0!</v>
      </c>
      <c r="W21" s="21">
        <f t="shared" si="8"/>
        <v>0.15</v>
      </c>
      <c r="X21" s="131">
        <f t="shared" si="3"/>
        <v>0</v>
      </c>
      <c r="Y21" s="131">
        <f t="shared" si="48"/>
        <v>0</v>
      </c>
      <c r="Z21" s="131">
        <f t="shared" si="49"/>
        <v>0</v>
      </c>
      <c r="AA21" s="131">
        <f t="shared" si="50"/>
        <v>0</v>
      </c>
      <c r="AB21" s="131">
        <f t="shared" si="51"/>
        <v>0</v>
      </c>
      <c r="AC21" s="131">
        <f t="shared" si="52"/>
        <v>0</v>
      </c>
      <c r="AD21" s="131">
        <f t="shared" si="53"/>
        <v>0</v>
      </c>
      <c r="AE21" s="131">
        <f t="shared" si="54"/>
        <v>0</v>
      </c>
      <c r="AF21" s="131">
        <f t="shared" si="55"/>
        <v>0</v>
      </c>
      <c r="AG21" s="131">
        <f t="shared" si="56"/>
        <v>0</v>
      </c>
      <c r="AH21" s="116" t="e">
        <f t="shared" si="57"/>
        <v>#DIV/0!</v>
      </c>
      <c r="AI21" s="21">
        <f t="shared" si="18"/>
        <v>0.05</v>
      </c>
      <c r="AJ21" s="124">
        <f t="shared" si="1"/>
        <v>0</v>
      </c>
    </row>
    <row r="22" spans="2:36" x14ac:dyDescent="0.2">
      <c r="B22" s="10" t="s">
        <v>236</v>
      </c>
      <c r="C22" s="119"/>
      <c r="D22" s="119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82"/>
      <c r="T22" s="182"/>
      <c r="U22" s="182"/>
      <c r="V22" s="101" t="e">
        <f t="shared" si="2"/>
        <v>#DIV/0!</v>
      </c>
      <c r="W22" s="21">
        <f t="shared" si="8"/>
        <v>0.15</v>
      </c>
      <c r="X22" s="131">
        <f t="shared" si="3"/>
        <v>0</v>
      </c>
      <c r="Y22" s="131">
        <f t="shared" si="48"/>
        <v>0</v>
      </c>
      <c r="Z22" s="131">
        <f t="shared" si="49"/>
        <v>0</v>
      </c>
      <c r="AA22" s="131">
        <f t="shared" si="50"/>
        <v>0</v>
      </c>
      <c r="AB22" s="131">
        <f t="shared" si="51"/>
        <v>0</v>
      </c>
      <c r="AC22" s="131">
        <f t="shared" si="52"/>
        <v>0</v>
      </c>
      <c r="AD22" s="131">
        <f t="shared" si="53"/>
        <v>0</v>
      </c>
      <c r="AE22" s="131">
        <f t="shared" si="54"/>
        <v>0</v>
      </c>
      <c r="AF22" s="131">
        <f t="shared" si="55"/>
        <v>0</v>
      </c>
      <c r="AG22" s="131">
        <f t="shared" si="56"/>
        <v>0</v>
      </c>
      <c r="AH22" s="116" t="e">
        <f t="shared" si="57"/>
        <v>#DIV/0!</v>
      </c>
      <c r="AI22" s="21">
        <f t="shared" si="18"/>
        <v>0.05</v>
      </c>
      <c r="AJ22" s="124">
        <f t="shared" si="1"/>
        <v>0</v>
      </c>
    </row>
    <row r="23" spans="2:36" x14ac:dyDescent="0.2">
      <c r="B23" s="10" t="s">
        <v>245</v>
      </c>
      <c r="C23" s="119"/>
      <c r="D23" s="119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82"/>
      <c r="T23" s="182"/>
      <c r="U23" s="182"/>
      <c r="V23" s="101" t="e">
        <f t="shared" si="2"/>
        <v>#DIV/0!</v>
      </c>
      <c r="W23" s="21">
        <f t="shared" si="8"/>
        <v>0.15</v>
      </c>
      <c r="X23" s="131">
        <f t="shared" si="3"/>
        <v>0</v>
      </c>
      <c r="Y23" s="131">
        <f t="shared" ref="Y23" si="58">X23*(1+$W23)</f>
        <v>0</v>
      </c>
      <c r="Z23" s="131">
        <f t="shared" ref="Z23" si="59">Y23*(1+$W23)</f>
        <v>0</v>
      </c>
      <c r="AA23" s="131">
        <f t="shared" ref="AA23" si="60">Z23*(1+$W23)</f>
        <v>0</v>
      </c>
      <c r="AB23" s="131">
        <f t="shared" ref="AB23" si="61">AA23*(1+$W23)</f>
        <v>0</v>
      </c>
      <c r="AC23" s="131">
        <f t="shared" ref="AC23" si="62">AB23*(1+$W23)</f>
        <v>0</v>
      </c>
      <c r="AD23" s="131">
        <f t="shared" ref="AD23" si="63">AC23*(1+$W23)</f>
        <v>0</v>
      </c>
      <c r="AE23" s="131">
        <f t="shared" ref="AE23" si="64">AD23*(1+$W23)</f>
        <v>0</v>
      </c>
      <c r="AF23" s="131">
        <f t="shared" ref="AF23" si="65">AE23*(1+$W23)</f>
        <v>0</v>
      </c>
      <c r="AG23" s="131">
        <f t="shared" ref="AG23" si="66">AF23*(1+$W23)</f>
        <v>0</v>
      </c>
      <c r="AH23" s="116" t="e">
        <f t="shared" ref="AH23" si="67">((AG23/J23)^(1/($AG$3-$K$1) ))-1</f>
        <v>#DIV/0!</v>
      </c>
      <c r="AI23" s="21">
        <f t="shared" si="18"/>
        <v>0.05</v>
      </c>
      <c r="AJ23" s="124">
        <f t="shared" si="1"/>
        <v>0</v>
      </c>
    </row>
    <row r="24" spans="2:36" x14ac:dyDescent="0.2">
      <c r="B24" s="10"/>
      <c r="C24" s="119"/>
      <c r="D24" s="119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82"/>
      <c r="T24" s="182"/>
      <c r="U24" s="182"/>
      <c r="V24" s="10"/>
      <c r="W24" s="10"/>
      <c r="X24" s="131">
        <f t="shared" si="3"/>
        <v>0</v>
      </c>
      <c r="Y24" s="131"/>
      <c r="Z24" s="131"/>
      <c r="AA24" s="131"/>
      <c r="AB24" s="131"/>
      <c r="AC24" s="131"/>
      <c r="AD24" s="131"/>
      <c r="AE24" s="131"/>
      <c r="AF24" s="131"/>
      <c r="AG24" s="131"/>
      <c r="AH24" s="102"/>
      <c r="AI24" s="115"/>
      <c r="AJ24" s="131"/>
    </row>
    <row r="25" spans="2:36" x14ac:dyDescent="0.2">
      <c r="B25" s="10" t="s">
        <v>68</v>
      </c>
      <c r="C25" s="119"/>
      <c r="D25" s="119"/>
      <c r="E25" s="125"/>
      <c r="F25" s="125"/>
      <c r="G25" s="125">
        <v>138</v>
      </c>
      <c r="H25" s="125">
        <v>138</v>
      </c>
      <c r="I25" s="125">
        <v>224</v>
      </c>
      <c r="J25" s="125">
        <v>298</v>
      </c>
      <c r="K25" s="125">
        <v>339</v>
      </c>
      <c r="L25" s="125">
        <v>290</v>
      </c>
      <c r="M25" s="125">
        <v>347</v>
      </c>
      <c r="N25" s="125">
        <v>347</v>
      </c>
      <c r="O25" s="125">
        <v>410</v>
      </c>
      <c r="P25" s="125">
        <v>1305</v>
      </c>
      <c r="Q25" s="125"/>
      <c r="R25" s="125">
        <v>3286</v>
      </c>
      <c r="S25" s="182">
        <v>6066</v>
      </c>
      <c r="T25" s="182">
        <v>8683</v>
      </c>
      <c r="U25" s="182">
        <v>8683</v>
      </c>
      <c r="V25" s="101">
        <f t="shared" si="2"/>
        <v>0.34426549458657196</v>
      </c>
      <c r="W25" s="21">
        <f t="shared" si="8"/>
        <v>0.15</v>
      </c>
      <c r="X25" s="131">
        <f t="shared" si="3"/>
        <v>9985.4499999999989</v>
      </c>
      <c r="Y25" s="131">
        <f t="shared" si="39"/>
        <v>11483.267499999998</v>
      </c>
      <c r="Z25" s="131">
        <f t="shared" si="40"/>
        <v>13205.757624999997</v>
      </c>
      <c r="AA25" s="131">
        <f t="shared" si="41"/>
        <v>15186.621268749996</v>
      </c>
      <c r="AB25" s="131">
        <f t="shared" si="42"/>
        <v>17464.614459062494</v>
      </c>
      <c r="AC25" s="131">
        <f t="shared" si="43"/>
        <v>20084.306627921866</v>
      </c>
      <c r="AD25" s="131">
        <f t="shared" si="44"/>
        <v>23096.952622110144</v>
      </c>
      <c r="AE25" s="131">
        <f t="shared" si="45"/>
        <v>26561.495515426664</v>
      </c>
      <c r="AF25" s="131">
        <f t="shared" si="46"/>
        <v>30545.719842740662</v>
      </c>
      <c r="AG25" s="131">
        <f t="shared" si="47"/>
        <v>35127.57781915176</v>
      </c>
      <c r="AH25" s="116">
        <f t="shared" si="20"/>
        <v>0.23044514862383081</v>
      </c>
      <c r="AI25" s="21">
        <f t="shared" si="18"/>
        <v>0.05</v>
      </c>
      <c r="AJ25" s="124">
        <f t="shared" si="1"/>
        <v>216964.45123593736</v>
      </c>
    </row>
    <row r="26" spans="2:36" s="106" customFormat="1" x14ac:dyDescent="0.2">
      <c r="B26" s="13"/>
      <c r="C26" s="126"/>
      <c r="D26" s="126"/>
      <c r="E26" s="127"/>
      <c r="F26" s="272"/>
      <c r="G26" s="272">
        <f>(G25-F25)/G25</f>
        <v>1</v>
      </c>
      <c r="H26" s="272">
        <f>(H25-G25)/H25</f>
        <v>0</v>
      </c>
      <c r="I26" s="272">
        <f t="shared" ref="I26:P26" si="68">(I25-H25)/I25</f>
        <v>0.38392857142857145</v>
      </c>
      <c r="J26" s="272">
        <f t="shared" ref="J26" si="69">(J25-I25)/J25</f>
        <v>0.24832214765100671</v>
      </c>
      <c r="K26" s="272">
        <f t="shared" ref="K26" si="70">(K25-J25)/K25</f>
        <v>0.12094395280235988</v>
      </c>
      <c r="L26" s="272">
        <f t="shared" ref="L26" si="71">(L25-K25)/L25</f>
        <v>-0.16896551724137931</v>
      </c>
      <c r="M26" s="272">
        <f t="shared" ref="M26" si="72">(M25-L25)/M25</f>
        <v>0.16426512968299711</v>
      </c>
      <c r="N26" s="272">
        <f t="shared" si="68"/>
        <v>0</v>
      </c>
      <c r="O26" s="272">
        <f t="shared" si="68"/>
        <v>0.15365853658536585</v>
      </c>
      <c r="P26" s="272">
        <f t="shared" si="68"/>
        <v>0.68582375478927204</v>
      </c>
      <c r="Q26" s="272" t="e">
        <f t="shared" ref="Q26:R26" si="73">(Q25-P25)/Q25</f>
        <v>#DIV/0!</v>
      </c>
      <c r="R26" s="272">
        <f t="shared" si="73"/>
        <v>1</v>
      </c>
      <c r="S26" s="128">
        <f t="shared" ref="S26:U26" si="74">(S25-R25)/R25</f>
        <v>0.84601339013998778</v>
      </c>
      <c r="T26" s="128">
        <f t="shared" si="74"/>
        <v>0.43142103527860204</v>
      </c>
      <c r="U26" s="128">
        <f t="shared" si="74"/>
        <v>0</v>
      </c>
      <c r="V26" s="10"/>
      <c r="W26" s="10"/>
      <c r="X26" s="131"/>
      <c r="Y26" s="132"/>
      <c r="Z26" s="132"/>
      <c r="AA26" s="132"/>
      <c r="AB26" s="132"/>
      <c r="AC26" s="132"/>
      <c r="AD26" s="132"/>
      <c r="AE26" s="132"/>
      <c r="AF26" s="132"/>
      <c r="AG26" s="132"/>
      <c r="AH26" s="102"/>
      <c r="AI26" s="115"/>
      <c r="AJ26" s="131"/>
    </row>
    <row r="27" spans="2:36" x14ac:dyDescent="0.2">
      <c r="B27" s="10" t="s">
        <v>219</v>
      </c>
      <c r="C27" s="119"/>
      <c r="D27" s="119"/>
      <c r="E27" s="125"/>
      <c r="F27" s="125"/>
      <c r="G27" s="125">
        <v>87</v>
      </c>
      <c r="H27" s="125">
        <v>87</v>
      </c>
      <c r="I27" s="125">
        <v>148</v>
      </c>
      <c r="J27" s="125">
        <v>198</v>
      </c>
      <c r="K27" s="125">
        <v>240</v>
      </c>
      <c r="L27" s="125">
        <v>224</v>
      </c>
      <c r="M27" s="125">
        <v>237</v>
      </c>
      <c r="N27" s="125">
        <v>237</v>
      </c>
      <c r="O27" s="125">
        <v>285</v>
      </c>
      <c r="P27" s="125">
        <v>1143</v>
      </c>
      <c r="Q27" s="125"/>
      <c r="R27" s="125">
        <v>3002</v>
      </c>
      <c r="S27" s="182">
        <v>5909</v>
      </c>
      <c r="T27" s="182">
        <v>8275</v>
      </c>
      <c r="U27" s="182">
        <v>8275</v>
      </c>
      <c r="V27" s="101">
        <f t="shared" si="2"/>
        <v>0.38453354395232875</v>
      </c>
      <c r="W27" s="21">
        <f t="shared" si="8"/>
        <v>0.15</v>
      </c>
      <c r="X27" s="131">
        <f t="shared" si="3"/>
        <v>9516.25</v>
      </c>
      <c r="Y27" s="131">
        <f t="shared" si="39"/>
        <v>10943.6875</v>
      </c>
      <c r="Z27" s="131">
        <f t="shared" si="40"/>
        <v>12585.240624999999</v>
      </c>
      <c r="AA27" s="131">
        <f t="shared" si="41"/>
        <v>14473.026718749998</v>
      </c>
      <c r="AB27" s="131">
        <f t="shared" si="42"/>
        <v>16643.980726562495</v>
      </c>
      <c r="AC27" s="131">
        <f t="shared" si="43"/>
        <v>19140.577835546868</v>
      </c>
      <c r="AD27" s="131">
        <f t="shared" si="44"/>
        <v>22011.664510878898</v>
      </c>
      <c r="AE27" s="131">
        <f t="shared" si="45"/>
        <v>25313.414187510731</v>
      </c>
      <c r="AF27" s="131">
        <f t="shared" si="46"/>
        <v>29110.426315637338</v>
      </c>
      <c r="AG27" s="131">
        <f t="shared" si="47"/>
        <v>33476.990262982938</v>
      </c>
      <c r="AH27" s="116">
        <f t="shared" si="20"/>
        <v>0.24989374979174039</v>
      </c>
      <c r="AI27" s="21">
        <f t="shared" si="18"/>
        <v>0.05</v>
      </c>
      <c r="AJ27" s="124">
        <f t="shared" si="1"/>
        <v>206769.64574195349</v>
      </c>
    </row>
    <row r="28" spans="2:36" s="106" customFormat="1" x14ac:dyDescent="0.2">
      <c r="B28" s="13"/>
      <c r="C28" s="126"/>
      <c r="D28" s="126"/>
      <c r="E28" s="127"/>
      <c r="F28" s="272"/>
      <c r="G28" s="272">
        <f t="shared" ref="G28:P28" si="75">(G27-F27)/G27</f>
        <v>1</v>
      </c>
      <c r="H28" s="272">
        <f t="shared" si="75"/>
        <v>0</v>
      </c>
      <c r="I28" s="272">
        <f t="shared" si="75"/>
        <v>0.41216216216216217</v>
      </c>
      <c r="J28" s="272">
        <f t="shared" ref="J28" si="76">(J27-I27)/J27</f>
        <v>0.25252525252525254</v>
      </c>
      <c r="K28" s="272">
        <f t="shared" ref="K28" si="77">(K27-J27)/K27</f>
        <v>0.17499999999999999</v>
      </c>
      <c r="L28" s="272">
        <f t="shared" ref="L28" si="78">(L27-K27)/L27</f>
        <v>-7.1428571428571425E-2</v>
      </c>
      <c r="M28" s="272">
        <f t="shared" ref="M28" si="79">(M27-L27)/M27</f>
        <v>5.4852320675105488E-2</v>
      </c>
      <c r="N28" s="272">
        <f t="shared" si="75"/>
        <v>0</v>
      </c>
      <c r="O28" s="272">
        <f t="shared" si="75"/>
        <v>0.16842105263157894</v>
      </c>
      <c r="P28" s="272">
        <f t="shared" si="75"/>
        <v>0.75065616797900259</v>
      </c>
      <c r="Q28" s="272" t="e">
        <f t="shared" ref="Q28:R28" si="80">(Q27-P27)/Q27</f>
        <v>#DIV/0!</v>
      </c>
      <c r="R28" s="272">
        <f t="shared" si="80"/>
        <v>1</v>
      </c>
      <c r="S28" s="128">
        <f t="shared" ref="S28:U28" si="81">(S27-R27)/R27</f>
        <v>0.96835443037974689</v>
      </c>
      <c r="T28" s="128">
        <f t="shared" si="81"/>
        <v>0.4004061600947707</v>
      </c>
      <c r="U28" s="128">
        <f t="shared" si="81"/>
        <v>0</v>
      </c>
      <c r="V28" s="10"/>
      <c r="W28" s="10"/>
      <c r="X28" s="131"/>
      <c r="Y28" s="132"/>
      <c r="Z28" s="132"/>
      <c r="AA28" s="132"/>
      <c r="AB28" s="132"/>
      <c r="AC28" s="132"/>
      <c r="AD28" s="132"/>
      <c r="AE28" s="132"/>
      <c r="AF28" s="132"/>
      <c r="AG28" s="132"/>
      <c r="AH28" s="102"/>
      <c r="AI28" s="115"/>
      <c r="AJ28" s="131"/>
    </row>
    <row r="29" spans="2:36" s="106" customFormat="1" x14ac:dyDescent="0.2">
      <c r="B29" s="10" t="s">
        <v>269</v>
      </c>
      <c r="C29" s="126"/>
      <c r="D29" s="126"/>
      <c r="E29" s="127"/>
      <c r="F29" s="125"/>
      <c r="G29" s="125">
        <v>4</v>
      </c>
      <c r="H29" s="125">
        <v>4</v>
      </c>
      <c r="I29" s="125">
        <v>11</v>
      </c>
      <c r="J29" s="125">
        <v>33</v>
      </c>
      <c r="K29" s="125">
        <v>36</v>
      </c>
      <c r="L29" s="125">
        <v>20</v>
      </c>
      <c r="M29" s="125">
        <v>22</v>
      </c>
      <c r="N29" s="125">
        <v>22</v>
      </c>
      <c r="O29" s="125">
        <v>31</v>
      </c>
      <c r="P29" s="125">
        <v>42</v>
      </c>
      <c r="Q29" s="125"/>
      <c r="R29" s="125">
        <v>71</v>
      </c>
      <c r="S29" s="182">
        <v>92</v>
      </c>
      <c r="T29" s="182">
        <v>131</v>
      </c>
      <c r="U29" s="182">
        <v>131</v>
      </c>
      <c r="V29" s="101">
        <f t="shared" si="2"/>
        <v>0.28300804289673409</v>
      </c>
      <c r="W29" s="21">
        <f t="shared" si="8"/>
        <v>0.15</v>
      </c>
      <c r="X29" s="131">
        <f t="shared" si="3"/>
        <v>150.64999999999998</v>
      </c>
      <c r="Y29" s="131">
        <f t="shared" ref="Y29" si="82">X29*(1+$W29)</f>
        <v>173.24749999999997</v>
      </c>
      <c r="Z29" s="131">
        <f t="shared" ref="Z29" si="83">Y29*(1+$W29)</f>
        <v>199.23462499999997</v>
      </c>
      <c r="AA29" s="131">
        <f t="shared" ref="AA29" si="84">Z29*(1+$W29)</f>
        <v>229.11981874999995</v>
      </c>
      <c r="AB29" s="131">
        <f t="shared" ref="AB29" si="85">AA29*(1+$W29)</f>
        <v>263.48779156249992</v>
      </c>
      <c r="AC29" s="131">
        <f t="shared" ref="AC29" si="86">AB29*(1+$W29)</f>
        <v>303.01096029687488</v>
      </c>
      <c r="AD29" s="131">
        <f t="shared" ref="AD29" si="87">AC29*(1+$W29)</f>
        <v>348.46260434140606</v>
      </c>
      <c r="AE29" s="131">
        <f t="shared" ref="AE29" si="88">AD29*(1+$W29)</f>
        <v>400.73199499261693</v>
      </c>
      <c r="AF29" s="131">
        <f t="shared" ref="AF29" si="89">AE29*(1+$W29)</f>
        <v>460.84179424150943</v>
      </c>
      <c r="AG29" s="131">
        <f t="shared" ref="AG29" si="90">AF29*(1+$W29)</f>
        <v>529.9680633777358</v>
      </c>
      <c r="AH29" s="116">
        <f t="shared" ref="AH29" si="91">((AG29/J29)^(1/($AG$3-$K$1) ))-1</f>
        <v>0.12829663751178266</v>
      </c>
      <c r="AI29" s="21">
        <f t="shared" si="18"/>
        <v>0.05</v>
      </c>
      <c r="AJ29" s="124">
        <f t="shared" ref="AJ29" si="92">(AG29*(1+AI29))/($C$1-AI29)</f>
        <v>3273.332156156604</v>
      </c>
    </row>
    <row r="30" spans="2:36" s="106" customFormat="1" x14ac:dyDescent="0.2">
      <c r="B30" s="13"/>
      <c r="C30" s="126"/>
      <c r="D30" s="126"/>
      <c r="E30" s="127"/>
      <c r="F30" s="272"/>
      <c r="G30" s="272">
        <f t="shared" ref="G30:P30" si="93">(G29-F29)/G29</f>
        <v>1</v>
      </c>
      <c r="H30" s="272">
        <f t="shared" si="93"/>
        <v>0</v>
      </c>
      <c r="I30" s="272">
        <f t="shared" si="93"/>
        <v>0.63636363636363635</v>
      </c>
      <c r="J30" s="272">
        <f t="shared" si="93"/>
        <v>0.66666666666666663</v>
      </c>
      <c r="K30" s="272">
        <f t="shared" si="93"/>
        <v>8.3333333333333329E-2</v>
      </c>
      <c r="L30" s="272">
        <f t="shared" si="93"/>
        <v>-0.8</v>
      </c>
      <c r="M30" s="272">
        <f t="shared" si="93"/>
        <v>9.0909090909090912E-2</v>
      </c>
      <c r="N30" s="272">
        <f t="shared" si="93"/>
        <v>0</v>
      </c>
      <c r="O30" s="272">
        <f t="shared" si="93"/>
        <v>0.29032258064516131</v>
      </c>
      <c r="P30" s="272">
        <f t="shared" si="93"/>
        <v>0.26190476190476192</v>
      </c>
      <c r="Q30" s="272" t="e">
        <f t="shared" ref="Q30:R30" si="94">(Q29-P29)/Q29</f>
        <v>#DIV/0!</v>
      </c>
      <c r="R30" s="272">
        <f t="shared" si="94"/>
        <v>1</v>
      </c>
      <c r="S30" s="128">
        <f t="shared" ref="S30:U30" si="95">(S29-R29)/R29</f>
        <v>0.29577464788732394</v>
      </c>
      <c r="T30" s="128">
        <f t="shared" si="95"/>
        <v>0.42391304347826086</v>
      </c>
      <c r="U30" s="128">
        <f t="shared" si="95"/>
        <v>0</v>
      </c>
      <c r="V30" s="10"/>
      <c r="W30" s="10"/>
      <c r="X30" s="131"/>
      <c r="Y30" s="132"/>
      <c r="Z30" s="132"/>
      <c r="AA30" s="132"/>
      <c r="AB30" s="132"/>
      <c r="AC30" s="132"/>
      <c r="AD30" s="132"/>
      <c r="AE30" s="132"/>
      <c r="AF30" s="132"/>
      <c r="AG30" s="132"/>
      <c r="AH30" s="139"/>
      <c r="AI30" s="115"/>
      <c r="AJ30" s="131"/>
    </row>
    <row r="31" spans="2:36" x14ac:dyDescent="0.2">
      <c r="B31" s="10" t="s">
        <v>277</v>
      </c>
      <c r="C31" s="119"/>
      <c r="D31" s="119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82">
        <v>0</v>
      </c>
      <c r="T31" s="182">
        <v>0</v>
      </c>
      <c r="U31" s="182">
        <v>0</v>
      </c>
      <c r="V31" s="101" t="e">
        <f t="shared" si="2"/>
        <v>#DIV/0!</v>
      </c>
      <c r="W31" s="21">
        <f t="shared" si="8"/>
        <v>0.15</v>
      </c>
      <c r="X31" s="131">
        <f t="shared" si="3"/>
        <v>0</v>
      </c>
      <c r="Y31" s="131">
        <f>X31*(1+$W31)</f>
        <v>0</v>
      </c>
      <c r="Z31" s="131">
        <f t="shared" ref="Z31:AG32" si="96">Y31*(1+$W31)</f>
        <v>0</v>
      </c>
      <c r="AA31" s="131">
        <f t="shared" si="96"/>
        <v>0</v>
      </c>
      <c r="AB31" s="131">
        <f t="shared" si="96"/>
        <v>0</v>
      </c>
      <c r="AC31" s="131">
        <f t="shared" si="96"/>
        <v>0</v>
      </c>
      <c r="AD31" s="131">
        <f t="shared" si="96"/>
        <v>0</v>
      </c>
      <c r="AE31" s="131">
        <f t="shared" si="96"/>
        <v>0</v>
      </c>
      <c r="AF31" s="131">
        <f t="shared" si="96"/>
        <v>0</v>
      </c>
      <c r="AG31" s="131">
        <f t="shared" si="96"/>
        <v>0</v>
      </c>
      <c r="AH31" s="116" t="e">
        <f t="shared" ref="AH31" si="97">((AG31/J31)^(1/($AG$3-$K$1) ))-1</f>
        <v>#DIV/0!</v>
      </c>
      <c r="AI31" s="21">
        <f t="shared" si="18"/>
        <v>0.05</v>
      </c>
      <c r="AJ31" s="124">
        <f t="shared" si="1"/>
        <v>0</v>
      </c>
    </row>
    <row r="32" spans="2:36" x14ac:dyDescent="0.2">
      <c r="B32" s="10" t="s">
        <v>276</v>
      </c>
      <c r="C32" s="119"/>
      <c r="D32" s="119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82"/>
      <c r="T32" s="182"/>
      <c r="U32" s="182"/>
      <c r="V32" s="101" t="e">
        <f t="shared" si="2"/>
        <v>#DIV/0!</v>
      </c>
      <c r="W32" s="21">
        <f t="shared" si="8"/>
        <v>0.15</v>
      </c>
      <c r="X32" s="131">
        <f t="shared" si="3"/>
        <v>0</v>
      </c>
      <c r="Y32" s="131">
        <f>X32*(1+$W32)</f>
        <v>0</v>
      </c>
      <c r="Z32" s="131">
        <f t="shared" si="96"/>
        <v>0</v>
      </c>
      <c r="AA32" s="131">
        <f t="shared" si="96"/>
        <v>0</v>
      </c>
      <c r="AB32" s="131">
        <f t="shared" si="96"/>
        <v>0</v>
      </c>
      <c r="AC32" s="131">
        <f t="shared" si="96"/>
        <v>0</v>
      </c>
      <c r="AD32" s="131">
        <f t="shared" si="96"/>
        <v>0</v>
      </c>
      <c r="AE32" s="131">
        <f t="shared" si="96"/>
        <v>0</v>
      </c>
      <c r="AF32" s="131">
        <f t="shared" si="96"/>
        <v>0</v>
      </c>
      <c r="AG32" s="131">
        <f t="shared" si="96"/>
        <v>0</v>
      </c>
      <c r="AH32" s="116" t="e">
        <f t="shared" ref="AH32" si="98">((AG32/J32)^(1/($AG$3-$K$1) ))-1</f>
        <v>#DIV/0!</v>
      </c>
      <c r="AI32" s="21">
        <f t="shared" si="18"/>
        <v>0.05</v>
      </c>
      <c r="AJ32" s="124">
        <f t="shared" si="1"/>
        <v>0</v>
      </c>
    </row>
    <row r="33" spans="1:36" x14ac:dyDescent="0.2">
      <c r="B33" s="10" t="s">
        <v>513</v>
      </c>
      <c r="C33" s="119"/>
      <c r="D33" s="119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82"/>
      <c r="T33" s="182"/>
      <c r="U33" s="182"/>
      <c r="V33" s="101" t="e">
        <f t="shared" si="2"/>
        <v>#DIV/0!</v>
      </c>
      <c r="W33" s="21">
        <f t="shared" si="8"/>
        <v>0.15</v>
      </c>
      <c r="X33" s="131">
        <f t="shared" si="3"/>
        <v>0</v>
      </c>
      <c r="Y33" s="131">
        <f t="shared" si="39"/>
        <v>0</v>
      </c>
      <c r="Z33" s="131">
        <f t="shared" si="40"/>
        <v>0</v>
      </c>
      <c r="AA33" s="131">
        <f t="shared" si="41"/>
        <v>0</v>
      </c>
      <c r="AB33" s="131">
        <f t="shared" si="42"/>
        <v>0</v>
      </c>
      <c r="AC33" s="131">
        <f t="shared" si="43"/>
        <v>0</v>
      </c>
      <c r="AD33" s="131">
        <f t="shared" si="44"/>
        <v>0</v>
      </c>
      <c r="AE33" s="131">
        <f t="shared" si="45"/>
        <v>0</v>
      </c>
      <c r="AF33" s="131">
        <f t="shared" si="46"/>
        <v>0</v>
      </c>
      <c r="AG33" s="131">
        <f t="shared" si="47"/>
        <v>0</v>
      </c>
      <c r="AH33" s="116" t="e">
        <f t="shared" si="20"/>
        <v>#DIV/0!</v>
      </c>
      <c r="AI33" s="21">
        <f t="shared" si="18"/>
        <v>0.05</v>
      </c>
      <c r="AJ33" s="124">
        <f t="shared" si="1"/>
        <v>0</v>
      </c>
    </row>
    <row r="34" spans="1:36" x14ac:dyDescent="0.2">
      <c r="B34" s="10" t="s">
        <v>514</v>
      </c>
      <c r="C34" s="119"/>
      <c r="D34" s="119"/>
      <c r="E34" s="125"/>
      <c r="F34" s="125"/>
      <c r="G34" s="125">
        <v>32</v>
      </c>
      <c r="H34" s="125">
        <v>33</v>
      </c>
      <c r="I34" s="125">
        <v>64</v>
      </c>
      <c r="J34" s="125">
        <v>93</v>
      </c>
      <c r="K34" s="125">
        <v>115</v>
      </c>
      <c r="L34" s="125">
        <v>106</v>
      </c>
      <c r="M34" s="125">
        <v>126</v>
      </c>
      <c r="N34" s="125">
        <v>154</v>
      </c>
      <c r="O34" s="125">
        <v>175</v>
      </c>
      <c r="P34" s="125">
        <v>951</v>
      </c>
      <c r="Q34" s="125"/>
      <c r="R34" s="125">
        <v>2576</v>
      </c>
      <c r="S34" s="182">
        <v>3378</v>
      </c>
      <c r="T34" s="182">
        <v>4053</v>
      </c>
      <c r="U34" s="182">
        <v>4053</v>
      </c>
      <c r="V34" s="101">
        <f t="shared" si="2"/>
        <v>0.41314789554862941</v>
      </c>
      <c r="W34" s="21">
        <f t="shared" si="8"/>
        <v>0.15</v>
      </c>
      <c r="X34" s="131">
        <f t="shared" si="3"/>
        <v>4660.95</v>
      </c>
      <c r="Y34" s="131">
        <f t="shared" si="39"/>
        <v>5360.0924999999997</v>
      </c>
      <c r="Z34" s="131">
        <f t="shared" si="40"/>
        <v>6164.1063749999994</v>
      </c>
      <c r="AA34" s="131">
        <f t="shared" si="41"/>
        <v>7088.7223312499991</v>
      </c>
      <c r="AB34" s="131">
        <f t="shared" si="42"/>
        <v>8152.0306809374988</v>
      </c>
      <c r="AC34" s="131">
        <f t="shared" si="43"/>
        <v>9374.8352830781223</v>
      </c>
      <c r="AD34" s="131">
        <f t="shared" si="44"/>
        <v>10781.060575539839</v>
      </c>
      <c r="AE34" s="131">
        <f t="shared" si="45"/>
        <v>12398.219661870815</v>
      </c>
      <c r="AF34" s="131">
        <f t="shared" si="46"/>
        <v>14257.952611151435</v>
      </c>
      <c r="AG34" s="131">
        <f t="shared" si="47"/>
        <v>16396.645502824151</v>
      </c>
      <c r="AH34" s="116">
        <f t="shared" si="20"/>
        <v>0.2521720412807964</v>
      </c>
      <c r="AI34" s="21">
        <f t="shared" si="18"/>
        <v>0.05</v>
      </c>
      <c r="AJ34" s="124">
        <f t="shared" si="1"/>
        <v>101273.39869391388</v>
      </c>
    </row>
    <row r="35" spans="1:36" x14ac:dyDescent="0.2">
      <c r="B35" s="10"/>
      <c r="C35" s="119"/>
      <c r="D35" s="119"/>
      <c r="E35" s="125"/>
      <c r="F35" s="125"/>
      <c r="G35" s="125">
        <v>11</v>
      </c>
      <c r="H35" s="125">
        <v>11</v>
      </c>
      <c r="I35" s="125">
        <v>20</v>
      </c>
      <c r="J35" s="125">
        <v>26</v>
      </c>
      <c r="K35" s="125">
        <v>27</v>
      </c>
      <c r="L35" s="125">
        <v>23</v>
      </c>
      <c r="M35" s="125">
        <v>28</v>
      </c>
      <c r="N35" s="125">
        <v>131</v>
      </c>
      <c r="O35" s="125">
        <v>142</v>
      </c>
      <c r="P35" s="125">
        <v>192</v>
      </c>
      <c r="Q35" s="125"/>
      <c r="R35" s="125">
        <v>426</v>
      </c>
      <c r="S35" s="125">
        <v>535</v>
      </c>
      <c r="T35" s="125">
        <v>712</v>
      </c>
      <c r="U35" s="125">
        <v>712</v>
      </c>
      <c r="V35" s="10"/>
      <c r="W35" s="125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17"/>
      <c r="AI35" s="115"/>
      <c r="AJ35" s="131"/>
    </row>
    <row r="36" spans="1:36" x14ac:dyDescent="0.2">
      <c r="A36" s="303" t="s">
        <v>423</v>
      </c>
      <c r="B36" s="179" t="s">
        <v>417</v>
      </c>
      <c r="C36" s="119"/>
      <c r="D36" s="119"/>
      <c r="E36" s="125"/>
      <c r="F36" s="182"/>
      <c r="G36" s="182">
        <f t="shared" ref="G36" si="99">H36</f>
        <v>0</v>
      </c>
      <c r="H36" s="182">
        <f t="shared" ref="H36:I36" si="100">I36</f>
        <v>0</v>
      </c>
      <c r="I36" s="182">
        <f t="shared" si="100"/>
        <v>0</v>
      </c>
      <c r="J36" s="182">
        <f>K36</f>
        <v>0</v>
      </c>
      <c r="K36" s="182">
        <v>0</v>
      </c>
      <c r="L36" s="182">
        <v>0</v>
      </c>
      <c r="M36" s="182">
        <v>0</v>
      </c>
      <c r="N36" s="182">
        <v>0</v>
      </c>
      <c r="O36" s="182">
        <v>0</v>
      </c>
      <c r="P36" s="182">
        <v>0</v>
      </c>
      <c r="Q36" s="182">
        <v>0</v>
      </c>
      <c r="R36" s="182">
        <v>0</v>
      </c>
      <c r="S36" s="182">
        <v>0</v>
      </c>
      <c r="T36" s="182">
        <v>0</v>
      </c>
      <c r="U36" s="182">
        <v>0</v>
      </c>
      <c r="V36" s="101" t="e">
        <f t="shared" si="2"/>
        <v>#DIV/0!</v>
      </c>
      <c r="W36" s="21">
        <f t="shared" si="8"/>
        <v>0.15</v>
      </c>
      <c r="X36" s="131">
        <f t="shared" ref="X36:X49" si="101">T36*(1+$W36)</f>
        <v>0</v>
      </c>
      <c r="Y36" s="131">
        <f t="shared" ref="Y36:Y49" si="102">X36*(1+$W36)</f>
        <v>0</v>
      </c>
      <c r="Z36" s="131">
        <f t="shared" ref="Z36:Z49" si="103">Y36*(1+$W36)</f>
        <v>0</v>
      </c>
      <c r="AA36" s="131">
        <f t="shared" ref="AA36:AA49" si="104">Z36*(1+$W36)</f>
        <v>0</v>
      </c>
      <c r="AB36" s="131">
        <f t="shared" ref="AB36:AB49" si="105">AA36*(1+$W36)</f>
        <v>0</v>
      </c>
      <c r="AC36" s="131">
        <f t="shared" ref="AC36:AC49" si="106">AB36*(1+$W36)</f>
        <v>0</v>
      </c>
      <c r="AD36" s="131">
        <f t="shared" ref="AD36:AD49" si="107">AC36*(1+$W36)</f>
        <v>0</v>
      </c>
      <c r="AE36" s="131">
        <f t="shared" ref="AE36:AE49" si="108">AD36*(1+$W36)</f>
        <v>0</v>
      </c>
      <c r="AF36" s="131">
        <f t="shared" ref="AF36:AF49" si="109">AE36*(1+$W36)</f>
        <v>0</v>
      </c>
      <c r="AG36" s="131">
        <f t="shared" ref="AG36:AG49" si="110">AF36*(1+$W36)</f>
        <v>0</v>
      </c>
      <c r="AH36" s="116" t="e">
        <f t="shared" ref="AH36:AH49" si="111">((AG36/J36)^(1/($AG$3-$K$1) ))-1</f>
        <v>#DIV/0!</v>
      </c>
      <c r="AI36" s="21">
        <f t="shared" si="18"/>
        <v>0.05</v>
      </c>
      <c r="AJ36" s="124">
        <f t="shared" ref="AJ36:AJ49" si="112">(AG36*(1+AI36))/($C$1-AI36)</f>
        <v>0</v>
      </c>
    </row>
    <row r="37" spans="1:36" x14ac:dyDescent="0.2">
      <c r="A37" s="303"/>
      <c r="B37" s="179"/>
      <c r="C37" s="119"/>
      <c r="D37" s="119"/>
      <c r="E37" s="125"/>
      <c r="F37" s="128"/>
      <c r="G37" s="128" t="e">
        <f t="shared" ref="G37" si="113">(G36-E36)/E36</f>
        <v>#DIV/0!</v>
      </c>
      <c r="H37" s="128" t="e">
        <f t="shared" ref="H37" si="114">(H36-F36)/F36</f>
        <v>#DIV/0!</v>
      </c>
      <c r="I37" s="128" t="e">
        <f t="shared" ref="I37" si="115">(I36-H36)/H36</f>
        <v>#DIV/0!</v>
      </c>
      <c r="J37" s="128" t="e">
        <f t="shared" ref="J37" si="116">(J36-I36)/I36</f>
        <v>#DIV/0!</v>
      </c>
      <c r="K37" s="128" t="e">
        <f t="shared" ref="K37" si="117">(K36-J36)/J36</f>
        <v>#DIV/0!</v>
      </c>
      <c r="L37" s="128" t="e">
        <f t="shared" ref="L37" si="118">(L36-K36)/K36</f>
        <v>#DIV/0!</v>
      </c>
      <c r="M37" s="128" t="e">
        <f t="shared" ref="M37" si="119">(M36-L36)/L36</f>
        <v>#DIV/0!</v>
      </c>
      <c r="N37" s="128" t="e">
        <f t="shared" ref="N37" si="120">(N36-M36)/M36</f>
        <v>#DIV/0!</v>
      </c>
      <c r="O37" s="128" t="e">
        <f t="shared" ref="O37" si="121">(O36-N36)/N36</f>
        <v>#DIV/0!</v>
      </c>
      <c r="P37" s="128" t="e">
        <f t="shared" ref="P37" si="122">(P36-O36)/O36</f>
        <v>#DIV/0!</v>
      </c>
      <c r="Q37" s="128" t="e">
        <f t="shared" ref="Q37" si="123">(Q36-P36)/P36</f>
        <v>#DIV/0!</v>
      </c>
      <c r="R37" s="128" t="e">
        <f t="shared" ref="R37" si="124">(R36-Q36)/Q36</f>
        <v>#DIV/0!</v>
      </c>
      <c r="S37" s="128" t="e">
        <f t="shared" ref="S37" si="125">(S36-R36)/R36</f>
        <v>#DIV/0!</v>
      </c>
      <c r="T37" s="128" t="e">
        <f t="shared" ref="T37:U37" si="126">(T36-S36)/S36</f>
        <v>#DIV/0!</v>
      </c>
      <c r="U37" s="128" t="e">
        <f t="shared" si="126"/>
        <v>#DIV/0!</v>
      </c>
      <c r="V37" s="10"/>
      <c r="W37" s="10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24"/>
    </row>
    <row r="38" spans="1:36" x14ac:dyDescent="0.2">
      <c r="A38" s="303"/>
      <c r="B38" s="179" t="s">
        <v>418</v>
      </c>
      <c r="C38" s="119"/>
      <c r="D38" s="119"/>
      <c r="E38" s="125"/>
      <c r="F38" s="182"/>
      <c r="G38" s="182">
        <f t="shared" ref="G38" si="127">H38</f>
        <v>0</v>
      </c>
      <c r="H38" s="182">
        <f t="shared" ref="H38:I38" si="128">I38</f>
        <v>0</v>
      </c>
      <c r="I38" s="182">
        <f t="shared" si="128"/>
        <v>0</v>
      </c>
      <c r="J38" s="182">
        <f>K38</f>
        <v>0</v>
      </c>
      <c r="K38" s="182">
        <v>0</v>
      </c>
      <c r="L38" s="182">
        <v>0</v>
      </c>
      <c r="M38" s="182">
        <v>0</v>
      </c>
      <c r="N38" s="182">
        <v>0</v>
      </c>
      <c r="O38" s="182">
        <v>0</v>
      </c>
      <c r="P38" s="182">
        <v>0</v>
      </c>
      <c r="Q38" s="182">
        <v>0</v>
      </c>
      <c r="R38" s="182">
        <v>0</v>
      </c>
      <c r="S38" s="182">
        <v>0</v>
      </c>
      <c r="T38" s="182">
        <v>0</v>
      </c>
      <c r="U38" s="182">
        <v>1</v>
      </c>
      <c r="V38" s="101" t="e">
        <f t="shared" si="2"/>
        <v>#DIV/0!</v>
      </c>
      <c r="W38" s="21">
        <f t="shared" si="8"/>
        <v>0.15</v>
      </c>
      <c r="X38" s="131">
        <f t="shared" si="101"/>
        <v>0</v>
      </c>
      <c r="Y38" s="131">
        <f t="shared" si="102"/>
        <v>0</v>
      </c>
      <c r="Z38" s="131">
        <f t="shared" si="103"/>
        <v>0</v>
      </c>
      <c r="AA38" s="131">
        <f t="shared" si="104"/>
        <v>0</v>
      </c>
      <c r="AB38" s="131">
        <f t="shared" si="105"/>
        <v>0</v>
      </c>
      <c r="AC38" s="131">
        <f t="shared" si="106"/>
        <v>0</v>
      </c>
      <c r="AD38" s="131">
        <f t="shared" si="107"/>
        <v>0</v>
      </c>
      <c r="AE38" s="131">
        <f t="shared" si="108"/>
        <v>0</v>
      </c>
      <c r="AF38" s="131">
        <f t="shared" si="109"/>
        <v>0</v>
      </c>
      <c r="AG38" s="131">
        <f t="shared" si="110"/>
        <v>0</v>
      </c>
      <c r="AH38" s="116" t="e">
        <f t="shared" si="111"/>
        <v>#DIV/0!</v>
      </c>
      <c r="AI38" s="21">
        <f t="shared" si="18"/>
        <v>0.05</v>
      </c>
      <c r="AJ38" s="124">
        <f t="shared" si="112"/>
        <v>0</v>
      </c>
    </row>
    <row r="39" spans="1:36" x14ac:dyDescent="0.2">
      <c r="A39" s="303"/>
      <c r="B39" s="179"/>
      <c r="C39" s="119"/>
      <c r="D39" s="119"/>
      <c r="E39" s="125"/>
      <c r="F39" s="128"/>
      <c r="G39" s="128" t="e">
        <f t="shared" ref="G39" si="129">(G38-E38)/E38</f>
        <v>#DIV/0!</v>
      </c>
      <c r="H39" s="128" t="e">
        <f t="shared" ref="H39" si="130">(H38-F38)/F38</f>
        <v>#DIV/0!</v>
      </c>
      <c r="I39" s="128" t="e">
        <f t="shared" ref="I39" si="131">(I38-H38)/H38</f>
        <v>#DIV/0!</v>
      </c>
      <c r="J39" s="128" t="e">
        <f t="shared" ref="J39" si="132">(J38-I38)/I38</f>
        <v>#DIV/0!</v>
      </c>
      <c r="K39" s="128" t="e">
        <f t="shared" ref="K39" si="133">(K38-J38)/J38</f>
        <v>#DIV/0!</v>
      </c>
      <c r="L39" s="128" t="e">
        <f t="shared" ref="L39" si="134">(L38-K38)/K38</f>
        <v>#DIV/0!</v>
      </c>
      <c r="M39" s="128" t="e">
        <f t="shared" ref="M39" si="135">(M38-L38)/L38</f>
        <v>#DIV/0!</v>
      </c>
      <c r="N39" s="128" t="e">
        <f t="shared" ref="N39" si="136">(N38-M38)/M38</f>
        <v>#DIV/0!</v>
      </c>
      <c r="O39" s="128" t="e">
        <f t="shared" ref="O39" si="137">(O38-N38)/N38</f>
        <v>#DIV/0!</v>
      </c>
      <c r="P39" s="128" t="e">
        <f t="shared" ref="P39" si="138">(P38-O38)/O38</f>
        <v>#DIV/0!</v>
      </c>
      <c r="Q39" s="128" t="e">
        <f t="shared" ref="Q39" si="139">(Q38-P38)/P38</f>
        <v>#DIV/0!</v>
      </c>
      <c r="R39" s="128" t="e">
        <f t="shared" ref="R39" si="140">(R38-Q38)/Q38</f>
        <v>#DIV/0!</v>
      </c>
      <c r="S39" s="128" t="e">
        <f t="shared" ref="S39" si="141">(S38-R38)/R38</f>
        <v>#DIV/0!</v>
      </c>
      <c r="T39" s="128" t="e">
        <f t="shared" ref="T39:U39" si="142">(T38-S38)/S38</f>
        <v>#DIV/0!</v>
      </c>
      <c r="U39" s="128" t="e">
        <f t="shared" si="142"/>
        <v>#DIV/0!</v>
      </c>
      <c r="V39" s="10"/>
      <c r="W39" s="10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24"/>
    </row>
    <row r="40" spans="1:36" x14ac:dyDescent="0.2">
      <c r="A40" s="303"/>
      <c r="B40" s="179" t="s">
        <v>422</v>
      </c>
      <c r="C40" s="119"/>
      <c r="D40" s="119"/>
      <c r="E40" s="125"/>
      <c r="F40" s="182"/>
      <c r="G40" s="182">
        <f t="shared" ref="G40:G43" si="143">H40</f>
        <v>0</v>
      </c>
      <c r="H40" s="182">
        <f t="shared" ref="H40:I40" si="144">I40</f>
        <v>0</v>
      </c>
      <c r="I40" s="182">
        <f t="shared" si="144"/>
        <v>0</v>
      </c>
      <c r="J40" s="182">
        <f>K40</f>
        <v>0</v>
      </c>
      <c r="K40" s="182">
        <v>0</v>
      </c>
      <c r="L40" s="182">
        <v>0</v>
      </c>
      <c r="M40" s="182">
        <v>0</v>
      </c>
      <c r="N40" s="182">
        <v>0</v>
      </c>
      <c r="O40" s="182">
        <v>0</v>
      </c>
      <c r="P40" s="182">
        <v>0</v>
      </c>
      <c r="Q40" s="182">
        <v>0</v>
      </c>
      <c r="R40" s="182">
        <v>0</v>
      </c>
      <c r="S40" s="182">
        <v>0</v>
      </c>
      <c r="T40" s="182">
        <v>0</v>
      </c>
      <c r="U40" s="182">
        <v>0</v>
      </c>
      <c r="V40" s="101" t="e">
        <f t="shared" si="2"/>
        <v>#DIV/0!</v>
      </c>
      <c r="W40" s="21">
        <f t="shared" si="8"/>
        <v>0.15</v>
      </c>
      <c r="X40" s="131">
        <f t="shared" si="101"/>
        <v>0</v>
      </c>
      <c r="Y40" s="131">
        <f t="shared" si="102"/>
        <v>0</v>
      </c>
      <c r="Z40" s="131">
        <f t="shared" si="103"/>
        <v>0</v>
      </c>
      <c r="AA40" s="131">
        <f t="shared" si="104"/>
        <v>0</v>
      </c>
      <c r="AB40" s="131">
        <f t="shared" si="105"/>
        <v>0</v>
      </c>
      <c r="AC40" s="131">
        <f t="shared" si="106"/>
        <v>0</v>
      </c>
      <c r="AD40" s="131">
        <f t="shared" si="107"/>
        <v>0</v>
      </c>
      <c r="AE40" s="131">
        <f t="shared" si="108"/>
        <v>0</v>
      </c>
      <c r="AF40" s="131">
        <f t="shared" si="109"/>
        <v>0</v>
      </c>
      <c r="AG40" s="131">
        <f t="shared" si="110"/>
        <v>0</v>
      </c>
      <c r="AH40" s="116" t="e">
        <f t="shared" si="111"/>
        <v>#DIV/0!</v>
      </c>
      <c r="AI40" s="21">
        <f t="shared" si="18"/>
        <v>0.05</v>
      </c>
      <c r="AJ40" s="124">
        <f t="shared" si="112"/>
        <v>0</v>
      </c>
    </row>
    <row r="41" spans="1:36" x14ac:dyDescent="0.2">
      <c r="A41" s="303"/>
      <c r="B41" s="179" t="s">
        <v>419</v>
      </c>
      <c r="C41" s="119"/>
      <c r="D41" s="119"/>
      <c r="E41" s="125"/>
      <c r="F41" s="182"/>
      <c r="G41" s="182">
        <f t="shared" si="143"/>
        <v>0</v>
      </c>
      <c r="H41" s="182">
        <f t="shared" ref="H41:I41" si="145">I41</f>
        <v>0</v>
      </c>
      <c r="I41" s="182">
        <f t="shared" si="145"/>
        <v>0</v>
      </c>
      <c r="J41" s="182">
        <f>K41</f>
        <v>0</v>
      </c>
      <c r="K41" s="182">
        <v>0</v>
      </c>
      <c r="L41" s="182">
        <v>0</v>
      </c>
      <c r="M41" s="182">
        <v>0</v>
      </c>
      <c r="N41" s="182">
        <v>0</v>
      </c>
      <c r="O41" s="182">
        <v>0</v>
      </c>
      <c r="P41" s="182">
        <v>0</v>
      </c>
      <c r="Q41" s="182">
        <v>0</v>
      </c>
      <c r="R41" s="182">
        <v>0</v>
      </c>
      <c r="S41" s="182">
        <v>0</v>
      </c>
      <c r="T41" s="182">
        <v>0</v>
      </c>
      <c r="U41" s="182">
        <v>0</v>
      </c>
      <c r="V41" s="101" t="e">
        <f t="shared" si="2"/>
        <v>#DIV/0!</v>
      </c>
      <c r="W41" s="21">
        <f t="shared" si="8"/>
        <v>0.15</v>
      </c>
      <c r="X41" s="131">
        <f t="shared" si="101"/>
        <v>0</v>
      </c>
      <c r="Y41" s="131">
        <f t="shared" si="102"/>
        <v>0</v>
      </c>
      <c r="Z41" s="131">
        <f t="shared" si="103"/>
        <v>0</v>
      </c>
      <c r="AA41" s="131">
        <f t="shared" si="104"/>
        <v>0</v>
      </c>
      <c r="AB41" s="131">
        <f t="shared" si="105"/>
        <v>0</v>
      </c>
      <c r="AC41" s="131">
        <f t="shared" si="106"/>
        <v>0</v>
      </c>
      <c r="AD41" s="131">
        <f t="shared" si="107"/>
        <v>0</v>
      </c>
      <c r="AE41" s="131">
        <f t="shared" si="108"/>
        <v>0</v>
      </c>
      <c r="AF41" s="131">
        <f t="shared" si="109"/>
        <v>0</v>
      </c>
      <c r="AG41" s="131">
        <f t="shared" si="110"/>
        <v>0</v>
      </c>
      <c r="AH41" s="116" t="e">
        <f t="shared" si="111"/>
        <v>#DIV/0!</v>
      </c>
      <c r="AI41" s="21">
        <f t="shared" si="18"/>
        <v>0.05</v>
      </c>
      <c r="AJ41" s="124">
        <f t="shared" si="112"/>
        <v>0</v>
      </c>
    </row>
    <row r="42" spans="1:36" x14ac:dyDescent="0.2">
      <c r="A42" s="303"/>
      <c r="B42" s="179" t="s">
        <v>421</v>
      </c>
      <c r="C42" s="119"/>
      <c r="D42" s="119"/>
      <c r="E42" s="125"/>
      <c r="F42" s="182"/>
      <c r="G42" s="182">
        <f t="shared" si="143"/>
        <v>0</v>
      </c>
      <c r="H42" s="182">
        <f t="shared" ref="H42:I42" si="146">I42</f>
        <v>0</v>
      </c>
      <c r="I42" s="182">
        <f t="shared" si="146"/>
        <v>0</v>
      </c>
      <c r="J42" s="182">
        <f>K42</f>
        <v>0</v>
      </c>
      <c r="K42" s="182">
        <v>0</v>
      </c>
      <c r="L42" s="182">
        <v>0</v>
      </c>
      <c r="M42" s="182">
        <v>0</v>
      </c>
      <c r="N42" s="182">
        <v>0</v>
      </c>
      <c r="O42" s="182">
        <v>0</v>
      </c>
      <c r="P42" s="182">
        <v>0</v>
      </c>
      <c r="Q42" s="182">
        <v>0</v>
      </c>
      <c r="R42" s="182">
        <v>0</v>
      </c>
      <c r="S42" s="182">
        <v>0</v>
      </c>
      <c r="T42" s="182">
        <v>0</v>
      </c>
      <c r="U42" s="182">
        <v>0</v>
      </c>
      <c r="V42" s="101" t="e">
        <f t="shared" si="2"/>
        <v>#DIV/0!</v>
      </c>
      <c r="W42" s="21">
        <f t="shared" si="8"/>
        <v>0.15</v>
      </c>
      <c r="X42" s="131">
        <f t="shared" si="101"/>
        <v>0</v>
      </c>
      <c r="Y42" s="131">
        <f t="shared" si="102"/>
        <v>0</v>
      </c>
      <c r="Z42" s="131">
        <f t="shared" si="103"/>
        <v>0</v>
      </c>
      <c r="AA42" s="131">
        <f t="shared" si="104"/>
        <v>0</v>
      </c>
      <c r="AB42" s="131">
        <f t="shared" si="105"/>
        <v>0</v>
      </c>
      <c r="AC42" s="131">
        <f t="shared" si="106"/>
        <v>0</v>
      </c>
      <c r="AD42" s="131">
        <f t="shared" si="107"/>
        <v>0</v>
      </c>
      <c r="AE42" s="131">
        <f t="shared" si="108"/>
        <v>0</v>
      </c>
      <c r="AF42" s="131">
        <f t="shared" si="109"/>
        <v>0</v>
      </c>
      <c r="AG42" s="131">
        <f t="shared" si="110"/>
        <v>0</v>
      </c>
      <c r="AH42" s="116" t="e">
        <f t="shared" si="111"/>
        <v>#DIV/0!</v>
      </c>
      <c r="AI42" s="21">
        <f t="shared" si="18"/>
        <v>0.05</v>
      </c>
      <c r="AJ42" s="124">
        <f t="shared" si="112"/>
        <v>0</v>
      </c>
    </row>
    <row r="43" spans="1:36" x14ac:dyDescent="0.2">
      <c r="A43" s="303"/>
      <c r="B43" s="179" t="s">
        <v>420</v>
      </c>
      <c r="C43" s="119"/>
      <c r="D43" s="119"/>
      <c r="E43" s="125"/>
      <c r="F43" s="182"/>
      <c r="G43" s="182">
        <f t="shared" si="143"/>
        <v>0</v>
      </c>
      <c r="H43" s="182">
        <f t="shared" ref="H43:I43" si="147">I43</f>
        <v>0</v>
      </c>
      <c r="I43" s="182">
        <f t="shared" si="147"/>
        <v>0</v>
      </c>
      <c r="J43" s="182">
        <f>K43</f>
        <v>0</v>
      </c>
      <c r="K43" s="182">
        <v>0</v>
      </c>
      <c r="L43" s="182">
        <v>0</v>
      </c>
      <c r="M43" s="182">
        <v>0</v>
      </c>
      <c r="N43" s="182">
        <v>0</v>
      </c>
      <c r="O43" s="182">
        <v>0</v>
      </c>
      <c r="P43" s="182">
        <v>0</v>
      </c>
      <c r="Q43" s="182">
        <v>0</v>
      </c>
      <c r="R43" s="182">
        <v>0</v>
      </c>
      <c r="S43" s="182">
        <v>0</v>
      </c>
      <c r="T43" s="182">
        <v>0</v>
      </c>
      <c r="U43" s="182">
        <v>0</v>
      </c>
      <c r="V43" s="101" t="e">
        <f t="shared" si="2"/>
        <v>#DIV/0!</v>
      </c>
      <c r="W43" s="21">
        <f t="shared" si="8"/>
        <v>0.15</v>
      </c>
      <c r="X43" s="131">
        <f t="shared" si="101"/>
        <v>0</v>
      </c>
      <c r="Y43" s="131">
        <f t="shared" si="102"/>
        <v>0</v>
      </c>
      <c r="Z43" s="131">
        <f t="shared" si="103"/>
        <v>0</v>
      </c>
      <c r="AA43" s="131">
        <f t="shared" si="104"/>
        <v>0</v>
      </c>
      <c r="AB43" s="131">
        <f t="shared" si="105"/>
        <v>0</v>
      </c>
      <c r="AC43" s="131">
        <f t="shared" si="106"/>
        <v>0</v>
      </c>
      <c r="AD43" s="131">
        <f t="shared" si="107"/>
        <v>0</v>
      </c>
      <c r="AE43" s="131">
        <f t="shared" si="108"/>
        <v>0</v>
      </c>
      <c r="AF43" s="131">
        <f t="shared" si="109"/>
        <v>0</v>
      </c>
      <c r="AG43" s="131">
        <f t="shared" si="110"/>
        <v>0</v>
      </c>
      <c r="AH43" s="116" t="e">
        <f t="shared" si="111"/>
        <v>#DIV/0!</v>
      </c>
      <c r="AI43" s="21">
        <f t="shared" si="18"/>
        <v>0.05</v>
      </c>
      <c r="AJ43" s="124">
        <f t="shared" si="112"/>
        <v>0</v>
      </c>
    </row>
    <row r="44" spans="1:36" x14ac:dyDescent="0.2">
      <c r="A44" s="303"/>
      <c r="B44" s="179"/>
      <c r="C44" s="119"/>
      <c r="D44" s="119"/>
      <c r="E44" s="125"/>
      <c r="F44" s="128"/>
      <c r="G44" s="128" t="e">
        <f t="shared" ref="G44" si="148">(G43-E43)/E43</f>
        <v>#DIV/0!</v>
      </c>
      <c r="H44" s="128" t="e">
        <f t="shared" ref="H44" si="149">(H43-F43)/F43</f>
        <v>#DIV/0!</v>
      </c>
      <c r="I44" s="128" t="e">
        <f t="shared" ref="I44" si="150">(I43-H43)/H43</f>
        <v>#DIV/0!</v>
      </c>
      <c r="J44" s="128" t="e">
        <f t="shared" ref="J44" si="151">(J43-I43)/I43</f>
        <v>#DIV/0!</v>
      </c>
      <c r="K44" s="128" t="e">
        <f t="shared" ref="K44" si="152">(K43-J43)/J43</f>
        <v>#DIV/0!</v>
      </c>
      <c r="L44" s="128" t="e">
        <f t="shared" ref="L44" si="153">(L43-K43)/K43</f>
        <v>#DIV/0!</v>
      </c>
      <c r="M44" s="128" t="e">
        <f t="shared" ref="M44" si="154">(M43-L43)/L43</f>
        <v>#DIV/0!</v>
      </c>
      <c r="N44" s="128" t="e">
        <f t="shared" ref="N44" si="155">(N43-M43)/M43</f>
        <v>#DIV/0!</v>
      </c>
      <c r="O44" s="128" t="e">
        <f t="shared" ref="O44" si="156">(O43-N43)/N43</f>
        <v>#DIV/0!</v>
      </c>
      <c r="P44" s="128" t="e">
        <f t="shared" ref="P44" si="157">(P43-O43)/O43</f>
        <v>#DIV/0!</v>
      </c>
      <c r="Q44" s="128" t="e">
        <f t="shared" ref="Q44" si="158">(Q43-P43)/P43</f>
        <v>#DIV/0!</v>
      </c>
      <c r="R44" s="128" t="e">
        <f t="shared" ref="R44" si="159">(R43-Q43)/Q43</f>
        <v>#DIV/0!</v>
      </c>
      <c r="S44" s="128" t="e">
        <f t="shared" ref="S44" si="160">(S43-R43)/R43</f>
        <v>#DIV/0!</v>
      </c>
      <c r="T44" s="128" t="e">
        <f t="shared" ref="T44:U44" si="161">(T43-S43)/S43</f>
        <v>#DIV/0!</v>
      </c>
      <c r="U44" s="128" t="e">
        <f t="shared" si="161"/>
        <v>#DIV/0!</v>
      </c>
      <c r="V44" s="10"/>
      <c r="W44" s="10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24"/>
    </row>
    <row r="45" spans="1:36" x14ac:dyDescent="0.2">
      <c r="A45" s="303"/>
      <c r="B45" s="179" t="s">
        <v>191</v>
      </c>
      <c r="C45" s="119"/>
      <c r="D45" s="119"/>
      <c r="E45" s="125"/>
      <c r="F45" s="182"/>
      <c r="G45" s="182">
        <f t="shared" ref="G45" si="162">H45</f>
        <v>0</v>
      </c>
      <c r="H45" s="182">
        <f t="shared" ref="H45:I45" si="163">I45</f>
        <v>0</v>
      </c>
      <c r="I45" s="182">
        <f t="shared" si="163"/>
        <v>0</v>
      </c>
      <c r="J45" s="182">
        <f>K45</f>
        <v>0</v>
      </c>
      <c r="K45" s="182">
        <v>0</v>
      </c>
      <c r="L45" s="182">
        <v>0</v>
      </c>
      <c r="M45" s="182">
        <v>0</v>
      </c>
      <c r="N45" s="182">
        <v>0</v>
      </c>
      <c r="O45" s="182">
        <v>0</v>
      </c>
      <c r="P45" s="182">
        <v>0</v>
      </c>
      <c r="Q45" s="182">
        <v>0</v>
      </c>
      <c r="R45" s="182">
        <v>0</v>
      </c>
      <c r="S45" s="182">
        <v>0</v>
      </c>
      <c r="T45" s="182">
        <v>0</v>
      </c>
      <c r="U45" s="182">
        <v>1</v>
      </c>
      <c r="V45" s="101" t="e">
        <f t="shared" si="2"/>
        <v>#DIV/0!</v>
      </c>
      <c r="W45" s="21">
        <f t="shared" si="8"/>
        <v>0.15</v>
      </c>
      <c r="X45" s="131">
        <f t="shared" si="101"/>
        <v>0</v>
      </c>
      <c r="Y45" s="131">
        <f t="shared" si="102"/>
        <v>0</v>
      </c>
      <c r="Z45" s="131">
        <f t="shared" si="103"/>
        <v>0</v>
      </c>
      <c r="AA45" s="131">
        <f t="shared" si="104"/>
        <v>0</v>
      </c>
      <c r="AB45" s="131">
        <f t="shared" si="105"/>
        <v>0</v>
      </c>
      <c r="AC45" s="131">
        <f t="shared" si="106"/>
        <v>0</v>
      </c>
      <c r="AD45" s="131">
        <f t="shared" si="107"/>
        <v>0</v>
      </c>
      <c r="AE45" s="131">
        <f t="shared" si="108"/>
        <v>0</v>
      </c>
      <c r="AF45" s="131">
        <f t="shared" si="109"/>
        <v>0</v>
      </c>
      <c r="AG45" s="131">
        <f t="shared" si="110"/>
        <v>0</v>
      </c>
      <c r="AH45" s="116" t="e">
        <f t="shared" si="111"/>
        <v>#DIV/0!</v>
      </c>
      <c r="AI45" s="21">
        <f t="shared" si="18"/>
        <v>0.05</v>
      </c>
      <c r="AJ45" s="124">
        <f t="shared" si="112"/>
        <v>0</v>
      </c>
    </row>
    <row r="46" spans="1:36" x14ac:dyDescent="0.2">
      <c r="A46" s="180"/>
      <c r="B46" s="179"/>
      <c r="C46" s="119"/>
      <c r="D46" s="119"/>
      <c r="E46" s="125"/>
      <c r="F46" s="128"/>
      <c r="G46" s="128" t="e">
        <f t="shared" ref="G46" si="164">(G45-E45)/E45</f>
        <v>#DIV/0!</v>
      </c>
      <c r="H46" s="128" t="e">
        <f t="shared" ref="H46" si="165">(H45-F45)/F45</f>
        <v>#DIV/0!</v>
      </c>
      <c r="I46" s="128" t="e">
        <f t="shared" ref="I46" si="166">(I45-H45)/H45</f>
        <v>#DIV/0!</v>
      </c>
      <c r="J46" s="128" t="e">
        <f t="shared" ref="J46" si="167">(J45-I45)/I45</f>
        <v>#DIV/0!</v>
      </c>
      <c r="K46" s="128" t="e">
        <f t="shared" ref="K46" si="168">(K45-J45)/J45</f>
        <v>#DIV/0!</v>
      </c>
      <c r="L46" s="128" t="e">
        <f t="shared" ref="L46" si="169">(L45-K45)/K45</f>
        <v>#DIV/0!</v>
      </c>
      <c r="M46" s="128" t="e">
        <f t="shared" ref="M46" si="170">(M45-L45)/L45</f>
        <v>#DIV/0!</v>
      </c>
      <c r="N46" s="128" t="e">
        <f t="shared" ref="N46" si="171">(N45-M45)/M45</f>
        <v>#DIV/0!</v>
      </c>
      <c r="O46" s="128" t="e">
        <f t="shared" ref="O46" si="172">(O45-N45)/N45</f>
        <v>#DIV/0!</v>
      </c>
      <c r="P46" s="128" t="e">
        <f t="shared" ref="P46" si="173">(P45-O45)/O45</f>
        <v>#DIV/0!</v>
      </c>
      <c r="Q46" s="128" t="e">
        <f t="shared" ref="Q46" si="174">(Q45-P45)/P45</f>
        <v>#DIV/0!</v>
      </c>
      <c r="R46" s="128" t="e">
        <f t="shared" ref="R46" si="175">(R45-Q45)/Q45</f>
        <v>#DIV/0!</v>
      </c>
      <c r="S46" s="128" t="e">
        <f t="shared" ref="S46" si="176">(S45-R45)/R45</f>
        <v>#DIV/0!</v>
      </c>
      <c r="T46" s="128" t="e">
        <f t="shared" ref="T46:U46" si="177">(T45-S45)/S45</f>
        <v>#DIV/0!</v>
      </c>
      <c r="U46" s="128" t="e">
        <f t="shared" si="177"/>
        <v>#DIV/0!</v>
      </c>
      <c r="V46" s="10"/>
      <c r="W46" s="10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24"/>
    </row>
    <row r="47" spans="1:36" x14ac:dyDescent="0.2">
      <c r="A47" s="180"/>
      <c r="B47" s="179" t="s">
        <v>433</v>
      </c>
      <c r="C47" s="119"/>
      <c r="D47" s="119"/>
      <c r="E47" s="125"/>
      <c r="F47" s="182"/>
      <c r="G47" s="182">
        <f t="shared" ref="G47" si="178">H47</f>
        <v>0</v>
      </c>
      <c r="H47" s="182">
        <f t="shared" ref="H47:I47" si="179">I47</f>
        <v>0</v>
      </c>
      <c r="I47" s="182">
        <f t="shared" si="179"/>
        <v>0</v>
      </c>
      <c r="J47" s="182">
        <f>K47</f>
        <v>0</v>
      </c>
      <c r="K47" s="182">
        <v>0</v>
      </c>
      <c r="L47" s="182">
        <v>0</v>
      </c>
      <c r="M47" s="182">
        <v>0</v>
      </c>
      <c r="N47" s="182">
        <v>0</v>
      </c>
      <c r="O47" s="182">
        <v>0</v>
      </c>
      <c r="P47" s="182">
        <v>0</v>
      </c>
      <c r="Q47" s="182">
        <v>0</v>
      </c>
      <c r="R47" s="182">
        <v>0</v>
      </c>
      <c r="S47" s="182">
        <v>0</v>
      </c>
      <c r="T47" s="182">
        <v>0</v>
      </c>
      <c r="U47" s="182">
        <v>1</v>
      </c>
      <c r="V47" s="101" t="e">
        <f t="shared" si="2"/>
        <v>#DIV/0!</v>
      </c>
      <c r="W47" s="21">
        <f t="shared" si="8"/>
        <v>0.15</v>
      </c>
      <c r="X47" s="131">
        <f t="shared" ref="X47" si="180">T47*(1+$W47)</f>
        <v>0</v>
      </c>
      <c r="Y47" s="131">
        <f t="shared" ref="Y47" si="181">X47*(1+$W47)</f>
        <v>0</v>
      </c>
      <c r="Z47" s="131">
        <f t="shared" ref="Z47" si="182">Y47*(1+$W47)</f>
        <v>0</v>
      </c>
      <c r="AA47" s="131">
        <f t="shared" ref="AA47" si="183">Z47*(1+$W47)</f>
        <v>0</v>
      </c>
      <c r="AB47" s="131">
        <f t="shared" ref="AB47" si="184">AA47*(1+$W47)</f>
        <v>0</v>
      </c>
      <c r="AC47" s="131">
        <f t="shared" ref="AC47" si="185">AB47*(1+$W47)</f>
        <v>0</v>
      </c>
      <c r="AD47" s="131">
        <f t="shared" ref="AD47" si="186">AC47*(1+$W47)</f>
        <v>0</v>
      </c>
      <c r="AE47" s="131">
        <f t="shared" ref="AE47" si="187">AD47*(1+$W47)</f>
        <v>0</v>
      </c>
      <c r="AF47" s="131">
        <f t="shared" ref="AF47" si="188">AE47*(1+$W47)</f>
        <v>0</v>
      </c>
      <c r="AG47" s="131">
        <f t="shared" ref="AG47" si="189">AF47*(1+$W47)</f>
        <v>0</v>
      </c>
      <c r="AH47" s="116" t="e">
        <f t="shared" ref="AH47" si="190">((AG47/J47)^(1/($AG$3-$K$1) ))-1</f>
        <v>#DIV/0!</v>
      </c>
      <c r="AI47" s="21">
        <f t="shared" si="18"/>
        <v>0.05</v>
      </c>
      <c r="AJ47" s="124">
        <f t="shared" si="112"/>
        <v>0</v>
      </c>
    </row>
    <row r="48" spans="1:36" x14ac:dyDescent="0.2">
      <c r="A48" s="180"/>
      <c r="B48" s="179"/>
      <c r="C48" s="119"/>
      <c r="D48" s="119"/>
      <c r="E48" s="125"/>
      <c r="F48" s="128"/>
      <c r="G48" s="128" t="e">
        <f t="shared" ref="G48" si="191">(G47-E47)/E47</f>
        <v>#DIV/0!</v>
      </c>
      <c r="H48" s="128" t="e">
        <f t="shared" ref="H48" si="192">(H47-F47)/F47</f>
        <v>#DIV/0!</v>
      </c>
      <c r="I48" s="128" t="e">
        <f t="shared" ref="I48" si="193">(I47-H47)/H47</f>
        <v>#DIV/0!</v>
      </c>
      <c r="J48" s="128" t="e">
        <f t="shared" ref="J48" si="194">(J47-I47)/I47</f>
        <v>#DIV/0!</v>
      </c>
      <c r="K48" s="128" t="e">
        <f t="shared" ref="K48" si="195">(K47-J47)/J47</f>
        <v>#DIV/0!</v>
      </c>
      <c r="L48" s="128" t="e">
        <f t="shared" ref="L48" si="196">(L47-K47)/K47</f>
        <v>#DIV/0!</v>
      </c>
      <c r="M48" s="128" t="e">
        <f t="shared" ref="M48" si="197">(M47-L47)/L47</f>
        <v>#DIV/0!</v>
      </c>
      <c r="N48" s="128" t="e">
        <f t="shared" ref="N48" si="198">(N47-M47)/M47</f>
        <v>#DIV/0!</v>
      </c>
      <c r="O48" s="128" t="e">
        <f t="shared" ref="O48" si="199">(O47-N47)/N47</f>
        <v>#DIV/0!</v>
      </c>
      <c r="P48" s="128" t="e">
        <f t="shared" ref="P48" si="200">(P47-O47)/O47</f>
        <v>#DIV/0!</v>
      </c>
      <c r="Q48" s="128" t="e">
        <f t="shared" ref="Q48" si="201">(Q47-P47)/P47</f>
        <v>#DIV/0!</v>
      </c>
      <c r="R48" s="128" t="e">
        <f t="shared" ref="R48" si="202">(R47-Q47)/Q47</f>
        <v>#DIV/0!</v>
      </c>
      <c r="S48" s="128" t="e">
        <f t="shared" ref="S48" si="203">(S47-R47)/R47</f>
        <v>#DIV/0!</v>
      </c>
      <c r="T48" s="128" t="e">
        <f t="shared" ref="T48:U48" si="204">(T47-S47)/S47</f>
        <v>#DIV/0!</v>
      </c>
      <c r="U48" s="128" t="e">
        <f t="shared" si="204"/>
        <v>#DIV/0!</v>
      </c>
      <c r="V48" s="10"/>
      <c r="W48" s="10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24"/>
    </row>
    <row r="49" spans="1:36" x14ac:dyDescent="0.2">
      <c r="A49" s="180"/>
      <c r="B49" s="179" t="s">
        <v>424</v>
      </c>
      <c r="C49" s="119"/>
      <c r="D49" s="119"/>
      <c r="E49" s="125"/>
      <c r="F49" s="182"/>
      <c r="G49" s="182">
        <f t="shared" ref="G49" si="205">H49</f>
        <v>0</v>
      </c>
      <c r="H49" s="182">
        <f t="shared" ref="H49:I49" si="206">I49</f>
        <v>0</v>
      </c>
      <c r="I49" s="182">
        <f t="shared" si="206"/>
        <v>0</v>
      </c>
      <c r="J49" s="182">
        <f>K49</f>
        <v>0</v>
      </c>
      <c r="K49" s="182">
        <v>0</v>
      </c>
      <c r="L49" s="182">
        <v>0</v>
      </c>
      <c r="M49" s="182">
        <v>0</v>
      </c>
      <c r="N49" s="182">
        <v>0</v>
      </c>
      <c r="O49" s="182">
        <v>0</v>
      </c>
      <c r="P49" s="182">
        <v>0</v>
      </c>
      <c r="Q49" s="182">
        <v>0</v>
      </c>
      <c r="R49" s="182">
        <v>0</v>
      </c>
      <c r="S49" s="182">
        <v>0</v>
      </c>
      <c r="T49" s="182">
        <v>0</v>
      </c>
      <c r="U49" s="182">
        <v>1</v>
      </c>
      <c r="V49" s="101" t="e">
        <f t="shared" si="2"/>
        <v>#DIV/0!</v>
      </c>
      <c r="W49" s="21">
        <f t="shared" si="8"/>
        <v>0.15</v>
      </c>
      <c r="X49" s="131">
        <f t="shared" si="101"/>
        <v>0</v>
      </c>
      <c r="Y49" s="131">
        <f t="shared" si="102"/>
        <v>0</v>
      </c>
      <c r="Z49" s="131">
        <f t="shared" si="103"/>
        <v>0</v>
      </c>
      <c r="AA49" s="131">
        <f t="shared" si="104"/>
        <v>0</v>
      </c>
      <c r="AB49" s="131">
        <f t="shared" si="105"/>
        <v>0</v>
      </c>
      <c r="AC49" s="131">
        <f t="shared" si="106"/>
        <v>0</v>
      </c>
      <c r="AD49" s="131">
        <f t="shared" si="107"/>
        <v>0</v>
      </c>
      <c r="AE49" s="131">
        <f t="shared" si="108"/>
        <v>0</v>
      </c>
      <c r="AF49" s="131">
        <f t="shared" si="109"/>
        <v>0</v>
      </c>
      <c r="AG49" s="131">
        <f t="shared" si="110"/>
        <v>0</v>
      </c>
      <c r="AH49" s="116" t="e">
        <f t="shared" si="111"/>
        <v>#DIV/0!</v>
      </c>
      <c r="AI49" s="21">
        <f t="shared" si="18"/>
        <v>0.05</v>
      </c>
      <c r="AJ49" s="124">
        <f t="shared" si="112"/>
        <v>0</v>
      </c>
    </row>
    <row r="50" spans="1:36" x14ac:dyDescent="0.2">
      <c r="B50" s="10"/>
      <c r="C50" s="119"/>
      <c r="D50" s="119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01" t="e">
        <f t="shared" si="2"/>
        <v>#DIV/0!</v>
      </c>
      <c r="W50" s="10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17"/>
      <c r="AI50" s="115"/>
      <c r="AJ50" s="131"/>
    </row>
    <row r="51" spans="1:36" x14ac:dyDescent="0.2">
      <c r="B51" s="10" t="s">
        <v>230</v>
      </c>
      <c r="C51" s="119"/>
      <c r="D51" s="119"/>
      <c r="E51" s="125"/>
      <c r="F51" s="125"/>
      <c r="G51" s="125">
        <v>45</v>
      </c>
      <c r="H51" s="125">
        <v>43</v>
      </c>
      <c r="I51" s="125">
        <v>60</v>
      </c>
      <c r="J51" s="125">
        <v>88</v>
      </c>
      <c r="K51" s="125">
        <v>93</v>
      </c>
      <c r="L51" s="125">
        <v>64</v>
      </c>
      <c r="M51" s="125">
        <v>80</v>
      </c>
      <c r="N51" s="125">
        <v>106</v>
      </c>
      <c r="O51" s="125">
        <v>112</v>
      </c>
      <c r="P51" s="125">
        <v>152</v>
      </c>
      <c r="Q51" s="125"/>
      <c r="R51" s="125">
        <v>241</v>
      </c>
      <c r="S51" s="182">
        <v>184</v>
      </c>
      <c r="T51" s="182">
        <v>312</v>
      </c>
      <c r="U51" s="182">
        <v>312</v>
      </c>
      <c r="V51" s="101">
        <f t="shared" si="2"/>
        <v>0.14833153511642938</v>
      </c>
      <c r="W51" s="21">
        <f t="shared" si="8"/>
        <v>0.15</v>
      </c>
      <c r="X51" s="131">
        <f t="shared" si="3"/>
        <v>358.79999999999995</v>
      </c>
      <c r="Y51" s="131">
        <f t="shared" ref="Y51" si="207">X51*(1+$W51)</f>
        <v>412.61999999999989</v>
      </c>
      <c r="Z51" s="131">
        <f t="shared" ref="Z51" si="208">Y51*(1+$W51)</f>
        <v>474.51299999999986</v>
      </c>
      <c r="AA51" s="131">
        <f t="shared" ref="AA51" si="209">Z51*(1+$W51)</f>
        <v>545.68994999999984</v>
      </c>
      <c r="AB51" s="131">
        <f t="shared" si="42"/>
        <v>627.54344249999974</v>
      </c>
      <c r="AC51" s="131">
        <f t="shared" si="43"/>
        <v>721.67495887499967</v>
      </c>
      <c r="AD51" s="131">
        <f t="shared" si="44"/>
        <v>829.92620270624957</v>
      </c>
      <c r="AE51" s="131">
        <f t="shared" si="45"/>
        <v>954.41513311218694</v>
      </c>
      <c r="AF51" s="131">
        <f t="shared" si="46"/>
        <v>1097.5774030790149</v>
      </c>
      <c r="AG51" s="131">
        <f t="shared" si="47"/>
        <v>1262.214013540867</v>
      </c>
      <c r="AH51" s="116">
        <f t="shared" si="20"/>
        <v>0.12276572048512313</v>
      </c>
      <c r="AI51" s="21">
        <f t="shared" si="18"/>
        <v>0.05</v>
      </c>
      <c r="AJ51" s="124">
        <f t="shared" si="1"/>
        <v>7796.0277306935914</v>
      </c>
    </row>
    <row r="52" spans="1:36" s="106" customFormat="1" x14ac:dyDescent="0.2">
      <c r="B52" s="13"/>
      <c r="C52" s="126"/>
      <c r="D52" s="126"/>
      <c r="E52" s="127"/>
      <c r="F52" s="272"/>
      <c r="G52" s="272">
        <f t="shared" ref="G52:P52" si="210">(G51-F51)/G51</f>
        <v>1</v>
      </c>
      <c r="H52" s="272">
        <f t="shared" si="210"/>
        <v>-4.6511627906976744E-2</v>
      </c>
      <c r="I52" s="272">
        <f t="shared" si="210"/>
        <v>0.28333333333333333</v>
      </c>
      <c r="J52" s="272">
        <f t="shared" si="210"/>
        <v>0.31818181818181818</v>
      </c>
      <c r="K52" s="272">
        <f t="shared" si="210"/>
        <v>5.3763440860215055E-2</v>
      </c>
      <c r="L52" s="272">
        <f t="shared" si="210"/>
        <v>-0.453125</v>
      </c>
      <c r="M52" s="272">
        <f t="shared" si="210"/>
        <v>0.2</v>
      </c>
      <c r="N52" s="272">
        <f t="shared" si="210"/>
        <v>0.24528301886792453</v>
      </c>
      <c r="O52" s="272">
        <f t="shared" si="210"/>
        <v>5.3571428571428568E-2</v>
      </c>
      <c r="P52" s="272">
        <f t="shared" si="210"/>
        <v>0.26315789473684209</v>
      </c>
      <c r="Q52" s="272" t="e">
        <f t="shared" ref="Q52:R52" si="211">(Q51-P51)/Q51</f>
        <v>#DIV/0!</v>
      </c>
      <c r="R52" s="272">
        <f t="shared" si="211"/>
        <v>1</v>
      </c>
      <c r="S52" s="128">
        <f t="shared" ref="S52:U52" si="212">(S51-R51)/R51</f>
        <v>-0.23651452282157676</v>
      </c>
      <c r="T52" s="128">
        <f t="shared" si="212"/>
        <v>0.69565217391304346</v>
      </c>
      <c r="U52" s="128">
        <f t="shared" si="212"/>
        <v>0</v>
      </c>
      <c r="V52" s="10"/>
      <c r="W52" s="10"/>
      <c r="X52" s="131"/>
      <c r="Y52" s="132"/>
      <c r="Z52" s="132"/>
      <c r="AA52" s="132"/>
      <c r="AB52" s="132"/>
      <c r="AC52" s="132"/>
      <c r="AD52" s="132"/>
      <c r="AE52" s="132"/>
      <c r="AF52" s="132"/>
      <c r="AG52" s="132"/>
      <c r="AH52" s="117"/>
      <c r="AI52" s="115"/>
      <c r="AJ52" s="133"/>
    </row>
    <row r="53" spans="1:36" s="106" customFormat="1" x14ac:dyDescent="0.2">
      <c r="B53" s="10" t="s">
        <v>345</v>
      </c>
      <c r="C53" s="126"/>
      <c r="D53" s="126"/>
      <c r="E53" s="127"/>
      <c r="F53" s="125"/>
      <c r="G53" s="125">
        <v>42</v>
      </c>
      <c r="H53" s="125">
        <v>40</v>
      </c>
      <c r="I53" s="125">
        <v>53</v>
      </c>
      <c r="J53" s="125">
        <v>57</v>
      </c>
      <c r="K53" s="125">
        <v>52</v>
      </c>
      <c r="L53" s="125">
        <v>34</v>
      </c>
      <c r="M53" s="125">
        <v>74</v>
      </c>
      <c r="N53" s="125">
        <v>80</v>
      </c>
      <c r="O53" s="125">
        <v>77</v>
      </c>
      <c r="P53" s="125">
        <v>102</v>
      </c>
      <c r="Q53" s="125"/>
      <c r="R53" s="125">
        <v>170</v>
      </c>
      <c r="S53" s="182">
        <v>4</v>
      </c>
      <c r="T53" s="182">
        <v>192</v>
      </c>
      <c r="U53" s="182">
        <v>192</v>
      </c>
      <c r="V53" s="101">
        <f t="shared" si="2"/>
        <v>0.11467065256124731</v>
      </c>
      <c r="W53" s="21">
        <f t="shared" si="8"/>
        <v>0.15</v>
      </c>
      <c r="X53" s="131">
        <f t="shared" si="3"/>
        <v>220.79999999999998</v>
      </c>
      <c r="Y53" s="131">
        <f t="shared" ref="Y53" si="213">X53*(1+$W53)</f>
        <v>253.91999999999996</v>
      </c>
      <c r="Z53" s="131">
        <f t="shared" ref="Z53" si="214">Y53*(1+$W53)</f>
        <v>292.00799999999992</v>
      </c>
      <c r="AA53" s="131">
        <f t="shared" ref="AA53" si="215">Z53*(1+$W53)</f>
        <v>335.80919999999986</v>
      </c>
      <c r="AB53" s="131">
        <f t="shared" ref="AB53" si="216">AA53*(1+$W53)</f>
        <v>386.18057999999979</v>
      </c>
      <c r="AC53" s="131">
        <f t="shared" ref="AC53" si="217">AB53*(1+$W53)</f>
        <v>444.10766699999971</v>
      </c>
      <c r="AD53" s="131">
        <f t="shared" ref="AD53" si="218">AC53*(1+$W53)</f>
        <v>510.72381704999964</v>
      </c>
      <c r="AE53" s="131">
        <f t="shared" ref="AE53" si="219">AD53*(1+$W53)</f>
        <v>587.33238960749952</v>
      </c>
      <c r="AF53" s="131">
        <f t="shared" ref="AF53" si="220">AE53*(1+$W53)</f>
        <v>675.43224804862439</v>
      </c>
      <c r="AG53" s="131">
        <f t="shared" ref="AG53" si="221">AF53*(1+$W53)</f>
        <v>776.74708525591802</v>
      </c>
      <c r="AH53" s="116">
        <f t="shared" ref="AH53" si="222">((AG53/J53)^(1/($AG$3-$K$1) ))-1</f>
        <v>0.1202680415382309</v>
      </c>
      <c r="AI53" s="21">
        <f t="shared" si="18"/>
        <v>0.05</v>
      </c>
      <c r="AJ53" s="124">
        <f t="shared" ref="AJ53" si="223">(AG53*(1+AI53))/($C$1-AI53)</f>
        <v>4797.5555265806706</v>
      </c>
    </row>
    <row r="54" spans="1:36" s="106" customFormat="1" x14ac:dyDescent="0.2">
      <c r="B54" s="13"/>
      <c r="C54" s="126"/>
      <c r="D54" s="126"/>
      <c r="E54" s="127"/>
      <c r="F54" s="272"/>
      <c r="G54" s="272">
        <f t="shared" ref="G54:P54" si="224">(G53-F53)/G53</f>
        <v>1</v>
      </c>
      <c r="H54" s="272">
        <f t="shared" si="224"/>
        <v>-0.05</v>
      </c>
      <c r="I54" s="272">
        <f t="shared" si="224"/>
        <v>0.24528301886792453</v>
      </c>
      <c r="J54" s="272">
        <f t="shared" si="224"/>
        <v>7.0175438596491224E-2</v>
      </c>
      <c r="K54" s="272">
        <f t="shared" si="224"/>
        <v>-9.6153846153846159E-2</v>
      </c>
      <c r="L54" s="272">
        <f t="shared" si="224"/>
        <v>-0.52941176470588236</v>
      </c>
      <c r="M54" s="272">
        <f t="shared" si="224"/>
        <v>0.54054054054054057</v>
      </c>
      <c r="N54" s="272">
        <f t="shared" si="224"/>
        <v>7.4999999999999997E-2</v>
      </c>
      <c r="O54" s="272">
        <f t="shared" si="224"/>
        <v>-3.896103896103896E-2</v>
      </c>
      <c r="P54" s="272">
        <f t="shared" si="224"/>
        <v>0.24509803921568626</v>
      </c>
      <c r="Q54" s="272" t="e">
        <f t="shared" ref="Q54:R54" si="225">(Q53-P53)/Q53</f>
        <v>#DIV/0!</v>
      </c>
      <c r="R54" s="272">
        <f t="shared" si="225"/>
        <v>1</v>
      </c>
      <c r="S54" s="128">
        <f t="shared" ref="S54:U54" si="226">(S53-R53)/R53</f>
        <v>-0.97647058823529409</v>
      </c>
      <c r="T54" s="128">
        <f t="shared" si="226"/>
        <v>47</v>
      </c>
      <c r="U54" s="128">
        <f t="shared" si="226"/>
        <v>0</v>
      </c>
      <c r="V54" s="10"/>
      <c r="W54" s="10"/>
      <c r="X54" s="131"/>
      <c r="Y54" s="132"/>
      <c r="Z54" s="132"/>
      <c r="AA54" s="132"/>
      <c r="AB54" s="132"/>
      <c r="AC54" s="132"/>
      <c r="AD54" s="132"/>
      <c r="AE54" s="132"/>
      <c r="AF54" s="132"/>
      <c r="AG54" s="132"/>
      <c r="AH54" s="117"/>
      <c r="AI54" s="115"/>
      <c r="AJ54" s="133"/>
    </row>
    <row r="55" spans="1:36" x14ac:dyDescent="0.2">
      <c r="B55" s="10" t="s">
        <v>346</v>
      </c>
      <c r="C55" s="119"/>
      <c r="D55" s="119"/>
      <c r="E55" s="125"/>
      <c r="F55" s="125"/>
      <c r="G55" s="125">
        <v>28</v>
      </c>
      <c r="H55" s="125">
        <v>28</v>
      </c>
      <c r="I55" s="125">
        <v>37</v>
      </c>
      <c r="J55" s="125">
        <v>52</v>
      </c>
      <c r="K55" s="125">
        <v>37</v>
      </c>
      <c r="L55" s="125">
        <v>25</v>
      </c>
      <c r="M55" s="125">
        <v>47</v>
      </c>
      <c r="N55" s="125">
        <v>56</v>
      </c>
      <c r="O55" s="125">
        <v>50</v>
      </c>
      <c r="P55" s="125">
        <v>68</v>
      </c>
      <c r="Q55" s="125"/>
      <c r="R55" s="125">
        <v>112</v>
      </c>
      <c r="S55" s="182">
        <v>-58</v>
      </c>
      <c r="T55" s="182">
        <v>77</v>
      </c>
      <c r="U55" s="182">
        <v>77</v>
      </c>
      <c r="V55" s="101">
        <f t="shared" si="2"/>
        <v>7.4931789541336391E-2</v>
      </c>
      <c r="W55" s="21">
        <f t="shared" si="8"/>
        <v>0.15</v>
      </c>
      <c r="X55" s="131">
        <f t="shared" si="3"/>
        <v>88.55</v>
      </c>
      <c r="Y55" s="131">
        <f t="shared" ref="Y55:AG55" si="227">X55*(1+$W55)</f>
        <v>101.83249999999998</v>
      </c>
      <c r="Z55" s="131">
        <f t="shared" si="227"/>
        <v>117.10737499999998</v>
      </c>
      <c r="AA55" s="131">
        <f t="shared" si="227"/>
        <v>134.67348124999995</v>
      </c>
      <c r="AB55" s="131">
        <f t="shared" si="227"/>
        <v>154.87450343749992</v>
      </c>
      <c r="AC55" s="131">
        <f t="shared" si="227"/>
        <v>178.10567895312491</v>
      </c>
      <c r="AD55" s="131">
        <f t="shared" si="227"/>
        <v>204.82153079609364</v>
      </c>
      <c r="AE55" s="131">
        <f t="shared" si="227"/>
        <v>235.54476041550768</v>
      </c>
      <c r="AF55" s="131">
        <f t="shared" si="227"/>
        <v>270.87647447783382</v>
      </c>
      <c r="AG55" s="131">
        <f t="shared" si="227"/>
        <v>311.50794564950888</v>
      </c>
      <c r="AH55" s="116">
        <f t="shared" si="20"/>
        <v>8.094316617590458E-2</v>
      </c>
      <c r="AI55" s="21">
        <f t="shared" si="18"/>
        <v>0.05</v>
      </c>
      <c r="AJ55" s="124">
        <f t="shared" si="1"/>
        <v>1924.0196643057905</v>
      </c>
    </row>
    <row r="56" spans="1:36" s="106" customFormat="1" x14ac:dyDescent="0.2">
      <c r="B56" s="13"/>
      <c r="C56" s="126"/>
      <c r="D56" s="126"/>
      <c r="E56" s="127"/>
      <c r="F56" s="272"/>
      <c r="G56" s="272">
        <f>(G55-F55)/G55</f>
        <v>1</v>
      </c>
      <c r="H56" s="272">
        <f t="shared" ref="H56:P56" si="228">(H55-G55)/H55</f>
        <v>0</v>
      </c>
      <c r="I56" s="272">
        <f t="shared" si="228"/>
        <v>0.24324324324324326</v>
      </c>
      <c r="J56" s="272">
        <f t="shared" si="228"/>
        <v>0.28846153846153844</v>
      </c>
      <c r="K56" s="272">
        <f t="shared" si="228"/>
        <v>-0.40540540540540543</v>
      </c>
      <c r="L56" s="272">
        <f t="shared" si="228"/>
        <v>-0.48</v>
      </c>
      <c r="M56" s="272">
        <f t="shared" si="228"/>
        <v>0.46808510638297873</v>
      </c>
      <c r="N56" s="272">
        <f t="shared" si="228"/>
        <v>0.16071428571428573</v>
      </c>
      <c r="O56" s="272">
        <f t="shared" si="228"/>
        <v>-0.12</v>
      </c>
      <c r="P56" s="272">
        <f t="shared" si="228"/>
        <v>0.26470588235294118</v>
      </c>
      <c r="Q56" s="272" t="e">
        <f t="shared" ref="Q56:R56" si="229">(Q55-P55)/Q55</f>
        <v>#DIV/0!</v>
      </c>
      <c r="R56" s="272">
        <f t="shared" si="229"/>
        <v>1</v>
      </c>
      <c r="S56" s="128">
        <f t="shared" ref="S56:U56" si="230">(S55-R55)/R55</f>
        <v>-1.5178571428571428</v>
      </c>
      <c r="T56" s="128">
        <f t="shared" si="230"/>
        <v>-2.3275862068965516</v>
      </c>
      <c r="U56" s="128">
        <f t="shared" si="230"/>
        <v>0</v>
      </c>
      <c r="V56" s="10"/>
      <c r="W56" s="10"/>
      <c r="X56" s="131"/>
      <c r="Y56" s="132"/>
      <c r="Z56" s="132"/>
      <c r="AA56" s="132"/>
      <c r="AB56" s="132"/>
      <c r="AC56" s="132"/>
      <c r="AD56" s="132"/>
      <c r="AE56" s="132"/>
      <c r="AF56" s="132"/>
      <c r="AG56" s="132"/>
      <c r="AH56" s="117"/>
      <c r="AI56" s="115"/>
      <c r="AJ56" s="133"/>
    </row>
    <row r="57" spans="1:36" x14ac:dyDescent="0.2">
      <c r="B57" s="10" t="s">
        <v>197</v>
      </c>
      <c r="C57" s="120"/>
      <c r="D57" s="120"/>
      <c r="E57" s="123"/>
      <c r="F57" s="125"/>
      <c r="G57" s="274">
        <v>1.45</v>
      </c>
      <c r="H57" s="274">
        <v>1.45</v>
      </c>
      <c r="I57" s="274">
        <v>1.45</v>
      </c>
      <c r="J57" s="274">
        <v>16.07</v>
      </c>
      <c r="K57" s="274">
        <v>16.07</v>
      </c>
      <c r="L57" s="274">
        <v>21.14</v>
      </c>
      <c r="M57" s="274">
        <v>21.18</v>
      </c>
      <c r="N57" s="274">
        <v>21.2</v>
      </c>
      <c r="O57" s="274">
        <v>21.31</v>
      </c>
      <c r="P57" s="274">
        <v>24.76</v>
      </c>
      <c r="Q57" s="123"/>
      <c r="R57" s="123">
        <v>27.27</v>
      </c>
      <c r="S57" s="123">
        <v>36.58</v>
      </c>
      <c r="T57" s="123">
        <v>36.67</v>
      </c>
      <c r="U57" s="123">
        <v>36.67</v>
      </c>
      <c r="V57" s="101">
        <f t="shared" si="2"/>
        <v>0.25953490575418581</v>
      </c>
      <c r="W57" s="21">
        <v>0.02</v>
      </c>
      <c r="X57" s="131">
        <f t="shared" si="3"/>
        <v>37.403400000000005</v>
      </c>
      <c r="Y57" s="131">
        <f>X57*(1+$W57)</f>
        <v>38.151468000000008</v>
      </c>
      <c r="Z57" s="131">
        <f t="shared" ref="Z57:AG57" si="231">Y57*(1+$W57)</f>
        <v>38.914497360000006</v>
      </c>
      <c r="AA57" s="131">
        <f t="shared" si="231"/>
        <v>39.692787307200007</v>
      </c>
      <c r="AB57" s="131">
        <f t="shared" si="231"/>
        <v>40.486643053344011</v>
      </c>
      <c r="AC57" s="131">
        <f t="shared" si="231"/>
        <v>41.296375914410895</v>
      </c>
      <c r="AD57" s="131">
        <f t="shared" si="231"/>
        <v>42.122303432699113</v>
      </c>
      <c r="AE57" s="131">
        <f t="shared" si="231"/>
        <v>42.964749501353097</v>
      </c>
      <c r="AF57" s="131">
        <f t="shared" si="231"/>
        <v>43.824044491380157</v>
      </c>
      <c r="AG57" s="131">
        <f t="shared" si="231"/>
        <v>44.700525381207761</v>
      </c>
      <c r="AH57" s="116">
        <f t="shared" si="20"/>
        <v>4.5483661140263143E-2</v>
      </c>
      <c r="AI57" s="21">
        <f t="shared" si="18"/>
        <v>0.05</v>
      </c>
      <c r="AJ57" s="124">
        <f t="shared" si="1"/>
        <v>276.09148029569502</v>
      </c>
    </row>
    <row r="58" spans="1:36" x14ac:dyDescent="0.2">
      <c r="B58" s="10"/>
      <c r="C58" s="120"/>
      <c r="D58" s="120"/>
      <c r="E58" s="121"/>
      <c r="F58" s="272"/>
      <c r="G58" s="272">
        <f t="shared" ref="G58" si="232">(G57-E57)/G57</f>
        <v>1</v>
      </c>
      <c r="H58" s="272">
        <f>(H57-F57)/H57</f>
        <v>1</v>
      </c>
      <c r="I58" s="272">
        <f t="shared" ref="I58:R58" si="233">(I57-H57)/I57</f>
        <v>0</v>
      </c>
      <c r="J58" s="272">
        <f t="shared" si="233"/>
        <v>0.90976975731176113</v>
      </c>
      <c r="K58" s="272">
        <f t="shared" si="233"/>
        <v>0</v>
      </c>
      <c r="L58" s="272">
        <f t="shared" si="233"/>
        <v>0.23982970671712395</v>
      </c>
      <c r="M58" s="272">
        <f t="shared" si="233"/>
        <v>1.8885741265344262E-3</v>
      </c>
      <c r="N58" s="272">
        <f t="shared" si="233"/>
        <v>9.4339622641507429E-4</v>
      </c>
      <c r="O58" s="272">
        <f t="shared" si="233"/>
        <v>5.1618958235569888E-3</v>
      </c>
      <c r="P58" s="272">
        <f t="shared" si="233"/>
        <v>0.13933764135702756</v>
      </c>
      <c r="Q58" s="272" t="e">
        <f t="shared" si="233"/>
        <v>#DIV/0!</v>
      </c>
      <c r="R58" s="272">
        <f t="shared" si="233"/>
        <v>1</v>
      </c>
      <c r="S58" s="128">
        <f t="shared" ref="S58:U58" si="234">(S57-R57)/R57</f>
        <v>0.34140080674734136</v>
      </c>
      <c r="T58" s="128">
        <f t="shared" si="234"/>
        <v>2.4603608529251892E-3</v>
      </c>
      <c r="U58" s="128">
        <f t="shared" si="234"/>
        <v>0</v>
      </c>
      <c r="V58" s="10"/>
      <c r="W58" s="10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17"/>
      <c r="AI58" s="115"/>
      <c r="AJ58" s="124"/>
    </row>
    <row r="59" spans="1:36" x14ac:dyDescent="0.2">
      <c r="B59" s="10" t="s">
        <v>233</v>
      </c>
      <c r="C59" s="123"/>
      <c r="D59" s="123"/>
      <c r="E59" s="123"/>
      <c r="F59" s="12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125"/>
      <c r="R59" s="125"/>
      <c r="S59" s="182"/>
      <c r="T59" s="182"/>
      <c r="U59" s="182"/>
      <c r="V59" s="101" t="e">
        <f t="shared" si="2"/>
        <v>#DIV/0!</v>
      </c>
      <c r="W59" s="21">
        <v>0.02</v>
      </c>
      <c r="X59" s="131">
        <f t="shared" si="3"/>
        <v>0</v>
      </c>
      <c r="Y59" s="131">
        <f t="shared" ref="Y59" si="235">X59*(1+$W59)</f>
        <v>0</v>
      </c>
      <c r="Z59" s="131">
        <f t="shared" ref="Z59" si="236">Y59*(1+$W59)</f>
        <v>0</v>
      </c>
      <c r="AA59" s="131">
        <f t="shared" ref="AA59" si="237">Z59*(1+$W59)</f>
        <v>0</v>
      </c>
      <c r="AB59" s="131">
        <f t="shared" ref="AB59" si="238">AA59*(1+$W59)</f>
        <v>0</v>
      </c>
      <c r="AC59" s="131">
        <f t="shared" ref="AC59" si="239">AB59*(1+$W59)</f>
        <v>0</v>
      </c>
      <c r="AD59" s="131">
        <f t="shared" ref="AD59" si="240">AC59*(1+$W59)</f>
        <v>0</v>
      </c>
      <c r="AE59" s="131">
        <f t="shared" ref="AE59" si="241">AD59*(1+$W59)</f>
        <v>0</v>
      </c>
      <c r="AF59" s="131">
        <f t="shared" ref="AF59" si="242">AE59*(1+$W59)</f>
        <v>0</v>
      </c>
      <c r="AG59" s="131">
        <f t="shared" ref="AG59" si="243">AF59*(1+$W59)</f>
        <v>0</v>
      </c>
      <c r="AH59" s="116" t="e">
        <f t="shared" ref="AH59" si="244">((AG59/J59)^(1/($AG$3-$K$1) ))-1</f>
        <v>#DIV/0!</v>
      </c>
      <c r="AI59" s="21">
        <f t="shared" si="18"/>
        <v>0.05</v>
      </c>
      <c r="AJ59" s="124">
        <f t="shared" si="1"/>
        <v>0</v>
      </c>
    </row>
    <row r="60" spans="1:36" x14ac:dyDescent="0.2">
      <c r="B60" s="10"/>
      <c r="C60" s="123"/>
      <c r="D60" s="123"/>
      <c r="E60" s="123"/>
      <c r="F60" s="128"/>
      <c r="G60" s="128" t="e">
        <f t="shared" ref="G60" si="245">(G59-E59)/E59</f>
        <v>#DIV/0!</v>
      </c>
      <c r="H60" s="128" t="e">
        <f t="shared" ref="H60" si="246">(H59-F59)/F59</f>
        <v>#DIV/0!</v>
      </c>
      <c r="I60" s="128" t="e">
        <f t="shared" ref="I60" si="247">(I59-H59)/H59</f>
        <v>#DIV/0!</v>
      </c>
      <c r="J60" s="128" t="e">
        <f t="shared" ref="J60:U60" si="248">(J59-I59)/I59</f>
        <v>#DIV/0!</v>
      </c>
      <c r="K60" s="128" t="e">
        <f t="shared" si="248"/>
        <v>#DIV/0!</v>
      </c>
      <c r="L60" s="128" t="e">
        <f t="shared" si="248"/>
        <v>#DIV/0!</v>
      </c>
      <c r="M60" s="128" t="e">
        <f t="shared" si="248"/>
        <v>#DIV/0!</v>
      </c>
      <c r="N60" s="128" t="e">
        <f t="shared" si="248"/>
        <v>#DIV/0!</v>
      </c>
      <c r="O60" s="128" t="e">
        <f t="shared" si="248"/>
        <v>#DIV/0!</v>
      </c>
      <c r="P60" s="128" t="e">
        <f t="shared" si="248"/>
        <v>#DIV/0!</v>
      </c>
      <c r="Q60" s="128" t="e">
        <f t="shared" si="248"/>
        <v>#DIV/0!</v>
      </c>
      <c r="R60" s="128" t="e">
        <f t="shared" si="248"/>
        <v>#DIV/0!</v>
      </c>
      <c r="S60" s="128" t="e">
        <f t="shared" si="248"/>
        <v>#DIV/0!</v>
      </c>
      <c r="T60" s="128" t="e">
        <f t="shared" si="248"/>
        <v>#DIV/0!</v>
      </c>
      <c r="U60" s="128" t="e">
        <f t="shared" si="248"/>
        <v>#DIV/0!</v>
      </c>
      <c r="V60" s="110"/>
      <c r="W60" s="10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17"/>
      <c r="AI60" s="115"/>
      <c r="AJ60" s="124"/>
    </row>
    <row r="61" spans="1:36" x14ac:dyDescent="0.2">
      <c r="B61" s="10" t="s">
        <v>371</v>
      </c>
      <c r="C61" s="10"/>
      <c r="D61" s="10"/>
      <c r="E61" s="109"/>
      <c r="F61" s="125"/>
      <c r="G61" s="125">
        <v>0</v>
      </c>
      <c r="H61" s="125">
        <v>0</v>
      </c>
      <c r="I61" s="125">
        <v>0</v>
      </c>
      <c r="J61" s="125" t="s">
        <v>515</v>
      </c>
      <c r="K61" s="125">
        <v>0</v>
      </c>
      <c r="L61" s="125">
        <v>0</v>
      </c>
      <c r="M61" s="125">
        <v>0</v>
      </c>
      <c r="N61" s="125">
        <v>0</v>
      </c>
      <c r="O61" s="125">
        <v>0</v>
      </c>
      <c r="P61" s="125">
        <v>0</v>
      </c>
      <c r="Q61" s="125">
        <v>0</v>
      </c>
      <c r="R61" s="125">
        <v>0</v>
      </c>
      <c r="S61" s="125">
        <v>0</v>
      </c>
      <c r="T61" s="125">
        <v>0</v>
      </c>
      <c r="U61" s="125">
        <v>0</v>
      </c>
      <c r="V61" s="125">
        <v>0</v>
      </c>
      <c r="W61" s="110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17"/>
      <c r="AI61" s="115"/>
      <c r="AJ61" s="131"/>
    </row>
    <row r="62" spans="1:36" x14ac:dyDescent="0.2">
      <c r="B62" s="10" t="s">
        <v>369</v>
      </c>
      <c r="C62" s="10"/>
      <c r="D62" s="10"/>
      <c r="E62" s="109"/>
      <c r="F62" s="125"/>
      <c r="G62" s="125">
        <v>0</v>
      </c>
      <c r="H62" s="125">
        <v>0</v>
      </c>
      <c r="I62" s="125">
        <v>0</v>
      </c>
      <c r="J62" s="125">
        <v>0</v>
      </c>
      <c r="K62" s="125">
        <v>0</v>
      </c>
      <c r="L62" s="125">
        <v>0</v>
      </c>
      <c r="M62" s="125">
        <v>0</v>
      </c>
      <c r="N62" s="125">
        <v>0</v>
      </c>
      <c r="O62" s="125">
        <v>0</v>
      </c>
      <c r="P62" s="125">
        <v>0</v>
      </c>
      <c r="Q62" s="125">
        <v>0</v>
      </c>
      <c r="R62" s="125">
        <v>0</v>
      </c>
      <c r="S62" s="125">
        <v>0</v>
      </c>
      <c r="T62" s="125">
        <v>0</v>
      </c>
      <c r="U62" s="125">
        <v>0</v>
      </c>
      <c r="V62" s="125">
        <v>0</v>
      </c>
      <c r="W62" s="110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17"/>
      <c r="AI62" s="115"/>
      <c r="AJ62" s="131"/>
    </row>
    <row r="63" spans="1:36" x14ac:dyDescent="0.2">
      <c r="B63" s="10" t="s">
        <v>370</v>
      </c>
      <c r="C63" s="10"/>
      <c r="D63" s="10"/>
      <c r="E63" s="109"/>
      <c r="F63" s="125"/>
      <c r="G63" s="125">
        <v>0</v>
      </c>
      <c r="H63" s="125">
        <v>0</v>
      </c>
      <c r="I63" s="125">
        <v>0</v>
      </c>
      <c r="J63" s="125">
        <v>0</v>
      </c>
      <c r="K63" s="125">
        <v>0</v>
      </c>
      <c r="L63" s="125" t="s">
        <v>516</v>
      </c>
      <c r="M63" s="125">
        <v>0</v>
      </c>
      <c r="N63" s="125">
        <v>0</v>
      </c>
      <c r="O63" s="125">
        <v>0</v>
      </c>
      <c r="P63" s="125">
        <v>0</v>
      </c>
      <c r="Q63" s="125">
        <v>0</v>
      </c>
      <c r="R63" s="125">
        <v>0</v>
      </c>
      <c r="S63" s="125">
        <v>0</v>
      </c>
      <c r="T63" s="125">
        <v>0</v>
      </c>
      <c r="U63" s="125">
        <v>0</v>
      </c>
      <c r="V63" s="125">
        <v>0</v>
      </c>
      <c r="W63" s="110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17"/>
      <c r="AI63" s="115"/>
      <c r="AJ63" s="131"/>
    </row>
    <row r="64" spans="1:36" x14ac:dyDescent="0.2">
      <c r="B64" s="10"/>
      <c r="C64" s="10"/>
      <c r="D64" s="10"/>
      <c r="E64" s="109"/>
      <c r="F64" s="109"/>
      <c r="G64" s="109"/>
      <c r="H64" s="109"/>
      <c r="I64" s="109"/>
      <c r="J64" s="10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0"/>
      <c r="W64" s="110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17"/>
      <c r="AI64" s="115"/>
      <c r="AJ64" s="131"/>
    </row>
    <row r="65" spans="2:36" x14ac:dyDescent="0.2">
      <c r="B65" s="93" t="s">
        <v>201</v>
      </c>
      <c r="C65" s="10"/>
      <c r="D65" s="10"/>
      <c r="E65" s="109"/>
      <c r="F65" s="109"/>
      <c r="G65" s="109"/>
      <c r="H65" s="109"/>
      <c r="I65" s="109"/>
      <c r="J65" s="109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0"/>
      <c r="W65" s="110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17"/>
      <c r="AI65" s="115"/>
      <c r="AJ65" s="131"/>
    </row>
    <row r="66" spans="2:36" x14ac:dyDescent="0.2">
      <c r="B66" s="10" t="s">
        <v>253</v>
      </c>
      <c r="C66" s="112"/>
      <c r="D66" s="112"/>
      <c r="E66" s="112"/>
      <c r="F66" s="112"/>
      <c r="G66" s="112">
        <f t="shared" ref="G66" si="249">G25/G57</f>
        <v>95.172413793103445</v>
      </c>
      <c r="H66" s="112">
        <f t="shared" ref="H66:I66" si="250">H25/H57</f>
        <v>95.172413793103445</v>
      </c>
      <c r="I66" s="112">
        <f t="shared" si="250"/>
        <v>154.48275862068965</v>
      </c>
      <c r="J66" s="112">
        <f t="shared" ref="J66:S66" si="251">J25/J57</f>
        <v>18.543870566272556</v>
      </c>
      <c r="K66" s="112">
        <f t="shared" si="251"/>
        <v>21.095208462974487</v>
      </c>
      <c r="L66" s="112">
        <f t="shared" si="251"/>
        <v>13.718070009460737</v>
      </c>
      <c r="M66" s="112">
        <f t="shared" si="251"/>
        <v>16.383380547686496</v>
      </c>
      <c r="N66" s="112">
        <f t="shared" si="251"/>
        <v>16.367924528301888</v>
      </c>
      <c r="O66" s="112">
        <f t="shared" si="251"/>
        <v>19.239793524167059</v>
      </c>
      <c r="P66" s="112">
        <f t="shared" si="251"/>
        <v>52.705977382875602</v>
      </c>
      <c r="Q66" s="112" t="e">
        <f t="shared" si="251"/>
        <v>#DIV/0!</v>
      </c>
      <c r="R66" s="112">
        <f t="shared" si="251"/>
        <v>120.49871653832049</v>
      </c>
      <c r="S66" s="112">
        <f t="shared" si="251"/>
        <v>165.82832148715147</v>
      </c>
      <c r="T66" s="112">
        <f t="shared" ref="T66:U66" si="252">T25/T57</f>
        <v>236.78756476683938</v>
      </c>
      <c r="U66" s="112">
        <f t="shared" si="252"/>
        <v>236.78756476683938</v>
      </c>
      <c r="V66" s="101">
        <f t="shared" ref="V66:V129" si="253">((T66/G66)^(1/($K$2-$K$1) ))-1</f>
        <v>6.7271330429426346E-2</v>
      </c>
      <c r="W66" s="110"/>
      <c r="X66" s="135">
        <f t="shared" ref="X66:AG66" si="254">X25/X57</f>
        <v>266.96637204104434</v>
      </c>
      <c r="Y66" s="135">
        <f t="shared" si="254"/>
        <v>300.9914978894127</v>
      </c>
      <c r="Z66" s="135">
        <f t="shared" si="254"/>
        <v>339.35315938512213</v>
      </c>
      <c r="AA66" s="135">
        <f t="shared" si="254"/>
        <v>382.6040522479318</v>
      </c>
      <c r="AB66" s="135">
        <f t="shared" si="254"/>
        <v>431.36731380894264</v>
      </c>
      <c r="AC66" s="135">
        <f t="shared" si="254"/>
        <v>486.34550086302346</v>
      </c>
      <c r="AD66" s="135">
        <f t="shared" si="254"/>
        <v>548.33071175733039</v>
      </c>
      <c r="AE66" s="135">
        <f t="shared" si="254"/>
        <v>618.21599854993121</v>
      </c>
      <c r="AF66" s="135">
        <f t="shared" si="254"/>
        <v>697.00823365923611</v>
      </c>
      <c r="AG66" s="135">
        <f t="shared" si="254"/>
        <v>785.84261638051134</v>
      </c>
      <c r="AH66" s="116">
        <f t="shared" ref="AH66" si="255">((AG66/J66)^(1/($AG$3-$K$1) ))-1</f>
        <v>0.17691475664176148</v>
      </c>
      <c r="AI66" s="21">
        <f t="shared" si="18"/>
        <v>0.05</v>
      </c>
      <c r="AJ66" s="124">
        <f t="shared" ref="AJ66:AJ67" si="256">(AG66*(1+AI66))/($C$1-AI66)</f>
        <v>4853.7338070561</v>
      </c>
    </row>
    <row r="67" spans="2:36" x14ac:dyDescent="0.2">
      <c r="B67" s="10" t="s">
        <v>254</v>
      </c>
      <c r="C67" s="112"/>
      <c r="D67" s="112"/>
      <c r="E67" s="112"/>
      <c r="F67" s="112"/>
      <c r="G67" s="112">
        <f t="shared" ref="G67" si="257">G27/G57</f>
        <v>60</v>
      </c>
      <c r="H67" s="112">
        <f t="shared" ref="H67:I67" si="258">H27/H57</f>
        <v>60</v>
      </c>
      <c r="I67" s="112">
        <f t="shared" si="258"/>
        <v>102.06896551724138</v>
      </c>
      <c r="J67" s="112">
        <f t="shared" ref="J67:S67" si="259">J27/J57</f>
        <v>12.321095208462975</v>
      </c>
      <c r="K67" s="112">
        <f t="shared" si="259"/>
        <v>14.934660858742999</v>
      </c>
      <c r="L67" s="112">
        <f t="shared" si="259"/>
        <v>10.596026490066224</v>
      </c>
      <c r="M67" s="112">
        <f t="shared" si="259"/>
        <v>11.189801699716714</v>
      </c>
      <c r="N67" s="112">
        <f t="shared" si="259"/>
        <v>11.179245283018869</v>
      </c>
      <c r="O67" s="112">
        <f t="shared" si="259"/>
        <v>13.374002815579541</v>
      </c>
      <c r="P67" s="112">
        <f t="shared" si="259"/>
        <v>46.163166397415182</v>
      </c>
      <c r="Q67" s="112" t="e">
        <f t="shared" si="259"/>
        <v>#DIV/0!</v>
      </c>
      <c r="R67" s="112">
        <f t="shared" si="259"/>
        <v>110.08434176751008</v>
      </c>
      <c r="S67" s="112">
        <f t="shared" si="259"/>
        <v>161.53635866593768</v>
      </c>
      <c r="T67" s="112">
        <f t="shared" ref="T67:U67" si="260">T27/T57</f>
        <v>225.661303517862</v>
      </c>
      <c r="U67" s="112">
        <f t="shared" si="260"/>
        <v>225.661303517862</v>
      </c>
      <c r="V67" s="101">
        <f t="shared" si="253"/>
        <v>9.9241900821554596E-2</v>
      </c>
      <c r="W67" s="110"/>
      <c r="X67" s="135">
        <f t="shared" ref="X67:AG67" si="261">X27/X57</f>
        <v>254.42205788778557</v>
      </c>
      <c r="Y67" s="135">
        <f t="shared" si="261"/>
        <v>286.84839859897392</v>
      </c>
      <c r="Z67" s="135">
        <f t="shared" si="261"/>
        <v>323.4075082243333</v>
      </c>
      <c r="AA67" s="135">
        <f t="shared" si="261"/>
        <v>364.62611221370906</v>
      </c>
      <c r="AB67" s="135">
        <f t="shared" si="261"/>
        <v>411.09806769192681</v>
      </c>
      <c r="AC67" s="135">
        <f t="shared" si="261"/>
        <v>463.4929194565841</v>
      </c>
      <c r="AD67" s="135">
        <f t="shared" si="261"/>
        <v>522.56554644614869</v>
      </c>
      <c r="AE67" s="135">
        <f t="shared" si="261"/>
        <v>589.16703765987347</v>
      </c>
      <c r="AF67" s="135">
        <f t="shared" si="261"/>
        <v>664.25695422436718</v>
      </c>
      <c r="AG67" s="135">
        <f t="shared" si="261"/>
        <v>748.91715427257077</v>
      </c>
      <c r="AH67" s="116">
        <f t="shared" ref="AH67" si="262">((AG67/J67)^(1/($AG$3-$K$1) ))-1</f>
        <v>0.19551724837912454</v>
      </c>
      <c r="AI67" s="21">
        <f t="shared" si="18"/>
        <v>0.05</v>
      </c>
      <c r="AJ67" s="124">
        <f t="shared" si="256"/>
        <v>4625.664776389408</v>
      </c>
    </row>
    <row r="68" spans="2:36" x14ac:dyDescent="0.2">
      <c r="B68" s="10" t="s">
        <v>372</v>
      </c>
      <c r="C68" s="112"/>
      <c r="D68" s="112"/>
      <c r="E68" s="112"/>
      <c r="F68" s="112"/>
      <c r="G68" s="112">
        <f t="shared" ref="G68" si="263">G53-G55</f>
        <v>14</v>
      </c>
      <c r="H68" s="112">
        <f t="shared" ref="H68:I68" si="264">H53-H55</f>
        <v>12</v>
      </c>
      <c r="I68" s="112">
        <f t="shared" si="264"/>
        <v>16</v>
      </c>
      <c r="J68" s="112">
        <f>J53-J55</f>
        <v>5</v>
      </c>
      <c r="K68" s="112">
        <f t="shared" ref="K68:S68" si="265">K53-K55</f>
        <v>15</v>
      </c>
      <c r="L68" s="112">
        <f t="shared" si="265"/>
        <v>9</v>
      </c>
      <c r="M68" s="112">
        <f t="shared" si="265"/>
        <v>27</v>
      </c>
      <c r="N68" s="112">
        <f t="shared" si="265"/>
        <v>24</v>
      </c>
      <c r="O68" s="112">
        <f t="shared" si="265"/>
        <v>27</v>
      </c>
      <c r="P68" s="112">
        <f t="shared" si="265"/>
        <v>34</v>
      </c>
      <c r="Q68" s="112">
        <f t="shared" si="265"/>
        <v>0</v>
      </c>
      <c r="R68" s="112">
        <f t="shared" si="265"/>
        <v>58</v>
      </c>
      <c r="S68" s="112">
        <f t="shared" si="265"/>
        <v>62</v>
      </c>
      <c r="T68" s="112">
        <f t="shared" ref="T68:U68" si="266">T53-T55</f>
        <v>115</v>
      </c>
      <c r="U68" s="112">
        <f t="shared" si="266"/>
        <v>115</v>
      </c>
      <c r="V68" s="101">
        <f t="shared" si="253"/>
        <v>0.16232188377477441</v>
      </c>
      <c r="W68" s="110"/>
      <c r="X68" s="112">
        <f t="shared" ref="X68:AG68" si="267">X53-X55</f>
        <v>132.25</v>
      </c>
      <c r="Y68" s="112">
        <f t="shared" si="267"/>
        <v>152.08749999999998</v>
      </c>
      <c r="Z68" s="112">
        <f t="shared" si="267"/>
        <v>174.90062499999993</v>
      </c>
      <c r="AA68" s="112">
        <f t="shared" si="267"/>
        <v>201.13571874999991</v>
      </c>
      <c r="AB68" s="112">
        <f t="shared" si="267"/>
        <v>231.30607656249987</v>
      </c>
      <c r="AC68" s="112">
        <f t="shared" si="267"/>
        <v>266.00198804687477</v>
      </c>
      <c r="AD68" s="112">
        <f t="shared" si="267"/>
        <v>305.90228625390603</v>
      </c>
      <c r="AE68" s="112">
        <f t="shared" si="267"/>
        <v>351.78762919199187</v>
      </c>
      <c r="AF68" s="112">
        <f t="shared" si="267"/>
        <v>404.55577357079056</v>
      </c>
      <c r="AG68" s="112">
        <f t="shared" si="267"/>
        <v>465.23913960640914</v>
      </c>
      <c r="AH68" s="116">
        <f t="shared" ref="AH68" si="268">((AG68/J68)^(1/($AG$3-$K$1) ))-1</f>
        <v>0.21785595333178165</v>
      </c>
      <c r="AI68" s="21">
        <f t="shared" si="18"/>
        <v>0.05</v>
      </c>
      <c r="AJ68" s="124">
        <f t="shared" ref="AJ68" si="269">(AG68*(1+AI68))/($C$1-AI68)</f>
        <v>2873.5358622748804</v>
      </c>
    </row>
    <row r="69" spans="2:36" x14ac:dyDescent="0.2">
      <c r="B69" s="10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0"/>
      <c r="W69" s="110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02"/>
      <c r="AI69" s="115"/>
      <c r="AJ69" s="124"/>
    </row>
    <row r="70" spans="2:36" x14ac:dyDescent="0.2">
      <c r="B70" s="10" t="s">
        <v>405</v>
      </c>
      <c r="C70" s="112"/>
      <c r="D70" s="112"/>
      <c r="E70" s="112"/>
      <c r="F70" s="15"/>
      <c r="G70" s="15">
        <f t="shared" ref="G70" si="270">G51/G57</f>
        <v>31.03448275862069</v>
      </c>
      <c r="H70" s="15">
        <f t="shared" ref="H70:I70" si="271">H51/H57</f>
        <v>29.655172413793103</v>
      </c>
      <c r="I70" s="15">
        <f t="shared" si="271"/>
        <v>41.379310344827587</v>
      </c>
      <c r="J70" s="15">
        <f t="shared" ref="J70:S70" si="272">J51/J57</f>
        <v>5.4760423148724326</v>
      </c>
      <c r="K70" s="15">
        <f t="shared" si="272"/>
        <v>5.7871810827629124</v>
      </c>
      <c r="L70" s="15">
        <f t="shared" si="272"/>
        <v>3.0274361400189216</v>
      </c>
      <c r="M70" s="15">
        <f t="shared" si="272"/>
        <v>3.7771482530689329</v>
      </c>
      <c r="N70" s="15">
        <f t="shared" si="272"/>
        <v>5</v>
      </c>
      <c r="O70" s="15">
        <f t="shared" si="272"/>
        <v>5.2557484748944159</v>
      </c>
      <c r="P70" s="15">
        <f t="shared" si="272"/>
        <v>6.138933764135702</v>
      </c>
      <c r="Q70" s="15" t="e">
        <f t="shared" si="272"/>
        <v>#DIV/0!</v>
      </c>
      <c r="R70" s="15">
        <f t="shared" si="272"/>
        <v>8.837550421708837</v>
      </c>
      <c r="S70" s="15">
        <f t="shared" si="272"/>
        <v>5.0300710770913071</v>
      </c>
      <c r="T70" s="15">
        <f>T51/T57</f>
        <v>8.5083174256885741</v>
      </c>
      <c r="U70" s="15">
        <f>U51/U57</f>
        <v>8.5083174256885741</v>
      </c>
      <c r="V70" s="101">
        <f t="shared" si="253"/>
        <v>-8.8289232898368764E-2</v>
      </c>
      <c r="W70" s="110"/>
      <c r="X70" s="96">
        <f>X51/X57</f>
        <v>9.5927108230802531</v>
      </c>
      <c r="Y70" s="96">
        <f t="shared" ref="Y70:AG70" si="273">Y51/Y57</f>
        <v>10.815311222100283</v>
      </c>
      <c r="Z70" s="96">
        <f t="shared" si="273"/>
        <v>12.19373324060326</v>
      </c>
      <c r="AA70" s="96">
        <f t="shared" si="273"/>
        <v>13.747836496758577</v>
      </c>
      <c r="AB70" s="96">
        <f t="shared" si="273"/>
        <v>15.500011736541529</v>
      </c>
      <c r="AC70" s="96">
        <f t="shared" si="273"/>
        <v>17.475503428453681</v>
      </c>
      <c r="AD70" s="96">
        <f t="shared" si="273"/>
        <v>19.702773473256602</v>
      </c>
      <c r="AE70" s="96">
        <f t="shared" si="273"/>
        <v>22.213911268867733</v>
      </c>
      <c r="AF70" s="96">
        <f t="shared" si="273"/>
        <v>25.045096038429307</v>
      </c>
      <c r="AG70" s="96">
        <f t="shared" si="273"/>
        <v>28.237118082542843</v>
      </c>
      <c r="AH70" s="116">
        <f t="shared" ref="AH70:AH71" si="274">((AG70/J70)^(1/($AG$3-$K$1) ))-1</f>
        <v>7.3919911154395113E-2</v>
      </c>
      <c r="AI70" s="21">
        <f t="shared" si="18"/>
        <v>0.05</v>
      </c>
      <c r="AJ70" s="124">
        <f t="shared" ref="AJ70:AJ71" si="275">(AG70*(1+AI70))/($C$1-AI70)</f>
        <v>174.40572933335287</v>
      </c>
    </row>
    <row r="71" spans="2:36" x14ac:dyDescent="0.2">
      <c r="B71" s="10" t="s">
        <v>406</v>
      </c>
      <c r="C71" s="112"/>
      <c r="D71" s="112"/>
      <c r="E71" s="112"/>
      <c r="F71" s="15"/>
      <c r="G71" s="15">
        <f t="shared" ref="G71" si="276">G53/G57</f>
        <v>28.96551724137931</v>
      </c>
      <c r="H71" s="15">
        <f t="shared" ref="H71:I71" si="277">H53/H57</f>
        <v>27.586206896551726</v>
      </c>
      <c r="I71" s="15">
        <f t="shared" si="277"/>
        <v>36.551724137931039</v>
      </c>
      <c r="J71" s="15">
        <f t="shared" ref="J71:S71" si="278">J53/J57</f>
        <v>3.5469819539514624</v>
      </c>
      <c r="K71" s="15">
        <f t="shared" si="278"/>
        <v>3.2358431860609831</v>
      </c>
      <c r="L71" s="15">
        <f t="shared" si="278"/>
        <v>1.6083254493850521</v>
      </c>
      <c r="M71" s="15">
        <f t="shared" si="278"/>
        <v>3.4938621340887632</v>
      </c>
      <c r="N71" s="15">
        <f t="shared" si="278"/>
        <v>3.7735849056603774</v>
      </c>
      <c r="O71" s="15">
        <f t="shared" si="278"/>
        <v>3.6133270764899112</v>
      </c>
      <c r="P71" s="15">
        <f t="shared" si="278"/>
        <v>4.1195476575121157</v>
      </c>
      <c r="Q71" s="15" t="e">
        <f t="shared" si="278"/>
        <v>#DIV/0!</v>
      </c>
      <c r="R71" s="15">
        <f t="shared" si="278"/>
        <v>6.2339567290062341</v>
      </c>
      <c r="S71" s="15">
        <f t="shared" si="278"/>
        <v>0.10934937124111536</v>
      </c>
      <c r="T71" s="15">
        <f>T53/T57</f>
        <v>5.2358876465775834</v>
      </c>
      <c r="U71" s="15">
        <f>U53/U57</f>
        <v>5.2358876465775834</v>
      </c>
      <c r="V71" s="101">
        <f t="shared" si="253"/>
        <v>-0.11501408379484035</v>
      </c>
      <c r="W71" s="110"/>
      <c r="X71" s="96">
        <f>X53/X57</f>
        <v>5.9032066603570783</v>
      </c>
      <c r="Y71" s="96">
        <f t="shared" ref="Y71:AG71" si="279">Y53/Y57</f>
        <v>6.6555761366770971</v>
      </c>
      <c r="Z71" s="96">
        <f t="shared" si="279"/>
        <v>7.5038358403712371</v>
      </c>
      <c r="AA71" s="96">
        <f t="shared" si="279"/>
        <v>8.4602070749283538</v>
      </c>
      <c r="AB71" s="96">
        <f t="shared" si="279"/>
        <v>9.5384687609486321</v>
      </c>
      <c r="AC71" s="96">
        <f t="shared" si="279"/>
        <v>10.754155955971495</v>
      </c>
      <c r="AD71" s="96">
        <f t="shared" si="279"/>
        <v>12.124783675850214</v>
      </c>
      <c r="AE71" s="96">
        <f t="shared" si="279"/>
        <v>13.670099242380141</v>
      </c>
      <c r="AF71" s="96">
        <f t="shared" si="279"/>
        <v>15.41236679287957</v>
      </c>
      <c r="AG71" s="96">
        <f t="shared" si="279"/>
        <v>17.376688050795593</v>
      </c>
      <c r="AH71" s="116">
        <f t="shared" si="274"/>
        <v>7.1530893477956159E-2</v>
      </c>
      <c r="AI71" s="21">
        <f t="shared" si="18"/>
        <v>0.05</v>
      </c>
      <c r="AJ71" s="124">
        <f t="shared" si="275"/>
        <v>107.32660266667867</v>
      </c>
    </row>
    <row r="72" spans="2:36" x14ac:dyDescent="0.2">
      <c r="B72" s="10" t="s">
        <v>215</v>
      </c>
      <c r="C72" s="15"/>
      <c r="D72" s="15"/>
      <c r="E72" s="15"/>
      <c r="F72" s="112"/>
      <c r="G72" s="112">
        <f t="shared" ref="G72" si="280">G55/G57</f>
        <v>19.310344827586206</v>
      </c>
      <c r="H72" s="112">
        <f t="shared" ref="H72:I72" si="281">H55/H57</f>
        <v>19.310344827586206</v>
      </c>
      <c r="I72" s="112">
        <f t="shared" si="281"/>
        <v>25.517241379310345</v>
      </c>
      <c r="J72" s="112">
        <f t="shared" ref="J72:S72" si="282">J55/J57</f>
        <v>3.2358431860609831</v>
      </c>
      <c r="K72" s="112">
        <f t="shared" si="282"/>
        <v>2.3024268823895455</v>
      </c>
      <c r="L72" s="112">
        <f t="shared" si="282"/>
        <v>1.1825922421948911</v>
      </c>
      <c r="M72" s="112">
        <f t="shared" si="282"/>
        <v>2.2190745986779983</v>
      </c>
      <c r="N72" s="112">
        <f t="shared" si="282"/>
        <v>2.6415094339622645</v>
      </c>
      <c r="O72" s="112">
        <f t="shared" si="282"/>
        <v>2.3463162834350073</v>
      </c>
      <c r="P72" s="112">
        <f t="shared" si="282"/>
        <v>2.7463651050080773</v>
      </c>
      <c r="Q72" s="112" t="e">
        <f t="shared" si="282"/>
        <v>#DIV/0!</v>
      </c>
      <c r="R72" s="112">
        <f t="shared" si="282"/>
        <v>4.1070773744041071</v>
      </c>
      <c r="S72" s="112">
        <f t="shared" si="282"/>
        <v>-1.5855658829961727</v>
      </c>
      <c r="T72" s="112">
        <f t="shared" ref="T72:U72" si="283">T55/T57</f>
        <v>2.0998091082628849</v>
      </c>
      <c r="U72" s="112">
        <f t="shared" si="283"/>
        <v>2.0998091082628849</v>
      </c>
      <c r="V72" s="101">
        <f t="shared" si="253"/>
        <v>-0.14656450993893855</v>
      </c>
      <c r="W72" s="110"/>
      <c r="X72" s="135">
        <f t="shared" ref="X72:AG72" si="284">X55/X57</f>
        <v>2.36743183774737</v>
      </c>
      <c r="Y72" s="135">
        <f t="shared" si="284"/>
        <v>2.6691633464798774</v>
      </c>
      <c r="Z72" s="135">
        <f t="shared" si="284"/>
        <v>3.0093508318155484</v>
      </c>
      <c r="AA72" s="135">
        <f t="shared" si="284"/>
        <v>3.3928955456743921</v>
      </c>
      <c r="AB72" s="135">
        <f t="shared" si="284"/>
        <v>3.8253234093387745</v>
      </c>
      <c r="AC72" s="135">
        <f t="shared" si="284"/>
        <v>4.3128646281760687</v>
      </c>
      <c r="AD72" s="135">
        <f t="shared" si="284"/>
        <v>4.8625434533357641</v>
      </c>
      <c r="AE72" s="135">
        <f t="shared" si="284"/>
        <v>5.4822793836628705</v>
      </c>
      <c r="AF72" s="135">
        <f t="shared" si="284"/>
        <v>6.1810012658944133</v>
      </c>
      <c r="AG72" s="135">
        <f t="shared" si="284"/>
        <v>6.9687759370378179</v>
      </c>
      <c r="AH72" s="116">
        <f t="shared" ref="AH72:AH86" si="285">((AG72/J72)^(1/($AG$3-$K$1) ))-1</f>
        <v>3.3916842848569662E-2</v>
      </c>
      <c r="AI72" s="21">
        <f t="shared" si="18"/>
        <v>0.05</v>
      </c>
      <c r="AJ72" s="124">
        <f t="shared" ref="AJ72:AJ100" si="286">(AG72*(1+AI72))/($C$1-AI72)</f>
        <v>43.042439611115938</v>
      </c>
    </row>
    <row r="73" spans="2:36" x14ac:dyDescent="0.2">
      <c r="B73" s="10" t="s">
        <v>333</v>
      </c>
      <c r="C73" s="112"/>
      <c r="D73" s="112"/>
      <c r="E73" s="112"/>
      <c r="F73" s="112"/>
      <c r="G73" s="112">
        <f t="shared" ref="G73" si="287">G20/G57</f>
        <v>0</v>
      </c>
      <c r="H73" s="112">
        <f t="shared" ref="H73:I73" si="288">H20/H57</f>
        <v>0</v>
      </c>
      <c r="I73" s="112">
        <f t="shared" si="288"/>
        <v>0</v>
      </c>
      <c r="J73" s="112">
        <f>J20/J57</f>
        <v>0</v>
      </c>
      <c r="K73" s="112">
        <f t="shared" ref="K73:S73" si="289">K20/K57</f>
        <v>0</v>
      </c>
      <c r="L73" s="112">
        <f t="shared" si="289"/>
        <v>0</v>
      </c>
      <c r="M73" s="112">
        <f t="shared" si="289"/>
        <v>0</v>
      </c>
      <c r="N73" s="112">
        <f t="shared" si="289"/>
        <v>0</v>
      </c>
      <c r="O73" s="112">
        <f t="shared" si="289"/>
        <v>0</v>
      </c>
      <c r="P73" s="112">
        <f t="shared" si="289"/>
        <v>0</v>
      </c>
      <c r="Q73" s="112" t="e">
        <f t="shared" si="289"/>
        <v>#DIV/0!</v>
      </c>
      <c r="R73" s="112">
        <f t="shared" si="289"/>
        <v>0</v>
      </c>
      <c r="S73" s="112">
        <f t="shared" si="289"/>
        <v>0</v>
      </c>
      <c r="T73" s="112">
        <f t="shared" ref="T73:U73" si="290">T20/T57</f>
        <v>0</v>
      </c>
      <c r="U73" s="112">
        <f t="shared" si="290"/>
        <v>0</v>
      </c>
      <c r="V73" s="110"/>
      <c r="W73" s="110"/>
      <c r="X73" s="112">
        <f t="shared" ref="X73:AG73" si="291">X20/X57</f>
        <v>0</v>
      </c>
      <c r="Y73" s="112">
        <f t="shared" si="291"/>
        <v>0</v>
      </c>
      <c r="Z73" s="112">
        <f t="shared" si="291"/>
        <v>0</v>
      </c>
      <c r="AA73" s="112">
        <f t="shared" si="291"/>
        <v>0</v>
      </c>
      <c r="AB73" s="112">
        <f t="shared" si="291"/>
        <v>0</v>
      </c>
      <c r="AC73" s="112">
        <f t="shared" si="291"/>
        <v>0</v>
      </c>
      <c r="AD73" s="112">
        <f t="shared" si="291"/>
        <v>0</v>
      </c>
      <c r="AE73" s="112">
        <f t="shared" si="291"/>
        <v>0</v>
      </c>
      <c r="AF73" s="112">
        <f t="shared" si="291"/>
        <v>0</v>
      </c>
      <c r="AG73" s="112">
        <f t="shared" si="291"/>
        <v>0</v>
      </c>
      <c r="AH73" s="116" t="e">
        <f t="shared" ref="AH73" si="292">((AG73/J73)^(1/($AG$3-$K$1) ))-1</f>
        <v>#DIV/0!</v>
      </c>
      <c r="AI73" s="21">
        <f t="shared" si="18"/>
        <v>0.05</v>
      </c>
      <c r="AJ73" s="124">
        <f t="shared" si="286"/>
        <v>0</v>
      </c>
    </row>
    <row r="74" spans="2:36" x14ac:dyDescent="0.2">
      <c r="B74" s="10" t="s">
        <v>203</v>
      </c>
      <c r="C74" s="15"/>
      <c r="D74" s="15"/>
      <c r="E74" s="15"/>
      <c r="F74" s="112"/>
      <c r="G74" s="112">
        <f t="shared" ref="G74" si="293">G7/G57</f>
        <v>99.310344827586206</v>
      </c>
      <c r="H74" s="112">
        <f t="shared" ref="H74:I74" si="294">H7/H57</f>
        <v>114.48275862068967</v>
      </c>
      <c r="I74" s="112">
        <f t="shared" si="294"/>
        <v>37.241379310344826</v>
      </c>
      <c r="J74" s="112">
        <f t="shared" ref="J74:S74" si="295">J7/J57</f>
        <v>12.134411947728687</v>
      </c>
      <c r="K74" s="112">
        <f t="shared" si="295"/>
        <v>13.87678904791537</v>
      </c>
      <c r="L74" s="112">
        <f t="shared" si="295"/>
        <v>14.285714285714285</v>
      </c>
      <c r="M74" s="112">
        <f t="shared" si="295"/>
        <v>16.052880075542966</v>
      </c>
      <c r="N74" s="112">
        <f t="shared" si="295"/>
        <v>18.490566037735849</v>
      </c>
      <c r="O74" s="112">
        <f t="shared" si="295"/>
        <v>20.553730642890663</v>
      </c>
      <c r="P74" s="112">
        <f t="shared" si="295"/>
        <v>27.786752827140546</v>
      </c>
      <c r="Q74" s="112" t="e">
        <f t="shared" si="295"/>
        <v>#DIV/0!</v>
      </c>
      <c r="R74" s="112">
        <f t="shared" si="295"/>
        <v>48.881554822148885</v>
      </c>
      <c r="S74" s="112">
        <f t="shared" si="295"/>
        <v>37.506834335702571</v>
      </c>
      <c r="T74" s="112">
        <f t="shared" ref="T74:U74" si="296">T7/T57</f>
        <v>44.859558221979817</v>
      </c>
      <c r="U74" s="112">
        <f t="shared" si="296"/>
        <v>44.859558221979817</v>
      </c>
      <c r="V74" s="101">
        <f t="shared" si="253"/>
        <v>-5.5184131589119945E-2</v>
      </c>
      <c r="W74" s="110"/>
      <c r="X74" s="135">
        <f t="shared" ref="X74:AG74" si="297">X7/X57</f>
        <v>50.576952897330173</v>
      </c>
      <c r="Y74" s="135">
        <f t="shared" si="297"/>
        <v>57.02303512934283</v>
      </c>
      <c r="Z74" s="135">
        <f t="shared" si="297"/>
        <v>64.290676861513973</v>
      </c>
      <c r="AA74" s="135">
        <f t="shared" si="297"/>
        <v>72.484586657589276</v>
      </c>
      <c r="AB74" s="135">
        <f t="shared" si="297"/>
        <v>81.722818290419269</v>
      </c>
      <c r="AC74" s="135">
        <f t="shared" si="297"/>
        <v>92.13847160194328</v>
      </c>
      <c r="AD74" s="135">
        <f t="shared" si="297"/>
        <v>103.88161013944585</v>
      </c>
      <c r="AE74" s="135">
        <f t="shared" si="297"/>
        <v>117.12142319643402</v>
      </c>
      <c r="AF74" s="135">
        <f t="shared" si="297"/>
        <v>132.04866340774424</v>
      </c>
      <c r="AG74" s="135">
        <f t="shared" si="297"/>
        <v>148.87839501853514</v>
      </c>
      <c r="AH74" s="116">
        <f t="shared" si="285"/>
        <v>0.11516644508410612</v>
      </c>
      <c r="AI74" s="21">
        <f t="shared" si="18"/>
        <v>0.05</v>
      </c>
      <c r="AJ74" s="124">
        <f t="shared" si="286"/>
        <v>919.5430280556584</v>
      </c>
    </row>
    <row r="75" spans="2:36" x14ac:dyDescent="0.2">
      <c r="B75" s="10" t="s">
        <v>204</v>
      </c>
      <c r="C75" s="109"/>
      <c r="D75" s="109"/>
      <c r="E75" s="109"/>
      <c r="F75" s="122"/>
      <c r="G75" s="122">
        <f t="shared" ref="G75" si="298">G6/G57</f>
        <v>89.65517241379311</v>
      </c>
      <c r="H75" s="122">
        <f t="shared" ref="H75:I75" si="299">H6/H57</f>
        <v>104.82758620689656</v>
      </c>
      <c r="I75" s="122">
        <f t="shared" si="299"/>
        <v>26.206896551724139</v>
      </c>
      <c r="J75" s="122">
        <f t="shared" ref="J75:S75" si="300">J6/J57</f>
        <v>4.667081518357187</v>
      </c>
      <c r="K75" s="122">
        <f t="shared" si="300"/>
        <v>6.3472308649657743</v>
      </c>
      <c r="L75" s="122">
        <f t="shared" si="300"/>
        <v>13.245033112582782</v>
      </c>
      <c r="M75" s="122">
        <f t="shared" si="300"/>
        <v>15.06137865911237</v>
      </c>
      <c r="N75" s="122">
        <f t="shared" si="300"/>
        <v>17.452830188679247</v>
      </c>
      <c r="O75" s="122">
        <f t="shared" si="300"/>
        <v>19.521351478179259</v>
      </c>
      <c r="P75" s="122">
        <f t="shared" si="300"/>
        <v>26.777059773828753</v>
      </c>
      <c r="Q75" s="122" t="e">
        <f t="shared" si="300"/>
        <v>#DIV/0!</v>
      </c>
      <c r="R75" s="122">
        <f t="shared" si="300"/>
        <v>47.708104143747711</v>
      </c>
      <c r="S75" s="122">
        <f t="shared" si="300"/>
        <v>37.506834335702571</v>
      </c>
      <c r="T75" s="122">
        <f t="shared" ref="T75:U75" si="301">T6/T57</f>
        <v>40.441778020179981</v>
      </c>
      <c r="U75" s="122">
        <f t="shared" si="301"/>
        <v>40.441778020179981</v>
      </c>
      <c r="V75" s="101">
        <f t="shared" si="253"/>
        <v>-5.5278235418002919E-2</v>
      </c>
      <c r="W75" s="110"/>
      <c r="X75" s="134">
        <f t="shared" ref="X75:AG75" si="302">X6/X57</f>
        <v>45.59612227765389</v>
      </c>
      <c r="Y75" s="134">
        <f t="shared" si="302"/>
        <v>51.407392764021537</v>
      </c>
      <c r="Z75" s="134">
        <f t="shared" si="302"/>
        <v>57.959315371200752</v>
      </c>
      <c r="AA75" s="134">
        <f t="shared" si="302"/>
        <v>65.346286938118496</v>
      </c>
      <c r="AB75" s="134">
        <f t="shared" si="302"/>
        <v>73.674735273368881</v>
      </c>
      <c r="AC75" s="134">
        <f t="shared" si="302"/>
        <v>83.064652514092344</v>
      </c>
      <c r="AD75" s="134">
        <f t="shared" si="302"/>
        <v>93.651323912947262</v>
      </c>
      <c r="AE75" s="134">
        <f t="shared" si="302"/>
        <v>105.58727696067582</v>
      </c>
      <c r="AF75" s="134">
        <f t="shared" si="302"/>
        <v>119.04447892625215</v>
      </c>
      <c r="AG75" s="134">
        <f t="shared" si="302"/>
        <v>134.21681447567644</v>
      </c>
      <c r="AH75" s="116">
        <f t="shared" si="285"/>
        <v>0.15724260648846511</v>
      </c>
      <c r="AI75" s="21">
        <f t="shared" si="18"/>
        <v>0.05</v>
      </c>
      <c r="AJ75" s="124">
        <f t="shared" si="286"/>
        <v>828.98620705564872</v>
      </c>
    </row>
    <row r="76" spans="2:36" x14ac:dyDescent="0.2">
      <c r="B76" s="10" t="s">
        <v>205</v>
      </c>
      <c r="C76" s="109"/>
      <c r="D76" s="109"/>
      <c r="E76" s="109"/>
      <c r="F76" s="122"/>
      <c r="G76" s="122">
        <f t="shared" ref="G76" si="303">G10/G57</f>
        <v>10.344827586206897</v>
      </c>
      <c r="H76" s="122">
        <f t="shared" ref="H76:I76" si="304">H10/H57</f>
        <v>0.13793103448275862</v>
      </c>
      <c r="I76" s="122">
        <f t="shared" si="304"/>
        <v>173.79310344827587</v>
      </c>
      <c r="J76" s="122">
        <f t="shared" ref="J76:S76" si="305">J10/J57</f>
        <v>17.797137523335408</v>
      </c>
      <c r="K76" s="122">
        <f t="shared" si="305"/>
        <v>16.179215930304917</v>
      </c>
      <c r="L76" s="122">
        <f t="shared" si="305"/>
        <v>8.0416272469252608</v>
      </c>
      <c r="M76" s="122">
        <f t="shared" si="305"/>
        <v>9.4900849858356935</v>
      </c>
      <c r="N76" s="122">
        <f t="shared" si="305"/>
        <v>10.613207547169811</v>
      </c>
      <c r="O76" s="122">
        <f t="shared" si="305"/>
        <v>8.728296574378227</v>
      </c>
      <c r="P76" s="122">
        <f t="shared" si="305"/>
        <v>7.2697899838449107</v>
      </c>
      <c r="Q76" s="122" t="e">
        <f t="shared" si="305"/>
        <v>#DIV/0!</v>
      </c>
      <c r="R76" s="122">
        <f t="shared" si="305"/>
        <v>13.604693802713605</v>
      </c>
      <c r="S76" s="122">
        <f t="shared" si="305"/>
        <v>22.252597047566976</v>
      </c>
      <c r="T76" s="122">
        <f t="shared" ref="T76:U76" si="306">T10/T57</f>
        <v>31.851649850013633</v>
      </c>
      <c r="U76" s="122">
        <f t="shared" si="306"/>
        <v>31.851649850013633</v>
      </c>
      <c r="V76" s="101">
        <f t="shared" si="253"/>
        <v>8.3643259679521798E-2</v>
      </c>
      <c r="W76" s="110"/>
      <c r="X76" s="134">
        <f t="shared" ref="X76:AG76" si="307">X10/X57</f>
        <v>35.911173850505563</v>
      </c>
      <c r="Y76" s="134">
        <f t="shared" si="307"/>
        <v>40.488088164785673</v>
      </c>
      <c r="Z76" s="134">
        <f t="shared" si="307"/>
        <v>45.648334695591686</v>
      </c>
      <c r="AA76" s="134">
        <f t="shared" si="307"/>
        <v>51.466259705814153</v>
      </c>
      <c r="AB76" s="134">
        <f t="shared" si="307"/>
        <v>58.025684962437516</v>
      </c>
      <c r="AC76" s="134">
        <f t="shared" si="307"/>
        <v>65.421115398826601</v>
      </c>
      <c r="AD76" s="134">
        <f t="shared" si="307"/>
        <v>73.759100694755489</v>
      </c>
      <c r="AE76" s="134">
        <f t="shared" si="307"/>
        <v>83.159770391145884</v>
      </c>
      <c r="AF76" s="134">
        <f t="shared" si="307"/>
        <v>93.758564656684086</v>
      </c>
      <c r="AG76" s="134">
        <f t="shared" si="307"/>
        <v>105.7081856423399</v>
      </c>
      <c r="AH76" s="116">
        <f t="shared" si="285"/>
        <v>8.0542049689327655E-2</v>
      </c>
      <c r="AI76" s="21">
        <f t="shared" si="18"/>
        <v>0.05</v>
      </c>
      <c r="AJ76" s="124">
        <f t="shared" si="286"/>
        <v>652.90349955562885</v>
      </c>
    </row>
    <row r="77" spans="2:36" x14ac:dyDescent="0.2">
      <c r="B77" s="10"/>
      <c r="C77" s="109"/>
      <c r="D77" s="109"/>
      <c r="E77" s="109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10"/>
      <c r="W77" s="110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17"/>
      <c r="AI77" s="115"/>
      <c r="AJ77" s="124"/>
    </row>
    <row r="78" spans="2:36" x14ac:dyDescent="0.2">
      <c r="B78" s="10" t="s">
        <v>222</v>
      </c>
      <c r="C78" s="109"/>
      <c r="D78" s="109"/>
      <c r="E78" s="109"/>
      <c r="F78" s="122"/>
      <c r="G78" s="122">
        <f t="shared" ref="G78" si="308">(G7-G10)/G57</f>
        <v>88.965517241379317</v>
      </c>
      <c r="H78" s="122">
        <f t="shared" ref="H78:I78" si="309">(H7-H10)/H57</f>
        <v>114.3448275862069</v>
      </c>
      <c r="I78" s="122">
        <f t="shared" si="309"/>
        <v>-136.55172413793105</v>
      </c>
      <c r="J78" s="122">
        <f t="shared" ref="J78:S78" si="310">(J7-J10)/J57</f>
        <v>-5.6627255756067205</v>
      </c>
      <c r="K78" s="122">
        <f t="shared" si="310"/>
        <v>-2.3024268823895455</v>
      </c>
      <c r="L78" s="122">
        <f t="shared" si="310"/>
        <v>6.2440870387890257</v>
      </c>
      <c r="M78" s="122">
        <f t="shared" si="310"/>
        <v>6.5627950897072713</v>
      </c>
      <c r="N78" s="122">
        <f t="shared" si="310"/>
        <v>7.8773584905660377</v>
      </c>
      <c r="O78" s="122">
        <f t="shared" si="310"/>
        <v>11.825434068512436</v>
      </c>
      <c r="P78" s="122">
        <f t="shared" si="310"/>
        <v>20.516962843295637</v>
      </c>
      <c r="Q78" s="122" t="e">
        <f t="shared" si="310"/>
        <v>#DIV/0!</v>
      </c>
      <c r="R78" s="122">
        <f t="shared" si="310"/>
        <v>35.27686101943528</v>
      </c>
      <c r="S78" s="122">
        <f t="shared" si="310"/>
        <v>15.254237288135593</v>
      </c>
      <c r="T78" s="122">
        <f t="shared" ref="T78:U78" si="311">(T7-T10)/T57</f>
        <v>13.007908371966185</v>
      </c>
      <c r="U78" s="122">
        <f t="shared" si="311"/>
        <v>13.007908371966185</v>
      </c>
      <c r="V78" s="101">
        <f t="shared" si="253"/>
        <v>-0.12832191834819062</v>
      </c>
      <c r="W78" s="110"/>
      <c r="X78" s="134">
        <f t="shared" ref="X78:AG78" si="312">(X7-X10)/X57</f>
        <v>14.665779046824618</v>
      </c>
      <c r="Y78" s="134">
        <f t="shared" si="312"/>
        <v>16.534946964557161</v>
      </c>
      <c r="Z78" s="134">
        <f t="shared" si="312"/>
        <v>18.64234216592229</v>
      </c>
      <c r="AA78" s="134">
        <f t="shared" si="312"/>
        <v>21.018326951775123</v>
      </c>
      <c r="AB78" s="134">
        <f t="shared" si="312"/>
        <v>23.697133327981742</v>
      </c>
      <c r="AC78" s="134">
        <f t="shared" si="312"/>
        <v>26.717356203116669</v>
      </c>
      <c r="AD78" s="134">
        <f t="shared" si="312"/>
        <v>30.122509444690362</v>
      </c>
      <c r="AE78" s="134">
        <f t="shared" si="312"/>
        <v>33.961652805288139</v>
      </c>
      <c r="AF78" s="134">
        <f t="shared" si="312"/>
        <v>38.29009875106015</v>
      </c>
      <c r="AG78" s="134">
        <f t="shared" si="312"/>
        <v>43.170209376195245</v>
      </c>
      <c r="AH78" s="116">
        <f t="shared" si="285"/>
        <v>-2.0923321682754619</v>
      </c>
      <c r="AI78" s="21">
        <f t="shared" si="18"/>
        <v>0.05</v>
      </c>
      <c r="AJ78" s="124">
        <f t="shared" si="286"/>
        <v>266.63952850002948</v>
      </c>
    </row>
    <row r="79" spans="2:36" x14ac:dyDescent="0.2">
      <c r="B79" s="10" t="s">
        <v>223</v>
      </c>
      <c r="C79" s="109"/>
      <c r="D79" s="109"/>
      <c r="E79" s="109"/>
      <c r="F79" s="122"/>
      <c r="G79" s="122">
        <f t="shared" ref="G79" si="313">(G7-G10-G9)/G57</f>
        <v>26.206896551724139</v>
      </c>
      <c r="H79" s="122">
        <f t="shared" ref="H79:I79" si="314">(H7-H10-H9)/H57</f>
        <v>38.482758620689665</v>
      </c>
      <c r="I79" s="122">
        <f t="shared" si="314"/>
        <v>-298.62068965517244</v>
      </c>
      <c r="J79" s="122">
        <f t="shared" ref="J79:S79" si="315">(J7-J10-J9)/J57</f>
        <v>-17.237087741132544</v>
      </c>
      <c r="K79" s="122">
        <f t="shared" si="315"/>
        <v>-12.445550715619166</v>
      </c>
      <c r="L79" s="122">
        <f t="shared" si="315"/>
        <v>-5.0141911069063383</v>
      </c>
      <c r="M79" s="122">
        <f t="shared" si="315"/>
        <v>-4.7686496694995277</v>
      </c>
      <c r="N79" s="122">
        <f t="shared" si="315"/>
        <v>-5.9433962264150946</v>
      </c>
      <c r="O79" s="122">
        <f t="shared" si="315"/>
        <v>-3.1909901454716096</v>
      </c>
      <c r="P79" s="122">
        <f t="shared" si="315"/>
        <v>-3.4733441033925683</v>
      </c>
      <c r="Q79" s="122" t="e">
        <f t="shared" si="315"/>
        <v>#DIV/0!</v>
      </c>
      <c r="R79" s="122">
        <f t="shared" si="315"/>
        <v>-7.1140447378071139</v>
      </c>
      <c r="S79" s="122">
        <f t="shared" si="315"/>
        <v>-56.178239475123021</v>
      </c>
      <c r="T79" s="122">
        <f t="shared" ref="T79:U79" si="316">(T7-T10-T9)/T57</f>
        <v>-72.32069811835288</v>
      </c>
      <c r="U79" s="122">
        <f t="shared" si="316"/>
        <v>-72.32069811835288</v>
      </c>
      <c r="V79" s="101" t="e">
        <f t="shared" si="253"/>
        <v>#NUM!</v>
      </c>
      <c r="W79" s="110"/>
      <c r="X79" s="134">
        <f t="shared" ref="X79:AG79" si="317">(X7-X10-X9)/X57</f>
        <v>-81.538041996182159</v>
      </c>
      <c r="Y79" s="134">
        <f t="shared" si="317"/>
        <v>-91.930145387852434</v>
      </c>
      <c r="Z79" s="134">
        <f t="shared" si="317"/>
        <v>-103.64673254512773</v>
      </c>
      <c r="AA79" s="134">
        <f t="shared" si="317"/>
        <v>-116.85661022244793</v>
      </c>
      <c r="AB79" s="134">
        <f t="shared" si="317"/>
        <v>-131.75009976060306</v>
      </c>
      <c r="AC79" s="134">
        <f t="shared" si="317"/>
        <v>-148.54177914185632</v>
      </c>
      <c r="AD79" s="134">
        <f t="shared" si="317"/>
        <v>-167.47357452268116</v>
      </c>
      <c r="AE79" s="134">
        <f t="shared" si="317"/>
        <v>-188.81824578537581</v>
      </c>
      <c r="AF79" s="134">
        <f t="shared" si="317"/>
        <v>-212.88331632664918</v>
      </c>
      <c r="AG79" s="134">
        <f t="shared" si="317"/>
        <v>-240.01550370161428</v>
      </c>
      <c r="AH79" s="116">
        <f t="shared" si="285"/>
        <v>0.12131947590336534</v>
      </c>
      <c r="AI79" s="21">
        <f t="shared" si="18"/>
        <v>0.05</v>
      </c>
      <c r="AJ79" s="124">
        <f t="shared" si="286"/>
        <v>-1482.4486993335001</v>
      </c>
    </row>
    <row r="80" spans="2:36" x14ac:dyDescent="0.2">
      <c r="B80" s="10" t="s">
        <v>228</v>
      </c>
      <c r="C80" s="109"/>
      <c r="D80" s="109"/>
      <c r="E80" s="109"/>
      <c r="F80" s="122"/>
      <c r="G80" s="122">
        <f t="shared" ref="G80" si="318">(G7+G15-G10-G9)/G57</f>
        <v>142.06896551724139</v>
      </c>
      <c r="H80" s="122">
        <f t="shared" ref="H80:I80" si="319">(H7+H15-H10-H9)/H57</f>
        <v>152.27586206896552</v>
      </c>
      <c r="I80" s="122">
        <f t="shared" si="319"/>
        <v>-48.96551724137931</v>
      </c>
      <c r="J80" s="122">
        <f t="shared" ref="J80:S80" si="320">(J7+J15-J10-J9)/J57</f>
        <v>5.5382700684505286</v>
      </c>
      <c r="K80" s="122">
        <f t="shared" si="320"/>
        <v>6.845052893590541</v>
      </c>
      <c r="L80" s="122">
        <f t="shared" si="320"/>
        <v>11.589403973509933</v>
      </c>
      <c r="M80" s="122">
        <f t="shared" si="320"/>
        <v>12.134088762983946</v>
      </c>
      <c r="N80" s="122">
        <f t="shared" si="320"/>
        <v>17.547169811320757</v>
      </c>
      <c r="O80" s="122">
        <f t="shared" si="320"/>
        <v>16.42421398404505</v>
      </c>
      <c r="P80" s="122">
        <f t="shared" si="320"/>
        <v>16.316639741518578</v>
      </c>
      <c r="Q80" s="122" t="e">
        <f t="shared" si="320"/>
        <v>#DIV/0!</v>
      </c>
      <c r="R80" s="122">
        <f t="shared" si="320"/>
        <v>26.806013934726806</v>
      </c>
      <c r="S80" s="122">
        <f t="shared" si="320"/>
        <v>-6.560962274466922</v>
      </c>
      <c r="T80" s="122">
        <f t="shared" ref="T80:U80" si="321">(T7+T15-T10-T9)/T57</f>
        <v>-8.9991818925552227</v>
      </c>
      <c r="U80" s="122">
        <f t="shared" si="321"/>
        <v>-8.9991818925552227</v>
      </c>
      <c r="V80" s="101" t="e">
        <f t="shared" si="253"/>
        <v>#NUM!</v>
      </c>
      <c r="W80" s="110"/>
      <c r="X80" s="134">
        <f t="shared" ref="X80:AG80" si="322">(X7+X15-X10-X9)/X57</f>
        <v>-10.146136447488741</v>
      </c>
      <c r="Y80" s="134">
        <f t="shared" si="322"/>
        <v>-11.439271484913791</v>
      </c>
      <c r="Z80" s="134">
        <f t="shared" si="322"/>
        <v>-12.897217850638093</v>
      </c>
      <c r="AA80" s="134">
        <f t="shared" si="322"/>
        <v>-14.540980910033179</v>
      </c>
      <c r="AB80" s="134">
        <f t="shared" si="322"/>
        <v>-16.394243182880512</v>
      </c>
      <c r="AC80" s="134">
        <f t="shared" si="322"/>
        <v>-18.483705549326046</v>
      </c>
      <c r="AD80" s="134">
        <f t="shared" si="322"/>
        <v>-20.839471942867625</v>
      </c>
      <c r="AE80" s="134">
        <f t="shared" si="322"/>
        <v>-23.495483072840955</v>
      </c>
      <c r="AF80" s="134">
        <f t="shared" si="322"/>
        <v>-26.490005425261788</v>
      </c>
      <c r="AG80" s="134">
        <f t="shared" si="322"/>
        <v>-29.866182587305001</v>
      </c>
      <c r="AH80" s="116">
        <f t="shared" si="285"/>
        <v>-2.0760132869592072</v>
      </c>
      <c r="AI80" s="21">
        <f t="shared" si="18"/>
        <v>0.05</v>
      </c>
      <c r="AJ80" s="124">
        <f t="shared" si="286"/>
        <v>-184.46759833335443</v>
      </c>
    </row>
    <row r="81" spans="2:36" x14ac:dyDescent="0.2">
      <c r="B81" s="10"/>
      <c r="C81" s="109"/>
      <c r="D81" s="109"/>
      <c r="E81" s="109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10"/>
      <c r="W81" s="110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17"/>
      <c r="AI81" s="115"/>
      <c r="AJ81" s="131"/>
    </row>
    <row r="82" spans="2:36" x14ac:dyDescent="0.2">
      <c r="B82" s="10" t="s">
        <v>206</v>
      </c>
      <c r="C82" s="109"/>
      <c r="D82" s="109"/>
      <c r="E82" s="109"/>
      <c r="F82" s="122"/>
      <c r="G82" s="122">
        <f t="shared" ref="G82" si="323">G12/G57</f>
        <v>65.517241379310349</v>
      </c>
      <c r="H82" s="122">
        <f t="shared" ref="H82:I82" si="324">H12/H57</f>
        <v>58.620689655172413</v>
      </c>
      <c r="I82" s="122">
        <f t="shared" si="324"/>
        <v>124.13793103448276</v>
      </c>
      <c r="J82" s="122">
        <f t="shared" ref="J82:S82" si="325">J12/J57</f>
        <v>10.454262601120099</v>
      </c>
      <c r="K82" s="122">
        <f t="shared" si="325"/>
        <v>9.8319850653391416</v>
      </c>
      <c r="L82" s="122">
        <f t="shared" si="325"/>
        <v>6.8117313150425733</v>
      </c>
      <c r="M82" s="122">
        <f t="shared" si="325"/>
        <v>6.4211520302171863</v>
      </c>
      <c r="N82" s="122">
        <f t="shared" si="325"/>
        <v>12.830188679245284</v>
      </c>
      <c r="O82" s="122">
        <f t="shared" si="325"/>
        <v>9.7606757390896295</v>
      </c>
      <c r="P82" s="122">
        <f t="shared" si="325"/>
        <v>13.327948303715669</v>
      </c>
      <c r="Q82" s="122" t="e">
        <f t="shared" si="325"/>
        <v>#DIV/0!</v>
      </c>
      <c r="R82" s="122">
        <f t="shared" si="325"/>
        <v>23.652365236523654</v>
      </c>
      <c r="S82" s="122">
        <f t="shared" si="325"/>
        <v>22.607982504100601</v>
      </c>
      <c r="T82" s="122">
        <f t="shared" ref="T82:U82" si="326">T12/T57</f>
        <v>25.579492773384235</v>
      </c>
      <c r="U82" s="122">
        <f t="shared" si="326"/>
        <v>25.579492773384235</v>
      </c>
      <c r="V82" s="101">
        <f t="shared" si="253"/>
        <v>-6.4973276819683123E-2</v>
      </c>
      <c r="W82" s="110"/>
      <c r="X82" s="134">
        <f t="shared" ref="X82:AG82" si="327">X12/X57</f>
        <v>28.839624205286142</v>
      </c>
      <c r="Y82" s="134">
        <f t="shared" si="327"/>
        <v>32.51526258439123</v>
      </c>
      <c r="Z82" s="134">
        <f t="shared" si="327"/>
        <v>36.659364678480308</v>
      </c>
      <c r="AA82" s="134">
        <f t="shared" si="327"/>
        <v>41.331636647306226</v>
      </c>
      <c r="AB82" s="134">
        <f t="shared" si="327"/>
        <v>46.599394259217796</v>
      </c>
      <c r="AC82" s="134">
        <f t="shared" si="327"/>
        <v>52.538532743235741</v>
      </c>
      <c r="AD82" s="134">
        <f t="shared" si="327"/>
        <v>59.234620249726568</v>
      </c>
      <c r="AE82" s="134">
        <f t="shared" si="327"/>
        <v>66.784130673711317</v>
      </c>
      <c r="AF82" s="134">
        <f t="shared" si="327"/>
        <v>75.295833602713742</v>
      </c>
      <c r="AG82" s="134">
        <f t="shared" si="327"/>
        <v>84.892361414824308</v>
      </c>
      <c r="AH82" s="116">
        <f t="shared" si="285"/>
        <v>9.5334452777845025E-2</v>
      </c>
      <c r="AI82" s="21">
        <f t="shared" si="18"/>
        <v>0.05</v>
      </c>
      <c r="AJ82" s="124">
        <f t="shared" si="286"/>
        <v>524.3351734445032</v>
      </c>
    </row>
    <row r="83" spans="2:36" x14ac:dyDescent="0.2">
      <c r="B83" s="10" t="s">
        <v>213</v>
      </c>
      <c r="C83" s="109"/>
      <c r="D83" s="109"/>
      <c r="E83" s="109"/>
      <c r="F83" s="122"/>
      <c r="G83" s="122">
        <f t="shared" ref="G83" si="328">G13/G57</f>
        <v>0.4206896551724138</v>
      </c>
      <c r="H83" s="122">
        <f t="shared" ref="H83:I83" si="329">H13/H57</f>
        <v>9.6551724137931032</v>
      </c>
      <c r="I83" s="122">
        <f t="shared" si="329"/>
        <v>8.2758620689655178</v>
      </c>
      <c r="J83" s="122">
        <f t="shared" ref="J83:S83" si="330">J13/J57</f>
        <v>4.3559427504667077E-2</v>
      </c>
      <c r="K83" s="122">
        <f t="shared" si="330"/>
        <v>1.3690105787181082E-2</v>
      </c>
      <c r="L83" s="122">
        <f t="shared" si="330"/>
        <v>1.6556291390728477</v>
      </c>
      <c r="M83" s="122">
        <f t="shared" si="330"/>
        <v>0.75542965061378664</v>
      </c>
      <c r="N83" s="122">
        <f t="shared" si="330"/>
        <v>1.7924528301886793</v>
      </c>
      <c r="O83" s="122">
        <f t="shared" si="330"/>
        <v>5.1149694978883158</v>
      </c>
      <c r="P83" s="122">
        <f t="shared" si="330"/>
        <v>8.4006462035541194</v>
      </c>
      <c r="Q83" s="122" t="e">
        <f t="shared" si="330"/>
        <v>#DIV/0!</v>
      </c>
      <c r="R83" s="122">
        <f t="shared" si="330"/>
        <v>12.431243124312431</v>
      </c>
      <c r="S83" s="122">
        <f t="shared" si="330"/>
        <v>3.6358665937670862</v>
      </c>
      <c r="T83" s="122">
        <f t="shared" ref="T83:U83" si="331">T13/T57</f>
        <v>11.971638941914371</v>
      </c>
      <c r="U83" s="122">
        <f t="shared" si="331"/>
        <v>11.971638941914371</v>
      </c>
      <c r="V83" s="101">
        <f t="shared" si="253"/>
        <v>0.27019629390883226</v>
      </c>
      <c r="W83" s="110"/>
      <c r="X83" s="134">
        <f t="shared" ref="X83:AG83" si="332">X13/X57</f>
        <v>13.497436061962279</v>
      </c>
      <c r="Y83" s="134">
        <f t="shared" si="332"/>
        <v>15.21769752083982</v>
      </c>
      <c r="Z83" s="134">
        <f t="shared" si="332"/>
        <v>17.157207989182151</v>
      </c>
      <c r="AA83" s="134">
        <f t="shared" si="332"/>
        <v>19.343910968195559</v>
      </c>
      <c r="AB83" s="134">
        <f t="shared" si="332"/>
        <v>21.809311385710679</v>
      </c>
      <c r="AC83" s="134">
        <f t="shared" si="332"/>
        <v>24.588929503497329</v>
      </c>
      <c r="AD83" s="134">
        <f t="shared" si="332"/>
        <v>27.722812675511694</v>
      </c>
      <c r="AE83" s="134">
        <f t="shared" si="332"/>
        <v>31.256112330233769</v>
      </c>
      <c r="AF83" s="134">
        <f t="shared" si="332"/>
        <v>35.239734489969443</v>
      </c>
      <c r="AG83" s="134">
        <f t="shared" si="332"/>
        <v>39.731073199475347</v>
      </c>
      <c r="AH83" s="116">
        <f t="shared" si="285"/>
        <v>0.34492400410521773</v>
      </c>
      <c r="AI83" s="21">
        <f t="shared" si="18"/>
        <v>0.05</v>
      </c>
      <c r="AJ83" s="124">
        <f t="shared" si="286"/>
        <v>245.39780505558306</v>
      </c>
    </row>
    <row r="84" spans="2:36" x14ac:dyDescent="0.2">
      <c r="B84" s="10" t="s">
        <v>214</v>
      </c>
      <c r="C84" s="109"/>
      <c r="D84" s="109"/>
      <c r="E84" s="109"/>
      <c r="F84" s="122"/>
      <c r="G84" s="122">
        <f t="shared" ref="G84" si="333">(G82+G83)</f>
        <v>65.937931034482759</v>
      </c>
      <c r="H84" s="122">
        <f t="shared" ref="H84:I84" si="334">(H82+H83)</f>
        <v>68.275862068965523</v>
      </c>
      <c r="I84" s="122">
        <f t="shared" si="334"/>
        <v>132.41379310344828</v>
      </c>
      <c r="J84" s="122">
        <f t="shared" ref="J84:S84" si="335">(J82+J83)</f>
        <v>10.497822028624766</v>
      </c>
      <c r="K84" s="122">
        <f t="shared" si="335"/>
        <v>9.845675171126322</v>
      </c>
      <c r="L84" s="122">
        <f t="shared" si="335"/>
        <v>8.4673604541154219</v>
      </c>
      <c r="M84" s="122">
        <f t="shared" si="335"/>
        <v>7.1765816808309726</v>
      </c>
      <c r="N84" s="122">
        <f t="shared" si="335"/>
        <v>14.622641509433963</v>
      </c>
      <c r="O84" s="122">
        <f t="shared" si="335"/>
        <v>14.875645236977945</v>
      </c>
      <c r="P84" s="122">
        <f t="shared" si="335"/>
        <v>21.72859450726979</v>
      </c>
      <c r="Q84" s="122" t="e">
        <f t="shared" si="335"/>
        <v>#DIV/0!</v>
      </c>
      <c r="R84" s="122">
        <f t="shared" ref="R84" si="336">(R82+R83)</f>
        <v>36.083608360836081</v>
      </c>
      <c r="S84" s="122">
        <f t="shared" si="335"/>
        <v>26.243849097867688</v>
      </c>
      <c r="T84" s="122">
        <f t="shared" ref="T84:U84" si="337">(T82+T83)</f>
        <v>37.551131715298609</v>
      </c>
      <c r="U84" s="122">
        <f t="shared" si="337"/>
        <v>37.551131715298609</v>
      </c>
      <c r="V84" s="101">
        <f t="shared" si="253"/>
        <v>-3.9417131976668185E-2</v>
      </c>
      <c r="W84" s="110"/>
      <c r="X84" s="134">
        <f t="shared" ref="X84:AG84" si="338">(X82+X83)</f>
        <v>42.337060267248418</v>
      </c>
      <c r="Y84" s="134">
        <f t="shared" si="338"/>
        <v>47.732960105231051</v>
      </c>
      <c r="Z84" s="134">
        <f t="shared" si="338"/>
        <v>53.816572667662456</v>
      </c>
      <c r="AA84" s="134">
        <f t="shared" si="338"/>
        <v>60.675547615501785</v>
      </c>
      <c r="AB84" s="134">
        <f t="shared" si="338"/>
        <v>68.408705644928474</v>
      </c>
      <c r="AC84" s="134">
        <f t="shared" si="338"/>
        <v>77.127462246733074</v>
      </c>
      <c r="AD84" s="134">
        <f t="shared" si="338"/>
        <v>86.957432925238265</v>
      </c>
      <c r="AE84" s="134">
        <f t="shared" si="338"/>
        <v>98.040243003945079</v>
      </c>
      <c r="AF84" s="134">
        <f t="shared" si="338"/>
        <v>110.53556809268318</v>
      </c>
      <c r="AG84" s="134">
        <f t="shared" si="338"/>
        <v>124.62343461429965</v>
      </c>
      <c r="AH84" s="116">
        <f t="shared" si="285"/>
        <v>0.1135697208470865</v>
      </c>
      <c r="AI84" s="21">
        <f t="shared" si="18"/>
        <v>0.05</v>
      </c>
      <c r="AJ84" s="124">
        <f t="shared" si="286"/>
        <v>769.73297850008623</v>
      </c>
    </row>
    <row r="85" spans="2:36" x14ac:dyDescent="0.2">
      <c r="B85" s="10" t="s">
        <v>207</v>
      </c>
      <c r="C85" s="109"/>
      <c r="D85" s="109"/>
      <c r="E85" s="109"/>
      <c r="F85" s="122"/>
      <c r="G85" s="122">
        <f t="shared" ref="G85" si="339">G15/G57</f>
        <v>115.86206896551724</v>
      </c>
      <c r="H85" s="122">
        <f t="shared" ref="H85:I85" si="340">H15/H57</f>
        <v>113.79310344827587</v>
      </c>
      <c r="I85" s="122">
        <f t="shared" si="340"/>
        <v>249.65517241379311</v>
      </c>
      <c r="J85" s="122">
        <f t="shared" ref="J85:S85" si="341">J15/J57</f>
        <v>22.775357809583074</v>
      </c>
      <c r="K85" s="122">
        <f t="shared" si="341"/>
        <v>19.290603609209708</v>
      </c>
      <c r="L85" s="122">
        <f t="shared" si="341"/>
        <v>16.603595080416273</v>
      </c>
      <c r="M85" s="122">
        <f t="shared" si="341"/>
        <v>16.902738432483474</v>
      </c>
      <c r="N85" s="122">
        <f t="shared" si="341"/>
        <v>23.490566037735849</v>
      </c>
      <c r="O85" s="122">
        <f t="shared" si="341"/>
        <v>19.615204129516659</v>
      </c>
      <c r="P85" s="122">
        <f t="shared" si="341"/>
        <v>19.789983844911145</v>
      </c>
      <c r="Q85" s="122" t="e">
        <f t="shared" si="341"/>
        <v>#DIV/0!</v>
      </c>
      <c r="R85" s="122">
        <f t="shared" si="341"/>
        <v>33.920058672533919</v>
      </c>
      <c r="S85" s="122">
        <f t="shared" si="341"/>
        <v>49.617277200656098</v>
      </c>
      <c r="T85" s="122">
        <f t="shared" ref="T85:U85" si="342">T15/T57</f>
        <v>63.321516225797652</v>
      </c>
      <c r="U85" s="122">
        <f t="shared" si="342"/>
        <v>63.321516225797652</v>
      </c>
      <c r="V85" s="101">
        <f t="shared" si="253"/>
        <v>-4.2237433360317933E-2</v>
      </c>
      <c r="W85" s="110"/>
      <c r="X85" s="134">
        <f t="shared" ref="X85:AG85" si="343">X15/X57</f>
        <v>71.391905548693416</v>
      </c>
      <c r="Y85" s="134">
        <f t="shared" si="343"/>
        <v>80.490873902938645</v>
      </c>
      <c r="Z85" s="134">
        <f t="shared" si="343"/>
        <v>90.749514694489633</v>
      </c>
      <c r="AA85" s="134">
        <f t="shared" si="343"/>
        <v>102.31562931241479</v>
      </c>
      <c r="AB85" s="134">
        <f t="shared" si="343"/>
        <v>115.35585657772253</v>
      </c>
      <c r="AC85" s="134">
        <f t="shared" si="343"/>
        <v>130.05807359253029</v>
      </c>
      <c r="AD85" s="134">
        <f t="shared" si="343"/>
        <v>146.63410257981357</v>
      </c>
      <c r="AE85" s="134">
        <f t="shared" si="343"/>
        <v>165.32276271253488</v>
      </c>
      <c r="AF85" s="134">
        <f t="shared" si="343"/>
        <v>186.39331090138737</v>
      </c>
      <c r="AG85" s="134">
        <f t="shared" si="343"/>
        <v>210.14932111430923</v>
      </c>
      <c r="AH85" s="116">
        <f t="shared" si="285"/>
        <v>0.10143596018838985</v>
      </c>
      <c r="AI85" s="21">
        <f t="shared" si="18"/>
        <v>0.05</v>
      </c>
      <c r="AJ85" s="124">
        <f t="shared" si="286"/>
        <v>1297.9811010001454</v>
      </c>
    </row>
    <row r="86" spans="2:36" x14ac:dyDescent="0.2">
      <c r="B86" s="10" t="s">
        <v>208</v>
      </c>
      <c r="C86" s="109"/>
      <c r="D86" s="109"/>
      <c r="E86" s="109"/>
      <c r="F86" s="122"/>
      <c r="G86" s="122">
        <f t="shared" ref="G86" si="344">G16/G57</f>
        <v>72.413793103448285</v>
      </c>
      <c r="H86" s="122">
        <f t="shared" ref="H86:I86" si="345">H16/H57</f>
        <v>66.896551724137936</v>
      </c>
      <c r="I86" s="122">
        <f t="shared" si="345"/>
        <v>127.58620689655173</v>
      </c>
      <c r="J86" s="122">
        <f t="shared" ref="J86:S86" si="346">J16/J57</f>
        <v>16.365899191039205</v>
      </c>
      <c r="K86" s="122">
        <f t="shared" si="346"/>
        <v>16.677037958929681</v>
      </c>
      <c r="L86" s="122">
        <f t="shared" si="346"/>
        <v>10.264900662251655</v>
      </c>
      <c r="M86" s="122">
        <f t="shared" si="346"/>
        <v>13.172804532577905</v>
      </c>
      <c r="N86" s="122">
        <f t="shared" si="346"/>
        <v>15.566037735849058</v>
      </c>
      <c r="O86" s="122">
        <f t="shared" si="346"/>
        <v>12.529328953542938</v>
      </c>
      <c r="P86" s="122">
        <f t="shared" si="346"/>
        <v>9.1680129240710819</v>
      </c>
      <c r="Q86" s="122" t="e">
        <f t="shared" si="346"/>
        <v>#DIV/0!</v>
      </c>
      <c r="R86" s="122">
        <f t="shared" si="346"/>
        <v>10.194352768610194</v>
      </c>
      <c r="S86" s="122">
        <f t="shared" si="346"/>
        <v>5.4674685620557684</v>
      </c>
      <c r="T86" s="122">
        <f t="shared" ref="T86:U86" si="347">T16/T57</f>
        <v>13.389691846195801</v>
      </c>
      <c r="U86" s="122">
        <f t="shared" si="347"/>
        <v>13.389691846195801</v>
      </c>
      <c r="V86" s="101">
        <f t="shared" si="253"/>
        <v>-0.11358063613775615</v>
      </c>
      <c r="W86" s="110"/>
      <c r="X86" s="134">
        <f t="shared" ref="X86:AG86" si="348">X16/X57</f>
        <v>15.096221199142322</v>
      </c>
      <c r="Y86" s="134">
        <f t="shared" si="348"/>
        <v>17.020249391189871</v>
      </c>
      <c r="Z86" s="134">
        <f t="shared" si="348"/>
        <v>19.189496862616032</v>
      </c>
      <c r="AA86" s="134">
        <f t="shared" si="348"/>
        <v>21.635217050988658</v>
      </c>
      <c r="AB86" s="134">
        <f t="shared" si="348"/>
        <v>24.392646675134266</v>
      </c>
      <c r="AC86" s="134">
        <f t="shared" si="348"/>
        <v>27.50151340823961</v>
      </c>
      <c r="AD86" s="134">
        <f t="shared" si="348"/>
        <v>31.006608254387793</v>
      </c>
      <c r="AE86" s="134">
        <f t="shared" si="348"/>
        <v>34.95843087504506</v>
      </c>
      <c r="AF86" s="134">
        <f t="shared" si="348"/>
        <v>39.413917163040999</v>
      </c>
      <c r="AG86" s="134">
        <f t="shared" si="348"/>
        <v>44.437259546565826</v>
      </c>
      <c r="AH86" s="116">
        <f t="shared" si="285"/>
        <v>4.4386359938428654E-2</v>
      </c>
      <c r="AI86" s="115"/>
      <c r="AJ86" s="124">
        <f t="shared" si="286"/>
        <v>201.98754339348102</v>
      </c>
    </row>
    <row r="87" spans="2:36" x14ac:dyDescent="0.2">
      <c r="B87" s="10"/>
      <c r="C87" s="109"/>
      <c r="D87" s="109"/>
      <c r="E87" s="109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10"/>
      <c r="W87" s="110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17"/>
      <c r="AI87" s="21">
        <f t="shared" si="18"/>
        <v>0.05</v>
      </c>
      <c r="AJ87" s="124">
        <f t="shared" si="286"/>
        <v>0</v>
      </c>
    </row>
    <row r="88" spans="2:36" x14ac:dyDescent="0.2">
      <c r="B88" s="10" t="s">
        <v>233</v>
      </c>
      <c r="C88" s="136"/>
      <c r="D88" s="136"/>
      <c r="E88" s="136"/>
      <c r="F88" s="136"/>
      <c r="G88" s="136">
        <f t="shared" ref="G88" si="349">G59</f>
        <v>0</v>
      </c>
      <c r="H88" s="136">
        <f t="shared" ref="H88:I88" si="350">H59</f>
        <v>0</v>
      </c>
      <c r="I88" s="136">
        <f t="shared" si="350"/>
        <v>0</v>
      </c>
      <c r="J88" s="136">
        <f t="shared" ref="J88:S88" si="351">J59</f>
        <v>0</v>
      </c>
      <c r="K88" s="136">
        <f t="shared" si="351"/>
        <v>0</v>
      </c>
      <c r="L88" s="136">
        <f t="shared" si="351"/>
        <v>0</v>
      </c>
      <c r="M88" s="136">
        <f t="shared" si="351"/>
        <v>0</v>
      </c>
      <c r="N88" s="136">
        <f t="shared" si="351"/>
        <v>0</v>
      </c>
      <c r="O88" s="136">
        <f t="shared" si="351"/>
        <v>0</v>
      </c>
      <c r="P88" s="136">
        <f t="shared" si="351"/>
        <v>0</v>
      </c>
      <c r="Q88" s="136">
        <f t="shared" si="351"/>
        <v>0</v>
      </c>
      <c r="R88" s="136">
        <f t="shared" si="351"/>
        <v>0</v>
      </c>
      <c r="S88" s="136">
        <f t="shared" si="351"/>
        <v>0</v>
      </c>
      <c r="T88" s="136">
        <f t="shared" ref="T88:U88" si="352">T59</f>
        <v>0</v>
      </c>
      <c r="U88" s="136">
        <f t="shared" si="352"/>
        <v>0</v>
      </c>
      <c r="V88" s="101" t="e">
        <f t="shared" si="253"/>
        <v>#DIV/0!</v>
      </c>
      <c r="W88" s="110"/>
      <c r="X88" s="136">
        <f t="shared" ref="X88:AG88" si="353">X59</f>
        <v>0</v>
      </c>
      <c r="Y88" s="136">
        <f t="shared" si="353"/>
        <v>0</v>
      </c>
      <c r="Z88" s="136">
        <f t="shared" si="353"/>
        <v>0</v>
      </c>
      <c r="AA88" s="136">
        <f t="shared" si="353"/>
        <v>0</v>
      </c>
      <c r="AB88" s="136">
        <f t="shared" si="353"/>
        <v>0</v>
      </c>
      <c r="AC88" s="136">
        <f t="shared" si="353"/>
        <v>0</v>
      </c>
      <c r="AD88" s="136">
        <f t="shared" si="353"/>
        <v>0</v>
      </c>
      <c r="AE88" s="136">
        <f t="shared" si="353"/>
        <v>0</v>
      </c>
      <c r="AF88" s="136">
        <f t="shared" si="353"/>
        <v>0</v>
      </c>
      <c r="AG88" s="136">
        <f t="shared" si="353"/>
        <v>0</v>
      </c>
      <c r="AH88" s="116" t="e">
        <f t="shared" ref="AH88" si="354">((AG88/J88)^(1/($AG$3-$K$1) ))-1</f>
        <v>#DIV/0!</v>
      </c>
      <c r="AI88" s="21">
        <f t="shared" si="18"/>
        <v>0.05</v>
      </c>
      <c r="AJ88" s="124">
        <f t="shared" si="286"/>
        <v>0</v>
      </c>
    </row>
    <row r="89" spans="2:36" x14ac:dyDescent="0.2">
      <c r="B89" s="10"/>
      <c r="C89" s="109"/>
      <c r="D89" s="109"/>
      <c r="E89" s="109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10"/>
      <c r="W89" s="110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17"/>
      <c r="AI89" s="115"/>
      <c r="AJ89" s="131"/>
    </row>
    <row r="90" spans="2:36" x14ac:dyDescent="0.2">
      <c r="B90" s="10" t="s">
        <v>263</v>
      </c>
      <c r="C90" s="109"/>
      <c r="D90" s="109"/>
      <c r="E90" s="109"/>
      <c r="F90" s="122"/>
      <c r="G90" s="122">
        <f t="shared" ref="G90" si="355">G20+G21</f>
        <v>0</v>
      </c>
      <c r="H90" s="122">
        <f t="shared" ref="H90:I90" si="356">H20+H21</f>
        <v>0</v>
      </c>
      <c r="I90" s="122">
        <f t="shared" si="356"/>
        <v>0</v>
      </c>
      <c r="J90" s="122">
        <f t="shared" ref="J90:S90" si="357">J20+J21</f>
        <v>0</v>
      </c>
      <c r="K90" s="122">
        <f t="shared" si="357"/>
        <v>0</v>
      </c>
      <c r="L90" s="122">
        <f t="shared" si="357"/>
        <v>0</v>
      </c>
      <c r="M90" s="122">
        <f t="shared" si="357"/>
        <v>0</v>
      </c>
      <c r="N90" s="122">
        <f t="shared" si="357"/>
        <v>0</v>
      </c>
      <c r="O90" s="122">
        <f t="shared" si="357"/>
        <v>0</v>
      </c>
      <c r="P90" s="122">
        <f t="shared" si="357"/>
        <v>0</v>
      </c>
      <c r="Q90" s="122">
        <f t="shared" si="357"/>
        <v>0</v>
      </c>
      <c r="R90" s="122">
        <f t="shared" si="357"/>
        <v>0</v>
      </c>
      <c r="S90" s="122">
        <f t="shared" si="357"/>
        <v>0</v>
      </c>
      <c r="T90" s="122">
        <f t="shared" ref="T90:U90" si="358">T20+T21</f>
        <v>0</v>
      </c>
      <c r="U90" s="122">
        <f t="shared" si="358"/>
        <v>0</v>
      </c>
      <c r="V90" s="101" t="e">
        <f t="shared" si="253"/>
        <v>#DIV/0!</v>
      </c>
      <c r="W90" s="110"/>
      <c r="X90" s="122">
        <f t="shared" ref="X90:AG90" si="359">X20+X21</f>
        <v>0</v>
      </c>
      <c r="Y90" s="122">
        <f t="shared" si="359"/>
        <v>0</v>
      </c>
      <c r="Z90" s="122">
        <f t="shared" si="359"/>
        <v>0</v>
      </c>
      <c r="AA90" s="122">
        <f t="shared" si="359"/>
        <v>0</v>
      </c>
      <c r="AB90" s="122">
        <f t="shared" si="359"/>
        <v>0</v>
      </c>
      <c r="AC90" s="122">
        <f t="shared" si="359"/>
        <v>0</v>
      </c>
      <c r="AD90" s="122">
        <f t="shared" si="359"/>
        <v>0</v>
      </c>
      <c r="AE90" s="122">
        <f t="shared" si="359"/>
        <v>0</v>
      </c>
      <c r="AF90" s="122">
        <f t="shared" si="359"/>
        <v>0</v>
      </c>
      <c r="AG90" s="122">
        <f t="shared" si="359"/>
        <v>0</v>
      </c>
      <c r="AH90" s="116" t="e">
        <f t="shared" ref="AH90:AH95" si="360">((AG90/J90)^(1/($AG$3-$K$1) ))-1</f>
        <v>#DIV/0!</v>
      </c>
      <c r="AI90" s="21">
        <f t="shared" si="18"/>
        <v>0.05</v>
      </c>
      <c r="AJ90" s="124">
        <f t="shared" si="286"/>
        <v>0</v>
      </c>
    </row>
    <row r="91" spans="2:36" x14ac:dyDescent="0.2">
      <c r="B91" s="10"/>
      <c r="C91" s="109"/>
      <c r="D91" s="109"/>
      <c r="E91" s="109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10"/>
      <c r="W91" s="110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17"/>
      <c r="AI91" s="115"/>
      <c r="AJ91" s="124"/>
    </row>
    <row r="92" spans="2:36" x14ac:dyDescent="0.2">
      <c r="B92" s="10" t="s">
        <v>264</v>
      </c>
      <c r="C92" s="109"/>
      <c r="D92" s="109"/>
      <c r="E92" s="109"/>
      <c r="F92" s="122"/>
      <c r="G92" s="122">
        <f t="shared" ref="G92" si="361">G90/G57</f>
        <v>0</v>
      </c>
      <c r="H92" s="122">
        <f t="shared" ref="H92:I92" si="362">H90/H57</f>
        <v>0</v>
      </c>
      <c r="I92" s="122">
        <f t="shared" si="362"/>
        <v>0</v>
      </c>
      <c r="J92" s="122">
        <f t="shared" ref="J92:S92" si="363">J90/J57</f>
        <v>0</v>
      </c>
      <c r="K92" s="122">
        <f t="shared" si="363"/>
        <v>0</v>
      </c>
      <c r="L92" s="122">
        <f t="shared" si="363"/>
        <v>0</v>
      </c>
      <c r="M92" s="122">
        <f t="shared" si="363"/>
        <v>0</v>
      </c>
      <c r="N92" s="122">
        <f t="shared" si="363"/>
        <v>0</v>
      </c>
      <c r="O92" s="122">
        <f t="shared" si="363"/>
        <v>0</v>
      </c>
      <c r="P92" s="122">
        <f t="shared" si="363"/>
        <v>0</v>
      </c>
      <c r="Q92" s="122" t="e">
        <f t="shared" si="363"/>
        <v>#DIV/0!</v>
      </c>
      <c r="R92" s="122">
        <f t="shared" si="363"/>
        <v>0</v>
      </c>
      <c r="S92" s="122">
        <f t="shared" si="363"/>
        <v>0</v>
      </c>
      <c r="T92" s="122">
        <f t="shared" ref="T92:U92" si="364">T90/T57</f>
        <v>0</v>
      </c>
      <c r="U92" s="122">
        <f t="shared" si="364"/>
        <v>0</v>
      </c>
      <c r="V92" s="101" t="e">
        <f t="shared" si="253"/>
        <v>#DIV/0!</v>
      </c>
      <c r="W92" s="110"/>
      <c r="X92" s="124">
        <f t="shared" ref="X92:AG92" si="365">X90/X57</f>
        <v>0</v>
      </c>
      <c r="Y92" s="124">
        <f t="shared" si="365"/>
        <v>0</v>
      </c>
      <c r="Z92" s="124">
        <f t="shared" si="365"/>
        <v>0</v>
      </c>
      <c r="AA92" s="124">
        <f t="shared" si="365"/>
        <v>0</v>
      </c>
      <c r="AB92" s="124">
        <f t="shared" si="365"/>
        <v>0</v>
      </c>
      <c r="AC92" s="124">
        <f t="shared" si="365"/>
        <v>0</v>
      </c>
      <c r="AD92" s="124">
        <f t="shared" si="365"/>
        <v>0</v>
      </c>
      <c r="AE92" s="124">
        <f t="shared" si="365"/>
        <v>0</v>
      </c>
      <c r="AF92" s="124">
        <f t="shared" si="365"/>
        <v>0</v>
      </c>
      <c r="AG92" s="124">
        <f t="shared" si="365"/>
        <v>0</v>
      </c>
      <c r="AH92" s="116" t="e">
        <f t="shared" si="360"/>
        <v>#DIV/0!</v>
      </c>
      <c r="AI92" s="21">
        <f t="shared" si="18"/>
        <v>0.05</v>
      </c>
      <c r="AJ92" s="124">
        <f t="shared" si="286"/>
        <v>0</v>
      </c>
    </row>
    <row r="93" spans="2:36" x14ac:dyDescent="0.2">
      <c r="B93" s="10" t="s">
        <v>237</v>
      </c>
      <c r="C93" s="109"/>
      <c r="D93" s="109"/>
      <c r="E93" s="109"/>
      <c r="F93" s="122"/>
      <c r="G93" s="122">
        <f t="shared" ref="G93" si="366">G20/G57</f>
        <v>0</v>
      </c>
      <c r="H93" s="122">
        <f t="shared" ref="H93:I93" si="367">H20/H57</f>
        <v>0</v>
      </c>
      <c r="I93" s="122">
        <f t="shared" si="367"/>
        <v>0</v>
      </c>
      <c r="J93" s="122">
        <f t="shared" ref="J93:S93" si="368">J20/J57</f>
        <v>0</v>
      </c>
      <c r="K93" s="122">
        <f t="shared" si="368"/>
        <v>0</v>
      </c>
      <c r="L93" s="122">
        <f t="shared" si="368"/>
        <v>0</v>
      </c>
      <c r="M93" s="122">
        <f t="shared" si="368"/>
        <v>0</v>
      </c>
      <c r="N93" s="122">
        <f t="shared" si="368"/>
        <v>0</v>
      </c>
      <c r="O93" s="122">
        <f t="shared" si="368"/>
        <v>0</v>
      </c>
      <c r="P93" s="122">
        <f t="shared" si="368"/>
        <v>0</v>
      </c>
      <c r="Q93" s="122" t="e">
        <f t="shared" si="368"/>
        <v>#DIV/0!</v>
      </c>
      <c r="R93" s="122">
        <f t="shared" si="368"/>
        <v>0</v>
      </c>
      <c r="S93" s="122">
        <f t="shared" si="368"/>
        <v>0</v>
      </c>
      <c r="T93" s="122">
        <f t="shared" ref="T93:U93" si="369">T20/T57</f>
        <v>0</v>
      </c>
      <c r="U93" s="122">
        <f t="shared" si="369"/>
        <v>0</v>
      </c>
      <c r="V93" s="101" t="e">
        <f t="shared" si="253"/>
        <v>#DIV/0!</v>
      </c>
      <c r="W93" s="110"/>
      <c r="X93" s="124">
        <f t="shared" ref="X93:AG93" si="370">X20/X57</f>
        <v>0</v>
      </c>
      <c r="Y93" s="124">
        <f t="shared" si="370"/>
        <v>0</v>
      </c>
      <c r="Z93" s="124">
        <f t="shared" si="370"/>
        <v>0</v>
      </c>
      <c r="AA93" s="124">
        <f t="shared" si="370"/>
        <v>0</v>
      </c>
      <c r="AB93" s="124">
        <f t="shared" si="370"/>
        <v>0</v>
      </c>
      <c r="AC93" s="124">
        <f t="shared" si="370"/>
        <v>0</v>
      </c>
      <c r="AD93" s="124">
        <f t="shared" si="370"/>
        <v>0</v>
      </c>
      <c r="AE93" s="124">
        <f t="shared" si="370"/>
        <v>0</v>
      </c>
      <c r="AF93" s="124">
        <f t="shared" si="370"/>
        <v>0</v>
      </c>
      <c r="AG93" s="124">
        <f t="shared" si="370"/>
        <v>0</v>
      </c>
      <c r="AH93" s="116" t="e">
        <f t="shared" si="360"/>
        <v>#DIV/0!</v>
      </c>
      <c r="AI93" s="21">
        <f t="shared" si="18"/>
        <v>0.05</v>
      </c>
      <c r="AJ93" s="124">
        <f t="shared" si="286"/>
        <v>0</v>
      </c>
    </row>
    <row r="94" spans="2:36" x14ac:dyDescent="0.2">
      <c r="B94" s="10" t="s">
        <v>238</v>
      </c>
      <c r="C94" s="109"/>
      <c r="D94" s="109"/>
      <c r="E94" s="109"/>
      <c r="F94" s="122"/>
      <c r="G94" s="122">
        <f t="shared" ref="G94" si="371">G21/G57</f>
        <v>0</v>
      </c>
      <c r="H94" s="122">
        <f t="shared" ref="H94:I94" si="372">H21/H57</f>
        <v>0</v>
      </c>
      <c r="I94" s="122">
        <f t="shared" si="372"/>
        <v>0</v>
      </c>
      <c r="J94" s="122">
        <f t="shared" ref="J94:S94" si="373">J21/J57</f>
        <v>0</v>
      </c>
      <c r="K94" s="122">
        <f t="shared" si="373"/>
        <v>0</v>
      </c>
      <c r="L94" s="122">
        <f t="shared" si="373"/>
        <v>0</v>
      </c>
      <c r="M94" s="122">
        <f t="shared" si="373"/>
        <v>0</v>
      </c>
      <c r="N94" s="122">
        <f t="shared" si="373"/>
        <v>0</v>
      </c>
      <c r="O94" s="122">
        <f t="shared" si="373"/>
        <v>0</v>
      </c>
      <c r="P94" s="122">
        <f t="shared" si="373"/>
        <v>0</v>
      </c>
      <c r="Q94" s="122" t="e">
        <f t="shared" si="373"/>
        <v>#DIV/0!</v>
      </c>
      <c r="R94" s="122">
        <f t="shared" si="373"/>
        <v>0</v>
      </c>
      <c r="S94" s="122">
        <f t="shared" si="373"/>
        <v>0</v>
      </c>
      <c r="T94" s="122">
        <f t="shared" ref="T94:U94" si="374">T21/T57</f>
        <v>0</v>
      </c>
      <c r="U94" s="122">
        <f t="shared" si="374"/>
        <v>0</v>
      </c>
      <c r="V94" s="101" t="e">
        <f t="shared" si="253"/>
        <v>#DIV/0!</v>
      </c>
      <c r="W94" s="110"/>
      <c r="X94" s="124">
        <f t="shared" ref="X94:AG94" si="375">X21/X57</f>
        <v>0</v>
      </c>
      <c r="Y94" s="124">
        <f t="shared" si="375"/>
        <v>0</v>
      </c>
      <c r="Z94" s="124">
        <f t="shared" si="375"/>
        <v>0</v>
      </c>
      <c r="AA94" s="124">
        <f t="shared" si="375"/>
        <v>0</v>
      </c>
      <c r="AB94" s="124">
        <f t="shared" si="375"/>
        <v>0</v>
      </c>
      <c r="AC94" s="124">
        <f t="shared" si="375"/>
        <v>0</v>
      </c>
      <c r="AD94" s="124">
        <f t="shared" si="375"/>
        <v>0</v>
      </c>
      <c r="AE94" s="124">
        <f t="shared" si="375"/>
        <v>0</v>
      </c>
      <c r="AF94" s="124">
        <f t="shared" si="375"/>
        <v>0</v>
      </c>
      <c r="AG94" s="124">
        <f t="shared" si="375"/>
        <v>0</v>
      </c>
      <c r="AH94" s="116" t="e">
        <f t="shared" si="360"/>
        <v>#DIV/0!</v>
      </c>
      <c r="AI94" s="21">
        <f t="shared" si="18"/>
        <v>0.05</v>
      </c>
      <c r="AJ94" s="124">
        <f t="shared" si="286"/>
        <v>0</v>
      </c>
    </row>
    <row r="95" spans="2:36" x14ac:dyDescent="0.2">
      <c r="B95" s="10" t="s">
        <v>239</v>
      </c>
      <c r="C95" s="109"/>
      <c r="D95" s="109"/>
      <c r="E95" s="109"/>
      <c r="F95" s="122"/>
      <c r="G95" s="122">
        <f t="shared" ref="G95" si="376">G22/G57</f>
        <v>0</v>
      </c>
      <c r="H95" s="122">
        <f t="shared" ref="H95:I95" si="377">H22/H57</f>
        <v>0</v>
      </c>
      <c r="I95" s="122">
        <f t="shared" si="377"/>
        <v>0</v>
      </c>
      <c r="J95" s="122">
        <f t="shared" ref="J95:S95" si="378">J22/J57</f>
        <v>0</v>
      </c>
      <c r="K95" s="122">
        <f t="shared" si="378"/>
        <v>0</v>
      </c>
      <c r="L95" s="122">
        <f t="shared" si="378"/>
        <v>0</v>
      </c>
      <c r="M95" s="122">
        <f t="shared" si="378"/>
        <v>0</v>
      </c>
      <c r="N95" s="122">
        <f t="shared" si="378"/>
        <v>0</v>
      </c>
      <c r="O95" s="122">
        <f t="shared" si="378"/>
        <v>0</v>
      </c>
      <c r="P95" s="122">
        <f t="shared" si="378"/>
        <v>0</v>
      </c>
      <c r="Q95" s="122" t="e">
        <f t="shared" si="378"/>
        <v>#DIV/0!</v>
      </c>
      <c r="R95" s="122">
        <f t="shared" si="378"/>
        <v>0</v>
      </c>
      <c r="S95" s="122">
        <f t="shared" si="378"/>
        <v>0</v>
      </c>
      <c r="T95" s="122">
        <f t="shared" ref="T95:U95" si="379">T22/T57</f>
        <v>0</v>
      </c>
      <c r="U95" s="122">
        <f t="shared" si="379"/>
        <v>0</v>
      </c>
      <c r="V95" s="101" t="e">
        <f t="shared" si="253"/>
        <v>#DIV/0!</v>
      </c>
      <c r="W95" s="110"/>
      <c r="X95" s="124">
        <f t="shared" ref="X95:AG95" si="380">X22/X57</f>
        <v>0</v>
      </c>
      <c r="Y95" s="124">
        <f t="shared" si="380"/>
        <v>0</v>
      </c>
      <c r="Z95" s="124">
        <f t="shared" si="380"/>
        <v>0</v>
      </c>
      <c r="AA95" s="124">
        <f t="shared" si="380"/>
        <v>0</v>
      </c>
      <c r="AB95" s="124">
        <f t="shared" si="380"/>
        <v>0</v>
      </c>
      <c r="AC95" s="124">
        <f t="shared" si="380"/>
        <v>0</v>
      </c>
      <c r="AD95" s="124">
        <f t="shared" si="380"/>
        <v>0</v>
      </c>
      <c r="AE95" s="124">
        <f t="shared" si="380"/>
        <v>0</v>
      </c>
      <c r="AF95" s="124">
        <f t="shared" si="380"/>
        <v>0</v>
      </c>
      <c r="AG95" s="124">
        <f t="shared" si="380"/>
        <v>0</v>
      </c>
      <c r="AH95" s="116" t="e">
        <f t="shared" si="360"/>
        <v>#DIV/0!</v>
      </c>
      <c r="AI95" s="21">
        <f t="shared" si="18"/>
        <v>0.05</v>
      </c>
      <c r="AJ95" s="124">
        <f t="shared" si="286"/>
        <v>0</v>
      </c>
    </row>
    <row r="96" spans="2:36" x14ac:dyDescent="0.2">
      <c r="B96" s="10" t="s">
        <v>246</v>
      </c>
      <c r="C96" s="109"/>
      <c r="D96" s="109"/>
      <c r="E96" s="109"/>
      <c r="F96" s="122"/>
      <c r="G96" s="122">
        <f t="shared" ref="G96" si="381">G23/G57</f>
        <v>0</v>
      </c>
      <c r="H96" s="122">
        <f t="shared" ref="H96:I96" si="382">H23/H57</f>
        <v>0</v>
      </c>
      <c r="I96" s="122">
        <f t="shared" si="382"/>
        <v>0</v>
      </c>
      <c r="J96" s="122">
        <f t="shared" ref="J96:S96" si="383">J23/J57</f>
        <v>0</v>
      </c>
      <c r="K96" s="122">
        <f t="shared" si="383"/>
        <v>0</v>
      </c>
      <c r="L96" s="122">
        <f t="shared" si="383"/>
        <v>0</v>
      </c>
      <c r="M96" s="122">
        <f t="shared" si="383"/>
        <v>0</v>
      </c>
      <c r="N96" s="122">
        <f t="shared" si="383"/>
        <v>0</v>
      </c>
      <c r="O96" s="122">
        <f t="shared" si="383"/>
        <v>0</v>
      </c>
      <c r="P96" s="122">
        <f t="shared" si="383"/>
        <v>0</v>
      </c>
      <c r="Q96" s="122" t="e">
        <f t="shared" si="383"/>
        <v>#DIV/0!</v>
      </c>
      <c r="R96" s="122">
        <f t="shared" si="383"/>
        <v>0</v>
      </c>
      <c r="S96" s="122">
        <f t="shared" si="383"/>
        <v>0</v>
      </c>
      <c r="T96" s="122">
        <f t="shared" ref="T96:U96" si="384">T23/T57</f>
        <v>0</v>
      </c>
      <c r="U96" s="122">
        <f t="shared" si="384"/>
        <v>0</v>
      </c>
      <c r="V96" s="101" t="e">
        <f t="shared" si="253"/>
        <v>#DIV/0!</v>
      </c>
      <c r="W96" s="110"/>
      <c r="X96" s="124">
        <f t="shared" ref="X96:AG96" si="385">X23/X57</f>
        <v>0</v>
      </c>
      <c r="Y96" s="124">
        <f t="shared" si="385"/>
        <v>0</v>
      </c>
      <c r="Z96" s="124">
        <f t="shared" si="385"/>
        <v>0</v>
      </c>
      <c r="AA96" s="124">
        <f t="shared" si="385"/>
        <v>0</v>
      </c>
      <c r="AB96" s="124">
        <f t="shared" si="385"/>
        <v>0</v>
      </c>
      <c r="AC96" s="124">
        <f t="shared" si="385"/>
        <v>0</v>
      </c>
      <c r="AD96" s="124">
        <f t="shared" si="385"/>
        <v>0</v>
      </c>
      <c r="AE96" s="124">
        <f t="shared" si="385"/>
        <v>0</v>
      </c>
      <c r="AF96" s="124">
        <f t="shared" si="385"/>
        <v>0</v>
      </c>
      <c r="AG96" s="124">
        <f t="shared" si="385"/>
        <v>0</v>
      </c>
      <c r="AH96" s="116" t="e">
        <f t="shared" ref="AH96" si="386">((AG96/J96)^(1/($AG$3-$K$1) ))-1</f>
        <v>#DIV/0!</v>
      </c>
      <c r="AI96" s="21">
        <f t="shared" si="18"/>
        <v>0.05</v>
      </c>
      <c r="AJ96" s="124">
        <f t="shared" si="286"/>
        <v>0</v>
      </c>
    </row>
    <row r="97" spans="2:36" x14ac:dyDescent="0.2">
      <c r="B97" s="10"/>
      <c r="C97" s="109"/>
      <c r="D97" s="109"/>
      <c r="E97" s="109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10"/>
      <c r="W97" s="110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17"/>
      <c r="AI97" s="115"/>
      <c r="AJ97" s="131"/>
    </row>
    <row r="98" spans="2:36" x14ac:dyDescent="0.2">
      <c r="B98" s="10" t="s">
        <v>435</v>
      </c>
      <c r="C98" s="122"/>
      <c r="D98" s="122"/>
      <c r="E98" s="122"/>
      <c r="F98" s="122"/>
      <c r="G98" s="122">
        <f t="shared" ref="G98" si="387">G51/G57</f>
        <v>31.03448275862069</v>
      </c>
      <c r="H98" s="122">
        <f t="shared" ref="H98:I98" si="388">H51/H57</f>
        <v>29.655172413793103</v>
      </c>
      <c r="I98" s="122">
        <f t="shared" si="388"/>
        <v>41.379310344827587</v>
      </c>
      <c r="J98" s="122">
        <f t="shared" ref="J98:S98" si="389">J51/J57</f>
        <v>5.4760423148724326</v>
      </c>
      <c r="K98" s="122">
        <f t="shared" si="389"/>
        <v>5.7871810827629124</v>
      </c>
      <c r="L98" s="122">
        <f t="shared" si="389"/>
        <v>3.0274361400189216</v>
      </c>
      <c r="M98" s="122">
        <f t="shared" si="389"/>
        <v>3.7771482530689329</v>
      </c>
      <c r="N98" s="122">
        <f t="shared" si="389"/>
        <v>5</v>
      </c>
      <c r="O98" s="122">
        <f t="shared" si="389"/>
        <v>5.2557484748944159</v>
      </c>
      <c r="P98" s="122">
        <f t="shared" si="389"/>
        <v>6.138933764135702</v>
      </c>
      <c r="Q98" s="122" t="e">
        <f t="shared" si="389"/>
        <v>#DIV/0!</v>
      </c>
      <c r="R98" s="122">
        <f t="shared" si="389"/>
        <v>8.837550421708837</v>
      </c>
      <c r="S98" s="122">
        <f t="shared" si="389"/>
        <v>5.0300710770913071</v>
      </c>
      <c r="T98" s="122">
        <f t="shared" ref="T98:U98" si="390">T51/T57</f>
        <v>8.5083174256885741</v>
      </c>
      <c r="U98" s="122">
        <f t="shared" si="390"/>
        <v>8.5083174256885741</v>
      </c>
      <c r="V98" s="101">
        <f t="shared" si="253"/>
        <v>-8.8289232898368764E-2</v>
      </c>
      <c r="W98" s="110"/>
      <c r="X98" s="122">
        <f t="shared" ref="X98:AG98" si="391">X51/X57</f>
        <v>9.5927108230802531</v>
      </c>
      <c r="Y98" s="122">
        <f t="shared" si="391"/>
        <v>10.815311222100283</v>
      </c>
      <c r="Z98" s="122">
        <f t="shared" si="391"/>
        <v>12.19373324060326</v>
      </c>
      <c r="AA98" s="122">
        <f t="shared" si="391"/>
        <v>13.747836496758577</v>
      </c>
      <c r="AB98" s="122">
        <f t="shared" si="391"/>
        <v>15.500011736541529</v>
      </c>
      <c r="AC98" s="122">
        <f t="shared" si="391"/>
        <v>17.475503428453681</v>
      </c>
      <c r="AD98" s="122">
        <f t="shared" si="391"/>
        <v>19.702773473256602</v>
      </c>
      <c r="AE98" s="122">
        <f t="shared" si="391"/>
        <v>22.213911268867733</v>
      </c>
      <c r="AF98" s="122">
        <f t="shared" si="391"/>
        <v>25.045096038429307</v>
      </c>
      <c r="AG98" s="122">
        <f t="shared" si="391"/>
        <v>28.237118082542843</v>
      </c>
      <c r="AH98" s="116">
        <f t="shared" ref="AH98:AH100" si="392">((AG98/J98)^(1/($AG$3-$K$1) ))-1</f>
        <v>7.3919911154395113E-2</v>
      </c>
      <c r="AI98" s="21">
        <f t="shared" si="18"/>
        <v>0.05</v>
      </c>
      <c r="AJ98" s="124">
        <f t="shared" si="286"/>
        <v>174.40572933335287</v>
      </c>
    </row>
    <row r="99" spans="2:36" x14ac:dyDescent="0.2">
      <c r="B99" s="10" t="s">
        <v>436</v>
      </c>
      <c r="C99" s="122"/>
      <c r="D99" s="122"/>
      <c r="E99" s="122"/>
      <c r="F99" s="122"/>
      <c r="G99" s="122">
        <f t="shared" ref="G99" si="393">G55/G57</f>
        <v>19.310344827586206</v>
      </c>
      <c r="H99" s="122">
        <f t="shared" ref="H99:I99" si="394">H55/H57</f>
        <v>19.310344827586206</v>
      </c>
      <c r="I99" s="122">
        <f t="shared" si="394"/>
        <v>25.517241379310345</v>
      </c>
      <c r="J99" s="122">
        <f t="shared" ref="J99:S99" si="395">J55/J57</f>
        <v>3.2358431860609831</v>
      </c>
      <c r="K99" s="122">
        <f t="shared" si="395"/>
        <v>2.3024268823895455</v>
      </c>
      <c r="L99" s="122">
        <f t="shared" si="395"/>
        <v>1.1825922421948911</v>
      </c>
      <c r="M99" s="122">
        <f t="shared" si="395"/>
        <v>2.2190745986779983</v>
      </c>
      <c r="N99" s="122">
        <f t="shared" si="395"/>
        <v>2.6415094339622645</v>
      </c>
      <c r="O99" s="122">
        <f t="shared" si="395"/>
        <v>2.3463162834350073</v>
      </c>
      <c r="P99" s="122">
        <f t="shared" si="395"/>
        <v>2.7463651050080773</v>
      </c>
      <c r="Q99" s="122" t="e">
        <f t="shared" si="395"/>
        <v>#DIV/0!</v>
      </c>
      <c r="R99" s="122">
        <f t="shared" si="395"/>
        <v>4.1070773744041071</v>
      </c>
      <c r="S99" s="122">
        <f t="shared" si="395"/>
        <v>-1.5855658829961727</v>
      </c>
      <c r="T99" s="122">
        <f t="shared" ref="T99:U99" si="396">T55/T57</f>
        <v>2.0998091082628849</v>
      </c>
      <c r="U99" s="122">
        <f t="shared" si="396"/>
        <v>2.0998091082628849</v>
      </c>
      <c r="V99" s="101">
        <f t="shared" si="253"/>
        <v>-0.14656450993893855</v>
      </c>
      <c r="W99" s="110"/>
      <c r="X99" s="122">
        <f t="shared" ref="X99:AG99" si="397">X55/X57</f>
        <v>2.36743183774737</v>
      </c>
      <c r="Y99" s="122">
        <f t="shared" si="397"/>
        <v>2.6691633464798774</v>
      </c>
      <c r="Z99" s="122">
        <f t="shared" si="397"/>
        <v>3.0093508318155484</v>
      </c>
      <c r="AA99" s="122">
        <f t="shared" si="397"/>
        <v>3.3928955456743921</v>
      </c>
      <c r="AB99" s="122">
        <f t="shared" si="397"/>
        <v>3.8253234093387745</v>
      </c>
      <c r="AC99" s="122">
        <f t="shared" si="397"/>
        <v>4.3128646281760687</v>
      </c>
      <c r="AD99" s="122">
        <f t="shared" si="397"/>
        <v>4.8625434533357641</v>
      </c>
      <c r="AE99" s="122">
        <f t="shared" si="397"/>
        <v>5.4822793836628705</v>
      </c>
      <c r="AF99" s="122">
        <f t="shared" si="397"/>
        <v>6.1810012658944133</v>
      </c>
      <c r="AG99" s="122">
        <f t="shared" si="397"/>
        <v>6.9687759370378179</v>
      </c>
      <c r="AH99" s="116">
        <f t="shared" si="392"/>
        <v>3.3916842848569662E-2</v>
      </c>
      <c r="AI99" s="21">
        <f t="shared" si="18"/>
        <v>0.05</v>
      </c>
      <c r="AJ99" s="124">
        <f t="shared" si="286"/>
        <v>43.042439611115938</v>
      </c>
    </row>
    <row r="100" spans="2:36" x14ac:dyDescent="0.2">
      <c r="B100" s="10" t="s">
        <v>260</v>
      </c>
      <c r="C100" s="122"/>
      <c r="D100" s="122"/>
      <c r="E100" s="122"/>
      <c r="F100" s="122"/>
      <c r="G100" s="122">
        <f t="shared" ref="G100" si="398">G6/G57</f>
        <v>89.65517241379311</v>
      </c>
      <c r="H100" s="122">
        <f t="shared" ref="H100:I100" si="399">H6/H57</f>
        <v>104.82758620689656</v>
      </c>
      <c r="I100" s="122">
        <f t="shared" si="399"/>
        <v>26.206896551724139</v>
      </c>
      <c r="J100" s="122">
        <f t="shared" ref="J100:S100" si="400">J6/J57</f>
        <v>4.667081518357187</v>
      </c>
      <c r="K100" s="122">
        <f t="shared" si="400"/>
        <v>6.3472308649657743</v>
      </c>
      <c r="L100" s="122">
        <f t="shared" si="400"/>
        <v>13.245033112582782</v>
      </c>
      <c r="M100" s="122">
        <f t="shared" si="400"/>
        <v>15.06137865911237</v>
      </c>
      <c r="N100" s="122">
        <f t="shared" si="400"/>
        <v>17.452830188679247</v>
      </c>
      <c r="O100" s="122">
        <f t="shared" si="400"/>
        <v>19.521351478179259</v>
      </c>
      <c r="P100" s="122">
        <f t="shared" si="400"/>
        <v>26.777059773828753</v>
      </c>
      <c r="Q100" s="122" t="e">
        <f t="shared" si="400"/>
        <v>#DIV/0!</v>
      </c>
      <c r="R100" s="122">
        <f t="shared" si="400"/>
        <v>47.708104143747711</v>
      </c>
      <c r="S100" s="122">
        <f t="shared" si="400"/>
        <v>37.506834335702571</v>
      </c>
      <c r="T100" s="122">
        <f t="shared" ref="T100:U100" si="401">T6/T57</f>
        <v>40.441778020179981</v>
      </c>
      <c r="U100" s="122">
        <f t="shared" si="401"/>
        <v>40.441778020179981</v>
      </c>
      <c r="V100" s="101">
        <f t="shared" si="253"/>
        <v>-5.5278235418002919E-2</v>
      </c>
      <c r="W100" s="110"/>
      <c r="X100" s="122">
        <f t="shared" ref="X100:AG100" si="402">X6/X57</f>
        <v>45.59612227765389</v>
      </c>
      <c r="Y100" s="122">
        <f t="shared" si="402"/>
        <v>51.407392764021537</v>
      </c>
      <c r="Z100" s="122">
        <f t="shared" si="402"/>
        <v>57.959315371200752</v>
      </c>
      <c r="AA100" s="122">
        <f t="shared" si="402"/>
        <v>65.346286938118496</v>
      </c>
      <c r="AB100" s="122">
        <f t="shared" si="402"/>
        <v>73.674735273368881</v>
      </c>
      <c r="AC100" s="122">
        <f t="shared" si="402"/>
        <v>83.064652514092344</v>
      </c>
      <c r="AD100" s="122">
        <f t="shared" si="402"/>
        <v>93.651323912947262</v>
      </c>
      <c r="AE100" s="122">
        <f t="shared" si="402"/>
        <v>105.58727696067582</v>
      </c>
      <c r="AF100" s="122">
        <f t="shared" si="402"/>
        <v>119.04447892625215</v>
      </c>
      <c r="AG100" s="122">
        <f t="shared" si="402"/>
        <v>134.21681447567644</v>
      </c>
      <c r="AH100" s="116">
        <f t="shared" si="392"/>
        <v>0.15724260648846511</v>
      </c>
      <c r="AI100" s="21">
        <f t="shared" ref="AI100" si="403">$O$1</f>
        <v>0.05</v>
      </c>
      <c r="AJ100" s="124">
        <f t="shared" si="286"/>
        <v>828.98620705564872</v>
      </c>
    </row>
    <row r="101" spans="2:36" x14ac:dyDescent="0.2">
      <c r="B101" s="10"/>
      <c r="C101" s="109"/>
      <c r="D101" s="109"/>
      <c r="E101" s="109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10"/>
      <c r="W101" s="1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7"/>
      <c r="AI101" s="10"/>
      <c r="AJ101" s="131"/>
    </row>
    <row r="102" spans="2:36" x14ac:dyDescent="0.2">
      <c r="B102" s="10" t="s">
        <v>410</v>
      </c>
      <c r="C102" s="109"/>
      <c r="D102" s="109"/>
      <c r="E102" s="109"/>
      <c r="F102" s="122"/>
      <c r="G102" s="122">
        <f t="shared" ref="G102" si="404">G55/$T$57</f>
        <v>0.7635669484592309</v>
      </c>
      <c r="H102" s="122">
        <f t="shared" ref="H102:I102" si="405">H55/$T$57</f>
        <v>0.7635669484592309</v>
      </c>
      <c r="I102" s="122">
        <f t="shared" si="405"/>
        <v>1.0089991818925552</v>
      </c>
      <c r="J102" s="122">
        <f t="shared" ref="J102:T102" si="406">J55/$T$57</f>
        <v>1.4180529042814289</v>
      </c>
      <c r="K102" s="122">
        <f t="shared" si="406"/>
        <v>1.0089991818925552</v>
      </c>
      <c r="L102" s="122">
        <f t="shared" si="406"/>
        <v>0.6817562039814562</v>
      </c>
      <c r="M102" s="122">
        <f t="shared" si="406"/>
        <v>1.2817016634851377</v>
      </c>
      <c r="N102" s="122">
        <f t="shared" si="406"/>
        <v>1.5271338969184618</v>
      </c>
      <c r="O102" s="122">
        <f t="shared" si="406"/>
        <v>1.3635124079629124</v>
      </c>
      <c r="P102" s="122">
        <f t="shared" si="406"/>
        <v>1.8543768748295608</v>
      </c>
      <c r="Q102" s="122">
        <f t="shared" si="406"/>
        <v>0</v>
      </c>
      <c r="R102" s="122">
        <f t="shared" si="406"/>
        <v>3.0542677938369236</v>
      </c>
      <c r="S102" s="122">
        <f t="shared" si="406"/>
        <v>-1.5816743932369783</v>
      </c>
      <c r="T102" s="122">
        <f t="shared" si="406"/>
        <v>2.0998091082628849</v>
      </c>
      <c r="U102" s="122">
        <f t="shared" ref="U102" si="407">U55/$T$57</f>
        <v>2.0998091082628849</v>
      </c>
      <c r="V102" s="101">
        <f t="shared" si="253"/>
        <v>7.4931789541336391E-2</v>
      </c>
      <c r="W102" s="110"/>
      <c r="X102" s="122">
        <f t="shared" ref="X102:AG102" si="408">X55/X57</f>
        <v>2.36743183774737</v>
      </c>
      <c r="Y102" s="122">
        <f t="shared" si="408"/>
        <v>2.6691633464798774</v>
      </c>
      <c r="Z102" s="122">
        <f t="shared" si="408"/>
        <v>3.0093508318155484</v>
      </c>
      <c r="AA102" s="122">
        <f t="shared" si="408"/>
        <v>3.3928955456743921</v>
      </c>
      <c r="AB102" s="122">
        <f t="shared" si="408"/>
        <v>3.8253234093387745</v>
      </c>
      <c r="AC102" s="122">
        <f t="shared" si="408"/>
        <v>4.3128646281760687</v>
      </c>
      <c r="AD102" s="122">
        <f t="shared" si="408"/>
        <v>4.8625434533357641</v>
      </c>
      <c r="AE102" s="122">
        <f t="shared" si="408"/>
        <v>5.4822793836628705</v>
      </c>
      <c r="AF102" s="122">
        <f t="shared" si="408"/>
        <v>6.1810012658944133</v>
      </c>
      <c r="AG102" s="122">
        <f t="shared" si="408"/>
        <v>6.9687759370378179</v>
      </c>
      <c r="AH102" s="117"/>
      <c r="AI102" s="10"/>
      <c r="AJ102" s="131"/>
    </row>
    <row r="103" spans="2:36" x14ac:dyDescent="0.2">
      <c r="B103" s="10"/>
      <c r="C103" s="109"/>
      <c r="D103" s="109"/>
      <c r="E103" s="109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10"/>
      <c r="W103" s="110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17"/>
      <c r="AI103" s="10"/>
      <c r="AJ103" s="131"/>
    </row>
    <row r="104" spans="2:36" x14ac:dyDescent="0.2">
      <c r="B104" s="93" t="s">
        <v>259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spans="2:36" x14ac:dyDescent="0.2">
      <c r="B105" s="10" t="s">
        <v>258</v>
      </c>
      <c r="C105" s="129"/>
      <c r="D105" s="129"/>
      <c r="E105" s="129"/>
      <c r="F105" s="129"/>
      <c r="G105" s="129">
        <f t="shared" ref="G105" si="409">G51/G25</f>
        <v>0.32608695652173914</v>
      </c>
      <c r="H105" s="129">
        <f t="shared" ref="H105:I105" si="410">H51/H25</f>
        <v>0.31159420289855072</v>
      </c>
      <c r="I105" s="129">
        <f t="shared" si="410"/>
        <v>0.26785714285714285</v>
      </c>
      <c r="J105" s="129">
        <f t="shared" ref="J105:S105" si="411">J51/J25</f>
        <v>0.29530201342281881</v>
      </c>
      <c r="K105" s="129">
        <f t="shared" si="411"/>
        <v>0.27433628318584069</v>
      </c>
      <c r="L105" s="129">
        <f t="shared" si="411"/>
        <v>0.22068965517241379</v>
      </c>
      <c r="M105" s="129">
        <f t="shared" si="411"/>
        <v>0.23054755043227665</v>
      </c>
      <c r="N105" s="129">
        <f t="shared" si="411"/>
        <v>0.30547550432276654</v>
      </c>
      <c r="O105" s="129">
        <f t="shared" si="411"/>
        <v>0.27317073170731709</v>
      </c>
      <c r="P105" s="129">
        <f t="shared" si="411"/>
        <v>0.11647509578544062</v>
      </c>
      <c r="Q105" s="129" t="e">
        <f t="shared" si="411"/>
        <v>#DIV/0!</v>
      </c>
      <c r="R105" s="129">
        <f t="shared" si="411"/>
        <v>7.3341448569689591E-2</v>
      </c>
      <c r="S105" s="129">
        <f t="shared" si="411"/>
        <v>3.0333003626772173E-2</v>
      </c>
      <c r="T105" s="129">
        <f t="shared" ref="T105:U105" si="412">T51/T25</f>
        <v>3.5932281469538176E-2</v>
      </c>
      <c r="U105" s="129">
        <f t="shared" si="412"/>
        <v>3.5932281469538176E-2</v>
      </c>
      <c r="V105" s="101">
        <f t="shared" si="253"/>
        <v>-0.14575540342229942</v>
      </c>
      <c r="W105" s="129"/>
      <c r="X105" s="129">
        <f t="shared" ref="X105:AG105" si="413">X51/X25</f>
        <v>3.5932281469538176E-2</v>
      </c>
      <c r="Y105" s="129">
        <f t="shared" si="413"/>
        <v>3.5932281469538176E-2</v>
      </c>
      <c r="Z105" s="129">
        <f t="shared" si="413"/>
        <v>3.5932281469538176E-2</v>
      </c>
      <c r="AA105" s="129">
        <f t="shared" si="413"/>
        <v>3.5932281469538176E-2</v>
      </c>
      <c r="AB105" s="129">
        <f t="shared" si="413"/>
        <v>3.5932281469538176E-2</v>
      </c>
      <c r="AC105" s="129">
        <f t="shared" si="413"/>
        <v>3.5932281469538176E-2</v>
      </c>
      <c r="AD105" s="129">
        <f t="shared" si="413"/>
        <v>3.5932281469538176E-2</v>
      </c>
      <c r="AE105" s="129">
        <f t="shared" si="413"/>
        <v>3.5932281469538176E-2</v>
      </c>
      <c r="AF105" s="129">
        <f t="shared" si="413"/>
        <v>3.5932281469538176E-2</v>
      </c>
      <c r="AG105" s="129">
        <f t="shared" si="413"/>
        <v>3.5932281469538176E-2</v>
      </c>
      <c r="AH105" s="116">
        <f t="shared" ref="AH105:AH154" si="414">((AG105/J105)^(1/($AG$3-$K$1) ))-1</f>
        <v>-8.7512578889956782E-2</v>
      </c>
      <c r="AI105" s="124"/>
      <c r="AJ105" s="124"/>
    </row>
    <row r="106" spans="2:36" x14ac:dyDescent="0.2">
      <c r="B106" s="10" t="s">
        <v>220</v>
      </c>
      <c r="C106" s="129"/>
      <c r="D106" s="129"/>
      <c r="E106" s="129"/>
      <c r="F106" s="129"/>
      <c r="G106" s="129">
        <f t="shared" ref="G106" si="415">G55/G25</f>
        <v>0.20289855072463769</v>
      </c>
      <c r="H106" s="129">
        <f t="shared" ref="H106:I106" si="416">H55/H25</f>
        <v>0.20289855072463769</v>
      </c>
      <c r="I106" s="129">
        <f t="shared" si="416"/>
        <v>0.16517857142857142</v>
      </c>
      <c r="J106" s="129">
        <f t="shared" ref="J106:S106" si="417">J55/J25</f>
        <v>0.17449664429530201</v>
      </c>
      <c r="K106" s="129">
        <f t="shared" si="417"/>
        <v>0.10914454277286136</v>
      </c>
      <c r="L106" s="129">
        <f t="shared" si="417"/>
        <v>8.6206896551724144E-2</v>
      </c>
      <c r="M106" s="129">
        <f t="shared" si="417"/>
        <v>0.13544668587896252</v>
      </c>
      <c r="N106" s="129">
        <f t="shared" si="417"/>
        <v>0.16138328530259366</v>
      </c>
      <c r="O106" s="129">
        <f t="shared" si="417"/>
        <v>0.12195121951219512</v>
      </c>
      <c r="P106" s="129">
        <f t="shared" si="417"/>
        <v>5.2107279693486587E-2</v>
      </c>
      <c r="Q106" s="129" t="e">
        <f t="shared" si="417"/>
        <v>#DIV/0!</v>
      </c>
      <c r="R106" s="129">
        <f t="shared" si="417"/>
        <v>3.4083992696287278E-2</v>
      </c>
      <c r="S106" s="129">
        <f t="shared" si="417"/>
        <v>-9.5614902736564453E-3</v>
      </c>
      <c r="T106" s="129">
        <f t="shared" ref="T106:U106" si="418">T55/T25</f>
        <v>8.8679027985719226E-3</v>
      </c>
      <c r="U106" s="129">
        <f t="shared" si="418"/>
        <v>8.8679027985719226E-3</v>
      </c>
      <c r="V106" s="101">
        <f t="shared" si="253"/>
        <v>-0.20035752321982281</v>
      </c>
      <c r="W106" s="129"/>
      <c r="X106" s="129">
        <f t="shared" ref="X106:AG106" si="419">X55/X25</f>
        <v>8.8679027985719226E-3</v>
      </c>
      <c r="Y106" s="129">
        <f t="shared" si="419"/>
        <v>8.8679027985719226E-3</v>
      </c>
      <c r="Z106" s="129">
        <f t="shared" si="419"/>
        <v>8.8679027985719226E-3</v>
      </c>
      <c r="AA106" s="129">
        <f t="shared" si="419"/>
        <v>8.8679027985719208E-3</v>
      </c>
      <c r="AB106" s="129">
        <f t="shared" si="419"/>
        <v>8.8679027985719208E-3</v>
      </c>
      <c r="AC106" s="129">
        <f t="shared" si="419"/>
        <v>8.8679027985719226E-3</v>
      </c>
      <c r="AD106" s="129">
        <f t="shared" si="419"/>
        <v>8.8679027985719226E-3</v>
      </c>
      <c r="AE106" s="129">
        <f t="shared" si="419"/>
        <v>8.8679027985719226E-3</v>
      </c>
      <c r="AF106" s="129">
        <f t="shared" si="419"/>
        <v>8.8679027985719226E-3</v>
      </c>
      <c r="AG106" s="129">
        <f t="shared" si="419"/>
        <v>8.8679027985719226E-3</v>
      </c>
      <c r="AH106" s="116">
        <f t="shared" si="414"/>
        <v>-0.12150235434316903</v>
      </c>
      <c r="AI106" s="124"/>
      <c r="AJ106" s="124"/>
    </row>
    <row r="107" spans="2:36" x14ac:dyDescent="0.2">
      <c r="B107" s="10" t="s">
        <v>304</v>
      </c>
      <c r="C107" s="129"/>
      <c r="D107" s="129"/>
      <c r="E107" s="129"/>
      <c r="F107" s="129"/>
      <c r="G107" s="129">
        <f t="shared" ref="G107" si="420">G55/G7</f>
        <v>0.19444444444444445</v>
      </c>
      <c r="H107" s="129">
        <f t="shared" ref="H107:I107" si="421">H55/H7</f>
        <v>0.16867469879518071</v>
      </c>
      <c r="I107" s="129">
        <f t="shared" si="421"/>
        <v>0.68518518518518523</v>
      </c>
      <c r="J107" s="129">
        <f>J55/J7</f>
        <v>0.26666666666666666</v>
      </c>
      <c r="K107" s="129">
        <f t="shared" ref="K107:R107" si="422">K55/K7</f>
        <v>0.16591928251121077</v>
      </c>
      <c r="L107" s="129">
        <f t="shared" si="422"/>
        <v>8.2781456953642391E-2</v>
      </c>
      <c r="M107" s="129">
        <f t="shared" si="422"/>
        <v>0.13823529411764707</v>
      </c>
      <c r="N107" s="129">
        <f t="shared" si="422"/>
        <v>0.14285714285714285</v>
      </c>
      <c r="O107" s="129">
        <f t="shared" si="422"/>
        <v>0.11415525114155251</v>
      </c>
      <c r="P107" s="129">
        <f t="shared" si="422"/>
        <v>9.8837209302325577E-2</v>
      </c>
      <c r="Q107" s="129" t="e">
        <f t="shared" si="422"/>
        <v>#DIV/0!</v>
      </c>
      <c r="R107" s="129">
        <f t="shared" si="422"/>
        <v>8.4021005251312827E-2</v>
      </c>
      <c r="S107" s="129">
        <f t="shared" ref="S107:T107" si="423">S55/S7</f>
        <v>-4.2274052478134108E-2</v>
      </c>
      <c r="T107" s="129">
        <f t="shared" si="423"/>
        <v>4.6808510638297871E-2</v>
      </c>
      <c r="U107" s="129">
        <f t="shared" ref="U107" si="424">U55/U7</f>
        <v>4.6808510638297871E-2</v>
      </c>
      <c r="V107" s="101">
        <f t="shared" si="253"/>
        <v>-9.6717658334331991E-2</v>
      </c>
      <c r="W107" s="10"/>
      <c r="X107" s="129">
        <f t="shared" ref="X107" si="425">X55/X7</f>
        <v>4.6808510638297877E-2</v>
      </c>
      <c r="Y107" s="129">
        <f t="shared" ref="Y107:AG107" si="426">Y55/Y7</f>
        <v>4.6808510638297877E-2</v>
      </c>
      <c r="Z107" s="129">
        <f t="shared" si="426"/>
        <v>4.6808510638297877E-2</v>
      </c>
      <c r="AA107" s="129">
        <f t="shared" si="426"/>
        <v>4.6808510638297877E-2</v>
      </c>
      <c r="AB107" s="129">
        <f t="shared" si="426"/>
        <v>4.6808510638297877E-2</v>
      </c>
      <c r="AC107" s="129">
        <f t="shared" si="426"/>
        <v>4.6808510638297877E-2</v>
      </c>
      <c r="AD107" s="129">
        <f t="shared" si="426"/>
        <v>4.6808510638297877E-2</v>
      </c>
      <c r="AE107" s="129">
        <f t="shared" si="426"/>
        <v>4.6808510638297884E-2</v>
      </c>
      <c r="AF107" s="129">
        <f t="shared" si="426"/>
        <v>4.6808510638297884E-2</v>
      </c>
      <c r="AG107" s="129">
        <f t="shared" si="426"/>
        <v>4.6808510638297891E-2</v>
      </c>
      <c r="AH107" s="116">
        <f t="shared" si="414"/>
        <v>-7.2858722205731863E-2</v>
      </c>
      <c r="AI107" s="124"/>
      <c r="AJ107" s="124"/>
    </row>
    <row r="108" spans="2:36" x14ac:dyDescent="0.2">
      <c r="B108" s="10" t="s">
        <v>305</v>
      </c>
      <c r="C108" s="129"/>
      <c r="D108" s="129"/>
      <c r="E108" s="129"/>
      <c r="F108" s="129"/>
      <c r="G108" s="129">
        <f t="shared" ref="G108" si="427">(G55)/(G7+G10)</f>
        <v>0.1761006289308176</v>
      </c>
      <c r="H108" s="129">
        <f t="shared" ref="H108:I108" si="428">(H55)/(H7+H10)</f>
        <v>0.16847172081829123</v>
      </c>
      <c r="I108" s="129">
        <f t="shared" si="428"/>
        <v>0.12091503267973856</v>
      </c>
      <c r="J108" s="129">
        <f>(J55)/(J7+J10)</f>
        <v>0.10810810810810811</v>
      </c>
      <c r="K108" s="129">
        <f t="shared" ref="K108:R108" si="429">(K55)/(K7+K10)</f>
        <v>7.6604554865424432E-2</v>
      </c>
      <c r="L108" s="129">
        <f t="shared" si="429"/>
        <v>5.2966101694915252E-2</v>
      </c>
      <c r="M108" s="129">
        <f t="shared" si="429"/>
        <v>8.6876155268022184E-2</v>
      </c>
      <c r="N108" s="129">
        <f t="shared" si="429"/>
        <v>9.0761750405186387E-2</v>
      </c>
      <c r="O108" s="129">
        <f t="shared" si="429"/>
        <v>8.0128205128205135E-2</v>
      </c>
      <c r="P108" s="129">
        <f t="shared" si="429"/>
        <v>7.8341013824884786E-2</v>
      </c>
      <c r="Q108" s="129" t="e">
        <f t="shared" si="429"/>
        <v>#DIV/0!</v>
      </c>
      <c r="R108" s="129">
        <f t="shared" si="429"/>
        <v>6.5727699530516437E-2</v>
      </c>
      <c r="S108" s="129">
        <f t="shared" ref="S108:T108" si="430">(S55)/(S7+S10)</f>
        <v>-2.6532479414455627E-2</v>
      </c>
      <c r="T108" s="129">
        <f t="shared" si="430"/>
        <v>2.7372911482403128E-2</v>
      </c>
      <c r="U108" s="129">
        <f t="shared" ref="U108" si="431">(U55)/(U7+U10)</f>
        <v>2.7372911482403128E-2</v>
      </c>
      <c r="V108" s="101">
        <f t="shared" si="253"/>
        <v>-0.12450374669447806</v>
      </c>
      <c r="W108" s="10"/>
      <c r="X108" s="129">
        <f t="shared" ref="X108:AG108" si="432">(X55)/(X7+X10)</f>
        <v>2.7372911482403128E-2</v>
      </c>
      <c r="Y108" s="129">
        <f t="shared" si="432"/>
        <v>2.7372911482403128E-2</v>
      </c>
      <c r="Z108" s="129">
        <f t="shared" si="432"/>
        <v>2.7372911482403135E-2</v>
      </c>
      <c r="AA108" s="129">
        <f t="shared" si="432"/>
        <v>2.7372911482403128E-2</v>
      </c>
      <c r="AB108" s="129">
        <f t="shared" si="432"/>
        <v>2.7372911482403131E-2</v>
      </c>
      <c r="AC108" s="129">
        <f t="shared" si="432"/>
        <v>2.7372911482403128E-2</v>
      </c>
      <c r="AD108" s="129">
        <f t="shared" si="432"/>
        <v>2.7372911482403131E-2</v>
      </c>
      <c r="AE108" s="129">
        <f t="shared" si="432"/>
        <v>2.7372911482403131E-2</v>
      </c>
      <c r="AF108" s="129">
        <f t="shared" si="432"/>
        <v>2.7372911482403131E-2</v>
      </c>
      <c r="AG108" s="129">
        <f t="shared" si="432"/>
        <v>2.7372911482403135E-2</v>
      </c>
      <c r="AH108" s="116">
        <f t="shared" si="414"/>
        <v>-5.7972465911512172E-2</v>
      </c>
      <c r="AI108" s="124"/>
      <c r="AJ108" s="124"/>
    </row>
    <row r="109" spans="2:36" x14ac:dyDescent="0.2">
      <c r="B109" s="10" t="s">
        <v>321</v>
      </c>
      <c r="C109" s="129"/>
      <c r="D109" s="129"/>
      <c r="E109" s="129"/>
      <c r="F109" s="129"/>
      <c r="G109" s="129">
        <f t="shared" ref="G109" si="433">G20/G25</f>
        <v>0</v>
      </c>
      <c r="H109" s="129">
        <f t="shared" ref="H109:I109" si="434">H20/H25</f>
        <v>0</v>
      </c>
      <c r="I109" s="129">
        <f t="shared" si="434"/>
        <v>0</v>
      </c>
      <c r="J109" s="129">
        <f>J20/J25</f>
        <v>0</v>
      </c>
      <c r="K109" s="129">
        <f t="shared" ref="K109:S109" si="435">K20/K25</f>
        <v>0</v>
      </c>
      <c r="L109" s="129">
        <f t="shared" si="435"/>
        <v>0</v>
      </c>
      <c r="M109" s="129">
        <f t="shared" si="435"/>
        <v>0</v>
      </c>
      <c r="N109" s="129">
        <f t="shared" si="435"/>
        <v>0</v>
      </c>
      <c r="O109" s="129">
        <f t="shared" si="435"/>
        <v>0</v>
      </c>
      <c r="P109" s="129">
        <f t="shared" si="435"/>
        <v>0</v>
      </c>
      <c r="Q109" s="129" t="e">
        <f t="shared" si="435"/>
        <v>#DIV/0!</v>
      </c>
      <c r="R109" s="129">
        <f t="shared" si="435"/>
        <v>0</v>
      </c>
      <c r="S109" s="129">
        <f t="shared" si="435"/>
        <v>0</v>
      </c>
      <c r="T109" s="129">
        <f t="shared" ref="T109:U109" si="436">T20/T25</f>
        <v>0</v>
      </c>
      <c r="U109" s="129">
        <f t="shared" si="436"/>
        <v>0</v>
      </c>
      <c r="V109" s="101" t="e">
        <f t="shared" si="253"/>
        <v>#DIV/0!</v>
      </c>
      <c r="W109" s="10"/>
      <c r="X109" s="129">
        <f t="shared" ref="X109:AG109" si="437">X20/X25</f>
        <v>0</v>
      </c>
      <c r="Y109" s="129">
        <f t="shared" si="437"/>
        <v>0</v>
      </c>
      <c r="Z109" s="129">
        <f t="shared" si="437"/>
        <v>0</v>
      </c>
      <c r="AA109" s="129">
        <f t="shared" si="437"/>
        <v>0</v>
      </c>
      <c r="AB109" s="129">
        <f t="shared" si="437"/>
        <v>0</v>
      </c>
      <c r="AC109" s="129">
        <f t="shared" si="437"/>
        <v>0</v>
      </c>
      <c r="AD109" s="129">
        <f t="shared" si="437"/>
        <v>0</v>
      </c>
      <c r="AE109" s="129">
        <f t="shared" si="437"/>
        <v>0</v>
      </c>
      <c r="AF109" s="129">
        <f t="shared" si="437"/>
        <v>0</v>
      </c>
      <c r="AG109" s="129">
        <f t="shared" si="437"/>
        <v>0</v>
      </c>
      <c r="AH109" s="116" t="e">
        <f t="shared" si="414"/>
        <v>#DIV/0!</v>
      </c>
      <c r="AI109" s="124"/>
      <c r="AJ109" s="124"/>
    </row>
    <row r="110" spans="2:36" x14ac:dyDescent="0.2">
      <c r="B110" s="10" t="s">
        <v>373</v>
      </c>
      <c r="C110" s="129"/>
      <c r="D110" s="129"/>
      <c r="E110" s="129"/>
      <c r="F110" s="129"/>
      <c r="G110" s="129">
        <f t="shared" ref="G110" si="438">G68/G25</f>
        <v>0.10144927536231885</v>
      </c>
      <c r="H110" s="129">
        <f t="shared" ref="H110:I110" si="439">H68/H25</f>
        <v>8.6956521739130432E-2</v>
      </c>
      <c r="I110" s="129">
        <f t="shared" si="439"/>
        <v>7.1428571428571425E-2</v>
      </c>
      <c r="J110" s="129">
        <f>J68/J25</f>
        <v>1.6778523489932886E-2</v>
      </c>
      <c r="K110" s="129">
        <f t="shared" ref="K110:S110" si="440">K68/K25</f>
        <v>4.4247787610619468E-2</v>
      </c>
      <c r="L110" s="129">
        <f t="shared" si="440"/>
        <v>3.1034482758620689E-2</v>
      </c>
      <c r="M110" s="129">
        <f t="shared" si="440"/>
        <v>7.7809798270893377E-2</v>
      </c>
      <c r="N110" s="129">
        <f t="shared" si="440"/>
        <v>6.9164265129683003E-2</v>
      </c>
      <c r="O110" s="129">
        <f t="shared" si="440"/>
        <v>6.5853658536585369E-2</v>
      </c>
      <c r="P110" s="129">
        <f t="shared" si="440"/>
        <v>2.6053639846743294E-2</v>
      </c>
      <c r="Q110" s="129" t="e">
        <f t="shared" si="440"/>
        <v>#DIV/0!</v>
      </c>
      <c r="R110" s="129">
        <f t="shared" si="440"/>
        <v>1.7650639074863056E-2</v>
      </c>
      <c r="S110" s="129">
        <f t="shared" si="440"/>
        <v>1.0220903395977581E-2</v>
      </c>
      <c r="T110" s="129">
        <f t="shared" ref="T110:U110" si="441">T68/T25</f>
        <v>1.3244270413451572E-2</v>
      </c>
      <c r="U110" s="129">
        <f t="shared" si="441"/>
        <v>1.3244270413451572E-2</v>
      </c>
      <c r="V110" s="101">
        <f t="shared" si="253"/>
        <v>-0.13534797370347895</v>
      </c>
      <c r="W110" s="10"/>
      <c r="X110" s="129">
        <f t="shared" ref="X110:AG110" si="442">X68/X25</f>
        <v>1.3244270413451574E-2</v>
      </c>
      <c r="Y110" s="129">
        <f t="shared" si="442"/>
        <v>1.3244270413451572E-2</v>
      </c>
      <c r="Z110" s="129">
        <f t="shared" si="442"/>
        <v>1.3244270413451571E-2</v>
      </c>
      <c r="AA110" s="129">
        <f t="shared" si="442"/>
        <v>1.3244270413451571E-2</v>
      </c>
      <c r="AB110" s="129">
        <f t="shared" si="442"/>
        <v>1.3244270413451569E-2</v>
      </c>
      <c r="AC110" s="129">
        <f t="shared" si="442"/>
        <v>1.3244270413451567E-2</v>
      </c>
      <c r="AD110" s="129">
        <f t="shared" si="442"/>
        <v>1.3244270413451569E-2</v>
      </c>
      <c r="AE110" s="129">
        <f t="shared" si="442"/>
        <v>1.3244270413451567E-2</v>
      </c>
      <c r="AF110" s="129">
        <f t="shared" si="442"/>
        <v>1.3244270413451565E-2</v>
      </c>
      <c r="AG110" s="129">
        <f t="shared" si="442"/>
        <v>1.3244270413451565E-2</v>
      </c>
      <c r="AH110" s="116">
        <f t="shared" si="414"/>
        <v>-1.0231415277738409E-2</v>
      </c>
      <c r="AI110" s="124"/>
      <c r="AJ110" s="124"/>
    </row>
    <row r="111" spans="2:36" x14ac:dyDescent="0.2">
      <c r="B111" s="10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10"/>
      <c r="W111" s="10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3"/>
      <c r="AI111" s="124"/>
      <c r="AJ111" s="124"/>
    </row>
    <row r="112" spans="2:36" x14ac:dyDescent="0.2">
      <c r="B112" s="10" t="s">
        <v>268</v>
      </c>
      <c r="C112" s="129"/>
      <c r="D112" s="129"/>
      <c r="E112" s="129"/>
      <c r="F112" s="129"/>
      <c r="G112" s="129">
        <f t="shared" ref="G112" si="443">G29/G25</f>
        <v>2.8985507246376812E-2</v>
      </c>
      <c r="H112" s="129">
        <f t="shared" ref="H112:I112" si="444">H29/H25</f>
        <v>2.8985507246376812E-2</v>
      </c>
      <c r="I112" s="129">
        <f t="shared" si="444"/>
        <v>4.9107142857142856E-2</v>
      </c>
      <c r="J112" s="129">
        <f>J29/J25</f>
        <v>0.11073825503355705</v>
      </c>
      <c r="K112" s="129">
        <f t="shared" ref="K112:S112" si="445">K29/K25</f>
        <v>0.10619469026548672</v>
      </c>
      <c r="L112" s="129">
        <f t="shared" si="445"/>
        <v>6.8965517241379309E-2</v>
      </c>
      <c r="M112" s="129">
        <f t="shared" si="445"/>
        <v>6.3400576368876083E-2</v>
      </c>
      <c r="N112" s="129">
        <f t="shared" si="445"/>
        <v>6.3400576368876083E-2</v>
      </c>
      <c r="O112" s="129">
        <f t="shared" si="445"/>
        <v>7.5609756097560973E-2</v>
      </c>
      <c r="P112" s="129">
        <f t="shared" si="445"/>
        <v>3.2183908045977011E-2</v>
      </c>
      <c r="Q112" s="129" t="e">
        <f t="shared" si="445"/>
        <v>#DIV/0!</v>
      </c>
      <c r="R112" s="129">
        <f t="shared" si="445"/>
        <v>2.1606816798539256E-2</v>
      </c>
      <c r="S112" s="129">
        <f t="shared" si="445"/>
        <v>1.5166501813386087E-2</v>
      </c>
      <c r="T112" s="129">
        <f t="shared" ref="T112:U112" si="446">T29/T25</f>
        <v>1.508695151445353E-2</v>
      </c>
      <c r="U112" s="129">
        <f t="shared" si="446"/>
        <v>1.508695151445353E-2</v>
      </c>
      <c r="V112" s="101">
        <f t="shared" si="253"/>
        <v>-4.5569459259740763E-2</v>
      </c>
      <c r="W112" s="10"/>
      <c r="X112" s="129">
        <f t="shared" ref="X112:AG112" si="447">X29/X25</f>
        <v>1.508695151445353E-2</v>
      </c>
      <c r="Y112" s="129">
        <f t="shared" si="447"/>
        <v>1.508695151445353E-2</v>
      </c>
      <c r="Z112" s="129">
        <f t="shared" si="447"/>
        <v>1.5086951514453531E-2</v>
      </c>
      <c r="AA112" s="129">
        <f t="shared" si="447"/>
        <v>1.5086951514453531E-2</v>
      </c>
      <c r="AB112" s="129">
        <f t="shared" si="447"/>
        <v>1.5086951514453531E-2</v>
      </c>
      <c r="AC112" s="129">
        <f t="shared" si="447"/>
        <v>1.5086951514453531E-2</v>
      </c>
      <c r="AD112" s="129">
        <f t="shared" si="447"/>
        <v>1.508695151445353E-2</v>
      </c>
      <c r="AE112" s="129">
        <f t="shared" si="447"/>
        <v>1.508695151445353E-2</v>
      </c>
      <c r="AF112" s="129">
        <f t="shared" si="447"/>
        <v>1.5086951514453528E-2</v>
      </c>
      <c r="AG112" s="129">
        <f t="shared" si="447"/>
        <v>1.5086951514453528E-2</v>
      </c>
      <c r="AH112" s="116">
        <f t="shared" si="414"/>
        <v>-8.3017525182893515E-2</v>
      </c>
      <c r="AI112" s="124"/>
      <c r="AJ112" s="124"/>
    </row>
    <row r="113" spans="1:36" x14ac:dyDescent="0.2">
      <c r="B113" s="10" t="s">
        <v>314</v>
      </c>
      <c r="C113" s="129"/>
      <c r="D113" s="129"/>
      <c r="E113" s="129"/>
      <c r="F113" s="129"/>
      <c r="G113" s="129">
        <f t="shared" ref="G113" si="448">G29/G51</f>
        <v>8.8888888888888892E-2</v>
      </c>
      <c r="H113" s="129">
        <f t="shared" ref="H113:I113" si="449">H29/H51</f>
        <v>9.3023255813953487E-2</v>
      </c>
      <c r="I113" s="129">
        <f t="shared" si="449"/>
        <v>0.18333333333333332</v>
      </c>
      <c r="J113" s="129">
        <f>J29/J51</f>
        <v>0.375</v>
      </c>
      <c r="K113" s="129">
        <f t="shared" ref="K113:S113" si="450">K29/K51</f>
        <v>0.38709677419354838</v>
      </c>
      <c r="L113" s="129">
        <f t="shared" si="450"/>
        <v>0.3125</v>
      </c>
      <c r="M113" s="129">
        <f t="shared" si="450"/>
        <v>0.27500000000000002</v>
      </c>
      <c r="N113" s="129">
        <f t="shared" si="450"/>
        <v>0.20754716981132076</v>
      </c>
      <c r="O113" s="129">
        <f t="shared" si="450"/>
        <v>0.2767857142857143</v>
      </c>
      <c r="P113" s="129">
        <f t="shared" si="450"/>
        <v>0.27631578947368424</v>
      </c>
      <c r="Q113" s="129" t="e">
        <f t="shared" si="450"/>
        <v>#DIV/0!</v>
      </c>
      <c r="R113" s="129">
        <f t="shared" si="450"/>
        <v>0.29460580912863071</v>
      </c>
      <c r="S113" s="129">
        <f t="shared" si="450"/>
        <v>0.5</v>
      </c>
      <c r="T113" s="129">
        <f t="shared" ref="T113:U113" si="451">T29/T51</f>
        <v>0.41987179487179488</v>
      </c>
      <c r="U113" s="129">
        <f t="shared" si="451"/>
        <v>0.41987179487179488</v>
      </c>
      <c r="V113" s="101">
        <f t="shared" si="253"/>
        <v>0.11728016140099284</v>
      </c>
      <c r="W113" s="10"/>
      <c r="X113" s="129">
        <f t="shared" ref="X113:AG113" si="452">X29/X51</f>
        <v>0.41987179487179488</v>
      </c>
      <c r="Y113" s="129">
        <f t="shared" si="452"/>
        <v>0.41987179487179493</v>
      </c>
      <c r="Z113" s="129">
        <f t="shared" si="452"/>
        <v>0.41987179487179493</v>
      </c>
      <c r="AA113" s="129">
        <f t="shared" si="452"/>
        <v>0.41987179487179488</v>
      </c>
      <c r="AB113" s="129">
        <f t="shared" si="452"/>
        <v>0.41987179487179493</v>
      </c>
      <c r="AC113" s="129">
        <f t="shared" si="452"/>
        <v>0.41987179487179488</v>
      </c>
      <c r="AD113" s="129">
        <f t="shared" si="452"/>
        <v>0.41987179487179488</v>
      </c>
      <c r="AE113" s="129">
        <f t="shared" si="452"/>
        <v>0.41987179487179488</v>
      </c>
      <c r="AF113" s="129">
        <f t="shared" si="452"/>
        <v>0.41987179487179488</v>
      </c>
      <c r="AG113" s="129">
        <f t="shared" si="452"/>
        <v>0.41987179487179488</v>
      </c>
      <c r="AH113" s="116">
        <f t="shared" ref="AH113" si="453">((AG113/J113)^(1/($AG$3-$K$1) ))-1</f>
        <v>4.926154161769114E-3</v>
      </c>
      <c r="AI113" s="124"/>
      <c r="AJ113" s="124"/>
    </row>
    <row r="114" spans="1:36" ht="12" customHeight="1" x14ac:dyDescent="0.2">
      <c r="B114" s="10" t="s">
        <v>313</v>
      </c>
      <c r="C114" s="129"/>
      <c r="D114" s="129"/>
      <c r="E114" s="129"/>
      <c r="F114" s="148"/>
      <c r="G114" s="148">
        <f t="shared" ref="G114" si="454">G29/G55</f>
        <v>0.14285714285714285</v>
      </c>
      <c r="H114" s="148">
        <f t="shared" ref="H114:I114" si="455">H29/H55</f>
        <v>0.14285714285714285</v>
      </c>
      <c r="I114" s="148">
        <f t="shared" si="455"/>
        <v>0.29729729729729731</v>
      </c>
      <c r="J114" s="148">
        <f t="shared" ref="J114:S114" si="456">J29/J55</f>
        <v>0.63461538461538458</v>
      </c>
      <c r="K114" s="148">
        <f t="shared" si="456"/>
        <v>0.97297297297297303</v>
      </c>
      <c r="L114" s="148">
        <f t="shared" si="456"/>
        <v>0.8</v>
      </c>
      <c r="M114" s="148">
        <f t="shared" si="456"/>
        <v>0.46808510638297873</v>
      </c>
      <c r="N114" s="148">
        <f t="shared" si="456"/>
        <v>0.39285714285714285</v>
      </c>
      <c r="O114" s="148">
        <f t="shared" si="456"/>
        <v>0.62</v>
      </c>
      <c r="P114" s="148">
        <f t="shared" si="456"/>
        <v>0.61764705882352944</v>
      </c>
      <c r="Q114" s="148" t="e">
        <f t="shared" si="456"/>
        <v>#DIV/0!</v>
      </c>
      <c r="R114" s="148">
        <f t="shared" si="456"/>
        <v>0.6339285714285714</v>
      </c>
      <c r="S114" s="148">
        <f t="shared" si="456"/>
        <v>-1.5862068965517242</v>
      </c>
      <c r="T114" s="148">
        <f t="shared" ref="T114:U114" si="457">T29/T55</f>
        <v>1.7012987012987013</v>
      </c>
      <c r="U114" s="148">
        <f t="shared" si="457"/>
        <v>1.7012987012987013</v>
      </c>
      <c r="V114" s="101">
        <f t="shared" si="253"/>
        <v>0.1935715878718054</v>
      </c>
      <c r="W114" s="10"/>
      <c r="X114" s="148">
        <f t="shared" ref="X114:AG114" si="458">X29/X55</f>
        <v>1.7012987012987011</v>
      </c>
      <c r="Y114" s="148">
        <f t="shared" si="458"/>
        <v>1.7012987012987013</v>
      </c>
      <c r="Z114" s="148">
        <f t="shared" si="458"/>
        <v>1.7012987012987013</v>
      </c>
      <c r="AA114" s="148">
        <f t="shared" si="458"/>
        <v>1.7012987012987015</v>
      </c>
      <c r="AB114" s="148">
        <f t="shared" si="458"/>
        <v>1.7012987012987015</v>
      </c>
      <c r="AC114" s="148">
        <f t="shared" si="458"/>
        <v>1.7012987012987015</v>
      </c>
      <c r="AD114" s="148">
        <f t="shared" si="458"/>
        <v>1.7012987012987013</v>
      </c>
      <c r="AE114" s="148">
        <f t="shared" si="458"/>
        <v>1.7012987012987011</v>
      </c>
      <c r="AF114" s="148">
        <f t="shared" si="458"/>
        <v>1.7012987012987011</v>
      </c>
      <c r="AG114" s="148">
        <f t="shared" si="458"/>
        <v>1.7012987012987011</v>
      </c>
      <c r="AH114" s="116">
        <f t="shared" ref="AH114" si="459">((AG114/J114)^(1/($AG$3-$K$1) ))-1</f>
        <v>4.3807549571178939E-2</v>
      </c>
      <c r="AI114" s="124"/>
      <c r="AJ114" s="124"/>
    </row>
    <row r="115" spans="1:36" ht="12" customHeight="1" x14ac:dyDescent="0.2">
      <c r="B115" s="10" t="s">
        <v>270</v>
      </c>
      <c r="C115" s="129"/>
      <c r="D115" s="129"/>
      <c r="E115" s="129"/>
      <c r="F115" s="148"/>
      <c r="G115" s="148">
        <f t="shared" ref="G115" si="460">G29/G12</f>
        <v>4.2105263157894736E-2</v>
      </c>
      <c r="H115" s="148">
        <f t="shared" ref="H115:I115" si="461">H29/H12</f>
        <v>4.7058823529411764E-2</v>
      </c>
      <c r="I115" s="148">
        <f t="shared" si="461"/>
        <v>6.1111111111111109E-2</v>
      </c>
      <c r="J115" s="148">
        <f t="shared" ref="J115:S115" si="462">J29/J12</f>
        <v>0.19642857142857142</v>
      </c>
      <c r="K115" s="148">
        <f t="shared" si="462"/>
        <v>0.22784810126582278</v>
      </c>
      <c r="L115" s="148">
        <f t="shared" si="462"/>
        <v>0.1388888888888889</v>
      </c>
      <c r="M115" s="148">
        <f t="shared" si="462"/>
        <v>0.16176470588235295</v>
      </c>
      <c r="N115" s="148">
        <f t="shared" si="462"/>
        <v>8.0882352941176475E-2</v>
      </c>
      <c r="O115" s="148">
        <f t="shared" si="462"/>
        <v>0.14903846153846154</v>
      </c>
      <c r="P115" s="148">
        <f t="shared" si="462"/>
        <v>0.12727272727272726</v>
      </c>
      <c r="Q115" s="148" t="e">
        <f t="shared" si="462"/>
        <v>#DIV/0!</v>
      </c>
      <c r="R115" s="148">
        <f t="shared" si="462"/>
        <v>0.11007751937984496</v>
      </c>
      <c r="S115" s="148">
        <f t="shared" si="462"/>
        <v>0.11124546553808948</v>
      </c>
      <c r="T115" s="148">
        <f t="shared" ref="T115:U115" si="463">T29/T12</f>
        <v>0.13965884861407249</v>
      </c>
      <c r="U115" s="148">
        <f t="shared" si="463"/>
        <v>0.13965884861407249</v>
      </c>
      <c r="V115" s="101">
        <f t="shared" si="253"/>
        <v>8.941950830414136E-2</v>
      </c>
      <c r="W115" s="10"/>
      <c r="X115" s="129">
        <f t="shared" ref="X115:AG115" si="464">X29/X12</f>
        <v>0.13965884861407249</v>
      </c>
      <c r="Y115" s="129">
        <f t="shared" si="464"/>
        <v>0.13965884861407252</v>
      </c>
      <c r="Z115" s="129">
        <f t="shared" si="464"/>
        <v>0.13965884861407252</v>
      </c>
      <c r="AA115" s="129">
        <f t="shared" si="464"/>
        <v>0.13965884861407254</v>
      </c>
      <c r="AB115" s="129">
        <f t="shared" si="464"/>
        <v>0.13965884861407252</v>
      </c>
      <c r="AC115" s="129">
        <f t="shared" si="464"/>
        <v>0.13965884861407254</v>
      </c>
      <c r="AD115" s="129">
        <f t="shared" si="464"/>
        <v>0.13965884861407252</v>
      </c>
      <c r="AE115" s="129">
        <f t="shared" si="464"/>
        <v>0.13965884861407249</v>
      </c>
      <c r="AF115" s="129">
        <f t="shared" si="464"/>
        <v>0.13965884861407252</v>
      </c>
      <c r="AG115" s="129">
        <f t="shared" si="464"/>
        <v>0.13965884861407249</v>
      </c>
      <c r="AH115" s="116">
        <f t="shared" si="414"/>
        <v>-1.4720843065620381E-2</v>
      </c>
      <c r="AI115" s="124"/>
      <c r="AJ115" s="124"/>
    </row>
    <row r="116" spans="1:36" ht="12" customHeight="1" x14ac:dyDescent="0.2">
      <c r="B116" s="10" t="s">
        <v>315</v>
      </c>
      <c r="C116" s="129"/>
      <c r="D116" s="129"/>
      <c r="E116" s="129"/>
      <c r="F116" s="148"/>
      <c r="G116" s="148" t="e">
        <f t="shared" ref="G116" si="465">G29/G23</f>
        <v>#DIV/0!</v>
      </c>
      <c r="H116" s="148" t="e">
        <f t="shared" ref="H116:I116" si="466">H29/H23</f>
        <v>#DIV/0!</v>
      </c>
      <c r="I116" s="148" t="e">
        <f t="shared" si="466"/>
        <v>#DIV/0!</v>
      </c>
      <c r="J116" s="148" t="e">
        <f>J29/J23</f>
        <v>#DIV/0!</v>
      </c>
      <c r="K116" s="148" t="e">
        <f t="shared" ref="K116:S116" si="467">K29/K23</f>
        <v>#DIV/0!</v>
      </c>
      <c r="L116" s="148" t="e">
        <f t="shared" si="467"/>
        <v>#DIV/0!</v>
      </c>
      <c r="M116" s="148" t="e">
        <f t="shared" si="467"/>
        <v>#DIV/0!</v>
      </c>
      <c r="N116" s="148" t="e">
        <f t="shared" si="467"/>
        <v>#DIV/0!</v>
      </c>
      <c r="O116" s="148" t="e">
        <f t="shared" si="467"/>
        <v>#DIV/0!</v>
      </c>
      <c r="P116" s="148" t="e">
        <f t="shared" si="467"/>
        <v>#DIV/0!</v>
      </c>
      <c r="Q116" s="148" t="e">
        <f t="shared" si="467"/>
        <v>#DIV/0!</v>
      </c>
      <c r="R116" s="148" t="e">
        <f t="shared" si="467"/>
        <v>#DIV/0!</v>
      </c>
      <c r="S116" s="148" t="e">
        <f t="shared" si="467"/>
        <v>#DIV/0!</v>
      </c>
      <c r="T116" s="148" t="e">
        <f t="shared" ref="T116:U116" si="468">T29/T23</f>
        <v>#DIV/0!</v>
      </c>
      <c r="U116" s="148" t="e">
        <f t="shared" si="468"/>
        <v>#DIV/0!</v>
      </c>
      <c r="V116" s="101" t="e">
        <f t="shared" si="253"/>
        <v>#DIV/0!</v>
      </c>
      <c r="W116" s="10"/>
      <c r="X116" s="148" t="e">
        <f t="shared" ref="X116:AG116" si="469">X29/X23</f>
        <v>#DIV/0!</v>
      </c>
      <c r="Y116" s="148" t="e">
        <f t="shared" si="469"/>
        <v>#DIV/0!</v>
      </c>
      <c r="Z116" s="148" t="e">
        <f t="shared" si="469"/>
        <v>#DIV/0!</v>
      </c>
      <c r="AA116" s="148" t="e">
        <f t="shared" si="469"/>
        <v>#DIV/0!</v>
      </c>
      <c r="AB116" s="148" t="e">
        <f t="shared" si="469"/>
        <v>#DIV/0!</v>
      </c>
      <c r="AC116" s="148" t="e">
        <f t="shared" si="469"/>
        <v>#DIV/0!</v>
      </c>
      <c r="AD116" s="148" t="e">
        <f t="shared" si="469"/>
        <v>#DIV/0!</v>
      </c>
      <c r="AE116" s="148" t="e">
        <f t="shared" si="469"/>
        <v>#DIV/0!</v>
      </c>
      <c r="AF116" s="148" t="e">
        <f t="shared" si="469"/>
        <v>#DIV/0!</v>
      </c>
      <c r="AG116" s="148" t="e">
        <f t="shared" si="469"/>
        <v>#DIV/0!</v>
      </c>
      <c r="AH116" s="116" t="e">
        <f t="shared" ref="AH116" si="470">((AG116/J116)^(1/($AG$3-$K$1) ))-1</f>
        <v>#DIV/0!</v>
      </c>
      <c r="AI116" s="124"/>
      <c r="AJ116" s="124"/>
    </row>
    <row r="117" spans="1:36" ht="12" customHeight="1" x14ac:dyDescent="0.2">
      <c r="B117" s="10"/>
      <c r="C117" s="129"/>
      <c r="D117" s="129"/>
      <c r="E117" s="129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10"/>
      <c r="W117" s="10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9"/>
      <c r="AI117" s="124"/>
      <c r="AJ117" s="124"/>
    </row>
    <row r="118" spans="1:36" ht="12" customHeight="1" x14ac:dyDescent="0.2">
      <c r="B118" s="10" t="s">
        <v>347</v>
      </c>
      <c r="C118" s="129"/>
      <c r="D118" s="129"/>
      <c r="E118" s="129"/>
      <c r="F118" s="109"/>
      <c r="G118" s="109">
        <f t="shared" ref="G118" si="471">1/G112</f>
        <v>34.5</v>
      </c>
      <c r="H118" s="109">
        <f t="shared" ref="H118:I118" si="472">1/H112</f>
        <v>34.5</v>
      </c>
      <c r="I118" s="109">
        <f t="shared" si="472"/>
        <v>20.363636363636363</v>
      </c>
      <c r="J118" s="109">
        <f>1/J112</f>
        <v>9.0303030303030294</v>
      </c>
      <c r="K118" s="109">
        <f t="shared" ref="K118:S118" si="473">1/K112</f>
        <v>9.4166666666666661</v>
      </c>
      <c r="L118" s="109">
        <f t="shared" si="473"/>
        <v>14.5</v>
      </c>
      <c r="M118" s="109">
        <f t="shared" si="473"/>
        <v>15.772727272727272</v>
      </c>
      <c r="N118" s="109">
        <f t="shared" si="473"/>
        <v>15.772727272727272</v>
      </c>
      <c r="O118" s="109">
        <f t="shared" si="473"/>
        <v>13.225806451612904</v>
      </c>
      <c r="P118" s="109">
        <f t="shared" si="473"/>
        <v>31.071428571428573</v>
      </c>
      <c r="Q118" s="109" t="e">
        <f t="shared" si="473"/>
        <v>#DIV/0!</v>
      </c>
      <c r="R118" s="109">
        <f t="shared" si="473"/>
        <v>46.281690140845072</v>
      </c>
      <c r="S118" s="109">
        <f t="shared" si="473"/>
        <v>65.934782608695656</v>
      </c>
      <c r="T118" s="109">
        <f t="shared" ref="T118:U118" si="474">1/T112</f>
        <v>66.282442748091597</v>
      </c>
      <c r="U118" s="109">
        <f t="shared" si="474"/>
        <v>66.282442748091597</v>
      </c>
      <c r="V118" s="101">
        <f t="shared" si="253"/>
        <v>4.7745181356410704E-2</v>
      </c>
      <c r="W118" s="10"/>
      <c r="X118" s="109">
        <f t="shared" ref="X118:AG118" si="475">1/X112</f>
        <v>66.282442748091597</v>
      </c>
      <c r="Y118" s="109">
        <f t="shared" si="475"/>
        <v>66.282442748091597</v>
      </c>
      <c r="Z118" s="109">
        <f t="shared" si="475"/>
        <v>66.282442748091597</v>
      </c>
      <c r="AA118" s="109">
        <f t="shared" si="475"/>
        <v>66.282442748091597</v>
      </c>
      <c r="AB118" s="109">
        <f t="shared" si="475"/>
        <v>66.282442748091597</v>
      </c>
      <c r="AC118" s="109">
        <f t="shared" si="475"/>
        <v>66.282442748091597</v>
      </c>
      <c r="AD118" s="109">
        <f t="shared" si="475"/>
        <v>66.282442748091597</v>
      </c>
      <c r="AE118" s="109">
        <f t="shared" si="475"/>
        <v>66.282442748091597</v>
      </c>
      <c r="AF118" s="109">
        <f t="shared" si="475"/>
        <v>66.282442748091611</v>
      </c>
      <c r="AG118" s="109">
        <f t="shared" si="475"/>
        <v>66.282442748091611</v>
      </c>
      <c r="AH118" s="116">
        <f t="shared" si="414"/>
        <v>9.0533382548506625E-2</v>
      </c>
      <c r="AI118" s="124"/>
      <c r="AJ118" s="124"/>
    </row>
    <row r="119" spans="1:36" ht="12" customHeight="1" x14ac:dyDescent="0.2">
      <c r="B119" s="10" t="s">
        <v>348</v>
      </c>
      <c r="C119" s="129"/>
      <c r="D119" s="129"/>
      <c r="E119" s="129"/>
      <c r="F119" s="109"/>
      <c r="G119" s="109">
        <f t="shared" ref="G119" si="476">1/G113</f>
        <v>11.25</v>
      </c>
      <c r="H119" s="109">
        <f t="shared" ref="H119:I119" si="477">1/H113</f>
        <v>10.75</v>
      </c>
      <c r="I119" s="109">
        <f t="shared" si="477"/>
        <v>5.454545454545455</v>
      </c>
      <c r="J119" s="109">
        <f t="shared" ref="J119:S122" si="478">1/J113</f>
        <v>2.6666666666666665</v>
      </c>
      <c r="K119" s="109">
        <f t="shared" si="478"/>
        <v>2.5833333333333335</v>
      </c>
      <c r="L119" s="109">
        <f t="shared" si="478"/>
        <v>3.2</v>
      </c>
      <c r="M119" s="109">
        <f t="shared" si="478"/>
        <v>3.6363636363636362</v>
      </c>
      <c r="N119" s="109">
        <f t="shared" si="478"/>
        <v>4.8181818181818183</v>
      </c>
      <c r="O119" s="109">
        <f t="shared" si="478"/>
        <v>3.6129032258064515</v>
      </c>
      <c r="P119" s="109">
        <f t="shared" si="478"/>
        <v>3.6190476190476186</v>
      </c>
      <c r="Q119" s="109" t="e">
        <f t="shared" si="478"/>
        <v>#DIV/0!</v>
      </c>
      <c r="R119" s="109">
        <f t="shared" si="478"/>
        <v>3.3943661971830985</v>
      </c>
      <c r="S119" s="109">
        <f t="shared" si="478"/>
        <v>2</v>
      </c>
      <c r="T119" s="109">
        <f t="shared" ref="T119:U119" si="479">1/T113</f>
        <v>2.3816793893129771</v>
      </c>
      <c r="U119" s="109">
        <f t="shared" si="479"/>
        <v>2.3816793893129771</v>
      </c>
      <c r="V119" s="101">
        <f t="shared" si="253"/>
        <v>-0.10496934023596327</v>
      </c>
      <c r="W119" s="10"/>
      <c r="X119" s="109">
        <f t="shared" ref="X119:AG119" si="480">1/X113</f>
        <v>2.3816793893129771</v>
      </c>
      <c r="Y119" s="109">
        <f t="shared" si="480"/>
        <v>2.3816793893129766</v>
      </c>
      <c r="Z119" s="109">
        <f t="shared" si="480"/>
        <v>2.3816793893129766</v>
      </c>
      <c r="AA119" s="109">
        <f t="shared" si="480"/>
        <v>2.3816793893129771</v>
      </c>
      <c r="AB119" s="109">
        <f t="shared" si="480"/>
        <v>2.3816793893129766</v>
      </c>
      <c r="AC119" s="109">
        <f t="shared" si="480"/>
        <v>2.3816793893129771</v>
      </c>
      <c r="AD119" s="109">
        <f t="shared" si="480"/>
        <v>2.3816793893129771</v>
      </c>
      <c r="AE119" s="109">
        <f t="shared" si="480"/>
        <v>2.3816793893129771</v>
      </c>
      <c r="AF119" s="109">
        <f t="shared" si="480"/>
        <v>2.3816793893129771</v>
      </c>
      <c r="AG119" s="109">
        <f t="shared" si="480"/>
        <v>2.3816793893129771</v>
      </c>
      <c r="AH119" s="116">
        <f t="shared" si="414"/>
        <v>-4.9020061239009038E-3</v>
      </c>
      <c r="AI119" s="124"/>
      <c r="AJ119" s="124"/>
    </row>
    <row r="120" spans="1:36" ht="12" customHeight="1" x14ac:dyDescent="0.2">
      <c r="B120" s="10" t="s">
        <v>349</v>
      </c>
      <c r="C120" s="129"/>
      <c r="D120" s="129"/>
      <c r="E120" s="129"/>
      <c r="F120" s="109"/>
      <c r="G120" s="109">
        <f t="shared" ref="G120" si="481">1/G114</f>
        <v>7</v>
      </c>
      <c r="H120" s="109">
        <f t="shared" ref="H120:I120" si="482">1/H114</f>
        <v>7</v>
      </c>
      <c r="I120" s="109">
        <f t="shared" si="482"/>
        <v>3.3636363636363633</v>
      </c>
      <c r="J120" s="109">
        <f t="shared" si="478"/>
        <v>1.5757575757575759</v>
      </c>
      <c r="K120" s="109">
        <f t="shared" si="478"/>
        <v>1.0277777777777777</v>
      </c>
      <c r="L120" s="109">
        <f t="shared" si="478"/>
        <v>1.25</v>
      </c>
      <c r="M120" s="109">
        <f t="shared" si="478"/>
        <v>2.1363636363636362</v>
      </c>
      <c r="N120" s="109">
        <f t="shared" si="478"/>
        <v>2.5454545454545454</v>
      </c>
      <c r="O120" s="109">
        <f t="shared" si="478"/>
        <v>1.6129032258064517</v>
      </c>
      <c r="P120" s="109">
        <f t="shared" si="478"/>
        <v>1.6190476190476191</v>
      </c>
      <c r="Q120" s="109" t="e">
        <f t="shared" si="478"/>
        <v>#DIV/0!</v>
      </c>
      <c r="R120" s="109">
        <f t="shared" si="478"/>
        <v>1.5774647887323945</v>
      </c>
      <c r="S120" s="109">
        <f t="shared" si="478"/>
        <v>-0.63043478260869568</v>
      </c>
      <c r="T120" s="109">
        <f t="shared" ref="T120:U120" si="483">1/T114</f>
        <v>0.58778625954198471</v>
      </c>
      <c r="U120" s="109">
        <f t="shared" si="483"/>
        <v>0.58778625954198471</v>
      </c>
      <c r="V120" s="101">
        <f t="shared" si="253"/>
        <v>-0.16217844814566396</v>
      </c>
      <c r="W120" s="10"/>
      <c r="X120" s="109">
        <f t="shared" ref="X120:AG120" si="484">1/X114</f>
        <v>0.58778625954198482</v>
      </c>
      <c r="Y120" s="109">
        <f t="shared" si="484"/>
        <v>0.58778625954198471</v>
      </c>
      <c r="Z120" s="109">
        <f t="shared" si="484"/>
        <v>0.58778625954198471</v>
      </c>
      <c r="AA120" s="109">
        <f t="shared" si="484"/>
        <v>0.5877862595419846</v>
      </c>
      <c r="AB120" s="109">
        <f t="shared" si="484"/>
        <v>0.5877862595419846</v>
      </c>
      <c r="AC120" s="109">
        <f t="shared" si="484"/>
        <v>0.5877862595419846</v>
      </c>
      <c r="AD120" s="109">
        <f t="shared" si="484"/>
        <v>0.58778625954198471</v>
      </c>
      <c r="AE120" s="109">
        <f t="shared" si="484"/>
        <v>0.58778625954198482</v>
      </c>
      <c r="AF120" s="109">
        <f t="shared" si="484"/>
        <v>0.58778625954198482</v>
      </c>
      <c r="AG120" s="109">
        <f t="shared" si="484"/>
        <v>0.58778625954198482</v>
      </c>
      <c r="AH120" s="116">
        <f t="shared" si="414"/>
        <v>-4.1968990920956739E-2</v>
      </c>
      <c r="AI120" s="124"/>
      <c r="AJ120" s="124"/>
    </row>
    <row r="121" spans="1:36" ht="12" customHeight="1" x14ac:dyDescent="0.2">
      <c r="B121" s="10" t="s">
        <v>350</v>
      </c>
      <c r="C121" s="129"/>
      <c r="D121" s="129"/>
      <c r="E121" s="129"/>
      <c r="F121" s="109"/>
      <c r="G121" s="109">
        <f t="shared" ref="G121" si="485">1/G115</f>
        <v>23.75</v>
      </c>
      <c r="H121" s="109">
        <f t="shared" ref="H121:I121" si="486">1/H115</f>
        <v>21.25</v>
      </c>
      <c r="I121" s="109">
        <f t="shared" si="486"/>
        <v>16.363636363636363</v>
      </c>
      <c r="J121" s="109">
        <f t="shared" si="478"/>
        <v>5.0909090909090908</v>
      </c>
      <c r="K121" s="109">
        <f t="shared" si="478"/>
        <v>4.3888888888888893</v>
      </c>
      <c r="L121" s="109">
        <f t="shared" si="478"/>
        <v>7.1999999999999993</v>
      </c>
      <c r="M121" s="109">
        <f t="shared" si="478"/>
        <v>6.1818181818181817</v>
      </c>
      <c r="N121" s="109">
        <f t="shared" si="478"/>
        <v>12.363636363636363</v>
      </c>
      <c r="O121" s="109">
        <f t="shared" si="478"/>
        <v>6.709677419354839</v>
      </c>
      <c r="P121" s="109">
        <f t="shared" si="478"/>
        <v>7.8571428571428577</v>
      </c>
      <c r="Q121" s="109" t="e">
        <f t="shared" si="478"/>
        <v>#DIV/0!</v>
      </c>
      <c r="R121" s="109">
        <f t="shared" si="478"/>
        <v>9.0845070422535219</v>
      </c>
      <c r="S121" s="109">
        <f t="shared" si="478"/>
        <v>8.9891304347826093</v>
      </c>
      <c r="T121" s="109">
        <f t="shared" ref="T121:U121" si="487">1/T115</f>
        <v>7.1603053435114505</v>
      </c>
      <c r="U121" s="109">
        <f t="shared" si="487"/>
        <v>7.1603053435114505</v>
      </c>
      <c r="V121" s="101">
        <f t="shared" si="253"/>
        <v>-8.2079958751002602E-2</v>
      </c>
      <c r="W121" s="10"/>
      <c r="X121" s="109">
        <f t="shared" ref="X121:AG121" si="488">1/X115</f>
        <v>7.1603053435114505</v>
      </c>
      <c r="Y121" s="109">
        <f t="shared" si="488"/>
        <v>7.1603053435114496</v>
      </c>
      <c r="Z121" s="109">
        <f t="shared" si="488"/>
        <v>7.1603053435114496</v>
      </c>
      <c r="AA121" s="109">
        <f t="shared" si="488"/>
        <v>7.1603053435114479</v>
      </c>
      <c r="AB121" s="109">
        <f t="shared" si="488"/>
        <v>7.1603053435114496</v>
      </c>
      <c r="AC121" s="109">
        <f t="shared" si="488"/>
        <v>7.1603053435114479</v>
      </c>
      <c r="AD121" s="109">
        <f t="shared" si="488"/>
        <v>7.1603053435114496</v>
      </c>
      <c r="AE121" s="109">
        <f t="shared" si="488"/>
        <v>7.1603053435114505</v>
      </c>
      <c r="AF121" s="109">
        <f t="shared" si="488"/>
        <v>7.1603053435114496</v>
      </c>
      <c r="AG121" s="109">
        <f t="shared" si="488"/>
        <v>7.1603053435114505</v>
      </c>
      <c r="AH121" s="116">
        <f t="shared" si="414"/>
        <v>1.4940784002194007E-2</v>
      </c>
      <c r="AI121" s="124"/>
      <c r="AJ121" s="124"/>
    </row>
    <row r="122" spans="1:36" ht="12" customHeight="1" x14ac:dyDescent="0.2">
      <c r="B122" s="10" t="s">
        <v>351</v>
      </c>
      <c r="C122" s="129"/>
      <c r="D122" s="129"/>
      <c r="E122" s="129"/>
      <c r="F122" s="109"/>
      <c r="G122" s="109" t="e">
        <f t="shared" ref="G122" si="489">1/G116</f>
        <v>#DIV/0!</v>
      </c>
      <c r="H122" s="109" t="e">
        <f t="shared" ref="H122:I122" si="490">1/H116</f>
        <v>#DIV/0!</v>
      </c>
      <c r="I122" s="109" t="e">
        <f t="shared" si="490"/>
        <v>#DIV/0!</v>
      </c>
      <c r="J122" s="109" t="e">
        <f t="shared" si="478"/>
        <v>#DIV/0!</v>
      </c>
      <c r="K122" s="109" t="e">
        <f t="shared" si="478"/>
        <v>#DIV/0!</v>
      </c>
      <c r="L122" s="109" t="e">
        <f t="shared" si="478"/>
        <v>#DIV/0!</v>
      </c>
      <c r="M122" s="109" t="e">
        <f t="shared" si="478"/>
        <v>#DIV/0!</v>
      </c>
      <c r="N122" s="109" t="e">
        <f t="shared" si="478"/>
        <v>#DIV/0!</v>
      </c>
      <c r="O122" s="109" t="e">
        <f t="shared" si="478"/>
        <v>#DIV/0!</v>
      </c>
      <c r="P122" s="109" t="e">
        <f t="shared" si="478"/>
        <v>#DIV/0!</v>
      </c>
      <c r="Q122" s="109" t="e">
        <f t="shared" si="478"/>
        <v>#DIV/0!</v>
      </c>
      <c r="R122" s="109" t="e">
        <f t="shared" si="478"/>
        <v>#DIV/0!</v>
      </c>
      <c r="S122" s="109" t="e">
        <f t="shared" si="478"/>
        <v>#DIV/0!</v>
      </c>
      <c r="T122" s="109" t="e">
        <f t="shared" ref="T122:U122" si="491">1/T116</f>
        <v>#DIV/0!</v>
      </c>
      <c r="U122" s="109" t="e">
        <f t="shared" si="491"/>
        <v>#DIV/0!</v>
      </c>
      <c r="V122" s="101" t="e">
        <f t="shared" si="253"/>
        <v>#DIV/0!</v>
      </c>
      <c r="W122" s="10"/>
      <c r="X122" s="109" t="e">
        <f t="shared" ref="X122:AG122" si="492">1/X116</f>
        <v>#DIV/0!</v>
      </c>
      <c r="Y122" s="109" t="e">
        <f t="shared" si="492"/>
        <v>#DIV/0!</v>
      </c>
      <c r="Z122" s="109" t="e">
        <f t="shared" si="492"/>
        <v>#DIV/0!</v>
      </c>
      <c r="AA122" s="109" t="e">
        <f t="shared" si="492"/>
        <v>#DIV/0!</v>
      </c>
      <c r="AB122" s="109" t="e">
        <f t="shared" si="492"/>
        <v>#DIV/0!</v>
      </c>
      <c r="AC122" s="109" t="e">
        <f t="shared" si="492"/>
        <v>#DIV/0!</v>
      </c>
      <c r="AD122" s="109" t="e">
        <f t="shared" si="492"/>
        <v>#DIV/0!</v>
      </c>
      <c r="AE122" s="109" t="e">
        <f t="shared" si="492"/>
        <v>#DIV/0!</v>
      </c>
      <c r="AF122" s="109" t="e">
        <f t="shared" si="492"/>
        <v>#DIV/0!</v>
      </c>
      <c r="AG122" s="109" t="e">
        <f t="shared" si="492"/>
        <v>#DIV/0!</v>
      </c>
      <c r="AH122" s="116" t="e">
        <f t="shared" si="414"/>
        <v>#DIV/0!</v>
      </c>
      <c r="AI122" s="124"/>
      <c r="AJ122" s="124"/>
    </row>
    <row r="123" spans="1:36" ht="12" customHeight="1" x14ac:dyDescent="0.2">
      <c r="B123" s="10"/>
      <c r="C123" s="129"/>
      <c r="D123" s="129"/>
      <c r="E123" s="129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10"/>
      <c r="W123" s="10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4"/>
      <c r="AJ123" s="124"/>
    </row>
    <row r="124" spans="1:36" ht="12" customHeight="1" x14ac:dyDescent="0.2">
      <c r="A124" s="303" t="s">
        <v>423</v>
      </c>
      <c r="B124" s="179" t="s">
        <v>430</v>
      </c>
      <c r="C124" s="129"/>
      <c r="D124" s="129"/>
      <c r="E124" s="129"/>
      <c r="F124" s="148"/>
      <c r="G124" s="148" t="e">
        <f t="shared" ref="G124" si="493">G25/(G36+G38)</f>
        <v>#DIV/0!</v>
      </c>
      <c r="H124" s="148" t="e">
        <f t="shared" ref="H124:I124" si="494">H25/(H36+H38)</f>
        <v>#DIV/0!</v>
      </c>
      <c r="I124" s="148" t="e">
        <f t="shared" si="494"/>
        <v>#DIV/0!</v>
      </c>
      <c r="J124" s="148" t="e">
        <f t="shared" ref="J124:T124" si="495">J25/(J36+J38)</f>
        <v>#DIV/0!</v>
      </c>
      <c r="K124" s="148" t="e">
        <f t="shared" si="495"/>
        <v>#DIV/0!</v>
      </c>
      <c r="L124" s="148" t="e">
        <f t="shared" si="495"/>
        <v>#DIV/0!</v>
      </c>
      <c r="M124" s="148" t="e">
        <f t="shared" si="495"/>
        <v>#DIV/0!</v>
      </c>
      <c r="N124" s="148" t="e">
        <f t="shared" si="495"/>
        <v>#DIV/0!</v>
      </c>
      <c r="O124" s="148" t="e">
        <f t="shared" si="495"/>
        <v>#DIV/0!</v>
      </c>
      <c r="P124" s="148" t="e">
        <f t="shared" si="495"/>
        <v>#DIV/0!</v>
      </c>
      <c r="Q124" s="148" t="e">
        <f t="shared" si="495"/>
        <v>#DIV/0!</v>
      </c>
      <c r="R124" s="148" t="e">
        <f t="shared" si="495"/>
        <v>#DIV/0!</v>
      </c>
      <c r="S124" s="148" t="e">
        <f t="shared" si="495"/>
        <v>#DIV/0!</v>
      </c>
      <c r="T124" s="148" t="e">
        <f t="shared" si="495"/>
        <v>#DIV/0!</v>
      </c>
      <c r="U124" s="148">
        <f t="shared" ref="U124" si="496">U25/(U36+U38)</f>
        <v>8683</v>
      </c>
      <c r="V124" s="101" t="e">
        <f t="shared" si="253"/>
        <v>#DIV/0!</v>
      </c>
      <c r="W124" s="10"/>
      <c r="X124" s="148" t="e">
        <f t="shared" ref="X124:AG124" si="497">X25/(X36+X38)</f>
        <v>#DIV/0!</v>
      </c>
      <c r="Y124" s="148" t="e">
        <f t="shared" si="497"/>
        <v>#DIV/0!</v>
      </c>
      <c r="Z124" s="148" t="e">
        <f t="shared" si="497"/>
        <v>#DIV/0!</v>
      </c>
      <c r="AA124" s="148" t="e">
        <f t="shared" si="497"/>
        <v>#DIV/0!</v>
      </c>
      <c r="AB124" s="148" t="e">
        <f t="shared" si="497"/>
        <v>#DIV/0!</v>
      </c>
      <c r="AC124" s="148" t="e">
        <f t="shared" si="497"/>
        <v>#DIV/0!</v>
      </c>
      <c r="AD124" s="148" t="e">
        <f t="shared" si="497"/>
        <v>#DIV/0!</v>
      </c>
      <c r="AE124" s="148" t="e">
        <f t="shared" si="497"/>
        <v>#DIV/0!</v>
      </c>
      <c r="AF124" s="148" t="e">
        <f t="shared" si="497"/>
        <v>#DIV/0!</v>
      </c>
      <c r="AG124" s="148" t="e">
        <f t="shared" si="497"/>
        <v>#DIV/0!</v>
      </c>
      <c r="AH124" s="116" t="e">
        <f t="shared" ref="AH124:AH132" si="498">((AG124/J124)^(1/($AG$3-$K$1) ))-1</f>
        <v>#DIV/0!</v>
      </c>
      <c r="AI124" s="124"/>
      <c r="AJ124" s="124"/>
    </row>
    <row r="125" spans="1:36" ht="12" customHeight="1" x14ac:dyDescent="0.2">
      <c r="A125" s="303"/>
      <c r="B125" s="179" t="s">
        <v>425</v>
      </c>
      <c r="C125" s="129"/>
      <c r="D125" s="129"/>
      <c r="E125" s="129"/>
      <c r="F125" s="148"/>
      <c r="G125" s="148" t="e">
        <f t="shared" ref="G125" si="499">G25/G43</f>
        <v>#DIV/0!</v>
      </c>
      <c r="H125" s="148" t="e">
        <f t="shared" ref="H125:I125" si="500">H25/H43</f>
        <v>#DIV/0!</v>
      </c>
      <c r="I125" s="148" t="e">
        <f t="shared" si="500"/>
        <v>#DIV/0!</v>
      </c>
      <c r="J125" s="148" t="e">
        <f t="shared" ref="J125:T125" si="501">J25/J43</f>
        <v>#DIV/0!</v>
      </c>
      <c r="K125" s="148" t="e">
        <f t="shared" si="501"/>
        <v>#DIV/0!</v>
      </c>
      <c r="L125" s="148" t="e">
        <f t="shared" si="501"/>
        <v>#DIV/0!</v>
      </c>
      <c r="M125" s="148" t="e">
        <f t="shared" si="501"/>
        <v>#DIV/0!</v>
      </c>
      <c r="N125" s="148" t="e">
        <f t="shared" si="501"/>
        <v>#DIV/0!</v>
      </c>
      <c r="O125" s="148" t="e">
        <f t="shared" si="501"/>
        <v>#DIV/0!</v>
      </c>
      <c r="P125" s="148" t="e">
        <f t="shared" si="501"/>
        <v>#DIV/0!</v>
      </c>
      <c r="Q125" s="148" t="e">
        <f t="shared" si="501"/>
        <v>#DIV/0!</v>
      </c>
      <c r="R125" s="148" t="e">
        <f t="shared" si="501"/>
        <v>#DIV/0!</v>
      </c>
      <c r="S125" s="148" t="e">
        <f t="shared" si="501"/>
        <v>#DIV/0!</v>
      </c>
      <c r="T125" s="148" t="e">
        <f t="shared" si="501"/>
        <v>#DIV/0!</v>
      </c>
      <c r="U125" s="148" t="e">
        <f t="shared" ref="U125" si="502">U25/U43</f>
        <v>#DIV/0!</v>
      </c>
      <c r="V125" s="101" t="e">
        <f t="shared" si="253"/>
        <v>#DIV/0!</v>
      </c>
      <c r="W125" s="10"/>
      <c r="X125" s="148" t="e">
        <f t="shared" ref="X125:AG125" si="503">X25/X43</f>
        <v>#DIV/0!</v>
      </c>
      <c r="Y125" s="148" t="e">
        <f t="shared" si="503"/>
        <v>#DIV/0!</v>
      </c>
      <c r="Z125" s="148" t="e">
        <f t="shared" si="503"/>
        <v>#DIV/0!</v>
      </c>
      <c r="AA125" s="148" t="e">
        <f t="shared" si="503"/>
        <v>#DIV/0!</v>
      </c>
      <c r="AB125" s="148" t="e">
        <f t="shared" si="503"/>
        <v>#DIV/0!</v>
      </c>
      <c r="AC125" s="148" t="e">
        <f t="shared" si="503"/>
        <v>#DIV/0!</v>
      </c>
      <c r="AD125" s="148" t="e">
        <f t="shared" si="503"/>
        <v>#DIV/0!</v>
      </c>
      <c r="AE125" s="148" t="e">
        <f t="shared" si="503"/>
        <v>#DIV/0!</v>
      </c>
      <c r="AF125" s="148" t="e">
        <f t="shared" si="503"/>
        <v>#DIV/0!</v>
      </c>
      <c r="AG125" s="148" t="e">
        <f t="shared" si="503"/>
        <v>#DIV/0!</v>
      </c>
      <c r="AH125" s="116" t="e">
        <f t="shared" si="498"/>
        <v>#DIV/0!</v>
      </c>
      <c r="AI125" s="124"/>
      <c r="AJ125" s="124"/>
    </row>
    <row r="126" spans="1:36" ht="12" customHeight="1" x14ac:dyDescent="0.2">
      <c r="A126" s="303"/>
      <c r="B126" s="179" t="s">
        <v>431</v>
      </c>
      <c r="C126" s="129"/>
      <c r="D126" s="129"/>
      <c r="E126" s="129"/>
      <c r="F126" s="148"/>
      <c r="G126" s="148" t="e">
        <f t="shared" ref="G126" si="504">G43/(G36)</f>
        <v>#DIV/0!</v>
      </c>
      <c r="H126" s="148" t="e">
        <f t="shared" ref="H126:I126" si="505">H43/(H36)</f>
        <v>#DIV/0!</v>
      </c>
      <c r="I126" s="148" t="e">
        <f t="shared" si="505"/>
        <v>#DIV/0!</v>
      </c>
      <c r="J126" s="148" t="e">
        <f t="shared" ref="J126:T126" si="506">J43/(J36)</f>
        <v>#DIV/0!</v>
      </c>
      <c r="K126" s="148" t="e">
        <f t="shared" si="506"/>
        <v>#DIV/0!</v>
      </c>
      <c r="L126" s="148" t="e">
        <f t="shared" si="506"/>
        <v>#DIV/0!</v>
      </c>
      <c r="M126" s="148" t="e">
        <f t="shared" si="506"/>
        <v>#DIV/0!</v>
      </c>
      <c r="N126" s="148" t="e">
        <f t="shared" si="506"/>
        <v>#DIV/0!</v>
      </c>
      <c r="O126" s="148" t="e">
        <f t="shared" si="506"/>
        <v>#DIV/0!</v>
      </c>
      <c r="P126" s="148" t="e">
        <f t="shared" si="506"/>
        <v>#DIV/0!</v>
      </c>
      <c r="Q126" s="148" t="e">
        <f t="shared" si="506"/>
        <v>#DIV/0!</v>
      </c>
      <c r="R126" s="148" t="e">
        <f t="shared" si="506"/>
        <v>#DIV/0!</v>
      </c>
      <c r="S126" s="148" t="e">
        <f t="shared" si="506"/>
        <v>#DIV/0!</v>
      </c>
      <c r="T126" s="148" t="e">
        <f t="shared" si="506"/>
        <v>#DIV/0!</v>
      </c>
      <c r="U126" s="148" t="e">
        <f t="shared" ref="U126" si="507">U43/(U36)</f>
        <v>#DIV/0!</v>
      </c>
      <c r="V126" s="101" t="e">
        <f t="shared" si="253"/>
        <v>#DIV/0!</v>
      </c>
      <c r="W126" s="10"/>
      <c r="X126" s="148" t="e">
        <f t="shared" ref="X126:AG126" si="508">X43/(X36+X38)</f>
        <v>#DIV/0!</v>
      </c>
      <c r="Y126" s="148" t="e">
        <f t="shared" si="508"/>
        <v>#DIV/0!</v>
      </c>
      <c r="Z126" s="148" t="e">
        <f t="shared" si="508"/>
        <v>#DIV/0!</v>
      </c>
      <c r="AA126" s="148" t="e">
        <f t="shared" si="508"/>
        <v>#DIV/0!</v>
      </c>
      <c r="AB126" s="148" t="e">
        <f t="shared" si="508"/>
        <v>#DIV/0!</v>
      </c>
      <c r="AC126" s="148" t="e">
        <f t="shared" si="508"/>
        <v>#DIV/0!</v>
      </c>
      <c r="AD126" s="148" t="e">
        <f t="shared" si="508"/>
        <v>#DIV/0!</v>
      </c>
      <c r="AE126" s="148" t="e">
        <f t="shared" si="508"/>
        <v>#DIV/0!</v>
      </c>
      <c r="AF126" s="148" t="e">
        <f t="shared" si="508"/>
        <v>#DIV/0!</v>
      </c>
      <c r="AG126" s="148" t="e">
        <f t="shared" si="508"/>
        <v>#DIV/0!</v>
      </c>
      <c r="AH126" s="116" t="e">
        <f t="shared" si="498"/>
        <v>#DIV/0!</v>
      </c>
      <c r="AI126" s="124"/>
      <c r="AJ126" s="124"/>
    </row>
    <row r="127" spans="1:36" ht="12" customHeight="1" x14ac:dyDescent="0.2">
      <c r="A127" s="303"/>
      <c r="B127" s="179" t="s">
        <v>429</v>
      </c>
      <c r="C127" s="129"/>
      <c r="D127" s="129"/>
      <c r="E127" s="129"/>
      <c r="F127" s="148"/>
      <c r="G127" s="148" t="e">
        <f t="shared" ref="G127" si="509">G43/G38</f>
        <v>#DIV/0!</v>
      </c>
      <c r="H127" s="148" t="e">
        <f t="shared" ref="H127:I127" si="510">H43/H38</f>
        <v>#DIV/0!</v>
      </c>
      <c r="I127" s="148" t="e">
        <f t="shared" si="510"/>
        <v>#DIV/0!</v>
      </c>
      <c r="J127" s="148" t="e">
        <f t="shared" ref="J127:T127" si="511">J43/J38</f>
        <v>#DIV/0!</v>
      </c>
      <c r="K127" s="148" t="e">
        <f t="shared" si="511"/>
        <v>#DIV/0!</v>
      </c>
      <c r="L127" s="148" t="e">
        <f t="shared" si="511"/>
        <v>#DIV/0!</v>
      </c>
      <c r="M127" s="148" t="e">
        <f t="shared" si="511"/>
        <v>#DIV/0!</v>
      </c>
      <c r="N127" s="148" t="e">
        <f t="shared" si="511"/>
        <v>#DIV/0!</v>
      </c>
      <c r="O127" s="148" t="e">
        <f t="shared" si="511"/>
        <v>#DIV/0!</v>
      </c>
      <c r="P127" s="148" t="e">
        <f t="shared" si="511"/>
        <v>#DIV/0!</v>
      </c>
      <c r="Q127" s="148" t="e">
        <f t="shared" si="511"/>
        <v>#DIV/0!</v>
      </c>
      <c r="R127" s="148" t="e">
        <f t="shared" si="511"/>
        <v>#DIV/0!</v>
      </c>
      <c r="S127" s="148" t="e">
        <f t="shared" si="511"/>
        <v>#DIV/0!</v>
      </c>
      <c r="T127" s="148" t="e">
        <f t="shared" si="511"/>
        <v>#DIV/0!</v>
      </c>
      <c r="U127" s="148">
        <f t="shared" ref="U127" si="512">U43/U38</f>
        <v>0</v>
      </c>
      <c r="V127" s="101" t="e">
        <f t="shared" si="253"/>
        <v>#DIV/0!</v>
      </c>
      <c r="W127" s="10"/>
      <c r="X127" s="148" t="e">
        <f t="shared" ref="X127:AG127" si="513">X43/X38</f>
        <v>#DIV/0!</v>
      </c>
      <c r="Y127" s="148" t="e">
        <f t="shared" si="513"/>
        <v>#DIV/0!</v>
      </c>
      <c r="Z127" s="148" t="e">
        <f t="shared" si="513"/>
        <v>#DIV/0!</v>
      </c>
      <c r="AA127" s="148" t="e">
        <f t="shared" si="513"/>
        <v>#DIV/0!</v>
      </c>
      <c r="AB127" s="148" t="e">
        <f t="shared" si="513"/>
        <v>#DIV/0!</v>
      </c>
      <c r="AC127" s="148" t="e">
        <f t="shared" si="513"/>
        <v>#DIV/0!</v>
      </c>
      <c r="AD127" s="148" t="e">
        <f t="shared" si="513"/>
        <v>#DIV/0!</v>
      </c>
      <c r="AE127" s="148" t="e">
        <f t="shared" si="513"/>
        <v>#DIV/0!</v>
      </c>
      <c r="AF127" s="148" t="e">
        <f t="shared" si="513"/>
        <v>#DIV/0!</v>
      </c>
      <c r="AG127" s="148" t="e">
        <f t="shared" si="513"/>
        <v>#DIV/0!</v>
      </c>
      <c r="AH127" s="116" t="e">
        <f t="shared" si="498"/>
        <v>#DIV/0!</v>
      </c>
      <c r="AI127" s="124"/>
      <c r="AJ127" s="124"/>
    </row>
    <row r="128" spans="1:36" ht="12" customHeight="1" x14ac:dyDescent="0.2">
      <c r="A128" s="303"/>
      <c r="B128" s="179" t="s">
        <v>428</v>
      </c>
      <c r="C128" s="129"/>
      <c r="D128" s="129"/>
      <c r="E128" s="129"/>
      <c r="F128" s="148"/>
      <c r="G128" s="148" t="e">
        <f t="shared" ref="G128" si="514">G43/(G36+G38)</f>
        <v>#DIV/0!</v>
      </c>
      <c r="H128" s="148" t="e">
        <f t="shared" ref="H128:I128" si="515">H43/(H36+H38)</f>
        <v>#DIV/0!</v>
      </c>
      <c r="I128" s="148" t="e">
        <f t="shared" si="515"/>
        <v>#DIV/0!</v>
      </c>
      <c r="J128" s="148" t="e">
        <f t="shared" ref="J128:T128" si="516">J43/(J36+J38)</f>
        <v>#DIV/0!</v>
      </c>
      <c r="K128" s="148" t="e">
        <f t="shared" si="516"/>
        <v>#DIV/0!</v>
      </c>
      <c r="L128" s="148" t="e">
        <f t="shared" si="516"/>
        <v>#DIV/0!</v>
      </c>
      <c r="M128" s="148" t="e">
        <f t="shared" si="516"/>
        <v>#DIV/0!</v>
      </c>
      <c r="N128" s="148" t="e">
        <f t="shared" si="516"/>
        <v>#DIV/0!</v>
      </c>
      <c r="O128" s="148" t="e">
        <f t="shared" si="516"/>
        <v>#DIV/0!</v>
      </c>
      <c r="P128" s="148" t="e">
        <f t="shared" si="516"/>
        <v>#DIV/0!</v>
      </c>
      <c r="Q128" s="148" t="e">
        <f t="shared" si="516"/>
        <v>#DIV/0!</v>
      </c>
      <c r="R128" s="148" t="e">
        <f t="shared" si="516"/>
        <v>#DIV/0!</v>
      </c>
      <c r="S128" s="148" t="e">
        <f t="shared" si="516"/>
        <v>#DIV/0!</v>
      </c>
      <c r="T128" s="148" t="e">
        <f t="shared" si="516"/>
        <v>#DIV/0!</v>
      </c>
      <c r="U128" s="148">
        <f t="shared" ref="U128" si="517">U43/(U36+U38)</f>
        <v>0</v>
      </c>
      <c r="V128" s="101" t="e">
        <f t="shared" si="253"/>
        <v>#DIV/0!</v>
      </c>
      <c r="W128" s="10"/>
      <c r="X128" s="148" t="e">
        <f t="shared" ref="X128:AG128" si="518">X43/(X36+X38)</f>
        <v>#DIV/0!</v>
      </c>
      <c r="Y128" s="148" t="e">
        <f t="shared" si="518"/>
        <v>#DIV/0!</v>
      </c>
      <c r="Z128" s="148" t="e">
        <f t="shared" si="518"/>
        <v>#DIV/0!</v>
      </c>
      <c r="AA128" s="148" t="e">
        <f t="shared" si="518"/>
        <v>#DIV/0!</v>
      </c>
      <c r="AB128" s="148" t="e">
        <f t="shared" si="518"/>
        <v>#DIV/0!</v>
      </c>
      <c r="AC128" s="148" t="e">
        <f t="shared" si="518"/>
        <v>#DIV/0!</v>
      </c>
      <c r="AD128" s="148" t="e">
        <f t="shared" si="518"/>
        <v>#DIV/0!</v>
      </c>
      <c r="AE128" s="148" t="e">
        <f t="shared" si="518"/>
        <v>#DIV/0!</v>
      </c>
      <c r="AF128" s="148" t="e">
        <f t="shared" si="518"/>
        <v>#DIV/0!</v>
      </c>
      <c r="AG128" s="148" t="e">
        <f t="shared" si="518"/>
        <v>#DIV/0!</v>
      </c>
      <c r="AH128" s="116" t="e">
        <f>((AG128/J128)^(1/($AG$3-$K$1) ))-1</f>
        <v>#DIV/0!</v>
      </c>
      <c r="AI128" s="124"/>
      <c r="AJ128" s="124"/>
    </row>
    <row r="129" spans="1:36" ht="12" customHeight="1" x14ac:dyDescent="0.2">
      <c r="A129" s="303"/>
      <c r="B129" s="179" t="s">
        <v>434</v>
      </c>
      <c r="C129" s="129"/>
      <c r="D129" s="129"/>
      <c r="E129" s="129"/>
      <c r="F129" s="148"/>
      <c r="G129" s="148">
        <f t="shared" ref="G129" si="519">G47/G25</f>
        <v>0</v>
      </c>
      <c r="H129" s="148">
        <f t="shared" ref="H129:I129" si="520">H47/H25</f>
        <v>0</v>
      </c>
      <c r="I129" s="148">
        <f t="shared" si="520"/>
        <v>0</v>
      </c>
      <c r="J129" s="148">
        <f t="shared" ref="J129:T129" si="521">J47/J25</f>
        <v>0</v>
      </c>
      <c r="K129" s="148">
        <f t="shared" si="521"/>
        <v>0</v>
      </c>
      <c r="L129" s="148">
        <f t="shared" si="521"/>
        <v>0</v>
      </c>
      <c r="M129" s="148">
        <f t="shared" si="521"/>
        <v>0</v>
      </c>
      <c r="N129" s="148">
        <f t="shared" si="521"/>
        <v>0</v>
      </c>
      <c r="O129" s="148">
        <f t="shared" si="521"/>
        <v>0</v>
      </c>
      <c r="P129" s="148">
        <f t="shared" si="521"/>
        <v>0</v>
      </c>
      <c r="Q129" s="148" t="e">
        <f t="shared" si="521"/>
        <v>#DIV/0!</v>
      </c>
      <c r="R129" s="148">
        <f t="shared" si="521"/>
        <v>0</v>
      </c>
      <c r="S129" s="148">
        <f t="shared" si="521"/>
        <v>0</v>
      </c>
      <c r="T129" s="148">
        <f t="shared" si="521"/>
        <v>0</v>
      </c>
      <c r="U129" s="148">
        <f t="shared" ref="U129" si="522">U47/U25</f>
        <v>1.1516756881262236E-4</v>
      </c>
      <c r="V129" s="101" t="e">
        <f t="shared" si="253"/>
        <v>#DIV/0!</v>
      </c>
      <c r="W129" s="10"/>
      <c r="X129" s="148">
        <f t="shared" ref="X129:AG129" si="523">X47/X25</f>
        <v>0</v>
      </c>
      <c r="Y129" s="148">
        <f t="shared" si="523"/>
        <v>0</v>
      </c>
      <c r="Z129" s="148">
        <f t="shared" si="523"/>
        <v>0</v>
      </c>
      <c r="AA129" s="148">
        <f t="shared" si="523"/>
        <v>0</v>
      </c>
      <c r="AB129" s="148">
        <f t="shared" si="523"/>
        <v>0</v>
      </c>
      <c r="AC129" s="148">
        <f t="shared" si="523"/>
        <v>0</v>
      </c>
      <c r="AD129" s="148">
        <f t="shared" si="523"/>
        <v>0</v>
      </c>
      <c r="AE129" s="148">
        <f t="shared" si="523"/>
        <v>0</v>
      </c>
      <c r="AF129" s="148">
        <f t="shared" si="523"/>
        <v>0</v>
      </c>
      <c r="AG129" s="148">
        <f t="shared" si="523"/>
        <v>0</v>
      </c>
      <c r="AH129" s="116" t="e">
        <f>((AG129/J129)^(1/($AG$3-$K$1) ))-1</f>
        <v>#DIV/0!</v>
      </c>
      <c r="AI129" s="124"/>
      <c r="AJ129" s="124"/>
    </row>
    <row r="130" spans="1:36" ht="12" customHeight="1" x14ac:dyDescent="0.2">
      <c r="A130" s="303"/>
      <c r="B130" s="179" t="s">
        <v>432</v>
      </c>
      <c r="C130" s="129"/>
      <c r="D130" s="129"/>
      <c r="E130" s="129"/>
      <c r="F130" s="183"/>
      <c r="G130" s="183" t="e">
        <f t="shared" ref="G130" si="524">G55/G49</f>
        <v>#DIV/0!</v>
      </c>
      <c r="H130" s="183" t="e">
        <f t="shared" ref="H130:I130" si="525">H55/H49</f>
        <v>#DIV/0!</v>
      </c>
      <c r="I130" s="183" t="e">
        <f t="shared" si="525"/>
        <v>#DIV/0!</v>
      </c>
      <c r="J130" s="183" t="e">
        <f t="shared" ref="J130:T130" si="526">J55/J49</f>
        <v>#DIV/0!</v>
      </c>
      <c r="K130" s="183" t="e">
        <f t="shared" si="526"/>
        <v>#DIV/0!</v>
      </c>
      <c r="L130" s="183" t="e">
        <f t="shared" si="526"/>
        <v>#DIV/0!</v>
      </c>
      <c r="M130" s="183" t="e">
        <f t="shared" si="526"/>
        <v>#DIV/0!</v>
      </c>
      <c r="N130" s="183" t="e">
        <f t="shared" si="526"/>
        <v>#DIV/0!</v>
      </c>
      <c r="O130" s="183" t="e">
        <f t="shared" si="526"/>
        <v>#DIV/0!</v>
      </c>
      <c r="P130" s="183" t="e">
        <f t="shared" si="526"/>
        <v>#DIV/0!</v>
      </c>
      <c r="Q130" s="183" t="e">
        <f t="shared" si="526"/>
        <v>#DIV/0!</v>
      </c>
      <c r="R130" s="183" t="e">
        <f t="shared" si="526"/>
        <v>#DIV/0!</v>
      </c>
      <c r="S130" s="183" t="e">
        <f t="shared" si="526"/>
        <v>#DIV/0!</v>
      </c>
      <c r="T130" s="183" t="e">
        <f t="shared" si="526"/>
        <v>#DIV/0!</v>
      </c>
      <c r="U130" s="183">
        <f t="shared" ref="U130" si="527">U55/U49</f>
        <v>77</v>
      </c>
      <c r="V130" s="101" t="e">
        <f t="shared" ref="V130:V167" si="528">((T130/G130)^(1/($K$2-$K$1) ))-1</f>
        <v>#DIV/0!</v>
      </c>
      <c r="W130" s="10"/>
      <c r="X130" s="183" t="e">
        <f t="shared" ref="X130:AG130" si="529">X55/X49</f>
        <v>#DIV/0!</v>
      </c>
      <c r="Y130" s="183" t="e">
        <f t="shared" si="529"/>
        <v>#DIV/0!</v>
      </c>
      <c r="Z130" s="183" t="e">
        <f t="shared" si="529"/>
        <v>#DIV/0!</v>
      </c>
      <c r="AA130" s="183" t="e">
        <f t="shared" si="529"/>
        <v>#DIV/0!</v>
      </c>
      <c r="AB130" s="183" t="e">
        <f t="shared" si="529"/>
        <v>#DIV/0!</v>
      </c>
      <c r="AC130" s="183" t="e">
        <f t="shared" si="529"/>
        <v>#DIV/0!</v>
      </c>
      <c r="AD130" s="183" t="e">
        <f t="shared" si="529"/>
        <v>#DIV/0!</v>
      </c>
      <c r="AE130" s="183" t="e">
        <f t="shared" si="529"/>
        <v>#DIV/0!</v>
      </c>
      <c r="AF130" s="183" t="e">
        <f t="shared" si="529"/>
        <v>#DIV/0!</v>
      </c>
      <c r="AG130" s="183" t="e">
        <f t="shared" si="529"/>
        <v>#DIV/0!</v>
      </c>
      <c r="AH130" s="116" t="e">
        <f>((AG130/J130)^(1/($AG$3-$K$1) ))-1</f>
        <v>#DIV/0!</v>
      </c>
      <c r="AI130" s="124"/>
      <c r="AJ130" s="124"/>
    </row>
    <row r="131" spans="1:36" ht="12" customHeight="1" x14ac:dyDescent="0.2">
      <c r="A131" s="303"/>
      <c r="B131" s="179" t="s">
        <v>426</v>
      </c>
      <c r="C131" s="129"/>
      <c r="D131" s="129"/>
      <c r="E131" s="129"/>
      <c r="F131" s="148"/>
      <c r="G131" s="148" t="e">
        <f t="shared" ref="G131" si="530">G55/G43</f>
        <v>#DIV/0!</v>
      </c>
      <c r="H131" s="148" t="e">
        <f t="shared" ref="H131:I131" si="531">H55/H43</f>
        <v>#DIV/0!</v>
      </c>
      <c r="I131" s="148" t="e">
        <f t="shared" si="531"/>
        <v>#DIV/0!</v>
      </c>
      <c r="J131" s="148" t="e">
        <f t="shared" ref="J131:T131" si="532">J55/J43</f>
        <v>#DIV/0!</v>
      </c>
      <c r="K131" s="148" t="e">
        <f t="shared" si="532"/>
        <v>#DIV/0!</v>
      </c>
      <c r="L131" s="148" t="e">
        <f t="shared" si="532"/>
        <v>#DIV/0!</v>
      </c>
      <c r="M131" s="148" t="e">
        <f t="shared" si="532"/>
        <v>#DIV/0!</v>
      </c>
      <c r="N131" s="148" t="e">
        <f t="shared" si="532"/>
        <v>#DIV/0!</v>
      </c>
      <c r="O131" s="148" t="e">
        <f t="shared" si="532"/>
        <v>#DIV/0!</v>
      </c>
      <c r="P131" s="148" t="e">
        <f t="shared" si="532"/>
        <v>#DIV/0!</v>
      </c>
      <c r="Q131" s="148" t="e">
        <f t="shared" si="532"/>
        <v>#DIV/0!</v>
      </c>
      <c r="R131" s="148" t="e">
        <f t="shared" si="532"/>
        <v>#DIV/0!</v>
      </c>
      <c r="S131" s="148" t="e">
        <f t="shared" si="532"/>
        <v>#DIV/0!</v>
      </c>
      <c r="T131" s="148" t="e">
        <f t="shared" si="532"/>
        <v>#DIV/0!</v>
      </c>
      <c r="U131" s="148" t="e">
        <f t="shared" ref="U131" si="533">U55/U43</f>
        <v>#DIV/0!</v>
      </c>
      <c r="V131" s="101" t="e">
        <f t="shared" si="528"/>
        <v>#DIV/0!</v>
      </c>
      <c r="W131" s="10"/>
      <c r="X131" s="148" t="e">
        <f t="shared" ref="X131:AG131" si="534">X55/X43</f>
        <v>#DIV/0!</v>
      </c>
      <c r="Y131" s="148" t="e">
        <f t="shared" si="534"/>
        <v>#DIV/0!</v>
      </c>
      <c r="Z131" s="148" t="e">
        <f t="shared" si="534"/>
        <v>#DIV/0!</v>
      </c>
      <c r="AA131" s="148" t="e">
        <f t="shared" si="534"/>
        <v>#DIV/0!</v>
      </c>
      <c r="AB131" s="148" t="e">
        <f t="shared" si="534"/>
        <v>#DIV/0!</v>
      </c>
      <c r="AC131" s="148" t="e">
        <f t="shared" si="534"/>
        <v>#DIV/0!</v>
      </c>
      <c r="AD131" s="148" t="e">
        <f t="shared" si="534"/>
        <v>#DIV/0!</v>
      </c>
      <c r="AE131" s="148" t="e">
        <f t="shared" si="534"/>
        <v>#DIV/0!</v>
      </c>
      <c r="AF131" s="148" t="e">
        <f t="shared" si="534"/>
        <v>#DIV/0!</v>
      </c>
      <c r="AG131" s="148" t="e">
        <f t="shared" si="534"/>
        <v>#DIV/0!</v>
      </c>
      <c r="AH131" s="116" t="e">
        <f t="shared" si="498"/>
        <v>#DIV/0!</v>
      </c>
      <c r="AI131" s="124"/>
      <c r="AJ131" s="124"/>
    </row>
    <row r="132" spans="1:36" ht="12" customHeight="1" x14ac:dyDescent="0.2">
      <c r="A132" s="303"/>
      <c r="B132" s="179" t="s">
        <v>427</v>
      </c>
      <c r="C132" s="129"/>
      <c r="D132" s="129"/>
      <c r="E132" s="129"/>
      <c r="F132" s="148"/>
      <c r="G132" s="148" t="e">
        <f t="shared" ref="G132" si="535">G55/(G36+G38)</f>
        <v>#DIV/0!</v>
      </c>
      <c r="H132" s="148" t="e">
        <f t="shared" ref="H132:I132" si="536">H55/(H36+H38)</f>
        <v>#DIV/0!</v>
      </c>
      <c r="I132" s="148" t="e">
        <f t="shared" si="536"/>
        <v>#DIV/0!</v>
      </c>
      <c r="J132" s="148" t="e">
        <f t="shared" ref="J132:T132" si="537">J55/(J36+J38)</f>
        <v>#DIV/0!</v>
      </c>
      <c r="K132" s="148" t="e">
        <f t="shared" si="537"/>
        <v>#DIV/0!</v>
      </c>
      <c r="L132" s="148" t="e">
        <f t="shared" si="537"/>
        <v>#DIV/0!</v>
      </c>
      <c r="M132" s="148" t="e">
        <f t="shared" si="537"/>
        <v>#DIV/0!</v>
      </c>
      <c r="N132" s="148" t="e">
        <f t="shared" si="537"/>
        <v>#DIV/0!</v>
      </c>
      <c r="O132" s="148" t="e">
        <f t="shared" si="537"/>
        <v>#DIV/0!</v>
      </c>
      <c r="P132" s="148" t="e">
        <f t="shared" si="537"/>
        <v>#DIV/0!</v>
      </c>
      <c r="Q132" s="148" t="e">
        <f t="shared" si="537"/>
        <v>#DIV/0!</v>
      </c>
      <c r="R132" s="148" t="e">
        <f t="shared" si="537"/>
        <v>#DIV/0!</v>
      </c>
      <c r="S132" s="148" t="e">
        <f t="shared" si="537"/>
        <v>#DIV/0!</v>
      </c>
      <c r="T132" s="148" t="e">
        <f t="shared" si="537"/>
        <v>#DIV/0!</v>
      </c>
      <c r="U132" s="148">
        <f t="shared" ref="U132" si="538">U55/(U36+U38)</f>
        <v>77</v>
      </c>
      <c r="V132" s="101" t="e">
        <f t="shared" si="528"/>
        <v>#DIV/0!</v>
      </c>
      <c r="W132" s="10"/>
      <c r="X132" s="148" t="e">
        <f t="shared" ref="X132:AG132" si="539">X55/(X36+X38)</f>
        <v>#DIV/0!</v>
      </c>
      <c r="Y132" s="148" t="e">
        <f t="shared" si="539"/>
        <v>#DIV/0!</v>
      </c>
      <c r="Z132" s="148" t="e">
        <f t="shared" si="539"/>
        <v>#DIV/0!</v>
      </c>
      <c r="AA132" s="148" t="e">
        <f t="shared" si="539"/>
        <v>#DIV/0!</v>
      </c>
      <c r="AB132" s="148" t="e">
        <f t="shared" si="539"/>
        <v>#DIV/0!</v>
      </c>
      <c r="AC132" s="148" t="e">
        <f t="shared" si="539"/>
        <v>#DIV/0!</v>
      </c>
      <c r="AD132" s="148" t="e">
        <f t="shared" si="539"/>
        <v>#DIV/0!</v>
      </c>
      <c r="AE132" s="148" t="e">
        <f t="shared" si="539"/>
        <v>#DIV/0!</v>
      </c>
      <c r="AF132" s="148" t="e">
        <f t="shared" si="539"/>
        <v>#DIV/0!</v>
      </c>
      <c r="AG132" s="148" t="e">
        <f t="shared" si="539"/>
        <v>#DIV/0!</v>
      </c>
      <c r="AH132" s="116" t="e">
        <f t="shared" si="498"/>
        <v>#DIV/0!</v>
      </c>
      <c r="AI132" s="124"/>
      <c r="AJ132" s="124"/>
    </row>
    <row r="133" spans="1:36" ht="12" customHeight="1" x14ac:dyDescent="0.2">
      <c r="B133" s="10"/>
      <c r="C133" s="129"/>
      <c r="D133" s="129"/>
      <c r="E133" s="129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10"/>
      <c r="W133" s="10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81"/>
      <c r="AI133" s="124"/>
      <c r="AJ133" s="124"/>
    </row>
    <row r="134" spans="1:36" x14ac:dyDescent="0.2">
      <c r="B134" s="10" t="s">
        <v>271</v>
      </c>
      <c r="C134" s="129"/>
      <c r="D134" s="129"/>
      <c r="E134" s="129"/>
      <c r="F134" s="140"/>
      <c r="G134" s="140">
        <f t="shared" ref="G134" si="540">G10-(G12+G13)</f>
        <v>-80.61</v>
      </c>
      <c r="H134" s="140">
        <f t="shared" ref="H134:I134" si="541">H10-(H12+H13)</f>
        <v>-98.8</v>
      </c>
      <c r="I134" s="140">
        <f t="shared" si="541"/>
        <v>60</v>
      </c>
      <c r="J134" s="140">
        <f t="shared" ref="J134:T134" si="542">J10-(J12+J13)</f>
        <v>117.30000000000001</v>
      </c>
      <c r="K134" s="140">
        <f t="shared" si="542"/>
        <v>101.78</v>
      </c>
      <c r="L134" s="140">
        <f t="shared" si="542"/>
        <v>-9</v>
      </c>
      <c r="M134" s="140">
        <f t="shared" si="542"/>
        <v>49</v>
      </c>
      <c r="N134" s="140">
        <f t="shared" si="542"/>
        <v>-85</v>
      </c>
      <c r="O134" s="140">
        <f t="shared" si="542"/>
        <v>-131</v>
      </c>
      <c r="P134" s="140">
        <f t="shared" si="542"/>
        <v>-358</v>
      </c>
      <c r="Q134" s="140">
        <f t="shared" si="542"/>
        <v>0</v>
      </c>
      <c r="R134" s="140">
        <f t="shared" si="542"/>
        <v>-613</v>
      </c>
      <c r="S134" s="140">
        <f t="shared" si="542"/>
        <v>-146</v>
      </c>
      <c r="T134" s="140">
        <f t="shared" si="542"/>
        <v>-209</v>
      </c>
      <c r="U134" s="140">
        <f t="shared" ref="U134" si="543">U10-(U12+U13)</f>
        <v>-209</v>
      </c>
      <c r="V134" s="101">
        <f t="shared" si="528"/>
        <v>7.041971046466311E-2</v>
      </c>
      <c r="W134" s="10"/>
      <c r="X134" s="140">
        <f t="shared" ref="X134:AG134" si="544">X10-(X12+X13)</f>
        <v>-240.34999999999991</v>
      </c>
      <c r="Y134" s="140">
        <f t="shared" si="544"/>
        <v>-276.40249999999992</v>
      </c>
      <c r="Z134" s="140">
        <f t="shared" si="544"/>
        <v>-317.86287500000003</v>
      </c>
      <c r="AA134" s="140">
        <f t="shared" si="544"/>
        <v>-365.54230624999991</v>
      </c>
      <c r="AB134" s="140">
        <f t="shared" si="544"/>
        <v>-420.37365218749983</v>
      </c>
      <c r="AC134" s="140">
        <f t="shared" si="544"/>
        <v>-483.42970001562435</v>
      </c>
      <c r="AD134" s="140">
        <f t="shared" si="544"/>
        <v>-555.94415501796811</v>
      </c>
      <c r="AE134" s="140">
        <f t="shared" si="544"/>
        <v>-639.33577827066347</v>
      </c>
      <c r="AF134" s="140">
        <f t="shared" si="544"/>
        <v>-735.23614501126212</v>
      </c>
      <c r="AG134" s="140">
        <f t="shared" si="544"/>
        <v>-845.52156676295181</v>
      </c>
      <c r="AH134" s="116">
        <f t="shared" si="414"/>
        <v>-2.0896745606838416</v>
      </c>
      <c r="AI134" s="124"/>
      <c r="AJ134" s="124"/>
    </row>
    <row r="135" spans="1:36" ht="12" customHeight="1" x14ac:dyDescent="0.2">
      <c r="B135" s="10" t="s">
        <v>266</v>
      </c>
      <c r="C135" s="10"/>
      <c r="D135" s="10"/>
      <c r="E135" s="10"/>
      <c r="F135" s="129"/>
      <c r="G135" s="129">
        <f t="shared" ref="G135" si="545">G55/G18</f>
        <v>0.53846153846153844</v>
      </c>
      <c r="H135" s="129">
        <f t="shared" ref="H135:I135" si="546">H55/H18</f>
        <v>0.53846153846153844</v>
      </c>
      <c r="I135" s="129">
        <f t="shared" si="546"/>
        <v>0.17370892018779344</v>
      </c>
      <c r="J135" s="129">
        <f t="shared" ref="J135:T135" si="547">J55/J18</f>
        <v>0.24413145539906103</v>
      </c>
      <c r="K135" s="129">
        <f t="shared" si="547"/>
        <v>0.17289719626168223</v>
      </c>
      <c r="L135" s="129">
        <f t="shared" si="547"/>
        <v>0.1152073732718894</v>
      </c>
      <c r="M135" s="129">
        <f t="shared" si="547"/>
        <v>0.19583333333333333</v>
      </c>
      <c r="N135" s="129">
        <f t="shared" si="547"/>
        <v>0.22857142857142856</v>
      </c>
      <c r="O135" s="129">
        <f t="shared" si="547"/>
        <v>0.20491803278688525</v>
      </c>
      <c r="P135" s="129">
        <f t="shared" si="547"/>
        <v>0.14345991561181434</v>
      </c>
      <c r="Q135" s="129" t="e">
        <f t="shared" si="547"/>
        <v>#DIV/0!</v>
      </c>
      <c r="R135" s="129">
        <f t="shared" si="547"/>
        <v>9.3333333333333338E-2</v>
      </c>
      <c r="S135" s="129">
        <f t="shared" si="547"/>
        <v>-3.047819232790331E-2</v>
      </c>
      <c r="T135" s="129">
        <f t="shared" si="547"/>
        <v>3.6527514231499053E-2</v>
      </c>
      <c r="U135" s="129">
        <f t="shared" ref="U135" si="548">U55/U18</f>
        <v>3.6527514231499053E-2</v>
      </c>
      <c r="V135" s="101">
        <f t="shared" si="528"/>
        <v>-0.17484935199209306</v>
      </c>
      <c r="W135" s="10"/>
      <c r="X135" s="129">
        <f t="shared" ref="X135:AG135" si="549">X55/X18</f>
        <v>3.6527514231499053E-2</v>
      </c>
      <c r="Y135" s="129">
        <f t="shared" si="549"/>
        <v>3.6527514231499053E-2</v>
      </c>
      <c r="Z135" s="129">
        <f t="shared" si="549"/>
        <v>3.6527514231499053E-2</v>
      </c>
      <c r="AA135" s="129">
        <f t="shared" si="549"/>
        <v>3.6527514231499053E-2</v>
      </c>
      <c r="AB135" s="129">
        <f t="shared" si="549"/>
        <v>3.6527514231499053E-2</v>
      </c>
      <c r="AC135" s="129">
        <f t="shared" si="549"/>
        <v>3.6527514231499053E-2</v>
      </c>
      <c r="AD135" s="129">
        <f t="shared" si="549"/>
        <v>3.6527514231499053E-2</v>
      </c>
      <c r="AE135" s="129">
        <f t="shared" si="549"/>
        <v>3.652751423149906E-2</v>
      </c>
      <c r="AF135" s="129">
        <f t="shared" si="549"/>
        <v>3.652751423149906E-2</v>
      </c>
      <c r="AG135" s="129">
        <f t="shared" si="549"/>
        <v>3.652751423149906E-2</v>
      </c>
      <c r="AH135" s="116">
        <f t="shared" si="414"/>
        <v>-7.9274275316567056E-2</v>
      </c>
      <c r="AI135" s="10"/>
      <c r="AJ135" s="10"/>
    </row>
    <row r="136" spans="1:36" x14ac:dyDescent="0.2">
      <c r="B136" s="10" t="s">
        <v>267</v>
      </c>
      <c r="C136" s="10"/>
      <c r="D136" s="10"/>
      <c r="E136" s="10"/>
      <c r="F136" s="129"/>
      <c r="G136" s="129">
        <f t="shared" ref="G136" si="550">G55/G25</f>
        <v>0.20289855072463769</v>
      </c>
      <c r="H136" s="129">
        <f t="shared" ref="H136:I136" si="551">H55/H25</f>
        <v>0.20289855072463769</v>
      </c>
      <c r="I136" s="129">
        <f t="shared" si="551"/>
        <v>0.16517857142857142</v>
      </c>
      <c r="J136" s="129">
        <f t="shared" ref="J136:T136" si="552">J55/J25</f>
        <v>0.17449664429530201</v>
      </c>
      <c r="K136" s="129">
        <f t="shared" si="552"/>
        <v>0.10914454277286136</v>
      </c>
      <c r="L136" s="129">
        <f t="shared" si="552"/>
        <v>8.6206896551724144E-2</v>
      </c>
      <c r="M136" s="129">
        <f t="shared" si="552"/>
        <v>0.13544668587896252</v>
      </c>
      <c r="N136" s="129">
        <f t="shared" si="552"/>
        <v>0.16138328530259366</v>
      </c>
      <c r="O136" s="129">
        <f t="shared" si="552"/>
        <v>0.12195121951219512</v>
      </c>
      <c r="P136" s="129">
        <f t="shared" si="552"/>
        <v>5.2107279693486587E-2</v>
      </c>
      <c r="Q136" s="129" t="e">
        <f t="shared" si="552"/>
        <v>#DIV/0!</v>
      </c>
      <c r="R136" s="129">
        <f t="shared" si="552"/>
        <v>3.4083992696287278E-2</v>
      </c>
      <c r="S136" s="129">
        <f t="shared" si="552"/>
        <v>-9.5614902736564453E-3</v>
      </c>
      <c r="T136" s="129">
        <f t="shared" si="552"/>
        <v>8.8679027985719226E-3</v>
      </c>
      <c r="U136" s="129">
        <f t="shared" ref="U136" si="553">U55/U25</f>
        <v>8.8679027985719226E-3</v>
      </c>
      <c r="V136" s="101">
        <f t="shared" si="528"/>
        <v>-0.20035752321982281</v>
      </c>
      <c r="W136" s="10"/>
      <c r="X136" s="129">
        <f t="shared" ref="X136:AG136" si="554">X55/X25</f>
        <v>8.8679027985719226E-3</v>
      </c>
      <c r="Y136" s="129">
        <f t="shared" si="554"/>
        <v>8.8679027985719226E-3</v>
      </c>
      <c r="Z136" s="129">
        <f t="shared" si="554"/>
        <v>8.8679027985719226E-3</v>
      </c>
      <c r="AA136" s="129">
        <f t="shared" si="554"/>
        <v>8.8679027985719208E-3</v>
      </c>
      <c r="AB136" s="129">
        <f t="shared" si="554"/>
        <v>8.8679027985719208E-3</v>
      </c>
      <c r="AC136" s="129">
        <f t="shared" si="554"/>
        <v>8.8679027985719226E-3</v>
      </c>
      <c r="AD136" s="129">
        <f t="shared" si="554"/>
        <v>8.8679027985719226E-3</v>
      </c>
      <c r="AE136" s="129">
        <f t="shared" si="554"/>
        <v>8.8679027985719226E-3</v>
      </c>
      <c r="AF136" s="129">
        <f t="shared" si="554"/>
        <v>8.8679027985719226E-3</v>
      </c>
      <c r="AG136" s="129">
        <f t="shared" si="554"/>
        <v>8.8679027985719226E-3</v>
      </c>
      <c r="AH136" s="116">
        <f t="shared" si="414"/>
        <v>-0.12150235434316903</v>
      </c>
      <c r="AI136" s="10"/>
      <c r="AJ136" s="10"/>
    </row>
    <row r="137" spans="1:36" x14ac:dyDescent="0.2">
      <c r="B137" s="10" t="s">
        <v>293</v>
      </c>
      <c r="C137" s="10"/>
      <c r="D137" s="10"/>
      <c r="E137" s="129"/>
      <c r="F137" s="129"/>
      <c r="G137" s="129">
        <f t="shared" ref="G137" si="555">G25/G18</f>
        <v>2.6538461538461537</v>
      </c>
      <c r="H137" s="129">
        <f t="shared" ref="H137:I137" si="556">H25/H18</f>
        <v>2.6538461538461537</v>
      </c>
      <c r="I137" s="129">
        <f t="shared" si="556"/>
        <v>1.051643192488263</v>
      </c>
      <c r="J137" s="129">
        <f t="shared" ref="J137:T137" si="557">J25/J18</f>
        <v>1.3990610328638498</v>
      </c>
      <c r="K137" s="129">
        <f t="shared" si="557"/>
        <v>1.5841121495327102</v>
      </c>
      <c r="L137" s="129">
        <f t="shared" si="557"/>
        <v>1.336405529953917</v>
      </c>
      <c r="M137" s="129">
        <f t="shared" si="557"/>
        <v>1.4458333333333333</v>
      </c>
      <c r="N137" s="129">
        <f t="shared" si="557"/>
        <v>1.416326530612245</v>
      </c>
      <c r="O137" s="129">
        <f t="shared" si="557"/>
        <v>1.680327868852459</v>
      </c>
      <c r="P137" s="129">
        <f t="shared" si="557"/>
        <v>2.7531645569620253</v>
      </c>
      <c r="Q137" s="129" t="e">
        <f t="shared" si="557"/>
        <v>#DIV/0!</v>
      </c>
      <c r="R137" s="129">
        <f t="shared" si="557"/>
        <v>2.7383333333333333</v>
      </c>
      <c r="S137" s="129">
        <f t="shared" si="557"/>
        <v>3.1875985286389912</v>
      </c>
      <c r="T137" s="129">
        <f t="shared" si="557"/>
        <v>4.1190702087286528</v>
      </c>
      <c r="U137" s="129">
        <f t="shared" ref="U137" si="558">U25/U18</f>
        <v>4.1190702087286528</v>
      </c>
      <c r="V137" s="101">
        <f t="shared" si="528"/>
        <v>3.1899470036209632E-2</v>
      </c>
      <c r="W137" s="10"/>
      <c r="X137" s="129">
        <f t="shared" ref="X137:AG137" si="559">X25/X18</f>
        <v>4.1190702087286528</v>
      </c>
      <c r="Y137" s="129">
        <f t="shared" si="559"/>
        <v>4.1190702087286528</v>
      </c>
      <c r="Z137" s="129">
        <f t="shared" si="559"/>
        <v>4.1190702087286528</v>
      </c>
      <c r="AA137" s="129">
        <f t="shared" si="559"/>
        <v>4.1190702087286528</v>
      </c>
      <c r="AB137" s="129">
        <f t="shared" si="559"/>
        <v>4.1190702087286537</v>
      </c>
      <c r="AC137" s="129">
        <f t="shared" si="559"/>
        <v>4.1190702087286528</v>
      </c>
      <c r="AD137" s="129">
        <f t="shared" si="559"/>
        <v>4.1190702087286528</v>
      </c>
      <c r="AE137" s="129">
        <f t="shared" si="559"/>
        <v>4.1190702087286537</v>
      </c>
      <c r="AF137" s="129">
        <f t="shared" si="559"/>
        <v>4.1190702087286537</v>
      </c>
      <c r="AG137" s="129">
        <f t="shared" si="559"/>
        <v>4.1190702087286528</v>
      </c>
      <c r="AH137" s="116">
        <f t="shared" si="414"/>
        <v>4.8068517013530654E-2</v>
      </c>
      <c r="AI137" s="10"/>
      <c r="AJ137" s="10"/>
    </row>
    <row r="138" spans="1:36" x14ac:dyDescent="0.2">
      <c r="B138" s="10"/>
      <c r="C138" s="10"/>
      <c r="D138" s="10"/>
      <c r="E138" s="10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10"/>
      <c r="W138" s="10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  <c r="AH138" s="110"/>
      <c r="AI138" s="10"/>
      <c r="AJ138" s="10"/>
    </row>
    <row r="139" spans="1:36" x14ac:dyDescent="0.2">
      <c r="B139" s="10" t="s">
        <v>279</v>
      </c>
      <c r="C139" s="10"/>
      <c r="D139" s="10"/>
      <c r="E139" s="142"/>
      <c r="F139" s="142"/>
      <c r="G139" s="142">
        <f t="shared" ref="G139" si="560">G88*G57</f>
        <v>0</v>
      </c>
      <c r="H139" s="142">
        <f t="shared" ref="H139:I139" si="561">H88*H57</f>
        <v>0</v>
      </c>
      <c r="I139" s="142">
        <f t="shared" si="561"/>
        <v>0</v>
      </c>
      <c r="J139" s="142">
        <f t="shared" ref="J139:T139" si="562">J88*J57</f>
        <v>0</v>
      </c>
      <c r="K139" s="142">
        <f t="shared" si="562"/>
        <v>0</v>
      </c>
      <c r="L139" s="142">
        <f t="shared" si="562"/>
        <v>0</v>
      </c>
      <c r="M139" s="142">
        <f t="shared" si="562"/>
        <v>0</v>
      </c>
      <c r="N139" s="142">
        <f t="shared" si="562"/>
        <v>0</v>
      </c>
      <c r="O139" s="142">
        <f t="shared" si="562"/>
        <v>0</v>
      </c>
      <c r="P139" s="142">
        <f t="shared" si="562"/>
        <v>0</v>
      </c>
      <c r="Q139" s="142">
        <f t="shared" si="562"/>
        <v>0</v>
      </c>
      <c r="R139" s="142">
        <f t="shared" si="562"/>
        <v>0</v>
      </c>
      <c r="S139" s="142">
        <f t="shared" si="562"/>
        <v>0</v>
      </c>
      <c r="T139" s="142">
        <f t="shared" si="562"/>
        <v>0</v>
      </c>
      <c r="U139" s="142">
        <f t="shared" ref="U139" si="563">U88*U57</f>
        <v>0</v>
      </c>
      <c r="V139" s="101" t="e">
        <f t="shared" si="528"/>
        <v>#DIV/0!</v>
      </c>
      <c r="W139" s="10"/>
      <c r="X139" s="142">
        <f t="shared" ref="X139:AG139" si="564">X88*X57</f>
        <v>0</v>
      </c>
      <c r="Y139" s="142">
        <f t="shared" si="564"/>
        <v>0</v>
      </c>
      <c r="Z139" s="142">
        <f t="shared" si="564"/>
        <v>0</v>
      </c>
      <c r="AA139" s="142">
        <f t="shared" si="564"/>
        <v>0</v>
      </c>
      <c r="AB139" s="142">
        <f t="shared" si="564"/>
        <v>0</v>
      </c>
      <c r="AC139" s="142">
        <f t="shared" si="564"/>
        <v>0</v>
      </c>
      <c r="AD139" s="142">
        <f t="shared" si="564"/>
        <v>0</v>
      </c>
      <c r="AE139" s="142">
        <f t="shared" si="564"/>
        <v>0</v>
      </c>
      <c r="AF139" s="142">
        <f t="shared" si="564"/>
        <v>0</v>
      </c>
      <c r="AG139" s="142">
        <f t="shared" si="564"/>
        <v>0</v>
      </c>
      <c r="AH139" s="116" t="e">
        <f t="shared" si="414"/>
        <v>#DIV/0!</v>
      </c>
      <c r="AI139" s="10"/>
      <c r="AJ139" s="10"/>
    </row>
    <row r="140" spans="1:36" x14ac:dyDescent="0.2">
      <c r="B140" s="10" t="s">
        <v>280</v>
      </c>
      <c r="C140" s="10"/>
      <c r="D140" s="10"/>
      <c r="E140" s="142"/>
      <c r="F140" s="142"/>
      <c r="G140" s="142">
        <f t="shared" ref="G140" si="565">(G139*0.17)+G139</f>
        <v>0</v>
      </c>
      <c r="H140" s="142">
        <f t="shared" ref="H140:I140" si="566">(H139*0.17)+H139</f>
        <v>0</v>
      </c>
      <c r="I140" s="142">
        <f t="shared" si="566"/>
        <v>0</v>
      </c>
      <c r="J140" s="142">
        <f t="shared" ref="J140:S140" si="567">(J139*0.17)+J139</f>
        <v>0</v>
      </c>
      <c r="K140" s="142">
        <f t="shared" si="567"/>
        <v>0</v>
      </c>
      <c r="L140" s="142">
        <f t="shared" si="567"/>
        <v>0</v>
      </c>
      <c r="M140" s="142">
        <f t="shared" si="567"/>
        <v>0</v>
      </c>
      <c r="N140" s="142">
        <f t="shared" si="567"/>
        <v>0</v>
      </c>
      <c r="O140" s="142">
        <f t="shared" si="567"/>
        <v>0</v>
      </c>
      <c r="P140" s="142">
        <f t="shared" si="567"/>
        <v>0</v>
      </c>
      <c r="Q140" s="142">
        <f t="shared" si="567"/>
        <v>0</v>
      </c>
      <c r="R140" s="142">
        <f t="shared" si="567"/>
        <v>0</v>
      </c>
      <c r="S140" s="142">
        <f t="shared" si="567"/>
        <v>0</v>
      </c>
      <c r="T140" s="142">
        <f t="shared" ref="T140:U140" si="568">(T139*0.17)+T139</f>
        <v>0</v>
      </c>
      <c r="U140" s="142">
        <f t="shared" si="568"/>
        <v>0</v>
      </c>
      <c r="V140" s="101" t="e">
        <f t="shared" si="528"/>
        <v>#DIV/0!</v>
      </c>
      <c r="W140" s="10"/>
      <c r="X140" s="142">
        <f t="shared" ref="X140:AG140" si="569">(X139*0.17)+X139</f>
        <v>0</v>
      </c>
      <c r="Y140" s="142">
        <f t="shared" si="569"/>
        <v>0</v>
      </c>
      <c r="Z140" s="142">
        <f t="shared" si="569"/>
        <v>0</v>
      </c>
      <c r="AA140" s="142">
        <f t="shared" si="569"/>
        <v>0</v>
      </c>
      <c r="AB140" s="142">
        <f t="shared" si="569"/>
        <v>0</v>
      </c>
      <c r="AC140" s="142">
        <f t="shared" si="569"/>
        <v>0</v>
      </c>
      <c r="AD140" s="142">
        <f t="shared" si="569"/>
        <v>0</v>
      </c>
      <c r="AE140" s="142">
        <f t="shared" si="569"/>
        <v>0</v>
      </c>
      <c r="AF140" s="142">
        <f t="shared" si="569"/>
        <v>0</v>
      </c>
      <c r="AG140" s="142">
        <f t="shared" si="569"/>
        <v>0</v>
      </c>
      <c r="AH140" s="116" t="e">
        <f t="shared" si="414"/>
        <v>#DIV/0!</v>
      </c>
      <c r="AI140" s="10"/>
      <c r="AJ140" s="10"/>
    </row>
    <row r="141" spans="1:36" x14ac:dyDescent="0.2">
      <c r="B141" s="10" t="s">
        <v>281</v>
      </c>
      <c r="C141" s="10"/>
      <c r="D141" s="10"/>
      <c r="E141" s="10"/>
      <c r="F141" s="129"/>
      <c r="G141" s="129">
        <f t="shared" ref="G141" si="570">G140/G55</f>
        <v>0</v>
      </c>
      <c r="H141" s="129">
        <f t="shared" ref="H141:I141" si="571">H140/H55</f>
        <v>0</v>
      </c>
      <c r="I141" s="129">
        <f t="shared" si="571"/>
        <v>0</v>
      </c>
      <c r="J141" s="129">
        <f t="shared" ref="J141:T141" si="572">J140/J55</f>
        <v>0</v>
      </c>
      <c r="K141" s="129">
        <f t="shared" si="572"/>
        <v>0</v>
      </c>
      <c r="L141" s="129">
        <f t="shared" si="572"/>
        <v>0</v>
      </c>
      <c r="M141" s="129">
        <f t="shared" si="572"/>
        <v>0</v>
      </c>
      <c r="N141" s="129">
        <f t="shared" si="572"/>
        <v>0</v>
      </c>
      <c r="O141" s="129">
        <f t="shared" si="572"/>
        <v>0</v>
      </c>
      <c r="P141" s="129">
        <f t="shared" si="572"/>
        <v>0</v>
      </c>
      <c r="Q141" s="129" t="e">
        <f t="shared" si="572"/>
        <v>#DIV/0!</v>
      </c>
      <c r="R141" s="129">
        <f t="shared" si="572"/>
        <v>0</v>
      </c>
      <c r="S141" s="129">
        <f t="shared" si="572"/>
        <v>0</v>
      </c>
      <c r="T141" s="129">
        <f t="shared" si="572"/>
        <v>0</v>
      </c>
      <c r="U141" s="129">
        <f t="shared" ref="U141" si="573">U140/U55</f>
        <v>0</v>
      </c>
      <c r="V141" s="101" t="e">
        <f t="shared" si="528"/>
        <v>#DIV/0!</v>
      </c>
      <c r="W141" s="10"/>
      <c r="X141" s="129">
        <f t="shared" ref="X141:AG141" si="574">X140/X55</f>
        <v>0</v>
      </c>
      <c r="Y141" s="129">
        <f t="shared" si="574"/>
        <v>0</v>
      </c>
      <c r="Z141" s="129">
        <f t="shared" si="574"/>
        <v>0</v>
      </c>
      <c r="AA141" s="129">
        <f t="shared" si="574"/>
        <v>0</v>
      </c>
      <c r="AB141" s="129">
        <f t="shared" si="574"/>
        <v>0</v>
      </c>
      <c r="AC141" s="129">
        <f t="shared" si="574"/>
        <v>0</v>
      </c>
      <c r="AD141" s="129">
        <f t="shared" si="574"/>
        <v>0</v>
      </c>
      <c r="AE141" s="129">
        <f t="shared" si="574"/>
        <v>0</v>
      </c>
      <c r="AF141" s="129">
        <f t="shared" si="574"/>
        <v>0</v>
      </c>
      <c r="AG141" s="129">
        <f t="shared" si="574"/>
        <v>0</v>
      </c>
      <c r="AH141" s="116" t="e">
        <f t="shared" si="414"/>
        <v>#DIV/0!</v>
      </c>
      <c r="AI141" s="10"/>
      <c r="AJ141" s="10"/>
    </row>
    <row r="142" spans="1:36" x14ac:dyDescent="0.2">
      <c r="B142" s="10" t="s">
        <v>274</v>
      </c>
      <c r="C142" s="10"/>
      <c r="D142" s="10"/>
      <c r="E142" s="10"/>
      <c r="F142" s="129"/>
      <c r="G142" s="129">
        <f t="shared" ref="G142" si="575">1-G141</f>
        <v>1</v>
      </c>
      <c r="H142" s="129">
        <f t="shared" ref="H142:I142" si="576">1-H141</f>
        <v>1</v>
      </c>
      <c r="I142" s="129">
        <f t="shared" si="576"/>
        <v>1</v>
      </c>
      <c r="J142" s="129">
        <f>1-J141</f>
        <v>1</v>
      </c>
      <c r="K142" s="129">
        <f t="shared" ref="K142:S142" si="577">1-K141</f>
        <v>1</v>
      </c>
      <c r="L142" s="129">
        <f t="shared" si="577"/>
        <v>1</v>
      </c>
      <c r="M142" s="129">
        <f t="shared" si="577"/>
        <v>1</v>
      </c>
      <c r="N142" s="129">
        <f t="shared" si="577"/>
        <v>1</v>
      </c>
      <c r="O142" s="129">
        <f t="shared" si="577"/>
        <v>1</v>
      </c>
      <c r="P142" s="129">
        <f t="shared" si="577"/>
        <v>1</v>
      </c>
      <c r="Q142" s="129" t="e">
        <f t="shared" si="577"/>
        <v>#DIV/0!</v>
      </c>
      <c r="R142" s="129">
        <f t="shared" si="577"/>
        <v>1</v>
      </c>
      <c r="S142" s="129">
        <f t="shared" si="577"/>
        <v>1</v>
      </c>
      <c r="T142" s="129">
        <f t="shared" ref="T142:U142" si="578">1-T141</f>
        <v>1</v>
      </c>
      <c r="U142" s="129">
        <f t="shared" si="578"/>
        <v>1</v>
      </c>
      <c r="V142" s="101">
        <f t="shared" si="528"/>
        <v>0</v>
      </c>
      <c r="W142" s="10"/>
      <c r="X142" s="129">
        <f t="shared" ref="X142:AG142" si="579">1-X141</f>
        <v>1</v>
      </c>
      <c r="Y142" s="129">
        <f t="shared" si="579"/>
        <v>1</v>
      </c>
      <c r="Z142" s="129">
        <f t="shared" si="579"/>
        <v>1</v>
      </c>
      <c r="AA142" s="129">
        <f t="shared" si="579"/>
        <v>1</v>
      </c>
      <c r="AB142" s="129">
        <f t="shared" si="579"/>
        <v>1</v>
      </c>
      <c r="AC142" s="129">
        <f t="shared" si="579"/>
        <v>1</v>
      </c>
      <c r="AD142" s="129">
        <f t="shared" si="579"/>
        <v>1</v>
      </c>
      <c r="AE142" s="129">
        <f t="shared" si="579"/>
        <v>1</v>
      </c>
      <c r="AF142" s="129">
        <f t="shared" si="579"/>
        <v>1</v>
      </c>
      <c r="AG142" s="129">
        <f t="shared" si="579"/>
        <v>1</v>
      </c>
      <c r="AH142" s="116">
        <f t="shared" si="414"/>
        <v>0</v>
      </c>
      <c r="AI142" s="10"/>
      <c r="AJ142" s="10"/>
    </row>
    <row r="143" spans="1:36" x14ac:dyDescent="0.2">
      <c r="B143" s="10" t="s">
        <v>395</v>
      </c>
      <c r="C143" s="10"/>
      <c r="D143" s="10"/>
      <c r="E143" s="10"/>
      <c r="F143" s="129"/>
      <c r="G143" s="129" t="e">
        <f t="shared" ref="G143" si="580">G140/G20</f>
        <v>#DIV/0!</v>
      </c>
      <c r="H143" s="129" t="e">
        <f t="shared" ref="H143:I143" si="581">H140/H20</f>
        <v>#DIV/0!</v>
      </c>
      <c r="I143" s="129" t="e">
        <f t="shared" si="581"/>
        <v>#DIV/0!</v>
      </c>
      <c r="J143" s="129" t="e">
        <f t="shared" ref="J143:T143" si="582">J140/J20</f>
        <v>#DIV/0!</v>
      </c>
      <c r="K143" s="129" t="e">
        <f t="shared" si="582"/>
        <v>#DIV/0!</v>
      </c>
      <c r="L143" s="129" t="e">
        <f t="shared" si="582"/>
        <v>#DIV/0!</v>
      </c>
      <c r="M143" s="129" t="e">
        <f t="shared" si="582"/>
        <v>#DIV/0!</v>
      </c>
      <c r="N143" s="129" t="e">
        <f t="shared" si="582"/>
        <v>#DIV/0!</v>
      </c>
      <c r="O143" s="129" t="e">
        <f t="shared" si="582"/>
        <v>#DIV/0!</v>
      </c>
      <c r="P143" s="129" t="e">
        <f t="shared" si="582"/>
        <v>#DIV/0!</v>
      </c>
      <c r="Q143" s="129" t="e">
        <f t="shared" si="582"/>
        <v>#DIV/0!</v>
      </c>
      <c r="R143" s="129" t="e">
        <f t="shared" si="582"/>
        <v>#DIV/0!</v>
      </c>
      <c r="S143" s="129" t="e">
        <f t="shared" si="582"/>
        <v>#DIV/0!</v>
      </c>
      <c r="T143" s="129" t="e">
        <f t="shared" si="582"/>
        <v>#DIV/0!</v>
      </c>
      <c r="U143" s="129" t="e">
        <f t="shared" ref="U143" si="583">U140/U20</f>
        <v>#DIV/0!</v>
      </c>
      <c r="V143" s="101" t="e">
        <f t="shared" si="528"/>
        <v>#DIV/0!</v>
      </c>
      <c r="W143" s="10"/>
      <c r="X143" s="129" t="e">
        <f t="shared" ref="X143:AG143" si="584">X140/X20</f>
        <v>#DIV/0!</v>
      </c>
      <c r="Y143" s="129" t="e">
        <f t="shared" si="584"/>
        <v>#DIV/0!</v>
      </c>
      <c r="Z143" s="129" t="e">
        <f t="shared" si="584"/>
        <v>#DIV/0!</v>
      </c>
      <c r="AA143" s="129" t="e">
        <f t="shared" si="584"/>
        <v>#DIV/0!</v>
      </c>
      <c r="AB143" s="129" t="e">
        <f t="shared" si="584"/>
        <v>#DIV/0!</v>
      </c>
      <c r="AC143" s="129" t="e">
        <f t="shared" si="584"/>
        <v>#DIV/0!</v>
      </c>
      <c r="AD143" s="129" t="e">
        <f t="shared" si="584"/>
        <v>#DIV/0!</v>
      </c>
      <c r="AE143" s="129" t="e">
        <f t="shared" si="584"/>
        <v>#DIV/0!</v>
      </c>
      <c r="AF143" s="129" t="e">
        <f t="shared" si="584"/>
        <v>#DIV/0!</v>
      </c>
      <c r="AG143" s="129" t="e">
        <f t="shared" si="584"/>
        <v>#DIV/0!</v>
      </c>
      <c r="AH143" s="116" t="s">
        <v>396</v>
      </c>
      <c r="AI143" s="10"/>
      <c r="AJ143" s="10"/>
    </row>
    <row r="144" spans="1:36" x14ac:dyDescent="0.2">
      <c r="B144" s="10"/>
      <c r="C144" s="10"/>
      <c r="D144" s="10"/>
      <c r="E144" s="10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10"/>
      <c r="W144" s="10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  <c r="AH144" s="110"/>
      <c r="AI144" s="10"/>
      <c r="AJ144" s="10"/>
    </row>
    <row r="145" spans="2:36" x14ac:dyDescent="0.2">
      <c r="B145" s="10" t="s">
        <v>278</v>
      </c>
      <c r="C145" s="129"/>
      <c r="D145" s="129"/>
      <c r="E145" s="129"/>
      <c r="F145" s="129"/>
      <c r="G145" s="129">
        <f t="shared" ref="G145" si="585">G31/G25</f>
        <v>0</v>
      </c>
      <c r="H145" s="129">
        <f t="shared" ref="H145:I145" si="586">H31/H25</f>
        <v>0</v>
      </c>
      <c r="I145" s="129">
        <f t="shared" si="586"/>
        <v>0</v>
      </c>
      <c r="J145" s="129">
        <f t="shared" ref="J145:T145" si="587">J31/J25</f>
        <v>0</v>
      </c>
      <c r="K145" s="129">
        <f t="shared" si="587"/>
        <v>0</v>
      </c>
      <c r="L145" s="129">
        <f t="shared" si="587"/>
        <v>0</v>
      </c>
      <c r="M145" s="129">
        <f t="shared" si="587"/>
        <v>0</v>
      </c>
      <c r="N145" s="129">
        <f t="shared" si="587"/>
        <v>0</v>
      </c>
      <c r="O145" s="129">
        <f t="shared" si="587"/>
        <v>0</v>
      </c>
      <c r="P145" s="129">
        <f t="shared" si="587"/>
        <v>0</v>
      </c>
      <c r="Q145" s="129" t="e">
        <f t="shared" si="587"/>
        <v>#DIV/0!</v>
      </c>
      <c r="R145" s="129">
        <f t="shared" si="587"/>
        <v>0</v>
      </c>
      <c r="S145" s="129">
        <f t="shared" si="587"/>
        <v>0</v>
      </c>
      <c r="T145" s="129">
        <f t="shared" si="587"/>
        <v>0</v>
      </c>
      <c r="U145" s="129">
        <f t="shared" ref="U145" si="588">U31/U25</f>
        <v>0</v>
      </c>
      <c r="V145" s="101" t="e">
        <f t="shared" si="528"/>
        <v>#DIV/0!</v>
      </c>
      <c r="W145" s="10"/>
      <c r="X145" s="129">
        <f t="shared" ref="X145:AG145" si="589">X31/X25</f>
        <v>0</v>
      </c>
      <c r="Y145" s="129">
        <f t="shared" si="589"/>
        <v>0</v>
      </c>
      <c r="Z145" s="129">
        <f t="shared" si="589"/>
        <v>0</v>
      </c>
      <c r="AA145" s="129">
        <f t="shared" si="589"/>
        <v>0</v>
      </c>
      <c r="AB145" s="129">
        <f t="shared" si="589"/>
        <v>0</v>
      </c>
      <c r="AC145" s="129">
        <f t="shared" si="589"/>
        <v>0</v>
      </c>
      <c r="AD145" s="129">
        <f t="shared" si="589"/>
        <v>0</v>
      </c>
      <c r="AE145" s="129">
        <f t="shared" si="589"/>
        <v>0</v>
      </c>
      <c r="AF145" s="129">
        <f t="shared" si="589"/>
        <v>0</v>
      </c>
      <c r="AG145" s="129">
        <f t="shared" si="589"/>
        <v>0</v>
      </c>
      <c r="AH145" s="116" t="e">
        <f t="shared" si="414"/>
        <v>#DIV/0!</v>
      </c>
      <c r="AI145" s="10"/>
      <c r="AJ145" s="10"/>
    </row>
    <row r="146" spans="2:36" x14ac:dyDescent="0.2">
      <c r="B146" s="10" t="s">
        <v>275</v>
      </c>
      <c r="C146" s="129"/>
      <c r="D146" s="129"/>
      <c r="E146" s="129"/>
      <c r="F146" s="129"/>
      <c r="G146" s="129">
        <f t="shared" ref="G146" si="590">G32/G25</f>
        <v>0</v>
      </c>
      <c r="H146" s="129">
        <f t="shared" ref="H146:I146" si="591">H32/H25</f>
        <v>0</v>
      </c>
      <c r="I146" s="129">
        <f t="shared" si="591"/>
        <v>0</v>
      </c>
      <c r="J146" s="129">
        <f t="shared" ref="J146:T146" si="592">J32/J25</f>
        <v>0</v>
      </c>
      <c r="K146" s="129">
        <f t="shared" si="592"/>
        <v>0</v>
      </c>
      <c r="L146" s="129">
        <f t="shared" si="592"/>
        <v>0</v>
      </c>
      <c r="M146" s="129">
        <f t="shared" si="592"/>
        <v>0</v>
      </c>
      <c r="N146" s="129">
        <f t="shared" si="592"/>
        <v>0</v>
      </c>
      <c r="O146" s="129">
        <f t="shared" si="592"/>
        <v>0</v>
      </c>
      <c r="P146" s="129">
        <f t="shared" si="592"/>
        <v>0</v>
      </c>
      <c r="Q146" s="129" t="e">
        <f t="shared" si="592"/>
        <v>#DIV/0!</v>
      </c>
      <c r="R146" s="129">
        <f t="shared" si="592"/>
        <v>0</v>
      </c>
      <c r="S146" s="129">
        <f t="shared" si="592"/>
        <v>0</v>
      </c>
      <c r="T146" s="129">
        <f t="shared" si="592"/>
        <v>0</v>
      </c>
      <c r="U146" s="129">
        <f t="shared" ref="U146" si="593">U32/U25</f>
        <v>0</v>
      </c>
      <c r="V146" s="101" t="e">
        <f t="shared" si="528"/>
        <v>#DIV/0!</v>
      </c>
      <c r="W146" s="10"/>
      <c r="X146" s="129">
        <f t="shared" ref="X146:AG146" si="594">X32/X25</f>
        <v>0</v>
      </c>
      <c r="Y146" s="129">
        <f t="shared" si="594"/>
        <v>0</v>
      </c>
      <c r="Z146" s="129">
        <f t="shared" si="594"/>
        <v>0</v>
      </c>
      <c r="AA146" s="129">
        <f t="shared" si="594"/>
        <v>0</v>
      </c>
      <c r="AB146" s="129">
        <f t="shared" si="594"/>
        <v>0</v>
      </c>
      <c r="AC146" s="129">
        <f t="shared" si="594"/>
        <v>0</v>
      </c>
      <c r="AD146" s="129">
        <f t="shared" si="594"/>
        <v>0</v>
      </c>
      <c r="AE146" s="129">
        <f t="shared" si="594"/>
        <v>0</v>
      </c>
      <c r="AF146" s="129">
        <f t="shared" si="594"/>
        <v>0</v>
      </c>
      <c r="AG146" s="129">
        <f t="shared" si="594"/>
        <v>0</v>
      </c>
      <c r="AH146" s="116" t="e">
        <f t="shared" si="414"/>
        <v>#DIV/0!</v>
      </c>
      <c r="AI146" s="10"/>
      <c r="AJ146" s="10"/>
    </row>
    <row r="147" spans="2:36" x14ac:dyDescent="0.2">
      <c r="B147" s="10" t="s">
        <v>403</v>
      </c>
      <c r="C147" s="129"/>
      <c r="D147" s="129"/>
      <c r="E147" s="129"/>
      <c r="F147" s="129"/>
      <c r="G147" s="129">
        <f t="shared" ref="G147" si="595">(G31+G32)/G25</f>
        <v>0</v>
      </c>
      <c r="H147" s="129">
        <f t="shared" ref="H147:I147" si="596">(H31+H32)/H25</f>
        <v>0</v>
      </c>
      <c r="I147" s="129">
        <f t="shared" si="596"/>
        <v>0</v>
      </c>
      <c r="J147" s="129">
        <f t="shared" ref="J147:T147" si="597">(J31+J32)/J25</f>
        <v>0</v>
      </c>
      <c r="K147" s="129">
        <f t="shared" si="597"/>
        <v>0</v>
      </c>
      <c r="L147" s="129">
        <f t="shared" si="597"/>
        <v>0</v>
      </c>
      <c r="M147" s="129">
        <f t="shared" si="597"/>
        <v>0</v>
      </c>
      <c r="N147" s="129">
        <f t="shared" si="597"/>
        <v>0</v>
      </c>
      <c r="O147" s="129">
        <f t="shared" si="597"/>
        <v>0</v>
      </c>
      <c r="P147" s="129">
        <f t="shared" si="597"/>
        <v>0</v>
      </c>
      <c r="Q147" s="129" t="e">
        <f t="shared" si="597"/>
        <v>#DIV/0!</v>
      </c>
      <c r="R147" s="129">
        <f t="shared" si="597"/>
        <v>0</v>
      </c>
      <c r="S147" s="129">
        <f t="shared" si="597"/>
        <v>0</v>
      </c>
      <c r="T147" s="129">
        <f t="shared" si="597"/>
        <v>0</v>
      </c>
      <c r="U147" s="129">
        <f t="shared" ref="U147" si="598">(U31+U32)/U25</f>
        <v>0</v>
      </c>
      <c r="V147" s="101" t="e">
        <f t="shared" si="528"/>
        <v>#DIV/0!</v>
      </c>
      <c r="W147" s="10"/>
      <c r="X147" s="129">
        <f t="shared" ref="X147:AG147" si="599">(X31+X32)/X25</f>
        <v>0</v>
      </c>
      <c r="Y147" s="129">
        <f t="shared" si="599"/>
        <v>0</v>
      </c>
      <c r="Z147" s="129">
        <f t="shared" si="599"/>
        <v>0</v>
      </c>
      <c r="AA147" s="129">
        <f t="shared" si="599"/>
        <v>0</v>
      </c>
      <c r="AB147" s="129">
        <f t="shared" si="599"/>
        <v>0</v>
      </c>
      <c r="AC147" s="129">
        <f t="shared" si="599"/>
        <v>0</v>
      </c>
      <c r="AD147" s="129">
        <f t="shared" si="599"/>
        <v>0</v>
      </c>
      <c r="AE147" s="129">
        <f t="shared" si="599"/>
        <v>0</v>
      </c>
      <c r="AF147" s="129">
        <f t="shared" si="599"/>
        <v>0</v>
      </c>
      <c r="AG147" s="129">
        <f t="shared" si="599"/>
        <v>0</v>
      </c>
      <c r="AH147" s="116" t="e">
        <f t="shared" si="414"/>
        <v>#DIV/0!</v>
      </c>
      <c r="AI147" s="10"/>
      <c r="AJ147" s="10"/>
    </row>
    <row r="148" spans="2:36" x14ac:dyDescent="0.2">
      <c r="B148" s="10"/>
      <c r="C148" s="10"/>
      <c r="D148" s="10"/>
      <c r="E148" s="10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10"/>
      <c r="W148" s="10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29"/>
      <c r="AH148" s="110"/>
      <c r="AI148" s="10"/>
      <c r="AJ148" s="10"/>
    </row>
    <row r="149" spans="2:36" x14ac:dyDescent="0.2">
      <c r="B149" s="10" t="s">
        <v>299</v>
      </c>
      <c r="C149" s="10"/>
      <c r="D149" s="10"/>
      <c r="E149" s="10"/>
      <c r="F149" s="129"/>
      <c r="G149" s="129">
        <f t="shared" ref="G149" si="600">G27/G25</f>
        <v>0.63043478260869568</v>
      </c>
      <c r="H149" s="129">
        <f t="shared" ref="H149:I149" si="601">H27/H25</f>
        <v>0.63043478260869568</v>
      </c>
      <c r="I149" s="129">
        <f t="shared" si="601"/>
        <v>0.6607142857142857</v>
      </c>
      <c r="J149" s="129">
        <f t="shared" ref="J149:T149" si="602">J27/J25</f>
        <v>0.66442953020134232</v>
      </c>
      <c r="K149" s="129">
        <f t="shared" si="602"/>
        <v>0.70796460176991149</v>
      </c>
      <c r="L149" s="129">
        <f t="shared" si="602"/>
        <v>0.77241379310344827</v>
      </c>
      <c r="M149" s="129">
        <f t="shared" si="602"/>
        <v>0.68299711815561959</v>
      </c>
      <c r="N149" s="129">
        <f t="shared" si="602"/>
        <v>0.68299711815561959</v>
      </c>
      <c r="O149" s="129">
        <f t="shared" si="602"/>
        <v>0.69512195121951215</v>
      </c>
      <c r="P149" s="129">
        <f t="shared" si="602"/>
        <v>0.87586206896551722</v>
      </c>
      <c r="Q149" s="129" t="e">
        <f t="shared" si="602"/>
        <v>#DIV/0!</v>
      </c>
      <c r="R149" s="129">
        <f t="shared" si="602"/>
        <v>0.91357273280584295</v>
      </c>
      <c r="S149" s="129">
        <f t="shared" si="602"/>
        <v>0.97411803494889548</v>
      </c>
      <c r="T149" s="129">
        <f t="shared" si="602"/>
        <v>0.95301163192445004</v>
      </c>
      <c r="U149" s="129">
        <f t="shared" ref="U149" si="603">U27/U25</f>
        <v>0.95301163192445004</v>
      </c>
      <c r="V149" s="101">
        <f t="shared" si="528"/>
        <v>2.9955428840447107E-2</v>
      </c>
      <c r="W149" s="10"/>
      <c r="X149" s="129">
        <f t="shared" ref="X149:AG149" si="604">X27/X25</f>
        <v>0.95301163192445015</v>
      </c>
      <c r="Y149" s="129">
        <f t="shared" si="604"/>
        <v>0.95301163192445026</v>
      </c>
      <c r="Z149" s="129">
        <f t="shared" si="604"/>
        <v>0.95301163192445026</v>
      </c>
      <c r="AA149" s="129">
        <f t="shared" si="604"/>
        <v>0.95301163192445015</v>
      </c>
      <c r="AB149" s="129">
        <f t="shared" si="604"/>
        <v>0.95301163192445015</v>
      </c>
      <c r="AC149" s="129">
        <f t="shared" si="604"/>
        <v>0.95301163192445015</v>
      </c>
      <c r="AD149" s="129">
        <f t="shared" si="604"/>
        <v>0.95301163192445026</v>
      </c>
      <c r="AE149" s="129">
        <f t="shared" si="604"/>
        <v>0.95301163192445015</v>
      </c>
      <c r="AF149" s="129">
        <f t="shared" si="604"/>
        <v>0.95301163192445015</v>
      </c>
      <c r="AG149" s="129">
        <f t="shared" si="604"/>
        <v>0.95301163192445015</v>
      </c>
      <c r="AH149" s="116">
        <f t="shared" si="414"/>
        <v>1.5806150472990721E-2</v>
      </c>
      <c r="AI149" s="10"/>
      <c r="AJ149" s="10"/>
    </row>
    <row r="150" spans="2:36" x14ac:dyDescent="0.2">
      <c r="B150" s="10" t="str">
        <f>B33</f>
        <v>Top Expenses ( Employee )</v>
      </c>
      <c r="C150" s="10"/>
      <c r="D150" s="10"/>
      <c r="E150" s="10"/>
      <c r="F150" s="129"/>
      <c r="G150" s="129">
        <f t="shared" ref="G150" si="605">G33/G25</f>
        <v>0</v>
      </c>
      <c r="H150" s="129">
        <f t="shared" ref="H150:I150" si="606">H33/H25</f>
        <v>0</v>
      </c>
      <c r="I150" s="129">
        <f t="shared" si="606"/>
        <v>0</v>
      </c>
      <c r="J150" s="129">
        <f t="shared" ref="J150:T150" si="607">J33/J25</f>
        <v>0</v>
      </c>
      <c r="K150" s="129">
        <f t="shared" si="607"/>
        <v>0</v>
      </c>
      <c r="L150" s="129">
        <f t="shared" si="607"/>
        <v>0</v>
      </c>
      <c r="M150" s="129">
        <f t="shared" si="607"/>
        <v>0</v>
      </c>
      <c r="N150" s="129">
        <f t="shared" si="607"/>
        <v>0</v>
      </c>
      <c r="O150" s="129">
        <f t="shared" si="607"/>
        <v>0</v>
      </c>
      <c r="P150" s="129">
        <f t="shared" si="607"/>
        <v>0</v>
      </c>
      <c r="Q150" s="129" t="e">
        <f t="shared" si="607"/>
        <v>#DIV/0!</v>
      </c>
      <c r="R150" s="129">
        <f t="shared" si="607"/>
        <v>0</v>
      </c>
      <c r="S150" s="129">
        <f t="shared" si="607"/>
        <v>0</v>
      </c>
      <c r="T150" s="129">
        <f t="shared" si="607"/>
        <v>0</v>
      </c>
      <c r="U150" s="129">
        <f t="shared" ref="U150" si="608">U33/U25</f>
        <v>0</v>
      </c>
      <c r="V150" s="101" t="e">
        <f t="shared" si="528"/>
        <v>#DIV/0!</v>
      </c>
      <c r="W150" s="10"/>
      <c r="X150" s="129">
        <f t="shared" ref="X150:AG150" si="609">X33/X25</f>
        <v>0</v>
      </c>
      <c r="Y150" s="129">
        <f t="shared" si="609"/>
        <v>0</v>
      </c>
      <c r="Z150" s="129">
        <f t="shared" si="609"/>
        <v>0</v>
      </c>
      <c r="AA150" s="129">
        <f t="shared" si="609"/>
        <v>0</v>
      </c>
      <c r="AB150" s="129">
        <f t="shared" si="609"/>
        <v>0</v>
      </c>
      <c r="AC150" s="129">
        <f t="shared" si="609"/>
        <v>0</v>
      </c>
      <c r="AD150" s="129">
        <f t="shared" si="609"/>
        <v>0</v>
      </c>
      <c r="AE150" s="129">
        <f t="shared" si="609"/>
        <v>0</v>
      </c>
      <c r="AF150" s="129">
        <f t="shared" si="609"/>
        <v>0</v>
      </c>
      <c r="AG150" s="129">
        <f t="shared" si="609"/>
        <v>0</v>
      </c>
      <c r="AH150" s="116" t="e">
        <f t="shared" si="414"/>
        <v>#DIV/0!</v>
      </c>
      <c r="AI150" s="10"/>
      <c r="AJ150" s="10"/>
    </row>
    <row r="151" spans="2:36" x14ac:dyDescent="0.2">
      <c r="B151" s="10" t="str">
        <f>B34</f>
        <v>2nd highest Expenses Comp. (Misc )</v>
      </c>
      <c r="C151" s="10"/>
      <c r="D151" s="10"/>
      <c r="E151" s="10"/>
      <c r="F151" s="129"/>
      <c r="G151" s="129">
        <f t="shared" ref="G151" si="610">G34/G25</f>
        <v>0.2318840579710145</v>
      </c>
      <c r="H151" s="129">
        <f t="shared" ref="H151:I151" si="611">H34/H25</f>
        <v>0.2391304347826087</v>
      </c>
      <c r="I151" s="129">
        <f t="shared" si="611"/>
        <v>0.2857142857142857</v>
      </c>
      <c r="J151" s="129">
        <f t="shared" ref="J151:T151" si="612">J34/J25</f>
        <v>0.31208053691275167</v>
      </c>
      <c r="K151" s="129">
        <f t="shared" si="612"/>
        <v>0.33923303834808261</v>
      </c>
      <c r="L151" s="129">
        <f t="shared" si="612"/>
        <v>0.36551724137931035</v>
      </c>
      <c r="M151" s="129">
        <f t="shared" si="612"/>
        <v>0.36311239193083572</v>
      </c>
      <c r="N151" s="129">
        <f t="shared" si="612"/>
        <v>0.44380403458213258</v>
      </c>
      <c r="O151" s="129">
        <f t="shared" si="612"/>
        <v>0.42682926829268292</v>
      </c>
      <c r="P151" s="129">
        <f t="shared" si="612"/>
        <v>0.72873563218390802</v>
      </c>
      <c r="Q151" s="129" t="e">
        <f t="shared" si="612"/>
        <v>#DIV/0!</v>
      </c>
      <c r="R151" s="129">
        <f t="shared" si="612"/>
        <v>0.78393183201460748</v>
      </c>
      <c r="S151" s="129">
        <f t="shared" si="612"/>
        <v>0.55687438180019777</v>
      </c>
      <c r="T151" s="129">
        <f t="shared" si="612"/>
        <v>0.46677415639755843</v>
      </c>
      <c r="U151" s="129">
        <f t="shared" ref="U151" si="613">U34/U25</f>
        <v>0.46677415639755843</v>
      </c>
      <c r="V151" s="101">
        <f t="shared" si="528"/>
        <v>5.1241664120257768E-2</v>
      </c>
      <c r="W151" s="10"/>
      <c r="X151" s="129">
        <f t="shared" ref="X151:AG151" si="614">X34/X25</f>
        <v>0.46677415639755848</v>
      </c>
      <c r="Y151" s="129">
        <f t="shared" si="614"/>
        <v>0.46677415639755848</v>
      </c>
      <c r="Z151" s="129">
        <f t="shared" si="614"/>
        <v>0.46677415639755854</v>
      </c>
      <c r="AA151" s="129">
        <f t="shared" si="614"/>
        <v>0.46677415639755854</v>
      </c>
      <c r="AB151" s="129">
        <f t="shared" si="614"/>
        <v>0.46677415639755854</v>
      </c>
      <c r="AC151" s="129">
        <f t="shared" si="614"/>
        <v>0.46677415639755854</v>
      </c>
      <c r="AD151" s="129">
        <f t="shared" si="614"/>
        <v>0.46677415639755848</v>
      </c>
      <c r="AE151" s="129">
        <f t="shared" si="614"/>
        <v>0.46677415639755854</v>
      </c>
      <c r="AF151" s="129">
        <f t="shared" si="614"/>
        <v>0.46677415639755848</v>
      </c>
      <c r="AG151" s="129">
        <f t="shared" si="614"/>
        <v>0.46677415639755848</v>
      </c>
      <c r="AH151" s="116">
        <f t="shared" si="414"/>
        <v>1.7657749864970151E-2</v>
      </c>
      <c r="AI151" s="10"/>
      <c r="AJ151" s="10"/>
    </row>
    <row r="152" spans="2:36" x14ac:dyDescent="0.2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0"/>
      <c r="W152" s="110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17"/>
      <c r="AI152" s="10"/>
      <c r="AJ152" s="10"/>
    </row>
    <row r="153" spans="2:36" x14ac:dyDescent="0.2">
      <c r="B153" s="93" t="s">
        <v>307</v>
      </c>
      <c r="C153" s="10"/>
      <c r="D153" s="10"/>
      <c r="E153" s="10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01" t="e">
        <f t="shared" si="528"/>
        <v>#DIV/0!</v>
      </c>
      <c r="W153" s="110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16"/>
      <c r="AI153" s="10"/>
      <c r="AJ153" s="10"/>
    </row>
    <row r="154" spans="2:36" x14ac:dyDescent="0.2">
      <c r="B154" s="10" t="s">
        <v>310</v>
      </c>
      <c r="C154" s="10"/>
      <c r="D154" s="10"/>
      <c r="E154" s="10"/>
      <c r="F154" s="15"/>
      <c r="G154" s="15">
        <f t="shared" ref="G154" si="615">G15/G9</f>
        <v>1.8461538461538463</v>
      </c>
      <c r="H154" s="15">
        <f t="shared" ref="H154:I154" si="616">H15/H9</f>
        <v>1.5</v>
      </c>
      <c r="I154" s="15">
        <f t="shared" si="616"/>
        <v>1.5404255319148936</v>
      </c>
      <c r="J154" s="15">
        <f t="shared" ref="J154:T154" si="617">J15/J9</f>
        <v>1.967741935483871</v>
      </c>
      <c r="K154" s="15">
        <f t="shared" si="617"/>
        <v>1.9018404907975459</v>
      </c>
      <c r="L154" s="15">
        <f t="shared" si="617"/>
        <v>1.4747899159663866</v>
      </c>
      <c r="M154" s="15">
        <f t="shared" si="617"/>
        <v>1.4916666666666667</v>
      </c>
      <c r="N154" s="15">
        <f t="shared" si="617"/>
        <v>1.6996587030716723</v>
      </c>
      <c r="O154" s="15">
        <f t="shared" si="617"/>
        <v>1.3062499999999999</v>
      </c>
      <c r="P154" s="15">
        <f t="shared" si="617"/>
        <v>0.82491582491582494</v>
      </c>
      <c r="Q154" s="15" t="e">
        <f t="shared" si="617"/>
        <v>#DIV/0!</v>
      </c>
      <c r="R154" s="15">
        <f t="shared" si="617"/>
        <v>0.80017301038062283</v>
      </c>
      <c r="S154" s="15">
        <f t="shared" si="617"/>
        <v>0.69460390355912749</v>
      </c>
      <c r="T154" s="15">
        <f t="shared" si="617"/>
        <v>0.7420901246404602</v>
      </c>
      <c r="U154" s="15">
        <f t="shared" ref="U154" si="618">U15/U9</f>
        <v>0.7420901246404602</v>
      </c>
      <c r="V154" s="101">
        <f t="shared" si="528"/>
        <v>-6.3025506123746466E-2</v>
      </c>
      <c r="W154" s="10"/>
      <c r="X154" s="10">
        <f t="shared" ref="X154:AG154" si="619">X15/X9</f>
        <v>0.7420901246404602</v>
      </c>
      <c r="Y154" s="10">
        <f t="shared" si="619"/>
        <v>0.74209012464046009</v>
      </c>
      <c r="Z154" s="10">
        <f t="shared" si="619"/>
        <v>0.74209012464045998</v>
      </c>
      <c r="AA154" s="10">
        <f t="shared" si="619"/>
        <v>0.74209012464045998</v>
      </c>
      <c r="AB154" s="10">
        <f t="shared" si="619"/>
        <v>0.74209012464046009</v>
      </c>
      <c r="AC154" s="10">
        <f t="shared" si="619"/>
        <v>0.74209012464046009</v>
      </c>
      <c r="AD154" s="10">
        <f t="shared" si="619"/>
        <v>0.74209012464046009</v>
      </c>
      <c r="AE154" s="10">
        <f t="shared" si="619"/>
        <v>0.74209012464046009</v>
      </c>
      <c r="AF154" s="10">
        <f t="shared" si="619"/>
        <v>0.7420901246404602</v>
      </c>
      <c r="AG154" s="10">
        <f t="shared" si="619"/>
        <v>0.74209012464046009</v>
      </c>
      <c r="AH154" s="116">
        <f t="shared" si="414"/>
        <v>-4.151249216082753E-2</v>
      </c>
      <c r="AI154" s="10"/>
      <c r="AJ154" s="10"/>
    </row>
    <row r="155" spans="2:36" x14ac:dyDescent="0.2">
      <c r="B155" s="10" t="s">
        <v>300</v>
      </c>
      <c r="C155" s="10"/>
      <c r="D155" s="10"/>
      <c r="E155" s="10"/>
      <c r="F155" s="15"/>
      <c r="G155" s="15">
        <f t="shared" ref="G155" si="620">G12/G9</f>
        <v>1.043956043956044</v>
      </c>
      <c r="H155" s="15">
        <f t="shared" ref="H155:I155" si="621">H12/H9</f>
        <v>0.77272727272727271</v>
      </c>
      <c r="I155" s="15">
        <f t="shared" si="621"/>
        <v>0.76595744680851063</v>
      </c>
      <c r="J155" s="15">
        <f t="shared" ref="J155:T155" si="622">J12/J9</f>
        <v>0.90322580645161288</v>
      </c>
      <c r="K155" s="15">
        <f t="shared" si="622"/>
        <v>0.96932515337423308</v>
      </c>
      <c r="L155" s="15">
        <f t="shared" si="622"/>
        <v>0.60504201680672265</v>
      </c>
      <c r="M155" s="15">
        <f t="shared" si="622"/>
        <v>0.56666666666666665</v>
      </c>
      <c r="N155" s="15">
        <f t="shared" si="622"/>
        <v>0.92832764505119458</v>
      </c>
      <c r="O155" s="15">
        <f t="shared" si="622"/>
        <v>0.65</v>
      </c>
      <c r="P155" s="15">
        <f t="shared" si="622"/>
        <v>0.55555555555555558</v>
      </c>
      <c r="Q155" s="15" t="e">
        <f t="shared" si="622"/>
        <v>#DIV/0!</v>
      </c>
      <c r="R155" s="15">
        <f t="shared" si="622"/>
        <v>0.55795847750865057</v>
      </c>
      <c r="S155" s="15">
        <f t="shared" si="622"/>
        <v>0.31649445082280903</v>
      </c>
      <c r="T155" s="15">
        <f t="shared" si="622"/>
        <v>0.29977628635346754</v>
      </c>
      <c r="U155" s="15">
        <f t="shared" ref="U155" si="623">U12/U9</f>
        <v>0.29977628635346754</v>
      </c>
      <c r="V155" s="101">
        <f t="shared" si="528"/>
        <v>-8.5267871987897759E-2</v>
      </c>
      <c r="W155" s="110"/>
      <c r="X155" s="10">
        <f t="shared" ref="X155:AG155" si="624">X12/X9</f>
        <v>0.29977628635346754</v>
      </c>
      <c r="Y155" s="10">
        <f t="shared" si="624"/>
        <v>0.29977628635346748</v>
      </c>
      <c r="Z155" s="10">
        <f t="shared" si="624"/>
        <v>0.29977628635346742</v>
      </c>
      <c r="AA155" s="10">
        <f t="shared" si="624"/>
        <v>0.29977628635346742</v>
      </c>
      <c r="AB155" s="10">
        <f t="shared" si="624"/>
        <v>0.29977628635346748</v>
      </c>
      <c r="AC155" s="10">
        <f t="shared" si="624"/>
        <v>0.29977628635346742</v>
      </c>
      <c r="AD155" s="10">
        <f t="shared" si="624"/>
        <v>0.29977628635346748</v>
      </c>
      <c r="AE155" s="10">
        <f t="shared" si="624"/>
        <v>0.29977628635346748</v>
      </c>
      <c r="AF155" s="10">
        <f t="shared" si="624"/>
        <v>0.29977628635346748</v>
      </c>
      <c r="AG155" s="10">
        <f t="shared" si="624"/>
        <v>0.29977628635346748</v>
      </c>
      <c r="AH155" s="101">
        <f t="shared" ref="AH155" si="625">((AG155/X155)^(1/($K$2-$K$1) ))-1</f>
        <v>0</v>
      </c>
      <c r="AI155" s="10"/>
      <c r="AJ155" s="10"/>
    </row>
    <row r="156" spans="2:36" x14ac:dyDescent="0.2">
      <c r="B156" s="10" t="s">
        <v>302</v>
      </c>
      <c r="C156" s="10"/>
      <c r="D156" s="10"/>
      <c r="E156" s="10"/>
      <c r="F156" s="15"/>
      <c r="G156" s="15">
        <f t="shared" ref="G156" si="626">G25/360</f>
        <v>0.38333333333333336</v>
      </c>
      <c r="H156" s="15">
        <f t="shared" ref="H156:I156" si="627">H25/360</f>
        <v>0.38333333333333336</v>
      </c>
      <c r="I156" s="15">
        <f t="shared" si="627"/>
        <v>0.62222222222222223</v>
      </c>
      <c r="J156" s="15">
        <f t="shared" ref="J156:T156" si="628">J25/360</f>
        <v>0.82777777777777772</v>
      </c>
      <c r="K156" s="15">
        <f t="shared" si="628"/>
        <v>0.94166666666666665</v>
      </c>
      <c r="L156" s="15">
        <f t="shared" si="628"/>
        <v>0.80555555555555558</v>
      </c>
      <c r="M156" s="15">
        <f t="shared" si="628"/>
        <v>0.96388888888888891</v>
      </c>
      <c r="N156" s="15">
        <f t="shared" si="628"/>
        <v>0.96388888888888891</v>
      </c>
      <c r="O156" s="15">
        <f t="shared" si="628"/>
        <v>1.1388888888888888</v>
      </c>
      <c r="P156" s="15">
        <f t="shared" si="628"/>
        <v>3.625</v>
      </c>
      <c r="Q156" s="15">
        <f t="shared" si="628"/>
        <v>0</v>
      </c>
      <c r="R156" s="15">
        <f t="shared" si="628"/>
        <v>9.1277777777777782</v>
      </c>
      <c r="S156" s="15">
        <f t="shared" si="628"/>
        <v>16.850000000000001</v>
      </c>
      <c r="T156" s="15">
        <f t="shared" si="628"/>
        <v>24.119444444444444</v>
      </c>
      <c r="U156" s="15">
        <f t="shared" ref="U156" si="629">U25/360</f>
        <v>24.119444444444444</v>
      </c>
      <c r="V156" s="101">
        <f t="shared" si="528"/>
        <v>0.34426549458657196</v>
      </c>
      <c r="W156" s="110"/>
      <c r="X156" s="15">
        <f t="shared" ref="X156:AG156" si="630">X25/360</f>
        <v>27.73736111111111</v>
      </c>
      <c r="Y156" s="15">
        <f t="shared" si="630"/>
        <v>31.897965277777772</v>
      </c>
      <c r="Z156" s="15">
        <f t="shared" si="630"/>
        <v>36.682660069444438</v>
      </c>
      <c r="AA156" s="15">
        <f t="shared" si="630"/>
        <v>42.185059079861098</v>
      </c>
      <c r="AB156" s="15">
        <f t="shared" si="630"/>
        <v>48.512817941840261</v>
      </c>
      <c r="AC156" s="15">
        <f t="shared" si="630"/>
        <v>55.789740633116295</v>
      </c>
      <c r="AD156" s="15">
        <f t="shared" si="630"/>
        <v>64.158201728083739</v>
      </c>
      <c r="AE156" s="15">
        <f t="shared" si="630"/>
        <v>73.781931987296289</v>
      </c>
      <c r="AF156" s="15">
        <f t="shared" si="630"/>
        <v>84.849221785390725</v>
      </c>
      <c r="AG156" s="15">
        <f t="shared" si="630"/>
        <v>97.57660505319933</v>
      </c>
      <c r="AH156" s="101">
        <f t="shared" ref="AH156:AH167" si="631">((AG156/X156)^(1/($K$2-$K$1) ))-1</f>
        <v>9.4006847318931053E-2</v>
      </c>
      <c r="AI156" s="10"/>
      <c r="AJ156" s="10"/>
    </row>
    <row r="157" spans="2:36" x14ac:dyDescent="0.2">
      <c r="B157" s="10" t="s">
        <v>301</v>
      </c>
      <c r="C157" s="10"/>
      <c r="D157" s="10"/>
      <c r="E157" s="10"/>
      <c r="F157" s="15"/>
      <c r="G157" s="15">
        <f t="shared" ref="G157" si="632">G27/360</f>
        <v>0.24166666666666667</v>
      </c>
      <c r="H157" s="15">
        <f t="shared" ref="H157:I157" si="633">H27/360</f>
        <v>0.24166666666666667</v>
      </c>
      <c r="I157" s="15">
        <f t="shared" si="633"/>
        <v>0.41111111111111109</v>
      </c>
      <c r="J157" s="15">
        <f t="shared" ref="J157:T157" si="634">J27/360</f>
        <v>0.55000000000000004</v>
      </c>
      <c r="K157" s="15">
        <f t="shared" si="634"/>
        <v>0.66666666666666663</v>
      </c>
      <c r="L157" s="15">
        <f t="shared" si="634"/>
        <v>0.62222222222222223</v>
      </c>
      <c r="M157" s="15">
        <f t="shared" si="634"/>
        <v>0.65833333333333333</v>
      </c>
      <c r="N157" s="15">
        <f t="shared" si="634"/>
        <v>0.65833333333333333</v>
      </c>
      <c r="O157" s="15">
        <f t="shared" si="634"/>
        <v>0.79166666666666663</v>
      </c>
      <c r="P157" s="15">
        <f t="shared" si="634"/>
        <v>3.1749999999999998</v>
      </c>
      <c r="Q157" s="15">
        <f t="shared" si="634"/>
        <v>0</v>
      </c>
      <c r="R157" s="15">
        <f t="shared" si="634"/>
        <v>8.3388888888888886</v>
      </c>
      <c r="S157" s="15">
        <f t="shared" si="634"/>
        <v>16.413888888888888</v>
      </c>
      <c r="T157" s="15">
        <f t="shared" si="634"/>
        <v>22.986111111111111</v>
      </c>
      <c r="U157" s="15">
        <f t="shared" ref="U157" si="635">U27/360</f>
        <v>22.986111111111111</v>
      </c>
      <c r="V157" s="101">
        <f t="shared" si="528"/>
        <v>0.38453354395232875</v>
      </c>
      <c r="W157" s="110"/>
      <c r="X157" s="15">
        <f t="shared" ref="X157:AG157" si="636">X27/360</f>
        <v>26.434027777777779</v>
      </c>
      <c r="Y157" s="15">
        <f t="shared" si="636"/>
        <v>30.399131944444445</v>
      </c>
      <c r="Z157" s="15">
        <f t="shared" si="636"/>
        <v>34.959001736111105</v>
      </c>
      <c r="AA157" s="15">
        <f t="shared" si="636"/>
        <v>40.20285199652777</v>
      </c>
      <c r="AB157" s="15">
        <f t="shared" si="636"/>
        <v>46.233279796006933</v>
      </c>
      <c r="AC157" s="15">
        <f t="shared" si="636"/>
        <v>53.168271765407965</v>
      </c>
      <c r="AD157" s="15">
        <f t="shared" si="636"/>
        <v>61.143512530219162</v>
      </c>
      <c r="AE157" s="15">
        <f t="shared" si="636"/>
        <v>70.315039409752032</v>
      </c>
      <c r="AF157" s="15">
        <f t="shared" si="636"/>
        <v>80.86229532121483</v>
      </c>
      <c r="AG157" s="15">
        <f t="shared" si="636"/>
        <v>92.991639619397048</v>
      </c>
      <c r="AH157" s="101">
        <f t="shared" si="631"/>
        <v>9.4006847318931053E-2</v>
      </c>
      <c r="AI157" s="10"/>
      <c r="AJ157" s="10"/>
    </row>
    <row r="158" spans="2:36" x14ac:dyDescent="0.2">
      <c r="B158" s="10"/>
      <c r="C158" s="10"/>
      <c r="D158" s="10"/>
      <c r="E158" s="10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10"/>
      <c r="W158" s="110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10"/>
      <c r="AI158" s="10"/>
      <c r="AJ158" s="10"/>
    </row>
    <row r="159" spans="2:36" x14ac:dyDescent="0.2">
      <c r="B159" s="10" t="s">
        <v>311</v>
      </c>
      <c r="C159" s="10"/>
      <c r="D159" s="10"/>
      <c r="E159" s="10"/>
      <c r="F159" s="15"/>
      <c r="G159" s="15">
        <f t="shared" ref="G159" si="637">G10/G7</f>
        <v>0.10416666666666667</v>
      </c>
      <c r="H159" s="15">
        <f t="shared" ref="H159:I159" si="638">H10/H7</f>
        <v>1.2048192771084338E-3</v>
      </c>
      <c r="I159" s="15">
        <f t="shared" si="638"/>
        <v>4.666666666666667</v>
      </c>
      <c r="J159" s="15">
        <f t="shared" ref="J159:T159" si="639">J10/J7</f>
        <v>1.4666666666666666</v>
      </c>
      <c r="K159" s="15">
        <f t="shared" si="639"/>
        <v>1.1659192825112108</v>
      </c>
      <c r="L159" s="15">
        <f t="shared" si="639"/>
        <v>0.5629139072847682</v>
      </c>
      <c r="M159" s="15">
        <f t="shared" si="639"/>
        <v>0.5911764705882353</v>
      </c>
      <c r="N159" s="15">
        <f t="shared" si="639"/>
        <v>0.57397959183673475</v>
      </c>
      <c r="O159" s="15">
        <f t="shared" si="639"/>
        <v>0.42465753424657532</v>
      </c>
      <c r="P159" s="15">
        <f t="shared" si="639"/>
        <v>0.26162790697674421</v>
      </c>
      <c r="Q159" s="15" t="e">
        <f t="shared" si="639"/>
        <v>#DIV/0!</v>
      </c>
      <c r="R159" s="15">
        <f t="shared" si="639"/>
        <v>0.27831957989497375</v>
      </c>
      <c r="S159" s="15">
        <f t="shared" si="639"/>
        <v>0.59329446064139946</v>
      </c>
      <c r="T159" s="15">
        <f t="shared" si="639"/>
        <v>0.71003039513677813</v>
      </c>
      <c r="U159" s="15">
        <f t="shared" ref="U159" si="640">U10/U7</f>
        <v>0.71003039513677813</v>
      </c>
      <c r="V159" s="101">
        <f t="shared" si="528"/>
        <v>0.14693592255403232</v>
      </c>
      <c r="W159" s="110"/>
      <c r="X159" s="15">
        <f t="shared" ref="X159:AG159" si="641">X10/X7</f>
        <v>0.71003039513677813</v>
      </c>
      <c r="Y159" s="15">
        <f t="shared" si="641"/>
        <v>0.71003039513677813</v>
      </c>
      <c r="Z159" s="15">
        <f t="shared" si="641"/>
        <v>0.71003039513677813</v>
      </c>
      <c r="AA159" s="15">
        <f t="shared" si="641"/>
        <v>0.71003039513677813</v>
      </c>
      <c r="AB159" s="15">
        <f t="shared" si="641"/>
        <v>0.71003039513677824</v>
      </c>
      <c r="AC159" s="15">
        <f t="shared" si="641"/>
        <v>0.71003039513677824</v>
      </c>
      <c r="AD159" s="15">
        <f t="shared" si="641"/>
        <v>0.71003039513677824</v>
      </c>
      <c r="AE159" s="15">
        <f t="shared" si="641"/>
        <v>0.71003039513677835</v>
      </c>
      <c r="AF159" s="15">
        <f t="shared" si="641"/>
        <v>0.71003039513677835</v>
      </c>
      <c r="AG159" s="15">
        <f t="shared" si="641"/>
        <v>0.71003039513677846</v>
      </c>
      <c r="AH159" s="101">
        <f t="shared" si="631"/>
        <v>0</v>
      </c>
      <c r="AI159" s="10"/>
      <c r="AJ159" s="10"/>
    </row>
    <row r="160" spans="2:36" x14ac:dyDescent="0.2">
      <c r="B160" s="10" t="s">
        <v>303</v>
      </c>
      <c r="C160" s="10"/>
      <c r="D160" s="10"/>
      <c r="E160" s="10"/>
      <c r="F160" s="15"/>
      <c r="G160" s="15">
        <f t="shared" ref="G160" si="642">G10/(G10+G7)</f>
        <v>9.4339622641509441E-2</v>
      </c>
      <c r="H160" s="15">
        <f t="shared" ref="H160:I160" si="643">H10/(H10+H7)</f>
        <v>1.2033694344163659E-3</v>
      </c>
      <c r="I160" s="15">
        <f t="shared" si="643"/>
        <v>0.82352941176470584</v>
      </c>
      <c r="J160" s="15">
        <f t="shared" ref="J160:T160" si="644">J10/(J10+J7)</f>
        <v>0.59459459459459463</v>
      </c>
      <c r="K160" s="15">
        <f t="shared" si="644"/>
        <v>0.5383022774327122</v>
      </c>
      <c r="L160" s="15">
        <f t="shared" si="644"/>
        <v>0.36016949152542371</v>
      </c>
      <c r="M160" s="15">
        <f t="shared" si="644"/>
        <v>0.37153419593345655</v>
      </c>
      <c r="N160" s="15">
        <f t="shared" si="644"/>
        <v>0.36466774716369532</v>
      </c>
      <c r="O160" s="15">
        <f t="shared" si="644"/>
        <v>0.29807692307692307</v>
      </c>
      <c r="P160" s="15">
        <f t="shared" si="644"/>
        <v>0.20737327188940091</v>
      </c>
      <c r="Q160" s="15" t="e">
        <f t="shared" si="644"/>
        <v>#DIV/0!</v>
      </c>
      <c r="R160" s="15">
        <f t="shared" si="644"/>
        <v>0.21772300469483569</v>
      </c>
      <c r="S160" s="15">
        <f t="shared" si="644"/>
        <v>0.37236962488563585</v>
      </c>
      <c r="T160" s="15">
        <f t="shared" si="644"/>
        <v>0.41521507287593318</v>
      </c>
      <c r="U160" s="15">
        <f t="shared" ref="U160" si="645">U10/(U10+U7)</f>
        <v>0.41521507287593318</v>
      </c>
      <c r="V160" s="101">
        <f t="shared" si="528"/>
        <v>0.11165474698190136</v>
      </c>
      <c r="W160" s="110"/>
      <c r="X160" s="15">
        <f t="shared" ref="X160:AG160" si="646">X10/(X10+X7)</f>
        <v>0.41521507287593312</v>
      </c>
      <c r="Y160" s="15">
        <f t="shared" si="646"/>
        <v>0.41521507287593318</v>
      </c>
      <c r="Z160" s="15">
        <f t="shared" si="646"/>
        <v>0.41521507287593318</v>
      </c>
      <c r="AA160" s="15">
        <f t="shared" si="646"/>
        <v>0.41521507287593318</v>
      </c>
      <c r="AB160" s="15">
        <f t="shared" si="646"/>
        <v>0.41521507287593323</v>
      </c>
      <c r="AC160" s="15">
        <f t="shared" si="646"/>
        <v>0.41521507287593318</v>
      </c>
      <c r="AD160" s="15">
        <f t="shared" si="646"/>
        <v>0.41521507287593323</v>
      </c>
      <c r="AE160" s="15">
        <f t="shared" si="646"/>
        <v>0.41521507287593323</v>
      </c>
      <c r="AF160" s="15">
        <f t="shared" si="646"/>
        <v>0.41521507287593323</v>
      </c>
      <c r="AG160" s="15">
        <f t="shared" si="646"/>
        <v>0.41521507287593329</v>
      </c>
      <c r="AH160" s="101">
        <f t="shared" si="631"/>
        <v>0</v>
      </c>
      <c r="AI160" s="10"/>
      <c r="AJ160" s="10"/>
    </row>
    <row r="161" spans="2:36" x14ac:dyDescent="0.2">
      <c r="B161" s="10"/>
      <c r="C161" s="10"/>
      <c r="D161" s="10"/>
      <c r="E161" s="10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10"/>
      <c r="W161" s="110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15"/>
      <c r="AI161" s="10"/>
      <c r="AJ161" s="10"/>
    </row>
    <row r="162" spans="2:36" x14ac:dyDescent="0.2">
      <c r="B162" s="10" t="s">
        <v>308</v>
      </c>
      <c r="C162" s="10"/>
      <c r="D162" s="10"/>
      <c r="E162" s="10"/>
      <c r="F162" s="15"/>
      <c r="G162" s="15">
        <f t="shared" ref="G162" si="647">G16</f>
        <v>105</v>
      </c>
      <c r="H162" s="15">
        <f t="shared" ref="H162:I162" si="648">H16</f>
        <v>97</v>
      </c>
      <c r="I162" s="15">
        <f t="shared" si="648"/>
        <v>185</v>
      </c>
      <c r="J162" s="15">
        <f t="shared" ref="J162:T162" si="649">J16</f>
        <v>263</v>
      </c>
      <c r="K162" s="15">
        <f t="shared" si="649"/>
        <v>268</v>
      </c>
      <c r="L162" s="15">
        <f t="shared" si="649"/>
        <v>217</v>
      </c>
      <c r="M162" s="15">
        <f t="shared" si="649"/>
        <v>279</v>
      </c>
      <c r="N162" s="15">
        <f t="shared" si="649"/>
        <v>330</v>
      </c>
      <c r="O162" s="15">
        <f t="shared" si="649"/>
        <v>267</v>
      </c>
      <c r="P162" s="15">
        <f t="shared" si="649"/>
        <v>227</v>
      </c>
      <c r="Q162" s="15">
        <f t="shared" si="649"/>
        <v>0</v>
      </c>
      <c r="R162" s="15">
        <f t="shared" si="649"/>
        <v>278</v>
      </c>
      <c r="S162" s="15">
        <f t="shared" si="649"/>
        <v>200</v>
      </c>
      <c r="T162" s="15">
        <f t="shared" si="649"/>
        <v>491</v>
      </c>
      <c r="U162" s="15">
        <f t="shared" ref="U162" si="650">U16</f>
        <v>491</v>
      </c>
      <c r="V162" s="101">
        <f t="shared" si="528"/>
        <v>0.11647612992091672</v>
      </c>
      <c r="W162" s="110"/>
      <c r="X162" s="15">
        <f t="shared" ref="X162:AG162" si="651">X16</f>
        <v>564.65</v>
      </c>
      <c r="Y162" s="15">
        <f t="shared" si="651"/>
        <v>649.34749999999997</v>
      </c>
      <c r="Z162" s="15">
        <f t="shared" si="651"/>
        <v>746.74962499999992</v>
      </c>
      <c r="AA162" s="15">
        <f t="shared" si="651"/>
        <v>858.7620687499998</v>
      </c>
      <c r="AB162" s="15">
        <f t="shared" si="651"/>
        <v>987.57637906249965</v>
      </c>
      <c r="AC162" s="15">
        <f t="shared" si="651"/>
        <v>1135.7128359218746</v>
      </c>
      <c r="AD162" s="15">
        <f t="shared" si="651"/>
        <v>1306.0697613101556</v>
      </c>
      <c r="AE162" s="15">
        <f t="shared" si="651"/>
        <v>1501.9802255066788</v>
      </c>
      <c r="AF162" s="15">
        <f t="shared" si="651"/>
        <v>1727.2772593326806</v>
      </c>
      <c r="AG162" s="15">
        <f t="shared" si="651"/>
        <v>1986.3688482325826</v>
      </c>
      <c r="AH162" s="101">
        <f t="shared" si="631"/>
        <v>9.4006847318931053E-2</v>
      </c>
      <c r="AI162" s="10"/>
      <c r="AJ162" s="10"/>
    </row>
    <row r="163" spans="2:36" x14ac:dyDescent="0.2">
      <c r="B163" s="10" t="s">
        <v>309</v>
      </c>
      <c r="C163" s="10"/>
      <c r="D163" s="10"/>
      <c r="E163" s="10"/>
      <c r="F163" s="102"/>
      <c r="G163" s="102">
        <f t="shared" ref="G163" si="652">G162*365/G25</f>
        <v>277.71739130434781</v>
      </c>
      <c r="H163" s="102">
        <f t="shared" ref="H163:I163" si="653">H162*365/H25</f>
        <v>256.55797101449275</v>
      </c>
      <c r="I163" s="102">
        <f t="shared" si="653"/>
        <v>301.45089285714283</v>
      </c>
      <c r="J163" s="102">
        <f t="shared" ref="J163:T163" si="654">J162*365/J25</f>
        <v>322.13087248322148</v>
      </c>
      <c r="K163" s="102">
        <f t="shared" si="654"/>
        <v>288.55457227138641</v>
      </c>
      <c r="L163" s="102">
        <f t="shared" si="654"/>
        <v>273.12068965517244</v>
      </c>
      <c r="M163" s="102">
        <f t="shared" si="654"/>
        <v>293.47262247838614</v>
      </c>
      <c r="N163" s="102">
        <f t="shared" si="654"/>
        <v>347.11815561959656</v>
      </c>
      <c r="O163" s="102">
        <f t="shared" si="654"/>
        <v>237.69512195121951</v>
      </c>
      <c r="P163" s="102">
        <f t="shared" si="654"/>
        <v>63.490421455938694</v>
      </c>
      <c r="Q163" s="102" t="e">
        <f t="shared" si="654"/>
        <v>#DIV/0!</v>
      </c>
      <c r="R163" s="102">
        <f t="shared" si="654"/>
        <v>30.879488740109554</v>
      </c>
      <c r="S163" s="102">
        <f t="shared" si="654"/>
        <v>12.034289482360698</v>
      </c>
      <c r="T163" s="102">
        <f t="shared" si="654"/>
        <v>20.639755844754117</v>
      </c>
      <c r="U163" s="102">
        <f t="shared" ref="U163" si="655">U162*365/U25</f>
        <v>20.639755844754117</v>
      </c>
      <c r="V163" s="101">
        <f t="shared" si="528"/>
        <v>-0.1694526606410528</v>
      </c>
      <c r="W163" s="110"/>
      <c r="X163" s="102">
        <f t="shared" ref="X163:AG163" si="656">X162*365/X25</f>
        <v>20.63975584475412</v>
      </c>
      <c r="Y163" s="102">
        <f t="shared" si="656"/>
        <v>20.63975584475412</v>
      </c>
      <c r="Z163" s="102">
        <f t="shared" si="656"/>
        <v>20.63975584475412</v>
      </c>
      <c r="AA163" s="102">
        <f t="shared" si="656"/>
        <v>20.63975584475412</v>
      </c>
      <c r="AB163" s="102">
        <f t="shared" si="656"/>
        <v>20.639755844754117</v>
      </c>
      <c r="AC163" s="102">
        <f t="shared" si="656"/>
        <v>20.639755844754117</v>
      </c>
      <c r="AD163" s="102">
        <f t="shared" si="656"/>
        <v>20.639755844754117</v>
      </c>
      <c r="AE163" s="102">
        <f t="shared" si="656"/>
        <v>20.639755844754117</v>
      </c>
      <c r="AF163" s="102">
        <f t="shared" si="656"/>
        <v>20.639755844754117</v>
      </c>
      <c r="AG163" s="102">
        <f t="shared" si="656"/>
        <v>20.63975584475412</v>
      </c>
      <c r="AH163" s="101">
        <f t="shared" si="631"/>
        <v>0</v>
      </c>
      <c r="AI163" s="10"/>
      <c r="AJ163" s="10"/>
    </row>
    <row r="164" spans="2:36" x14ac:dyDescent="0.2">
      <c r="B164" s="10" t="s">
        <v>312</v>
      </c>
      <c r="C164" s="10"/>
      <c r="D164" s="10"/>
      <c r="E164" s="10"/>
      <c r="F164" s="112"/>
      <c r="G164" s="112">
        <f t="shared" ref="G164" si="657">G98/G29</f>
        <v>7.7586206896551726</v>
      </c>
      <c r="H164" s="112">
        <f t="shared" ref="H164:I164" si="658">H98/H29</f>
        <v>7.4137931034482758</v>
      </c>
      <c r="I164" s="112">
        <f t="shared" si="658"/>
        <v>3.761755485893417</v>
      </c>
      <c r="J164" s="112">
        <f t="shared" ref="J164:T164" si="659">J98/J29</f>
        <v>0.16594067620825553</v>
      </c>
      <c r="K164" s="112">
        <f t="shared" si="659"/>
        <v>0.16075503007674757</v>
      </c>
      <c r="L164" s="112">
        <f t="shared" si="659"/>
        <v>0.15137180700094607</v>
      </c>
      <c r="M164" s="112">
        <f t="shared" si="659"/>
        <v>0.17168855695767876</v>
      </c>
      <c r="N164" s="112">
        <f t="shared" si="659"/>
        <v>0.22727272727272727</v>
      </c>
      <c r="O164" s="112">
        <f t="shared" si="659"/>
        <v>0.16954027338369085</v>
      </c>
      <c r="P164" s="112">
        <f t="shared" si="659"/>
        <v>0.14616508962227862</v>
      </c>
      <c r="Q164" s="112" t="e">
        <f t="shared" si="659"/>
        <v>#DIV/0!</v>
      </c>
      <c r="R164" s="112">
        <f t="shared" si="659"/>
        <v>0.12447254115082869</v>
      </c>
      <c r="S164" s="112">
        <f t="shared" si="659"/>
        <v>5.4674685620557682E-2</v>
      </c>
      <c r="T164" s="112">
        <f t="shared" si="659"/>
        <v>6.494898798235553E-2</v>
      </c>
      <c r="U164" s="112">
        <f t="shared" ref="U164" si="660">U98/U29</f>
        <v>6.494898798235553E-2</v>
      </c>
      <c r="V164" s="101">
        <f t="shared" si="528"/>
        <v>-0.28939590663578374</v>
      </c>
      <c r="W164" s="110"/>
      <c r="X164" s="112">
        <f t="shared" ref="X164:AG164" si="661">X98/X29</f>
        <v>6.3675478414074047E-2</v>
      </c>
      <c r="Y164" s="112">
        <f t="shared" si="661"/>
        <v>6.2426939621641205E-2</v>
      </c>
      <c r="Z164" s="112">
        <f t="shared" si="661"/>
        <v>6.1202881982001182E-2</v>
      </c>
      <c r="AA164" s="112">
        <f t="shared" si="661"/>
        <v>6.0002825472550175E-2</v>
      </c>
      <c r="AB164" s="112">
        <f t="shared" si="661"/>
        <v>5.8826299482892322E-2</v>
      </c>
      <c r="AC164" s="112">
        <f t="shared" si="661"/>
        <v>5.7672842630286582E-2</v>
      </c>
      <c r="AD164" s="112">
        <f t="shared" si="661"/>
        <v>5.654200257871235E-2</v>
      </c>
      <c r="AE164" s="112">
        <f t="shared" si="661"/>
        <v>5.5433335861482684E-2</v>
      </c>
      <c r="AF164" s="112">
        <f t="shared" si="661"/>
        <v>5.4346407707335974E-2</v>
      </c>
      <c r="AG164" s="112">
        <f t="shared" si="661"/>
        <v>5.3280791869937227E-2</v>
      </c>
      <c r="AH164" s="101">
        <f t="shared" si="631"/>
        <v>-1.2649573391514179E-2</v>
      </c>
      <c r="AI164" s="10"/>
      <c r="AJ164" s="10"/>
    </row>
    <row r="165" spans="2:36" x14ac:dyDescent="0.2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0"/>
      <c r="W165" s="1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15"/>
      <c r="AI165" s="10"/>
      <c r="AJ165" s="10"/>
    </row>
    <row r="166" spans="2:36" x14ac:dyDescent="0.2">
      <c r="B166" s="10" t="s">
        <v>319</v>
      </c>
      <c r="C166" s="10"/>
      <c r="D166" s="10"/>
      <c r="E166" s="10"/>
      <c r="F166" s="157"/>
      <c r="G166" s="157">
        <f t="shared" ref="G166" si="662">G25/G14</f>
        <v>13800</v>
      </c>
      <c r="H166" s="157" t="e">
        <f t="shared" ref="H166:I166" si="663">H25/H14</f>
        <v>#DIV/0!</v>
      </c>
      <c r="I166" s="157" t="e">
        <f t="shared" si="663"/>
        <v>#DIV/0!</v>
      </c>
      <c r="J166" s="157" t="e">
        <f t="shared" ref="J166:T166" si="664">J25/J14</f>
        <v>#DIV/0!</v>
      </c>
      <c r="K166" s="157" t="e">
        <f t="shared" si="664"/>
        <v>#DIV/0!</v>
      </c>
      <c r="L166" s="157" t="e">
        <f t="shared" si="664"/>
        <v>#DIV/0!</v>
      </c>
      <c r="M166" s="157" t="e">
        <f t="shared" si="664"/>
        <v>#DIV/0!</v>
      </c>
      <c r="N166" s="157" t="e">
        <f t="shared" si="664"/>
        <v>#DIV/0!</v>
      </c>
      <c r="O166" s="157" t="e">
        <f t="shared" si="664"/>
        <v>#DIV/0!</v>
      </c>
      <c r="P166" s="157" t="e">
        <f t="shared" si="664"/>
        <v>#DIV/0!</v>
      </c>
      <c r="Q166" s="157" t="e">
        <f t="shared" si="664"/>
        <v>#DIV/0!</v>
      </c>
      <c r="R166" s="157">
        <f t="shared" si="664"/>
        <v>1084.4884488448845</v>
      </c>
      <c r="S166" s="157">
        <f t="shared" si="664"/>
        <v>2022</v>
      </c>
      <c r="T166" s="157">
        <f t="shared" si="664"/>
        <v>1240.4285714285713</v>
      </c>
      <c r="U166" s="157">
        <f t="shared" ref="U166" si="665">U25/U14</f>
        <v>1240.4285714285713</v>
      </c>
      <c r="V166" s="101">
        <f t="shared" si="528"/>
        <v>-0.15809369397704554</v>
      </c>
      <c r="W166" s="110"/>
      <c r="X166" s="10">
        <f t="shared" ref="X166:AG166" si="666">X25/X14</f>
        <v>1240.4285714285716</v>
      </c>
      <c r="Y166" s="10">
        <f t="shared" si="666"/>
        <v>1240.4285714285713</v>
      </c>
      <c r="Z166" s="10">
        <f t="shared" si="666"/>
        <v>1240.4285714285713</v>
      </c>
      <c r="AA166" s="10">
        <f t="shared" si="666"/>
        <v>1240.4285714285713</v>
      </c>
      <c r="AB166" s="10">
        <f t="shared" si="666"/>
        <v>1240.4285714285713</v>
      </c>
      <c r="AC166" s="10">
        <f t="shared" si="666"/>
        <v>1240.4285714285713</v>
      </c>
      <c r="AD166" s="10">
        <f t="shared" si="666"/>
        <v>1240.4285714285713</v>
      </c>
      <c r="AE166" s="10">
        <f t="shared" si="666"/>
        <v>1240.4285714285713</v>
      </c>
      <c r="AF166" s="10">
        <f t="shared" si="666"/>
        <v>1240.4285714285713</v>
      </c>
      <c r="AG166" s="10">
        <f t="shared" si="666"/>
        <v>1240.4285714285716</v>
      </c>
      <c r="AH166" s="101">
        <f t="shared" si="631"/>
        <v>0</v>
      </c>
      <c r="AI166" s="10"/>
      <c r="AJ166" s="10"/>
    </row>
    <row r="167" spans="2:36" x14ac:dyDescent="0.2">
      <c r="B167" s="10" t="s">
        <v>320</v>
      </c>
      <c r="C167" s="10"/>
      <c r="D167" s="10"/>
      <c r="E167" s="10"/>
      <c r="F167" s="157"/>
      <c r="G167" s="157">
        <f t="shared" ref="G167" si="667">G27/G14</f>
        <v>8700</v>
      </c>
      <c r="H167" s="157" t="e">
        <f t="shared" ref="H167:I167" si="668">H27/H14</f>
        <v>#DIV/0!</v>
      </c>
      <c r="I167" s="157" t="e">
        <f t="shared" si="668"/>
        <v>#DIV/0!</v>
      </c>
      <c r="J167" s="157" t="e">
        <f t="shared" ref="J167:T167" si="669">J27/J14</f>
        <v>#DIV/0!</v>
      </c>
      <c r="K167" s="157" t="e">
        <f t="shared" si="669"/>
        <v>#DIV/0!</v>
      </c>
      <c r="L167" s="157" t="e">
        <f t="shared" si="669"/>
        <v>#DIV/0!</v>
      </c>
      <c r="M167" s="157" t="e">
        <f t="shared" si="669"/>
        <v>#DIV/0!</v>
      </c>
      <c r="N167" s="157" t="e">
        <f t="shared" si="669"/>
        <v>#DIV/0!</v>
      </c>
      <c r="O167" s="157" t="e">
        <f t="shared" si="669"/>
        <v>#DIV/0!</v>
      </c>
      <c r="P167" s="157" t="e">
        <f t="shared" si="669"/>
        <v>#DIV/0!</v>
      </c>
      <c r="Q167" s="157" t="e">
        <f t="shared" si="669"/>
        <v>#DIV/0!</v>
      </c>
      <c r="R167" s="157">
        <f t="shared" si="669"/>
        <v>990.75907590759084</v>
      </c>
      <c r="S167" s="157">
        <f t="shared" si="669"/>
        <v>1969.6666666666667</v>
      </c>
      <c r="T167" s="157">
        <f t="shared" si="669"/>
        <v>1182.1428571428571</v>
      </c>
      <c r="U167" s="157">
        <f t="shared" ref="U167" si="670">U27/U14</f>
        <v>1182.1428571428571</v>
      </c>
      <c r="V167" s="101">
        <f t="shared" si="528"/>
        <v>-0.13287402953665117</v>
      </c>
      <c r="W167" s="110"/>
      <c r="X167" s="10">
        <f t="shared" ref="X167:AG167" si="671">X27/X14</f>
        <v>1182.1428571428573</v>
      </c>
      <c r="Y167" s="10">
        <f t="shared" si="671"/>
        <v>1182.1428571428573</v>
      </c>
      <c r="Z167" s="10">
        <f t="shared" si="671"/>
        <v>1182.1428571428573</v>
      </c>
      <c r="AA167" s="10">
        <f t="shared" si="671"/>
        <v>1182.1428571428573</v>
      </c>
      <c r="AB167" s="10">
        <f t="shared" si="671"/>
        <v>1182.1428571428571</v>
      </c>
      <c r="AC167" s="10">
        <f t="shared" si="671"/>
        <v>1182.1428571428573</v>
      </c>
      <c r="AD167" s="10">
        <f t="shared" si="671"/>
        <v>1182.1428571428573</v>
      </c>
      <c r="AE167" s="10">
        <f t="shared" si="671"/>
        <v>1182.1428571428571</v>
      </c>
      <c r="AF167" s="10">
        <f t="shared" si="671"/>
        <v>1182.1428571428573</v>
      </c>
      <c r="AG167" s="10">
        <f t="shared" si="671"/>
        <v>1182.1428571428573</v>
      </c>
      <c r="AH167" s="101">
        <f t="shared" si="631"/>
        <v>0</v>
      </c>
      <c r="AI167" s="10"/>
      <c r="AJ167" s="10"/>
    </row>
    <row r="168" spans="2:36" x14ac:dyDescent="0.2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0"/>
      <c r="W168" s="110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15"/>
      <c r="AI168" s="10"/>
      <c r="AJ168" s="10"/>
    </row>
    <row r="169" spans="2:36" x14ac:dyDescent="0.2">
      <c r="B169" s="93" t="s">
        <v>202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3" t="s">
        <v>413</v>
      </c>
      <c r="U169" s="13" t="s">
        <v>413</v>
      </c>
      <c r="V169" s="13"/>
      <c r="W169" s="13" t="s">
        <v>511</v>
      </c>
      <c r="X169" s="105" t="s">
        <v>54</v>
      </c>
      <c r="Y169" s="10"/>
      <c r="Z169" s="10"/>
      <c r="AA169" s="10"/>
      <c r="AB169" s="10"/>
      <c r="AC169" s="10"/>
      <c r="AD169" s="10"/>
      <c r="AE169" s="10"/>
      <c r="AF169" s="10"/>
      <c r="AG169" s="10"/>
      <c r="AH169" s="115"/>
      <c r="AI169" s="10"/>
      <c r="AJ169" s="10"/>
    </row>
    <row r="170" spans="2:36" x14ac:dyDescent="0.2">
      <c r="B170" s="13" t="s">
        <v>231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5"/>
      <c r="T170" s="112">
        <f>AVERAGE(P102:T102)</f>
        <v>1.0853558767384783</v>
      </c>
      <c r="U170" s="112">
        <f>AVERAGE(Q102:U102)</f>
        <v>1.1344423234251431</v>
      </c>
      <c r="V170" s="137" t="e">
        <f>AVERAGE(G72:T72)</f>
        <v>#DIV/0!</v>
      </c>
      <c r="W170" s="137">
        <f>AVERAGE(G102:T102)</f>
        <v>1.0888620515018113</v>
      </c>
      <c r="X170" s="171" t="s">
        <v>374</v>
      </c>
      <c r="Y170" s="172" t="s">
        <v>375</v>
      </c>
      <c r="Z170" s="10"/>
      <c r="AA170" s="10"/>
      <c r="AB170" s="10"/>
      <c r="AC170" s="10"/>
      <c r="AD170" s="10"/>
      <c r="AE170" s="10"/>
      <c r="AF170" s="10"/>
      <c r="AG170" s="10"/>
      <c r="AH170" s="115"/>
      <c r="AI170" s="10"/>
      <c r="AJ170" s="10"/>
    </row>
    <row r="171" spans="2:36" x14ac:dyDescent="0.2">
      <c r="B171" s="10" t="s">
        <v>13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8">
        <f>X171+Y171</f>
        <v>8.3527394469051828</v>
      </c>
      <c r="X171" s="112">
        <f>PV($C$1, ($AG$3-$X$3), 0, -AG72)</f>
        <v>1.1639063163720336</v>
      </c>
      <c r="Y171" s="112">
        <f>PV($C$1, ($AG$3-$X$3), 0, -AJ72)</f>
        <v>7.1888331305331485</v>
      </c>
      <c r="Z171" s="10"/>
      <c r="AA171" s="10"/>
      <c r="AB171" s="10"/>
      <c r="AC171" s="10"/>
      <c r="AD171" s="10"/>
      <c r="AE171" s="10"/>
      <c r="AF171" s="10"/>
      <c r="AG171" s="10"/>
      <c r="AH171" s="115"/>
      <c r="AI171" s="10"/>
      <c r="AJ171" s="10"/>
    </row>
    <row r="172" spans="2:36" x14ac:dyDescent="0.2">
      <c r="B172" s="10" t="s">
        <v>224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8">
        <f t="shared" ref="W172:W190" si="672">X172+Y172</f>
        <v>178.44488818388339</v>
      </c>
      <c r="X172" s="112">
        <f>PV($C$1, ($AG$3-$X$3), 0, -AG74)</f>
        <v>24.865271304311616</v>
      </c>
      <c r="Y172" s="112">
        <f>PV($C$1, ($AG$3-$X$3), 0, -AJ74)</f>
        <v>153.57961687957177</v>
      </c>
      <c r="Z172" s="10"/>
      <c r="AA172" s="10"/>
      <c r="AB172" s="10"/>
      <c r="AC172" s="10"/>
      <c r="AD172" s="10"/>
      <c r="AE172" s="10"/>
      <c r="AF172" s="10"/>
      <c r="AG172" s="10"/>
      <c r="AH172" s="115"/>
      <c r="AI172" s="10"/>
      <c r="AJ172" s="10"/>
    </row>
    <row r="173" spans="2:36" x14ac:dyDescent="0.2">
      <c r="B173" s="10" t="s">
        <v>225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8">
        <f t="shared" si="672"/>
        <v>160.87159220468038</v>
      </c>
      <c r="X173" s="112">
        <f>PV($C$1, ($AG$3-$X$3), 0, -AG75)</f>
        <v>22.416533339996441</v>
      </c>
      <c r="Y173" s="112">
        <f>PV($C$1, ($AG$3-$X$3), 0, -AJ75)</f>
        <v>138.45505886468393</v>
      </c>
      <c r="Z173" s="10"/>
      <c r="AA173" s="10"/>
      <c r="AB173" s="10"/>
      <c r="AC173" s="10"/>
      <c r="AD173" s="10"/>
      <c r="AE173" s="10"/>
      <c r="AF173" s="10"/>
      <c r="AG173" s="10"/>
      <c r="AH173" s="115"/>
      <c r="AI173" s="10"/>
      <c r="AJ173" s="10"/>
    </row>
    <row r="174" spans="2:36" x14ac:dyDescent="0.2">
      <c r="B174" s="10" t="s">
        <v>226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8">
        <f t="shared" si="672"/>
        <v>126.70129446734096</v>
      </c>
      <c r="X174" s="112">
        <f>PV($C$1, ($AG$3-$X$3), 0, -AG76)</f>
        <v>17.655098409383573</v>
      </c>
      <c r="Y174" s="112">
        <f>PV($C$1, ($AG$3-$X$3), 0, -AJ76)</f>
        <v>109.04619605795739</v>
      </c>
      <c r="Z174" s="10"/>
      <c r="AA174" s="10"/>
      <c r="AB174" s="10"/>
      <c r="AC174" s="10"/>
      <c r="AD174" s="10"/>
      <c r="AE174" s="10"/>
      <c r="AF174" s="10"/>
      <c r="AG174" s="10"/>
      <c r="AH174" s="115"/>
      <c r="AI174" s="10"/>
      <c r="AJ174" s="10"/>
    </row>
    <row r="175" spans="2:36" x14ac:dyDescent="0.2">
      <c r="B175" s="10" t="s">
        <v>227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8">
        <f t="shared" si="672"/>
        <v>101.75155326229948</v>
      </c>
      <c r="X175" s="112">
        <f>PV($C$1, ($AG$3-$X$3), 0, -AG82)</f>
        <v>14.178495126713859</v>
      </c>
      <c r="Y175" s="112">
        <f>PV($C$1, ($AG$3-$X$3), 0, -AJ82)</f>
        <v>87.573058135585626</v>
      </c>
      <c r="Z175" s="10"/>
      <c r="AA175" s="10"/>
      <c r="AB175" s="10"/>
      <c r="AC175" s="10"/>
      <c r="AD175" s="10"/>
      <c r="AE175" s="10"/>
      <c r="AF175" s="10"/>
      <c r="AG175" s="10"/>
      <c r="AH175" s="115"/>
      <c r="AI175" s="10"/>
      <c r="AJ175" s="10"/>
    </row>
    <row r="176" spans="2:36" x14ac:dyDescent="0.2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8"/>
      <c r="X176" s="112"/>
      <c r="Y176" s="10"/>
      <c r="Z176" s="10"/>
      <c r="AA176" s="10"/>
      <c r="AB176" s="10"/>
      <c r="AC176" s="10"/>
      <c r="AD176" s="10"/>
      <c r="AE176" s="10"/>
      <c r="AF176" s="10"/>
      <c r="AG176" s="10"/>
      <c r="AH176" s="115"/>
      <c r="AI176" s="10"/>
      <c r="AJ176" s="10"/>
    </row>
    <row r="177" spans="2:36" x14ac:dyDescent="0.2">
      <c r="B177" s="10" t="s">
        <v>222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8">
        <f t="shared" si="672"/>
        <v>51.743593716542414</v>
      </c>
      <c r="X177" s="112">
        <f>PV($C$1, ($AG$3-$X$3), 0, -AG78)</f>
        <v>7.2101728949280401</v>
      </c>
      <c r="Y177" s="112">
        <f>PV($C$1, ($AG$3-$X$3), 0, -$AJ$78)</f>
        <v>44.533420821614371</v>
      </c>
      <c r="Z177" s="10"/>
      <c r="AA177" s="10"/>
      <c r="AB177" s="10"/>
      <c r="AC177" s="10"/>
      <c r="AD177" s="10"/>
      <c r="AE177" s="10"/>
      <c r="AF177" s="10"/>
      <c r="AG177" s="10"/>
      <c r="AH177" s="115"/>
      <c r="AI177" s="10"/>
      <c r="AJ177" s="10"/>
    </row>
    <row r="178" spans="2:36" x14ac:dyDescent="0.2">
      <c r="B178" s="10" t="s">
        <v>223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8">
        <f t="shared" si="672"/>
        <v>-287.6813638076955</v>
      </c>
      <c r="X178" s="112">
        <f>PV($C$1, ($AG$3-$X$3), 0, -AG79)</f>
        <v>-40.086747415826416</v>
      </c>
      <c r="Y178" s="112">
        <f>PV($C$1, ($AG$3-$X$3), 0, -$AJ$79)</f>
        <v>-247.59461639186907</v>
      </c>
      <c r="Z178" s="10"/>
      <c r="AA178" s="10"/>
      <c r="AB178" s="10"/>
      <c r="AC178" s="10"/>
      <c r="AD178" s="10"/>
      <c r="AE178" s="10"/>
      <c r="AF178" s="10"/>
      <c r="AG178" s="10"/>
      <c r="AH178" s="115"/>
      <c r="AI178" s="10"/>
      <c r="AJ178" s="10"/>
    </row>
    <row r="179" spans="2:36" x14ac:dyDescent="0.2">
      <c r="B179" s="10" t="s">
        <v>228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8">
        <f t="shared" si="672"/>
        <v>-35.797454772450862</v>
      </c>
      <c r="X179" s="112">
        <f>PV($C$1, ($AG$3-$X$3), 0, -AG80)</f>
        <v>-4.9881699273087259</v>
      </c>
      <c r="Y179" s="112">
        <f>PV($C$1, ($AG$3-$X$3), 0, -$AJ$80)</f>
        <v>-30.809284845142134</v>
      </c>
      <c r="Z179" s="10"/>
      <c r="AA179" s="10"/>
      <c r="AB179" s="10"/>
      <c r="AC179" s="10"/>
      <c r="AD179" s="10"/>
      <c r="AE179" s="10"/>
      <c r="AF179" s="10"/>
      <c r="AG179" s="10"/>
      <c r="AH179" s="115"/>
      <c r="AI179" s="10"/>
      <c r="AJ179" s="10"/>
    </row>
    <row r="180" spans="2:36" x14ac:dyDescent="0.2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8"/>
      <c r="X180" s="112"/>
      <c r="Y180" s="10"/>
      <c r="Z180" s="10"/>
      <c r="AA180" s="10"/>
      <c r="AB180" s="10"/>
      <c r="AC180" s="10"/>
      <c r="AD180" s="10"/>
      <c r="AE180" s="10"/>
      <c r="AF180" s="10"/>
      <c r="AG180" s="10"/>
      <c r="AH180" s="115"/>
      <c r="AI180" s="10"/>
      <c r="AJ180" s="10"/>
    </row>
    <row r="181" spans="2:36" x14ac:dyDescent="0.2">
      <c r="B181" s="10" t="s">
        <v>207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8">
        <f t="shared" si="672"/>
        <v>251.88390903524453</v>
      </c>
      <c r="X181" s="112">
        <f>PV($C$1, ($AG$3-$X$3), 0, -AG85)</f>
        <v>35.098577488517677</v>
      </c>
      <c r="Y181" s="112">
        <f>PV($C$1, ($AG$3-$X$3), 0, -AJ85)</f>
        <v>216.78533154672687</v>
      </c>
      <c r="Z181" s="10"/>
      <c r="AA181" s="10"/>
      <c r="AB181" s="10"/>
      <c r="AC181" s="10"/>
      <c r="AD181" s="10"/>
      <c r="AE181" s="10"/>
      <c r="AF181" s="10"/>
      <c r="AG181" s="10"/>
      <c r="AH181" s="115"/>
      <c r="AI181" s="10"/>
      <c r="AJ181" s="10"/>
    </row>
    <row r="182" spans="2:36" x14ac:dyDescent="0.2">
      <c r="B182" s="10" t="s">
        <v>208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8">
        <f t="shared" si="672"/>
        <v>41.157211430529841</v>
      </c>
      <c r="X182" s="112">
        <f>PV($C$1, ($AG$3-$X$3), 0, -AG86)</f>
        <v>7.4217922251775121</v>
      </c>
      <c r="Y182" s="112">
        <f>PV($C$1, ($AG$3-$X$3), 0, -AJ86)</f>
        <v>33.735419205352329</v>
      </c>
      <c r="Z182" s="10"/>
      <c r="AA182" s="10"/>
      <c r="AB182" s="10"/>
      <c r="AC182" s="10"/>
      <c r="AD182" s="10"/>
      <c r="AE182" s="10"/>
      <c r="AF182" s="10"/>
      <c r="AG182" s="10"/>
      <c r="AH182" s="115"/>
      <c r="AI182" s="10"/>
      <c r="AJ182" s="10"/>
    </row>
    <row r="183" spans="2:36" x14ac:dyDescent="0.2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8"/>
      <c r="X183" s="112"/>
      <c r="Y183" s="112"/>
      <c r="Z183" s="10"/>
      <c r="AA183" s="10"/>
      <c r="AB183" s="10"/>
      <c r="AC183" s="10"/>
      <c r="AD183" s="10"/>
      <c r="AE183" s="10"/>
      <c r="AF183" s="10"/>
      <c r="AG183" s="10"/>
      <c r="AH183" s="115"/>
      <c r="AI183" s="10"/>
      <c r="AJ183" s="10"/>
    </row>
    <row r="184" spans="2:36" x14ac:dyDescent="0.2">
      <c r="B184" s="10" t="s">
        <v>243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8">
        <f t="shared" ref="W184" si="673">X184+Y184</f>
        <v>4548.3478891787308</v>
      </c>
      <c r="X184" s="112">
        <f>PV($C$1, ($AG$3-$X$3), 0, -AG12)</f>
        <v>633.78618127900347</v>
      </c>
      <c r="Y184" s="112">
        <f>PV($C$1, ($AG$3-$X$3), 0, -AJ12)</f>
        <v>3914.5617078997275</v>
      </c>
      <c r="Z184" s="10"/>
      <c r="AA184" s="10"/>
      <c r="AB184" s="10"/>
      <c r="AC184" s="10"/>
      <c r="AD184" s="10"/>
      <c r="AE184" s="10"/>
      <c r="AF184" s="10"/>
      <c r="AG184" s="10"/>
      <c r="AH184" s="115"/>
      <c r="AI184" s="10"/>
      <c r="AJ184" s="10"/>
    </row>
    <row r="185" spans="2:36" x14ac:dyDescent="0.2">
      <c r="B185" s="10" t="s">
        <v>244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8">
        <f>X185+Y185</f>
        <v>124.33974546688714</v>
      </c>
      <c r="X185" s="118">
        <f>X184/S57</f>
        <v>17.32603010604165</v>
      </c>
      <c r="Y185" s="118">
        <f>Y184/S57</f>
        <v>107.01371536084548</v>
      </c>
      <c r="Z185" s="10"/>
      <c r="AA185" s="10"/>
      <c r="AB185" s="10"/>
      <c r="AC185" s="10"/>
      <c r="AD185" s="10"/>
      <c r="AE185" s="10"/>
      <c r="AF185" s="10"/>
      <c r="AG185" s="10"/>
      <c r="AH185" s="115"/>
      <c r="AI185" s="10"/>
      <c r="AJ185" s="10"/>
    </row>
    <row r="186" spans="2:36" x14ac:dyDescent="0.2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8"/>
      <c r="X186" s="118"/>
      <c r="Y186" s="118"/>
      <c r="Z186" s="10"/>
      <c r="AA186" s="10"/>
      <c r="AB186" s="10"/>
      <c r="AC186" s="10"/>
      <c r="AD186" s="10"/>
      <c r="AE186" s="10"/>
      <c r="AF186" s="10"/>
      <c r="AG186" s="10"/>
      <c r="AH186" s="115"/>
      <c r="AI186" s="10"/>
      <c r="AJ186" s="10"/>
    </row>
    <row r="187" spans="2:36" x14ac:dyDescent="0.2">
      <c r="B187" s="93" t="s">
        <v>247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8"/>
      <c r="X187" s="112"/>
      <c r="Y187" s="112"/>
      <c r="Z187" s="10"/>
      <c r="AA187" s="10"/>
      <c r="AB187" s="10"/>
      <c r="AC187" s="10"/>
      <c r="AD187" s="10"/>
      <c r="AE187" s="10"/>
      <c r="AF187" s="10"/>
      <c r="AG187" s="10"/>
      <c r="AH187" s="115"/>
      <c r="AI187" s="10"/>
      <c r="AJ187" s="10"/>
    </row>
    <row r="188" spans="2:36" x14ac:dyDescent="0.2">
      <c r="B188" s="10" t="s">
        <v>233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8">
        <f t="shared" ref="W188" si="674">X188+Y188</f>
        <v>0</v>
      </c>
      <c r="X188" s="112">
        <f>PV($C$1, ($AG$3-$X$3), 0, -AG88)+PV($C$1, ($AF$3-$X$3), 0, -AG88)+PV($C$1, ($AE$3-$X$3), 0, -AG88)+PV($C$1, ($AD$3-$X$3), 0, -AG88)+PV($C$1, ($AC$3-$X$3), 0, -AG88)+PV($C$1, ($AB$3-$X$3), 0, -AG88)+PV($C$1, ($AA$3-$X$3), 0, -AG88)+PV($C$1, ($Z$3-$X$3), 0, -AG88)+PV($C$1, ($Y$3-$X$3), 0, -AG88)+PV($C$1, ($X$3-$X$3), 0, -AG88)</f>
        <v>0</v>
      </c>
      <c r="Y188" s="112">
        <f>PV($C$1, ($AG$3-$X$3), 0, -AJ88)</f>
        <v>0</v>
      </c>
      <c r="Z188" s="10"/>
      <c r="AA188" s="10"/>
      <c r="AB188" s="10"/>
      <c r="AC188" s="10"/>
      <c r="AD188" s="10"/>
      <c r="AE188" s="10"/>
      <c r="AF188" s="10"/>
      <c r="AG188" s="10"/>
      <c r="AH188" s="115"/>
      <c r="AI188" s="10"/>
      <c r="AJ188" s="10"/>
    </row>
    <row r="189" spans="2:36" x14ac:dyDescent="0.2">
      <c r="B189" s="13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8"/>
      <c r="X189" s="112"/>
      <c r="Y189" s="112"/>
      <c r="Z189" s="10"/>
      <c r="AA189" s="10"/>
      <c r="AB189" s="10"/>
      <c r="AC189" s="10"/>
      <c r="AD189" s="10"/>
      <c r="AE189" s="10"/>
      <c r="AF189" s="10"/>
      <c r="AG189" s="10"/>
      <c r="AH189" s="115"/>
      <c r="AI189" s="10"/>
      <c r="AJ189" s="10"/>
    </row>
    <row r="190" spans="2:36" x14ac:dyDescent="0.2">
      <c r="B190" s="10" t="s">
        <v>240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8">
        <f t="shared" si="672"/>
        <v>0</v>
      </c>
      <c r="X190" s="112">
        <f>PV($C$1, ($AG$3-$X$3), 0, -AG90)+PV($C$1, ($AF$3-$X$3), 0, -AG90)+PV($C$1, ($AE$3-$X$3), 0, -AG90)+PV($C$1, ($AD$3-$X$3), 0, -AG90)+PV($C$1, ($AC$3-$X$3), 0, -AG90)+PV($C$1, ($AB$3-$X$3), 0, -AG90)+PV($C$1, ($AA$3-$X$3), 0, -AG90)+PV($C$1, ($Z$3-$X$3), 0, -AG90)+PV($C$1, ($Y$3-$X$3), 0, -AG90)+PV($C$1, ($X$3-$X$3), 0, -AG90)</f>
        <v>0</v>
      </c>
      <c r="Y190" s="112">
        <f>PV($C$1, ($AG$3-$X$3), 0, -AJ90)</f>
        <v>0</v>
      </c>
      <c r="Z190" s="10"/>
      <c r="AA190" s="10"/>
      <c r="AB190" s="10"/>
      <c r="AC190" s="10"/>
      <c r="AD190" s="10"/>
      <c r="AE190" s="10"/>
      <c r="AF190" s="10"/>
      <c r="AG190" s="10"/>
      <c r="AH190" s="115"/>
      <c r="AI190" s="10"/>
      <c r="AJ190" s="10"/>
    </row>
    <row r="191" spans="2:36" x14ac:dyDescent="0.2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8"/>
      <c r="X191" s="112"/>
      <c r="Y191" s="112"/>
      <c r="Z191" s="10"/>
      <c r="AA191" s="10"/>
      <c r="AB191" s="10"/>
      <c r="AC191" s="10"/>
      <c r="AD191" s="10"/>
      <c r="AE191" s="10"/>
      <c r="AF191" s="10"/>
      <c r="AG191" s="10"/>
      <c r="AH191" s="115"/>
      <c r="AI191" s="10"/>
      <c r="AJ191" s="10"/>
    </row>
    <row r="192" spans="2:36" x14ac:dyDescent="0.2">
      <c r="B192" s="10" t="s">
        <v>404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8">
        <f t="shared" ref="W192:W195" si="675">X192+Y192</f>
        <v>0</v>
      </c>
      <c r="X192" s="112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0</v>
      </c>
      <c r="Y192" s="112">
        <f>PV($C$1, ($AG$3-$X$3), 0, -AJ92)</f>
        <v>0</v>
      </c>
      <c r="Z192" s="10"/>
      <c r="AA192" s="10"/>
      <c r="AB192" s="10"/>
      <c r="AC192" s="10"/>
      <c r="AD192" s="10"/>
      <c r="AE192" s="10"/>
      <c r="AF192" s="10"/>
      <c r="AG192" s="10"/>
      <c r="AH192" s="115"/>
      <c r="AI192" s="10"/>
      <c r="AJ192" s="10"/>
    </row>
    <row r="193" spans="2:36" x14ac:dyDescent="0.2">
      <c r="B193" s="10" t="s">
        <v>237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8">
        <f t="shared" si="675"/>
        <v>0</v>
      </c>
      <c r="X193" s="112">
        <f>PV($C$1, ($AG$3-$X$3), 0, -AG93)+PV($C$1, ($AF$3-$X$3), 0, -AG93)+PV($C$1, ($AE$3-$X$3), 0, -AG93)+PV($C$1, ($AD$3-$X$3), 0, -AG93)+PV($C$1, ($AC$3-$X$3), 0, -AG93)+PV($C$1, ($AB$3-$X$3), 0, -AG93)+PV($C$1, ($AA$3-$X$3), 0, -AG93)+PV($C$1, ($Z$3-$X$3), 0, -AG93)+PV($C$1, ($Y$3-$X$3), 0, -AG93)+PV($C$1, ($X$3-$X$3), 0, -AG93)</f>
        <v>0</v>
      </c>
      <c r="Y193" s="112">
        <f>PV($C$1, ($AG$3-$X$3), 0, -AJ93)</f>
        <v>0</v>
      </c>
      <c r="Z193" s="10"/>
      <c r="AA193" s="10"/>
      <c r="AB193" s="10"/>
      <c r="AC193" s="10"/>
      <c r="AD193" s="10"/>
      <c r="AE193" s="10"/>
      <c r="AF193" s="10"/>
      <c r="AG193" s="10"/>
      <c r="AH193" s="115"/>
      <c r="AI193" s="10"/>
      <c r="AJ193" s="10"/>
    </row>
    <row r="194" spans="2:36" x14ac:dyDescent="0.2">
      <c r="B194" s="10" t="s">
        <v>238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8">
        <f t="shared" si="675"/>
        <v>0</v>
      </c>
      <c r="X194" s="112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0</v>
      </c>
      <c r="Y194" s="112">
        <f>PV($C$1, ($AG$3-$X$3), 0, -AJ94)</f>
        <v>0</v>
      </c>
      <c r="Z194" s="10"/>
      <c r="AA194" s="10"/>
      <c r="AB194" s="10"/>
      <c r="AC194" s="10"/>
      <c r="AD194" s="10"/>
      <c r="AE194" s="10"/>
      <c r="AF194" s="10"/>
      <c r="AG194" s="10"/>
      <c r="AH194" s="115"/>
      <c r="AI194" s="10"/>
      <c r="AJ194" s="10"/>
    </row>
    <row r="195" spans="2:36" x14ac:dyDescent="0.2">
      <c r="B195" s="10" t="s">
        <v>239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8">
        <f t="shared" si="675"/>
        <v>0</v>
      </c>
      <c r="X195" s="112">
        <f>PV($C$1, ($AG$3-$X$3), 0, -AG95)+PV($C$1, ($AF$3-$X$3), 0, -AG95)+PV($C$1, ($AE$3-$X$3), 0, -AG95)+PV($C$1, ($AD$3-$X$3), 0, -AG95)+PV($C$1, ($AC$3-$X$3), 0, -AG95)+PV($C$1, ($AB$3-$X$3), 0, -AG95)+PV($C$1, ($AA$3-$X$3), 0, -AG95)+PV($C$1, ($Z$3-$X$3), 0, -AG95)+PV($C$1, ($Y$3-$X$3), 0, -AG95)+PV($C$1, ($X$3-$X$3), 0, -AG95)</f>
        <v>0</v>
      </c>
      <c r="Y195" s="112">
        <f>PV($C$1, ($AG$3-$X$3), 0, -AJ95)</f>
        <v>0</v>
      </c>
      <c r="Z195" s="10"/>
      <c r="AA195" s="10"/>
      <c r="AB195" s="10"/>
      <c r="AC195" s="10"/>
      <c r="AD195" s="10"/>
      <c r="AE195" s="10"/>
      <c r="AF195" s="10"/>
      <c r="AG195" s="10"/>
      <c r="AH195" s="115"/>
      <c r="AI195" s="10"/>
      <c r="AJ195" s="10"/>
    </row>
    <row r="196" spans="2:36" x14ac:dyDescent="0.2">
      <c r="B196" s="10" t="s">
        <v>402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95">
        <f>W193+W194+W195</f>
        <v>0</v>
      </c>
      <c r="X196" s="95">
        <f t="shared" ref="X196:Y196" si="676">X193+X194+X195</f>
        <v>0</v>
      </c>
      <c r="Y196" s="95">
        <f t="shared" si="676"/>
        <v>0</v>
      </c>
      <c r="Z196" s="10"/>
      <c r="AA196" s="10"/>
      <c r="AB196" s="10"/>
      <c r="AC196" s="10"/>
      <c r="AD196" s="10"/>
      <c r="AE196" s="10"/>
      <c r="AF196" s="10"/>
      <c r="AG196" s="10"/>
      <c r="AH196" s="115"/>
      <c r="AI196" s="10"/>
      <c r="AJ196" s="10"/>
    </row>
    <row r="197" spans="2:36" x14ac:dyDescent="0.2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8"/>
      <c r="X197" s="112"/>
      <c r="Y197" s="112"/>
      <c r="Z197" s="10"/>
      <c r="AA197" s="10"/>
      <c r="AB197" s="10"/>
      <c r="AC197" s="10"/>
      <c r="AD197" s="10"/>
      <c r="AE197" s="10"/>
      <c r="AF197" s="10"/>
      <c r="AG197" s="10"/>
      <c r="AH197" s="115"/>
      <c r="AI197" s="10"/>
      <c r="AJ197" s="10"/>
    </row>
    <row r="198" spans="2:36" x14ac:dyDescent="0.2">
      <c r="B198" s="10" t="s">
        <v>248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8">
        <f>X198+Y198</f>
        <v>0</v>
      </c>
      <c r="X198" s="112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0</v>
      </c>
      <c r="Y198" s="112">
        <f>PV($C$1, ($AG$3-$X$3), 0, -AJ96)</f>
        <v>0</v>
      </c>
      <c r="Z198" s="10"/>
      <c r="AA198" s="10"/>
      <c r="AB198" s="10"/>
      <c r="AC198" s="10"/>
      <c r="AD198" s="10"/>
      <c r="AE198" s="10"/>
      <c r="AF198" s="10"/>
      <c r="AG198" s="10"/>
      <c r="AH198" s="115"/>
      <c r="AI198" s="10"/>
      <c r="AJ198" s="10"/>
    </row>
    <row r="199" spans="2:36" x14ac:dyDescent="0.2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60">
        <v>41729</v>
      </c>
      <c r="U199" s="10">
        <v>280</v>
      </c>
      <c r="V199" s="10"/>
      <c r="W199" s="10"/>
      <c r="X199" s="104"/>
      <c r="Y199" s="10"/>
      <c r="Z199" s="10"/>
      <c r="AA199" s="10"/>
      <c r="AB199" s="10"/>
      <c r="AC199" s="10"/>
      <c r="AD199" s="10"/>
      <c r="AE199" s="10"/>
      <c r="AF199" s="10"/>
      <c r="AG199" s="10"/>
      <c r="AH199" s="115"/>
      <c r="AI199" s="10"/>
      <c r="AJ199" s="10"/>
    </row>
    <row r="200" spans="2:36" x14ac:dyDescent="0.2">
      <c r="B200" s="93" t="s">
        <v>209</v>
      </c>
      <c r="C200" s="10"/>
      <c r="D200" s="10"/>
      <c r="E200" s="10"/>
      <c r="F200" s="178"/>
      <c r="G200" s="178"/>
      <c r="H200" s="173">
        <v>0</v>
      </c>
      <c r="I200" s="173">
        <v>0</v>
      </c>
      <c r="J200" s="173">
        <v>0</v>
      </c>
      <c r="K200" s="173">
        <v>0</v>
      </c>
      <c r="L200" s="173">
        <v>0</v>
      </c>
      <c r="M200" s="173">
        <v>0</v>
      </c>
      <c r="N200" s="173">
        <v>0</v>
      </c>
      <c r="O200" s="173">
        <v>0</v>
      </c>
      <c r="P200" s="173">
        <v>0</v>
      </c>
      <c r="Q200" s="173">
        <v>0</v>
      </c>
      <c r="R200" s="173">
        <v>0</v>
      </c>
      <c r="S200" s="173">
        <v>0</v>
      </c>
      <c r="T200" s="13" t="s">
        <v>335</v>
      </c>
      <c r="U200" s="10">
        <v>270</v>
      </c>
      <c r="V200" s="10" t="s">
        <v>510</v>
      </c>
      <c r="W200" s="13" t="s">
        <v>336</v>
      </c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15"/>
      <c r="AI200" s="10"/>
      <c r="AJ200" s="10"/>
    </row>
    <row r="201" spans="2:36" x14ac:dyDescent="0.2">
      <c r="B201" s="10" t="s">
        <v>183</v>
      </c>
      <c r="C201" s="12">
        <v>0</v>
      </c>
      <c r="D201" s="12">
        <v>0</v>
      </c>
      <c r="E201" s="12">
        <v>0</v>
      </c>
      <c r="F201" s="12">
        <v>0</v>
      </c>
      <c r="G201" s="12">
        <v>464</v>
      </c>
      <c r="H201" s="12">
        <v>422</v>
      </c>
      <c r="I201" s="12">
        <v>584</v>
      </c>
      <c r="J201" s="12">
        <v>505</v>
      </c>
      <c r="K201" s="12">
        <v>97</v>
      </c>
      <c r="L201" s="12">
        <v>33</v>
      </c>
      <c r="M201" s="12">
        <v>61</v>
      </c>
      <c r="N201" s="12">
        <v>53</v>
      </c>
      <c r="O201" s="12">
        <v>61</v>
      </c>
      <c r="P201" s="12">
        <v>50</v>
      </c>
      <c r="Q201" s="12">
        <v>90</v>
      </c>
      <c r="R201" s="12">
        <v>209</v>
      </c>
      <c r="S201" s="12">
        <v>186</v>
      </c>
      <c r="T201" s="12">
        <v>234</v>
      </c>
      <c r="U201" s="12">
        <v>280</v>
      </c>
      <c r="V201" s="101">
        <f t="shared" ref="V201:V227" si="677">((T201/H201)^(1/($K$2-$K$1) ))-1</f>
        <v>-4.1245564433459059E-2</v>
      </c>
      <c r="W201" s="21">
        <v>0</v>
      </c>
      <c r="X201" s="174">
        <v>50</v>
      </c>
      <c r="Y201" s="102">
        <f t="shared" ref="Y201:AG201" si="678">X201*(1+$W201)</f>
        <v>50</v>
      </c>
      <c r="Z201" s="102">
        <f t="shared" si="678"/>
        <v>50</v>
      </c>
      <c r="AA201" s="102">
        <f t="shared" si="678"/>
        <v>50</v>
      </c>
      <c r="AB201" s="102">
        <f t="shared" si="678"/>
        <v>50</v>
      </c>
      <c r="AC201" s="102">
        <f t="shared" si="678"/>
        <v>50</v>
      </c>
      <c r="AD201" s="102">
        <f t="shared" si="678"/>
        <v>50</v>
      </c>
      <c r="AE201" s="102">
        <f t="shared" si="678"/>
        <v>50</v>
      </c>
      <c r="AF201" s="102">
        <f t="shared" si="678"/>
        <v>50</v>
      </c>
      <c r="AG201" s="102">
        <f t="shared" si="678"/>
        <v>50</v>
      </c>
      <c r="AH201" s="116">
        <f t="shared" ref="AH201:AH208" si="679">((AG201/J201)^(1/($AG$3-$K$1) ))-1</f>
        <v>-9.5655600666997076E-2</v>
      </c>
      <c r="AI201" s="21">
        <f t="shared" ref="AI201:AI208" si="680">$O$1</f>
        <v>0.05</v>
      </c>
      <c r="AJ201" s="109">
        <f t="shared" ref="AJ201:AJ212" si="681">(AG201*(1+AH201))/($C$1-AI201)</f>
        <v>265.98364686264796</v>
      </c>
    </row>
    <row r="202" spans="2:36" x14ac:dyDescent="0.2">
      <c r="B202" s="10" t="s">
        <v>306</v>
      </c>
      <c r="C202" s="15"/>
      <c r="D202" s="15"/>
      <c r="E202" s="15"/>
      <c r="F202" s="15"/>
      <c r="G202" s="15">
        <f t="shared" ref="G202" si="682">G201/G66</f>
        <v>4.8753623188405797</v>
      </c>
      <c r="H202" s="15">
        <f t="shared" ref="H202:I202" si="683">H201/H66</f>
        <v>4.4340579710144929</v>
      </c>
      <c r="I202" s="15">
        <f t="shared" si="683"/>
        <v>3.780357142857143</v>
      </c>
      <c r="J202" s="15">
        <f t="shared" ref="J202:T202" si="684">J201/J66</f>
        <v>27.232718120805373</v>
      </c>
      <c r="K202" s="15">
        <f t="shared" si="684"/>
        <v>4.5982005899705012</v>
      </c>
      <c r="L202" s="15">
        <f t="shared" si="684"/>
        <v>2.4055862068965519</v>
      </c>
      <c r="M202" s="15">
        <f t="shared" si="684"/>
        <v>3.7232853025936601</v>
      </c>
      <c r="N202" s="15">
        <f t="shared" si="684"/>
        <v>3.2380403458213256</v>
      </c>
      <c r="O202" s="15">
        <f t="shared" si="684"/>
        <v>3.170512195121951</v>
      </c>
      <c r="P202" s="15">
        <f t="shared" si="684"/>
        <v>0.94865900383141766</v>
      </c>
      <c r="Q202" s="15" t="e">
        <f t="shared" si="684"/>
        <v>#DIV/0!</v>
      </c>
      <c r="R202" s="15">
        <f t="shared" si="684"/>
        <v>1.7344583079732199</v>
      </c>
      <c r="S202" s="15">
        <f t="shared" si="684"/>
        <v>1.1216419386745795</v>
      </c>
      <c r="T202" s="15">
        <f t="shared" si="684"/>
        <v>0.9882275711159737</v>
      </c>
      <c r="U202" s="15">
        <f t="shared" ref="U202" si="685">U201/U66</f>
        <v>1.1824945295404814</v>
      </c>
      <c r="V202" s="101">
        <f t="shared" si="677"/>
        <v>-0.10167695108911323</v>
      </c>
      <c r="W202" s="110"/>
      <c r="X202" s="15">
        <f t="shared" ref="X202:AG202" si="686">X201/X66</f>
        <v>0.18728950623156698</v>
      </c>
      <c r="Y202" s="15">
        <f t="shared" si="686"/>
        <v>0.16611764900538986</v>
      </c>
      <c r="Z202" s="15">
        <f t="shared" si="686"/>
        <v>0.14733913216130232</v>
      </c>
      <c r="AA202" s="15">
        <f t="shared" si="686"/>
        <v>0.13068340417785076</v>
      </c>
      <c r="AB202" s="15">
        <f t="shared" si="686"/>
        <v>0.11591049761861548</v>
      </c>
      <c r="AC202" s="15">
        <f t="shared" si="686"/>
        <v>0.10280757180085896</v>
      </c>
      <c r="AD202" s="15">
        <f t="shared" si="686"/>
        <v>9.1185846292935774E-2</v>
      </c>
      <c r="AE202" s="15">
        <f t="shared" si="686"/>
        <v>8.0877881059821313E-2</v>
      </c>
      <c r="AF202" s="15">
        <f t="shared" si="686"/>
        <v>7.1735164070450205E-2</v>
      </c>
      <c r="AG202" s="15">
        <f t="shared" si="686"/>
        <v>6.362597161031236E-2</v>
      </c>
      <c r="AH202" s="116">
        <f t="shared" ref="AH202" si="687">((AG202/J202)^(1/($AG$3-$K$1) ))-1</f>
        <v>-0.23159736571450407</v>
      </c>
      <c r="AI202" s="21">
        <f t="shared" si="680"/>
        <v>0.05</v>
      </c>
      <c r="AJ202" s="109">
        <f t="shared" ref="AJ202" si="688">(AG202*(1+AH202))/($C$1-AI202)</f>
        <v>0.28759037761375411</v>
      </c>
    </row>
    <row r="203" spans="2:36" x14ac:dyDescent="0.2">
      <c r="B203" s="10" t="s">
        <v>334</v>
      </c>
      <c r="C203" s="15"/>
      <c r="D203" s="15"/>
      <c r="E203" s="15"/>
      <c r="F203" s="15"/>
      <c r="G203" s="15">
        <f t="shared" ref="G203" si="689">G201/G72</f>
        <v>24.028571428571428</v>
      </c>
      <c r="H203" s="15">
        <f t="shared" ref="H203:I203" si="690">H201/H72</f>
        <v>21.853571428571428</v>
      </c>
      <c r="I203" s="15">
        <f t="shared" si="690"/>
        <v>22.886486486486486</v>
      </c>
      <c r="J203" s="15">
        <f t="shared" ref="J203:T203" si="691">J201/J72</f>
        <v>156.06442307692308</v>
      </c>
      <c r="K203" s="15">
        <f t="shared" si="691"/>
        <v>42.129459459459461</v>
      </c>
      <c r="L203" s="15">
        <f t="shared" si="691"/>
        <v>27.904800000000002</v>
      </c>
      <c r="M203" s="15">
        <f t="shared" si="691"/>
        <v>27.488936170212764</v>
      </c>
      <c r="N203" s="15">
        <f t="shared" si="691"/>
        <v>20.064285714285713</v>
      </c>
      <c r="O203" s="15">
        <f t="shared" si="691"/>
        <v>25.998199999999997</v>
      </c>
      <c r="P203" s="15">
        <f t="shared" si="691"/>
        <v>18.205882352941178</v>
      </c>
      <c r="Q203" s="15" t="e">
        <f t="shared" si="691"/>
        <v>#DIV/0!</v>
      </c>
      <c r="R203" s="15">
        <f t="shared" si="691"/>
        <v>50.887767857142855</v>
      </c>
      <c r="S203" s="15">
        <f t="shared" si="691"/>
        <v>-117.30827586206897</v>
      </c>
      <c r="T203" s="15">
        <f t="shared" si="691"/>
        <v>111.43870129870132</v>
      </c>
      <c r="U203" s="15">
        <f t="shared" ref="U203" si="692">U201/U72</f>
        <v>133.34545454545457</v>
      </c>
      <c r="V203" s="101">
        <f t="shared" si="677"/>
        <v>0.12340586574146828</v>
      </c>
      <c r="W203" s="110"/>
      <c r="X203" s="102">
        <f t="shared" ref="X203:AG203" si="693">X201/X72</f>
        <v>21.119932241671378</v>
      </c>
      <c r="Y203" s="102">
        <f t="shared" si="693"/>
        <v>18.732461640438963</v>
      </c>
      <c r="Z203" s="102">
        <f t="shared" si="693"/>
        <v>16.614879020215426</v>
      </c>
      <c r="AA203" s="102">
        <f t="shared" si="693"/>
        <v>14.736675304886729</v>
      </c>
      <c r="AB203" s="102">
        <f t="shared" si="693"/>
        <v>13.070790270421277</v>
      </c>
      <c r="AC203" s="102">
        <f t="shared" si="693"/>
        <v>11.593222674634525</v>
      </c>
      <c r="AD203" s="102">
        <f t="shared" si="693"/>
        <v>10.282684459241056</v>
      </c>
      <c r="AE203" s="102">
        <f t="shared" si="693"/>
        <v>9.1202940421094603</v>
      </c>
      <c r="AF203" s="102">
        <f t="shared" si="693"/>
        <v>8.0893042808275197</v>
      </c>
      <c r="AG203" s="102">
        <f t="shared" si="693"/>
        <v>7.1748611882122368</v>
      </c>
      <c r="AH203" s="116">
        <f t="shared" si="679"/>
        <v>-0.12532191966094541</v>
      </c>
      <c r="AI203" s="21">
        <f t="shared" si="680"/>
        <v>0.05</v>
      </c>
      <c r="AJ203" s="109">
        <f t="shared" si="681"/>
        <v>36.915845945909808</v>
      </c>
    </row>
    <row r="204" spans="2:36" x14ac:dyDescent="0.2">
      <c r="B204" s="10" t="s">
        <v>407</v>
      </c>
      <c r="C204" s="15"/>
      <c r="D204" s="15"/>
      <c r="E204" s="15"/>
      <c r="F204" s="15"/>
      <c r="G204" s="15">
        <f t="shared" ref="G204" si="694">G201/G70</f>
        <v>14.951111111111111</v>
      </c>
      <c r="H204" s="15">
        <f t="shared" ref="H204:I204" si="695">H201/H70</f>
        <v>14.230232558139535</v>
      </c>
      <c r="I204" s="15">
        <f t="shared" si="695"/>
        <v>14.113333333333333</v>
      </c>
      <c r="J204" s="15">
        <f t="shared" ref="J204:T204" si="696">J201/J70</f>
        <v>92.219886363636377</v>
      </c>
      <c r="K204" s="15">
        <f t="shared" si="696"/>
        <v>16.761182795698925</v>
      </c>
      <c r="L204" s="15">
        <f t="shared" si="696"/>
        <v>10.9003125</v>
      </c>
      <c r="M204" s="15">
        <f t="shared" si="696"/>
        <v>16.149750000000001</v>
      </c>
      <c r="N204" s="15">
        <f t="shared" si="696"/>
        <v>10.6</v>
      </c>
      <c r="O204" s="15">
        <f t="shared" si="696"/>
        <v>11.606339285714286</v>
      </c>
      <c r="P204" s="15">
        <f t="shared" si="696"/>
        <v>8.1447368421052637</v>
      </c>
      <c r="Q204" s="15" t="e">
        <f t="shared" si="696"/>
        <v>#DIV/0!</v>
      </c>
      <c r="R204" s="15">
        <f t="shared" si="696"/>
        <v>23.649087136929463</v>
      </c>
      <c r="S204" s="15">
        <f t="shared" si="696"/>
        <v>36.977608695652172</v>
      </c>
      <c r="T204" s="15">
        <f t="shared" si="696"/>
        <v>27.502499999999998</v>
      </c>
      <c r="U204" s="15">
        <f t="shared" ref="U204" si="697">U201/U70</f>
        <v>32.908974358974355</v>
      </c>
      <c r="V204" s="101">
        <f t="shared" si="677"/>
        <v>4.8190001077232036E-2</v>
      </c>
      <c r="W204" s="110"/>
      <c r="X204" s="15">
        <f t="shared" ref="X204:AG204" si="698">X201/X70</f>
        <v>5.2122909698996667</v>
      </c>
      <c r="Y204" s="15">
        <f t="shared" si="698"/>
        <v>4.6230754689544877</v>
      </c>
      <c r="Z204" s="15">
        <f t="shared" si="698"/>
        <v>4.1004669376813716</v>
      </c>
      <c r="AA204" s="15">
        <f t="shared" si="698"/>
        <v>3.6369358925521733</v>
      </c>
      <c r="AB204" s="15">
        <f t="shared" si="698"/>
        <v>3.2258040090462763</v>
      </c>
      <c r="AC204" s="15">
        <f t="shared" si="698"/>
        <v>2.8611479036758283</v>
      </c>
      <c r="AD204" s="15">
        <f t="shared" si="698"/>
        <v>2.5377137928255169</v>
      </c>
      <c r="AE204" s="15">
        <f t="shared" si="698"/>
        <v>2.2508417988539375</v>
      </c>
      <c r="AF204" s="15">
        <f t="shared" si="698"/>
        <v>1.9963988128965358</v>
      </c>
      <c r="AG204" s="15">
        <f t="shared" si="698"/>
        <v>1.7707189470908407</v>
      </c>
      <c r="AH204" s="116">
        <f t="shared" ref="AH204:AH205" si="699">((AG204/J204)^(1/($AG$3-$K$1) ))-1</f>
        <v>-0.15790331295665183</v>
      </c>
      <c r="AI204" s="21">
        <f t="shared" si="680"/>
        <v>0.05</v>
      </c>
      <c r="AJ204" s="109">
        <f t="shared" ref="AJ204:AJ205" si="700">(AG204*(1+AH204))/($C$1-AI204)</f>
        <v>8.7712738766475447</v>
      </c>
    </row>
    <row r="205" spans="2:36" x14ac:dyDescent="0.2">
      <c r="B205" s="10" t="s">
        <v>408</v>
      </c>
      <c r="C205" s="15"/>
      <c r="D205" s="15"/>
      <c r="E205" s="15"/>
      <c r="F205" s="15"/>
      <c r="G205" s="15">
        <f t="shared" ref="G205" si="701">G201/G71</f>
        <v>16.019047619047619</v>
      </c>
      <c r="H205" s="15">
        <f t="shared" ref="H205:I205" si="702">H201/H71</f>
        <v>15.297499999999999</v>
      </c>
      <c r="I205" s="15">
        <f t="shared" si="702"/>
        <v>15.977358490566036</v>
      </c>
      <c r="J205" s="15">
        <f t="shared" ref="J205:T205" si="703">J201/J71</f>
        <v>142.37456140350878</v>
      </c>
      <c r="K205" s="15">
        <f t="shared" si="703"/>
        <v>29.97673076923077</v>
      </c>
      <c r="L205" s="15">
        <f t="shared" si="703"/>
        <v>20.518235294117648</v>
      </c>
      <c r="M205" s="15">
        <f t="shared" si="703"/>
        <v>17.459189189189189</v>
      </c>
      <c r="N205" s="15">
        <f t="shared" si="703"/>
        <v>14.045</v>
      </c>
      <c r="O205" s="15">
        <f t="shared" si="703"/>
        <v>16.881948051948051</v>
      </c>
      <c r="P205" s="15">
        <f t="shared" si="703"/>
        <v>12.137254901960786</v>
      </c>
      <c r="Q205" s="15" t="e">
        <f t="shared" si="703"/>
        <v>#DIV/0!</v>
      </c>
      <c r="R205" s="15">
        <f t="shared" si="703"/>
        <v>33.526058823529411</v>
      </c>
      <c r="S205" s="15">
        <f t="shared" si="703"/>
        <v>1700.97</v>
      </c>
      <c r="T205" s="15">
        <f t="shared" si="703"/>
        <v>44.691562500000003</v>
      </c>
      <c r="U205" s="15">
        <f t="shared" ref="U205" si="704">U201/U71</f>
        <v>53.47708333333334</v>
      </c>
      <c r="V205" s="101">
        <f t="shared" si="677"/>
        <v>7.9586649964447309E-2</v>
      </c>
      <c r="W205" s="110"/>
      <c r="X205" s="15">
        <f t="shared" ref="X205:AG205" si="705">X201/X71</f>
        <v>8.4699728260869591</v>
      </c>
      <c r="Y205" s="15">
        <f t="shared" si="705"/>
        <v>7.5124976370510428</v>
      </c>
      <c r="Z205" s="15">
        <f t="shared" si="705"/>
        <v>6.6632587737322293</v>
      </c>
      <c r="AA205" s="15">
        <f t="shared" si="705"/>
        <v>5.9100208253972824</v>
      </c>
      <c r="AB205" s="15">
        <f t="shared" si="705"/>
        <v>5.2419315147001999</v>
      </c>
      <c r="AC205" s="15">
        <f t="shared" si="705"/>
        <v>4.6493653434732218</v>
      </c>
      <c r="AD205" s="15">
        <f t="shared" si="705"/>
        <v>4.1237849133414661</v>
      </c>
      <c r="AE205" s="15">
        <f t="shared" si="705"/>
        <v>3.6576179231376491</v>
      </c>
      <c r="AF205" s="15">
        <f t="shared" si="705"/>
        <v>3.2441480709568715</v>
      </c>
      <c r="AG205" s="15">
        <f t="shared" si="705"/>
        <v>2.8774182890226165</v>
      </c>
      <c r="AH205" s="116">
        <f t="shared" si="699"/>
        <v>-0.15602582731170944</v>
      </c>
      <c r="AI205" s="21">
        <f t="shared" si="680"/>
        <v>0.05</v>
      </c>
      <c r="AJ205" s="109">
        <f t="shared" si="700"/>
        <v>14.28509835268247</v>
      </c>
    </row>
    <row r="206" spans="2:36" x14ac:dyDescent="0.2">
      <c r="B206" s="10" t="s">
        <v>216</v>
      </c>
      <c r="C206" s="15"/>
      <c r="D206" s="15"/>
      <c r="E206" s="15"/>
      <c r="F206" s="15"/>
      <c r="G206" s="15">
        <f t="shared" ref="G206" si="706">G201/G75</f>
        <v>5.1753846153846146</v>
      </c>
      <c r="H206" s="15">
        <f t="shared" ref="H206:I206" si="707">H201/H75</f>
        <v>4.0256578947368418</v>
      </c>
      <c r="I206" s="15">
        <f t="shared" si="707"/>
        <v>22.284210526315789</v>
      </c>
      <c r="J206" s="15">
        <f t="shared" ref="J206:T206" si="708">J201/J75</f>
        <v>108.20466666666667</v>
      </c>
      <c r="K206" s="15">
        <f t="shared" si="708"/>
        <v>15.282254901960785</v>
      </c>
      <c r="L206" s="15">
        <f t="shared" si="708"/>
        <v>2.4914999999999998</v>
      </c>
      <c r="M206" s="15">
        <f t="shared" si="708"/>
        <v>4.0500940438871478</v>
      </c>
      <c r="N206" s="15">
        <f t="shared" si="708"/>
        <v>3.0367567567567564</v>
      </c>
      <c r="O206" s="15">
        <f t="shared" si="708"/>
        <v>3.124783653846154</v>
      </c>
      <c r="P206" s="15">
        <f t="shared" si="708"/>
        <v>1.867269984917044</v>
      </c>
      <c r="Q206" s="15" t="e">
        <f t="shared" si="708"/>
        <v>#DIV/0!</v>
      </c>
      <c r="R206" s="15">
        <f t="shared" si="708"/>
        <v>4.3808070714834741</v>
      </c>
      <c r="S206" s="15">
        <f t="shared" si="708"/>
        <v>4.959096209912536</v>
      </c>
      <c r="T206" s="15">
        <f t="shared" si="708"/>
        <v>5.7860957518543499</v>
      </c>
      <c r="U206" s="15">
        <f t="shared" ref="U206" si="709">U201/U75</f>
        <v>6.9235333782872557</v>
      </c>
      <c r="V206" s="101">
        <f t="shared" si="677"/>
        <v>2.6250737485342901E-2</v>
      </c>
      <c r="W206" s="110"/>
      <c r="X206" s="102">
        <f t="shared" ref="X206:AG206" si="710">X201/X75</f>
        <v>1.096584479169721</v>
      </c>
      <c r="Y206" s="102">
        <f t="shared" si="710"/>
        <v>0.97262275543749166</v>
      </c>
      <c r="Z206" s="102">
        <f t="shared" si="710"/>
        <v>0.86267409612716661</v>
      </c>
      <c r="AA206" s="102">
        <f t="shared" si="710"/>
        <v>0.76515441569539988</v>
      </c>
      <c r="AB206" s="102">
        <f t="shared" si="710"/>
        <v>0.67865869913852872</v>
      </c>
      <c r="AC206" s="102">
        <f t="shared" si="710"/>
        <v>0.60194075923591261</v>
      </c>
      <c r="AD206" s="102">
        <f t="shared" si="710"/>
        <v>0.53389528210489634</v>
      </c>
      <c r="AE206" s="102">
        <f t="shared" si="710"/>
        <v>0.47354190238869071</v>
      </c>
      <c r="AF206" s="102">
        <f t="shared" si="710"/>
        <v>0.42001107864040393</v>
      </c>
      <c r="AG206" s="102">
        <f t="shared" si="710"/>
        <v>0.37253156540279303</v>
      </c>
      <c r="AH206" s="116">
        <f t="shared" si="679"/>
        <v>-0.21853516776646864</v>
      </c>
      <c r="AI206" s="21">
        <f t="shared" si="680"/>
        <v>0.05</v>
      </c>
      <c r="AJ206" s="109">
        <f t="shared" si="681"/>
        <v>1.7124724544658148</v>
      </c>
    </row>
    <row r="207" spans="2:36" x14ac:dyDescent="0.2">
      <c r="B207" s="10" t="s">
        <v>217</v>
      </c>
      <c r="C207" s="15"/>
      <c r="D207" s="15"/>
      <c r="E207" s="15"/>
      <c r="F207" s="15"/>
      <c r="G207" s="15">
        <f t="shared" ref="G207" si="711">G201/G84</f>
        <v>7.0369208241815713</v>
      </c>
      <c r="H207" s="15">
        <f t="shared" ref="H207:I207" si="712">H201/H84</f>
        <v>6.1808080808080801</v>
      </c>
      <c r="I207" s="15">
        <f t="shared" si="712"/>
        <v>4.4104166666666664</v>
      </c>
      <c r="J207" s="15">
        <f t="shared" ref="J207:T207" si="713">J201/J84</f>
        <v>48.105216360403084</v>
      </c>
      <c r="K207" s="15">
        <f t="shared" si="713"/>
        <v>9.8520414612564782</v>
      </c>
      <c r="L207" s="15">
        <f t="shared" si="713"/>
        <v>3.8973184357541895</v>
      </c>
      <c r="M207" s="15">
        <f t="shared" si="713"/>
        <v>8.4998684210526321</v>
      </c>
      <c r="N207" s="15">
        <f t="shared" si="713"/>
        <v>3.6245161290322576</v>
      </c>
      <c r="O207" s="15">
        <f t="shared" si="713"/>
        <v>4.1006624605678228</v>
      </c>
      <c r="P207" s="15">
        <f t="shared" si="713"/>
        <v>2.3011152416356877</v>
      </c>
      <c r="Q207" s="15" t="e">
        <f t="shared" si="713"/>
        <v>#DIV/0!</v>
      </c>
      <c r="R207" s="15">
        <f t="shared" si="713"/>
        <v>5.7921036585365862</v>
      </c>
      <c r="S207" s="15">
        <f t="shared" si="713"/>
        <v>7.0873749999999998</v>
      </c>
      <c r="T207" s="15">
        <f t="shared" si="713"/>
        <v>6.2315032679738565</v>
      </c>
      <c r="U207" s="15">
        <f t="shared" ref="U207" si="714">U201/U84</f>
        <v>7.4564996368917935</v>
      </c>
      <c r="V207" s="101">
        <f t="shared" si="677"/>
        <v>5.8364013583322993E-4</v>
      </c>
      <c r="W207" s="110"/>
      <c r="X207" s="102">
        <f t="shared" ref="X207:AG207" si="715">X201/X84</f>
        <v>1.1809983896940424</v>
      </c>
      <c r="Y207" s="102">
        <f t="shared" si="715"/>
        <v>1.047494223902542</v>
      </c>
      <c r="Z207" s="102">
        <f t="shared" si="715"/>
        <v>0.92908183337442862</v>
      </c>
      <c r="AA207" s="102">
        <f t="shared" si="715"/>
        <v>0.82405519134079763</v>
      </c>
      <c r="AB207" s="102">
        <f t="shared" si="715"/>
        <v>0.73090112623270753</v>
      </c>
      <c r="AC207" s="102">
        <f t="shared" si="715"/>
        <v>0.64827752065857547</v>
      </c>
      <c r="AD207" s="102">
        <f t="shared" si="715"/>
        <v>0.57499397484499737</v>
      </c>
      <c r="AE207" s="102">
        <f t="shared" si="715"/>
        <v>0.50999465594947613</v>
      </c>
      <c r="AF207" s="102">
        <f t="shared" si="715"/>
        <v>0.45234308614649182</v>
      </c>
      <c r="AG207" s="102">
        <f t="shared" si="715"/>
        <v>0.40120865032123626</v>
      </c>
      <c r="AH207" s="116">
        <f t="shared" si="679"/>
        <v>-0.18788704254182387</v>
      </c>
      <c r="AI207" s="21">
        <f t="shared" si="680"/>
        <v>0.05</v>
      </c>
      <c r="AJ207" s="109">
        <f t="shared" si="681"/>
        <v>1.9166279033540146</v>
      </c>
    </row>
    <row r="208" spans="2:36" x14ac:dyDescent="0.2">
      <c r="B208" s="10" t="s">
        <v>218</v>
      </c>
      <c r="C208" s="15"/>
      <c r="D208" s="15"/>
      <c r="E208" s="15"/>
      <c r="F208" s="15"/>
      <c r="G208" s="15">
        <f t="shared" ref="G208" si="716">G201/G86</f>
        <v>6.4076190476190469</v>
      </c>
      <c r="H208" s="15">
        <f t="shared" ref="H208:I208" si="717">H201/H86</f>
        <v>6.3082474226804122</v>
      </c>
      <c r="I208" s="15">
        <f t="shared" si="717"/>
        <v>4.5772972972972967</v>
      </c>
      <c r="J208" s="15">
        <f t="shared" ref="J208:T208" si="718">J201/J86</f>
        <v>30.856844106463875</v>
      </c>
      <c r="K208" s="15">
        <f t="shared" si="718"/>
        <v>5.816380597014926</v>
      </c>
      <c r="L208" s="15">
        <f t="shared" si="718"/>
        <v>3.2148387096774194</v>
      </c>
      <c r="M208" s="15">
        <f t="shared" si="718"/>
        <v>4.6307526881720431</v>
      </c>
      <c r="N208" s="15">
        <f t="shared" si="718"/>
        <v>3.4048484848484848</v>
      </c>
      <c r="O208" s="15">
        <f t="shared" si="718"/>
        <v>4.8685767790262169</v>
      </c>
      <c r="P208" s="15">
        <f t="shared" si="718"/>
        <v>5.4537444933920707</v>
      </c>
      <c r="Q208" s="15" t="e">
        <f t="shared" si="718"/>
        <v>#DIV/0!</v>
      </c>
      <c r="R208" s="15">
        <f t="shared" si="718"/>
        <v>20.501546762589928</v>
      </c>
      <c r="S208" s="15">
        <f t="shared" si="718"/>
        <v>34.019399999999997</v>
      </c>
      <c r="T208" s="15">
        <f t="shared" si="718"/>
        <v>17.476130346232178</v>
      </c>
      <c r="U208" s="15">
        <f t="shared" ref="U208" si="719">U201/U86</f>
        <v>20.911608961303461</v>
      </c>
      <c r="V208" s="101">
        <f t="shared" si="677"/>
        <v>7.5498363821756342E-2</v>
      </c>
      <c r="W208" s="110"/>
      <c r="X208" s="102">
        <f t="shared" ref="X208:AG208" si="720">X201/X86</f>
        <v>3.3120871336225983</v>
      </c>
      <c r="Y208" s="102">
        <f t="shared" si="720"/>
        <v>2.9376772837348266</v>
      </c>
      <c r="Z208" s="102">
        <f t="shared" si="720"/>
        <v>2.6055920255734986</v>
      </c>
      <c r="AA208" s="102">
        <f t="shared" si="720"/>
        <v>2.3110468400738862</v>
      </c>
      <c r="AB208" s="102">
        <f t="shared" si="720"/>
        <v>2.049798066848143</v>
      </c>
      <c r="AC208" s="102">
        <f t="shared" si="720"/>
        <v>1.8180817636392226</v>
      </c>
      <c r="AD208" s="102">
        <f t="shared" si="720"/>
        <v>1.6125594773147889</v>
      </c>
      <c r="AE208" s="102">
        <f t="shared" si="720"/>
        <v>1.4302701450965953</v>
      </c>
      <c r="AF208" s="102">
        <f t="shared" si="720"/>
        <v>1.2685874330421978</v>
      </c>
      <c r="AG208" s="102">
        <f t="shared" si="720"/>
        <v>1.1251818971330798</v>
      </c>
      <c r="AH208" s="116">
        <f t="shared" si="679"/>
        <v>-0.13409018537323858</v>
      </c>
      <c r="AI208" s="21">
        <f t="shared" si="680"/>
        <v>0.05</v>
      </c>
      <c r="AJ208" s="109">
        <f t="shared" si="681"/>
        <v>5.7312120468699588</v>
      </c>
    </row>
    <row r="209" spans="2:36" x14ac:dyDescent="0.2">
      <c r="B209" s="10" t="s">
        <v>232</v>
      </c>
      <c r="C209" s="15"/>
      <c r="D209" s="15"/>
      <c r="E209" s="15"/>
      <c r="F209" s="15"/>
      <c r="G209" s="159">
        <f t="shared" ref="G209" si="721">G201/G80</f>
        <v>3.2660194174757278</v>
      </c>
      <c r="H209" s="159">
        <f t="shared" ref="H209:I209" si="722">H201/H80</f>
        <v>2.7712862318840576</v>
      </c>
      <c r="I209" s="159">
        <f t="shared" si="722"/>
        <v>-11.926760563380283</v>
      </c>
      <c r="J209" s="159">
        <f t="shared" ref="J209:T209" si="723">J201/J80</f>
        <v>91.183707865168543</v>
      </c>
      <c r="K209" s="159">
        <f t="shared" si="723"/>
        <v>14.170818181818182</v>
      </c>
      <c r="L209" s="159">
        <f t="shared" si="723"/>
        <v>2.8474285714285714</v>
      </c>
      <c r="M209" s="159">
        <f t="shared" si="723"/>
        <v>5.02715953307393</v>
      </c>
      <c r="N209" s="159">
        <f t="shared" si="723"/>
        <v>3.0204301075268813</v>
      </c>
      <c r="O209" s="159">
        <f t="shared" si="723"/>
        <v>3.7140285714285715</v>
      </c>
      <c r="P209" s="159">
        <f t="shared" si="723"/>
        <v>3.0643564356435644</v>
      </c>
      <c r="Q209" s="159" t="e">
        <f t="shared" si="723"/>
        <v>#DIV/0!</v>
      </c>
      <c r="R209" s="159">
        <f t="shared" si="723"/>
        <v>7.7967578659370727</v>
      </c>
      <c r="S209" s="159">
        <f t="shared" si="723"/>
        <v>-28.349499999999999</v>
      </c>
      <c r="T209" s="159">
        <f t="shared" si="723"/>
        <v>-26.002363636363636</v>
      </c>
      <c r="U209" s="159">
        <f t="shared" ref="U209" si="724">U201/U80</f>
        <v>-31.113939393939393</v>
      </c>
      <c r="V209" s="101" t="e">
        <f t="shared" si="677"/>
        <v>#NUM!</v>
      </c>
      <c r="W209" s="110"/>
      <c r="X209" s="113">
        <f t="shared" ref="X209:AG209" si="725">X201/X80</f>
        <v>-4.9279841897233148</v>
      </c>
      <c r="Y209" s="113">
        <f t="shared" si="725"/>
        <v>-4.3709077161024137</v>
      </c>
      <c r="Z209" s="113">
        <f t="shared" si="725"/>
        <v>-3.8768051047169245</v>
      </c>
      <c r="AA209" s="113">
        <f t="shared" si="725"/>
        <v>-3.4385575711402203</v>
      </c>
      <c r="AB209" s="113">
        <f t="shared" si="725"/>
        <v>-3.0498510630982887</v>
      </c>
      <c r="AC209" s="113">
        <f t="shared" si="725"/>
        <v>-2.7050852907480505</v>
      </c>
      <c r="AD209" s="113">
        <f t="shared" si="725"/>
        <v>-2.3992930404895723</v>
      </c>
      <c r="AE209" s="113">
        <f t="shared" si="725"/>
        <v>-2.1280686098255335</v>
      </c>
      <c r="AF209" s="113">
        <f t="shared" si="725"/>
        <v>-1.8875043321930869</v>
      </c>
      <c r="AG209" s="113">
        <f t="shared" si="725"/>
        <v>-1.674134277249518</v>
      </c>
      <c r="AH209" s="116">
        <f t="shared" ref="AH209" si="726">((AG209/J209)^(1/($AG$3-$K$1) ))-1</f>
        <v>-1.8404583942347614</v>
      </c>
      <c r="AI209" s="21">
        <f t="shared" ref="AI209:AI212" si="727">$O$1</f>
        <v>0.05</v>
      </c>
      <c r="AJ209" s="109">
        <f t="shared" si="681"/>
        <v>8.2767070964147234</v>
      </c>
    </row>
    <row r="210" spans="2:36" x14ac:dyDescent="0.2">
      <c r="B210" s="10"/>
      <c r="C210" s="15"/>
      <c r="D210" s="15"/>
      <c r="E210" s="15"/>
      <c r="F210" s="15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10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6"/>
      <c r="AI210" s="21">
        <f t="shared" si="727"/>
        <v>0.05</v>
      </c>
      <c r="AJ210" s="109"/>
    </row>
    <row r="211" spans="2:36" x14ac:dyDescent="0.2">
      <c r="B211" s="10" t="s">
        <v>265</v>
      </c>
      <c r="C211" s="129"/>
      <c r="D211" s="129"/>
      <c r="E211" s="129"/>
      <c r="F211" s="129"/>
      <c r="G211" s="129">
        <f t="shared" ref="G211" si="728">G59/G201</f>
        <v>0</v>
      </c>
      <c r="H211" s="129">
        <f t="shared" ref="H211:I211" si="729">H59/H201</f>
        <v>0</v>
      </c>
      <c r="I211" s="129">
        <f t="shared" si="729"/>
        <v>0</v>
      </c>
      <c r="J211" s="129">
        <f t="shared" ref="J211:T211" si="730">J59/J201</f>
        <v>0</v>
      </c>
      <c r="K211" s="129">
        <f t="shared" si="730"/>
        <v>0</v>
      </c>
      <c r="L211" s="129">
        <f t="shared" si="730"/>
        <v>0</v>
      </c>
      <c r="M211" s="129">
        <f t="shared" si="730"/>
        <v>0</v>
      </c>
      <c r="N211" s="129">
        <f t="shared" si="730"/>
        <v>0</v>
      </c>
      <c r="O211" s="129">
        <f t="shared" si="730"/>
        <v>0</v>
      </c>
      <c r="P211" s="129">
        <f t="shared" si="730"/>
        <v>0</v>
      </c>
      <c r="Q211" s="129">
        <f t="shared" si="730"/>
        <v>0</v>
      </c>
      <c r="R211" s="129">
        <f t="shared" si="730"/>
        <v>0</v>
      </c>
      <c r="S211" s="129">
        <f t="shared" si="730"/>
        <v>0</v>
      </c>
      <c r="T211" s="129">
        <f t="shared" si="730"/>
        <v>0</v>
      </c>
      <c r="U211" s="129">
        <f t="shared" ref="U211" si="731">U59/U201</f>
        <v>0</v>
      </c>
      <c r="V211" s="101" t="e">
        <f t="shared" si="677"/>
        <v>#DIV/0!</v>
      </c>
      <c r="W211" s="110"/>
      <c r="X211" s="129">
        <f t="shared" ref="X211:AG211" si="732">X59/X201</f>
        <v>0</v>
      </c>
      <c r="Y211" s="129">
        <f t="shared" si="732"/>
        <v>0</v>
      </c>
      <c r="Z211" s="129">
        <f t="shared" si="732"/>
        <v>0</v>
      </c>
      <c r="AA211" s="129">
        <f t="shared" si="732"/>
        <v>0</v>
      </c>
      <c r="AB211" s="129">
        <f t="shared" si="732"/>
        <v>0</v>
      </c>
      <c r="AC211" s="129">
        <f t="shared" si="732"/>
        <v>0</v>
      </c>
      <c r="AD211" s="129">
        <f t="shared" si="732"/>
        <v>0</v>
      </c>
      <c r="AE211" s="129">
        <f t="shared" si="732"/>
        <v>0</v>
      </c>
      <c r="AF211" s="129">
        <f t="shared" si="732"/>
        <v>0</v>
      </c>
      <c r="AG211" s="129">
        <f t="shared" si="732"/>
        <v>0</v>
      </c>
      <c r="AH211" s="116" t="e">
        <f t="shared" ref="AH211:AH216" si="733">((AG211/J211)^(1/($AG$3-$K$1) ))-1</f>
        <v>#DIV/0!</v>
      </c>
      <c r="AI211" s="21">
        <f t="shared" si="727"/>
        <v>0.05</v>
      </c>
      <c r="AJ211" s="109" t="e">
        <f t="shared" si="681"/>
        <v>#DIV/0!</v>
      </c>
    </row>
    <row r="212" spans="2:36" x14ac:dyDescent="0.2">
      <c r="B212" s="10" t="s">
        <v>132</v>
      </c>
      <c r="C212" s="129"/>
      <c r="D212" s="129"/>
      <c r="E212" s="129"/>
      <c r="F212" s="129"/>
      <c r="G212" s="142">
        <f t="shared" ref="G212" si="734">G201*G57</f>
        <v>672.8</v>
      </c>
      <c r="H212" s="142">
        <f t="shared" ref="H212:I212" si="735">H201*H57</f>
        <v>611.9</v>
      </c>
      <c r="I212" s="142">
        <f t="shared" si="735"/>
        <v>846.8</v>
      </c>
      <c r="J212" s="142">
        <f t="shared" ref="J212:T212" si="736">J201*J57</f>
        <v>8115.35</v>
      </c>
      <c r="K212" s="142">
        <f t="shared" si="736"/>
        <v>1558.79</v>
      </c>
      <c r="L212" s="142">
        <f t="shared" si="736"/>
        <v>697.62</v>
      </c>
      <c r="M212" s="142">
        <f t="shared" si="736"/>
        <v>1291.98</v>
      </c>
      <c r="N212" s="142">
        <f t="shared" si="736"/>
        <v>1123.5999999999999</v>
      </c>
      <c r="O212" s="142">
        <f t="shared" si="736"/>
        <v>1299.9099999999999</v>
      </c>
      <c r="P212" s="142">
        <f t="shared" si="736"/>
        <v>1238</v>
      </c>
      <c r="Q212" s="142">
        <f t="shared" si="736"/>
        <v>0</v>
      </c>
      <c r="R212" s="142">
        <f t="shared" si="736"/>
        <v>5699.43</v>
      </c>
      <c r="S212" s="142">
        <f t="shared" si="736"/>
        <v>6803.88</v>
      </c>
      <c r="T212" s="142">
        <f t="shared" si="736"/>
        <v>8580.7800000000007</v>
      </c>
      <c r="U212" s="142">
        <f t="shared" ref="U212" si="737">U201*U57</f>
        <v>10267.6</v>
      </c>
      <c r="V212" s="101">
        <f t="shared" si="677"/>
        <v>0.2075846776427106</v>
      </c>
      <c r="W212" s="110"/>
      <c r="X212" s="142">
        <f t="shared" ref="X212:AG212" si="738">X201*X57</f>
        <v>1870.1700000000003</v>
      </c>
      <c r="Y212" s="142">
        <f t="shared" si="738"/>
        <v>1907.5734000000004</v>
      </c>
      <c r="Z212" s="142">
        <f t="shared" si="738"/>
        <v>1945.7248680000002</v>
      </c>
      <c r="AA212" s="142">
        <f t="shared" si="738"/>
        <v>1984.6393653600003</v>
      </c>
      <c r="AB212" s="142">
        <f t="shared" si="738"/>
        <v>2024.3321526672005</v>
      </c>
      <c r="AC212" s="142">
        <f t="shared" si="738"/>
        <v>2064.8187957205446</v>
      </c>
      <c r="AD212" s="142">
        <f t="shared" si="738"/>
        <v>2106.1151716349555</v>
      </c>
      <c r="AE212" s="142">
        <f t="shared" si="738"/>
        <v>2148.2374750676549</v>
      </c>
      <c r="AF212" s="142">
        <f t="shared" si="738"/>
        <v>2191.2022245690077</v>
      </c>
      <c r="AG212" s="142">
        <f t="shared" si="738"/>
        <v>2235.0262690603881</v>
      </c>
      <c r="AH212" s="116">
        <f t="shared" si="733"/>
        <v>-5.4522706453639991E-2</v>
      </c>
      <c r="AI212" s="21">
        <f t="shared" si="727"/>
        <v>0.05</v>
      </c>
      <c r="AJ212" s="109">
        <f t="shared" si="681"/>
        <v>12430.391693389614</v>
      </c>
    </row>
    <row r="213" spans="2:36" x14ac:dyDescent="0.2">
      <c r="B213" s="10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10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  <c r="AH213" s="129"/>
      <c r="AI213" s="129"/>
      <c r="AJ213" s="129"/>
    </row>
    <row r="214" spans="2:36" x14ac:dyDescent="0.2">
      <c r="B214" s="10" t="s">
        <v>316</v>
      </c>
      <c r="C214" s="138"/>
      <c r="D214" s="138"/>
      <c r="E214" s="138"/>
      <c r="F214" s="138"/>
      <c r="G214" s="138">
        <f t="shared" ref="G214" si="739">G72/G201</f>
        <v>4.1617122473246136E-2</v>
      </c>
      <c r="H214" s="138">
        <f t="shared" ref="H214:I214" si="740">H72/H201</f>
        <v>4.5759110965844091E-2</v>
      </c>
      <c r="I214" s="138">
        <f t="shared" si="740"/>
        <v>4.3693906471421823E-2</v>
      </c>
      <c r="J214" s="138">
        <f t="shared" ref="J214:T214" si="741">J72/J201</f>
        <v>6.4076102694276896E-3</v>
      </c>
      <c r="K214" s="138">
        <f t="shared" si="741"/>
        <v>2.3736359612263357E-2</v>
      </c>
      <c r="L214" s="138">
        <f t="shared" si="741"/>
        <v>3.5836128551360334E-2</v>
      </c>
      <c r="M214" s="138">
        <f t="shared" si="741"/>
        <v>3.6378272109475383E-2</v>
      </c>
      <c r="N214" s="138">
        <f t="shared" si="741"/>
        <v>4.9839800640797439E-2</v>
      </c>
      <c r="O214" s="138">
        <f t="shared" si="741"/>
        <v>3.8464201367787006E-2</v>
      </c>
      <c r="P214" s="138">
        <f t="shared" si="741"/>
        <v>5.4927302100161543E-2</v>
      </c>
      <c r="Q214" s="138" t="e">
        <f t="shared" si="741"/>
        <v>#DIV/0!</v>
      </c>
      <c r="R214" s="138">
        <f t="shared" si="741"/>
        <v>1.9651087915809124E-2</v>
      </c>
      <c r="S214" s="138">
        <f t="shared" si="741"/>
        <v>-8.5245477580439388E-3</v>
      </c>
      <c r="T214" s="138">
        <f t="shared" si="741"/>
        <v>8.9735431977046361E-3</v>
      </c>
      <c r="U214" s="138">
        <f t="shared" ref="U214" si="742">U72/U201</f>
        <v>7.4993182437960177E-3</v>
      </c>
      <c r="V214" s="101">
        <f t="shared" si="677"/>
        <v>-0.10984976089653764</v>
      </c>
      <c r="W214" s="110"/>
      <c r="X214" s="138">
        <f t="shared" ref="X214:AG214" si="743">X72/X201</f>
        <v>4.7348636754947403E-2</v>
      </c>
      <c r="Y214" s="138">
        <f t="shared" si="743"/>
        <v>5.338326692959755E-2</v>
      </c>
      <c r="Z214" s="138">
        <f t="shared" si="743"/>
        <v>6.0187016636310965E-2</v>
      </c>
      <c r="AA214" s="138">
        <f t="shared" si="743"/>
        <v>6.7857910913487848E-2</v>
      </c>
      <c r="AB214" s="138">
        <f t="shared" si="743"/>
        <v>7.6506468186775492E-2</v>
      </c>
      <c r="AC214" s="138">
        <f t="shared" si="743"/>
        <v>8.6257292563521382E-2</v>
      </c>
      <c r="AD214" s="138">
        <f t="shared" si="743"/>
        <v>9.7250869066715276E-2</v>
      </c>
      <c r="AE214" s="138">
        <f t="shared" si="743"/>
        <v>0.10964558767325741</v>
      </c>
      <c r="AF214" s="138">
        <f t="shared" si="743"/>
        <v>0.12362002531788827</v>
      </c>
      <c r="AG214" s="138">
        <f t="shared" si="743"/>
        <v>0.13937551874075635</v>
      </c>
      <c r="AH214" s="116">
        <f t="shared" ref="AH214" si="744">((AG214/J214)^(1/($AG$3-$K$1) ))-1</f>
        <v>0.14327776410307025</v>
      </c>
      <c r="AI214" s="21">
        <f t="shared" ref="AI214" si="745">$O$1</f>
        <v>0.05</v>
      </c>
      <c r="AJ214" s="109">
        <f t="shared" ref="AJ214" si="746">(AG214*(1+AH214))/($C$1-AI214)</f>
        <v>0.93732312609786761</v>
      </c>
    </row>
    <row r="215" spans="2:36" x14ac:dyDescent="0.2">
      <c r="B215" s="10" t="str">
        <f>B203</f>
        <v>P/E (how many years it will take to recover invested amount)</v>
      </c>
      <c r="C215" s="129"/>
      <c r="D215" s="129"/>
      <c r="E215" s="129"/>
      <c r="F215" s="129"/>
      <c r="G215" s="158">
        <f t="shared" ref="G215" si="747">G203</f>
        <v>24.028571428571428</v>
      </c>
      <c r="H215" s="158">
        <f t="shared" ref="H215:I215" si="748">H203</f>
        <v>21.853571428571428</v>
      </c>
      <c r="I215" s="158">
        <f t="shared" si="748"/>
        <v>22.886486486486486</v>
      </c>
      <c r="J215" s="158">
        <f t="shared" ref="J215:T215" si="749">J203</f>
        <v>156.06442307692308</v>
      </c>
      <c r="K215" s="158">
        <f t="shared" si="749"/>
        <v>42.129459459459461</v>
      </c>
      <c r="L215" s="158">
        <f t="shared" si="749"/>
        <v>27.904800000000002</v>
      </c>
      <c r="M215" s="158">
        <f t="shared" si="749"/>
        <v>27.488936170212764</v>
      </c>
      <c r="N215" s="158">
        <f t="shared" si="749"/>
        <v>20.064285714285713</v>
      </c>
      <c r="O215" s="158">
        <f t="shared" si="749"/>
        <v>25.998199999999997</v>
      </c>
      <c r="P215" s="158">
        <f t="shared" si="749"/>
        <v>18.205882352941178</v>
      </c>
      <c r="Q215" s="158" t="e">
        <f t="shared" si="749"/>
        <v>#DIV/0!</v>
      </c>
      <c r="R215" s="158">
        <f t="shared" si="749"/>
        <v>50.887767857142855</v>
      </c>
      <c r="S215" s="158">
        <f t="shared" si="749"/>
        <v>-117.30827586206897</v>
      </c>
      <c r="T215" s="158">
        <f t="shared" si="749"/>
        <v>111.43870129870132</v>
      </c>
      <c r="U215" s="158">
        <f t="shared" ref="U215" si="750">U203</f>
        <v>133.34545454545457</v>
      </c>
      <c r="V215" s="101">
        <f t="shared" si="677"/>
        <v>0.12340586574146828</v>
      </c>
      <c r="W215" s="110"/>
      <c r="X215" s="129">
        <f t="shared" ref="X215:AG215" si="751">X203</f>
        <v>21.119932241671378</v>
      </c>
      <c r="Y215" s="129">
        <f t="shared" si="751"/>
        <v>18.732461640438963</v>
      </c>
      <c r="Z215" s="129">
        <f t="shared" si="751"/>
        <v>16.614879020215426</v>
      </c>
      <c r="AA215" s="129">
        <f t="shared" si="751"/>
        <v>14.736675304886729</v>
      </c>
      <c r="AB215" s="129">
        <f t="shared" si="751"/>
        <v>13.070790270421277</v>
      </c>
      <c r="AC215" s="129">
        <f t="shared" si="751"/>
        <v>11.593222674634525</v>
      </c>
      <c r="AD215" s="129">
        <f t="shared" si="751"/>
        <v>10.282684459241056</v>
      </c>
      <c r="AE215" s="129">
        <f t="shared" si="751"/>
        <v>9.1202940421094603</v>
      </c>
      <c r="AF215" s="129">
        <f t="shared" si="751"/>
        <v>8.0893042808275197</v>
      </c>
      <c r="AG215" s="129">
        <f t="shared" si="751"/>
        <v>7.1748611882122368</v>
      </c>
      <c r="AH215" s="116">
        <f t="shared" ref="AH215" si="752">((AG215/J215)^(1/($AG$3-$K$1) ))-1</f>
        <v>-0.12532191966094541</v>
      </c>
      <c r="AI215" s="21">
        <f t="shared" ref="AI215:AI217" si="753">$O$1</f>
        <v>0.05</v>
      </c>
      <c r="AJ215" s="158">
        <f>(AJ202)/($O$2*100)</f>
        <v>1.9172691840916942E-2</v>
      </c>
    </row>
    <row r="216" spans="2:36" x14ac:dyDescent="0.2">
      <c r="B216" s="10" t="s">
        <v>437</v>
      </c>
      <c r="C216" s="158"/>
      <c r="D216" s="158"/>
      <c r="E216" s="158"/>
      <c r="F216" s="158"/>
      <c r="G216" s="158">
        <f t="shared" ref="G216" si="754">(G203)/($O$2*100)</f>
        <v>1.6019047619047619</v>
      </c>
      <c r="H216" s="158">
        <f t="shared" ref="H216:I216" si="755">(H203)/($O$2*100)</f>
        <v>1.4569047619047619</v>
      </c>
      <c r="I216" s="158">
        <f t="shared" si="755"/>
        <v>1.5257657657657657</v>
      </c>
      <c r="J216" s="158">
        <f t="shared" ref="J216:T216" si="756">(J203)/($O$2*100)</f>
        <v>10.404294871794871</v>
      </c>
      <c r="K216" s="158">
        <f t="shared" si="756"/>
        <v>2.8086306306306308</v>
      </c>
      <c r="L216" s="158">
        <f t="shared" si="756"/>
        <v>1.8603200000000002</v>
      </c>
      <c r="M216" s="158">
        <f t="shared" si="756"/>
        <v>1.832595744680851</v>
      </c>
      <c r="N216" s="158">
        <f t="shared" si="756"/>
        <v>1.3376190476190475</v>
      </c>
      <c r="O216" s="158">
        <f t="shared" si="756"/>
        <v>1.7332133333333331</v>
      </c>
      <c r="P216" s="158">
        <f t="shared" si="756"/>
        <v>1.2137254901960786</v>
      </c>
      <c r="Q216" s="158" t="e">
        <f t="shared" si="756"/>
        <v>#DIV/0!</v>
      </c>
      <c r="R216" s="158">
        <f t="shared" si="756"/>
        <v>3.3925178571428569</v>
      </c>
      <c r="S216" s="158">
        <f t="shared" si="756"/>
        <v>-7.820551724137931</v>
      </c>
      <c r="T216" s="158">
        <f t="shared" si="756"/>
        <v>7.4292467532467548</v>
      </c>
      <c r="U216" s="158">
        <f t="shared" ref="U216" si="757">(U203)/($O$2*100)</f>
        <v>8.8896969696969723</v>
      </c>
      <c r="V216" s="101">
        <f t="shared" si="677"/>
        <v>0.12340586574146828</v>
      </c>
      <c r="W216" s="110"/>
      <c r="X216" s="158">
        <f t="shared" ref="X216:AG216" si="758">(X203)/($O$2*100)</f>
        <v>1.4079954827780918</v>
      </c>
      <c r="Y216" s="158">
        <f t="shared" si="758"/>
        <v>1.2488307760292643</v>
      </c>
      <c r="Z216" s="158">
        <f t="shared" si="758"/>
        <v>1.107658601347695</v>
      </c>
      <c r="AA216" s="158">
        <f t="shared" si="758"/>
        <v>0.98244502032578196</v>
      </c>
      <c r="AB216" s="158">
        <f t="shared" si="758"/>
        <v>0.87138601802808513</v>
      </c>
      <c r="AC216" s="158">
        <f t="shared" si="758"/>
        <v>0.77288151164230168</v>
      </c>
      <c r="AD216" s="158">
        <f t="shared" si="758"/>
        <v>0.68551229728273699</v>
      </c>
      <c r="AE216" s="158">
        <f t="shared" si="758"/>
        <v>0.60801960280729739</v>
      </c>
      <c r="AF216" s="158">
        <f t="shared" si="758"/>
        <v>0.53928695205516797</v>
      </c>
      <c r="AG216" s="158">
        <f t="shared" si="758"/>
        <v>0.4783240792141491</v>
      </c>
      <c r="AH216" s="116">
        <f t="shared" si="733"/>
        <v>-0.12532191966094541</v>
      </c>
      <c r="AI216" s="21">
        <f t="shared" si="753"/>
        <v>0.05</v>
      </c>
      <c r="AJ216" s="158">
        <f>(AJ203)/($O$2*100)</f>
        <v>2.4610563963939871</v>
      </c>
    </row>
    <row r="217" spans="2:36" x14ac:dyDescent="0.2">
      <c r="B217" s="10" t="s">
        <v>438</v>
      </c>
      <c r="C217" s="129"/>
      <c r="D217" s="129"/>
      <c r="E217" s="129"/>
      <c r="F217" s="129"/>
      <c r="G217" s="129">
        <f t="shared" ref="G217" si="759">G216-1</f>
        <v>0.60190476190476194</v>
      </c>
      <c r="H217" s="129">
        <f t="shared" ref="H217:I217" si="760">H216-1</f>
        <v>0.45690476190476192</v>
      </c>
      <c r="I217" s="129">
        <f t="shared" si="760"/>
        <v>0.52576576576576572</v>
      </c>
      <c r="J217" s="129">
        <f t="shared" ref="J217:S217" si="761">J216-1</f>
        <v>9.4042948717948711</v>
      </c>
      <c r="K217" s="129">
        <f t="shared" si="761"/>
        <v>1.8086306306306308</v>
      </c>
      <c r="L217" s="129">
        <f t="shared" si="761"/>
        <v>0.8603200000000002</v>
      </c>
      <c r="M217" s="129">
        <f t="shared" si="761"/>
        <v>0.83259574468085096</v>
      </c>
      <c r="N217" s="129">
        <f t="shared" si="761"/>
        <v>0.33761904761904749</v>
      </c>
      <c r="O217" s="129">
        <f t="shared" si="761"/>
        <v>0.73321333333333305</v>
      </c>
      <c r="P217" s="129">
        <f t="shared" si="761"/>
        <v>0.21372549019607856</v>
      </c>
      <c r="Q217" s="129" t="e">
        <f t="shared" si="761"/>
        <v>#DIV/0!</v>
      </c>
      <c r="R217" s="129">
        <f t="shared" si="761"/>
        <v>2.3925178571428569</v>
      </c>
      <c r="S217" s="129">
        <f t="shared" si="761"/>
        <v>-8.8205517241379319</v>
      </c>
      <c r="T217" s="129">
        <f>T216-1</f>
        <v>6.4292467532467548</v>
      </c>
      <c r="U217" s="129">
        <f>U216-1</f>
        <v>7.8896969696969723</v>
      </c>
      <c r="V217" s="101">
        <f t="shared" si="677"/>
        <v>0.2078802673165554</v>
      </c>
      <c r="W217" s="110"/>
      <c r="X217" s="129">
        <f t="shared" ref="X217:AG217" si="762">X216-1</f>
        <v>0.40799548277809183</v>
      </c>
      <c r="Y217" s="129">
        <f t="shared" si="762"/>
        <v>0.24883077602926429</v>
      </c>
      <c r="Z217" s="129">
        <f t="shared" si="762"/>
        <v>0.107658601347695</v>
      </c>
      <c r="AA217" s="129">
        <f t="shared" si="762"/>
        <v>-1.7554979674218041E-2</v>
      </c>
      <c r="AB217" s="129">
        <f t="shared" si="762"/>
        <v>-0.12861398197191487</v>
      </c>
      <c r="AC217" s="129">
        <f t="shared" si="762"/>
        <v>-0.22711848835769832</v>
      </c>
      <c r="AD217" s="129">
        <f t="shared" si="762"/>
        <v>-0.31448770271726301</v>
      </c>
      <c r="AE217" s="129">
        <f t="shared" si="762"/>
        <v>-0.39198039719270261</v>
      </c>
      <c r="AF217" s="129">
        <f t="shared" si="762"/>
        <v>-0.46071304794483203</v>
      </c>
      <c r="AG217" s="129">
        <f t="shared" si="762"/>
        <v>-0.5216759207858509</v>
      </c>
      <c r="AH217" s="116">
        <f t="shared" ref="AH217" si="763">((AG217/J217)^(1/($AG$3-$K$1) ))-1</f>
        <v>-1.8818496478053479</v>
      </c>
      <c r="AI217" s="21">
        <f t="shared" si="753"/>
        <v>0.05</v>
      </c>
      <c r="AJ217" s="158">
        <f>(AJ204)/($O$2*100)</f>
        <v>0.58475159177650293</v>
      </c>
    </row>
    <row r="218" spans="2:36" x14ac:dyDescent="0.2">
      <c r="B218" s="10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10"/>
      <c r="W218" s="110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13"/>
      <c r="AH218" s="115"/>
      <c r="AI218" s="10"/>
      <c r="AJ218" s="109"/>
    </row>
    <row r="219" spans="2:36" x14ac:dyDescent="0.2">
      <c r="B219" s="10" t="s">
        <v>414</v>
      </c>
      <c r="C219" s="129"/>
      <c r="D219" s="129"/>
      <c r="E219" s="129"/>
      <c r="F219" s="129"/>
      <c r="G219" s="129">
        <f t="shared" ref="G219:S219" si="764">1/G220</f>
        <v>2.3466854558228693E-3</v>
      </c>
      <c r="H219" s="129">
        <f t="shared" si="764"/>
        <v>2.5802418282033441E-3</v>
      </c>
      <c r="I219" s="129">
        <f t="shared" si="764"/>
        <v>1.8644898142154303E-3</v>
      </c>
      <c r="J219" s="129">
        <f t="shared" si="764"/>
        <v>2.1561624782214083E-3</v>
      </c>
      <c r="K219" s="129">
        <f t="shared" si="764"/>
        <v>1.1225381974245476E-2</v>
      </c>
      <c r="L219" s="129">
        <f t="shared" si="764"/>
        <v>3.2995819742479129E-2</v>
      </c>
      <c r="M219" s="129">
        <f t="shared" si="764"/>
        <v>1.7850197565603465E-2</v>
      </c>
      <c r="N219" s="129">
        <f t="shared" si="764"/>
        <v>2.0544567009468138E-2</v>
      </c>
      <c r="O219" s="129">
        <f t="shared" si="764"/>
        <v>1.7850197565603465E-2</v>
      </c>
      <c r="P219" s="129">
        <f t="shared" si="764"/>
        <v>2.1777241030036226E-2</v>
      </c>
      <c r="Q219" s="129">
        <f t="shared" si="764"/>
        <v>1.2098467238909014E-2</v>
      </c>
      <c r="R219" s="129">
        <f t="shared" si="764"/>
        <v>5.2098662751282835E-3</v>
      </c>
      <c r="S219" s="129">
        <f t="shared" si="764"/>
        <v>5.8540970510850068E-3</v>
      </c>
      <c r="T219" s="129">
        <f>1/T220</f>
        <v>4.6532566303496212E-3</v>
      </c>
      <c r="U219" s="129">
        <f>1/U220</f>
        <v>3.8887930410778969E-3</v>
      </c>
      <c r="V219" s="101">
        <f t="shared" si="677"/>
        <v>4.3019946404823095E-2</v>
      </c>
      <c r="W219" s="110"/>
      <c r="X219" s="129">
        <f t="shared" ref="X219:AG219" si="765">1/X220</f>
        <v>2.1777241030036226E-2</v>
      </c>
      <c r="Y219" s="129">
        <f t="shared" si="765"/>
        <v>2.1777241030036226E-2</v>
      </c>
      <c r="Z219" s="129">
        <f t="shared" si="765"/>
        <v>2.1777241030036226E-2</v>
      </c>
      <c r="AA219" s="129">
        <f t="shared" si="765"/>
        <v>2.1777241030036226E-2</v>
      </c>
      <c r="AB219" s="129">
        <f t="shared" si="765"/>
        <v>2.1777241030036226E-2</v>
      </c>
      <c r="AC219" s="129">
        <f t="shared" si="765"/>
        <v>2.1777241030036226E-2</v>
      </c>
      <c r="AD219" s="129">
        <f t="shared" si="765"/>
        <v>2.1777241030036226E-2</v>
      </c>
      <c r="AE219" s="129">
        <f t="shared" si="765"/>
        <v>2.1777241030036226E-2</v>
      </c>
      <c r="AF219" s="129">
        <f t="shared" si="765"/>
        <v>2.1777241030036226E-2</v>
      </c>
      <c r="AG219" s="129">
        <f t="shared" si="765"/>
        <v>2.1777241030036226E-2</v>
      </c>
      <c r="AH219" s="116">
        <f t="shared" ref="AH219" si="766">((AG219/J219)^(1/($AG$3-$K$1) ))-1</f>
        <v>0.10577342076486307</v>
      </c>
      <c r="AI219" s="21">
        <f t="shared" ref="AI219:AI222" si="767">$O$1</f>
        <v>0.05</v>
      </c>
      <c r="AJ219" s="158">
        <f>(AJ206)/($O$2*100)</f>
        <v>0.11416483029772098</v>
      </c>
    </row>
    <row r="220" spans="2:36" x14ac:dyDescent="0.2">
      <c r="B220" s="10" t="s">
        <v>415</v>
      </c>
      <c r="C220" s="111"/>
      <c r="D220" s="111"/>
      <c r="E220" s="111"/>
      <c r="F220" s="111"/>
      <c r="G220" s="113">
        <f t="shared" ref="G220" si="768">G201/$W$170</f>
        <v>426.13295169946343</v>
      </c>
      <c r="H220" s="113">
        <f t="shared" ref="H220:I220" si="769">H201/$W$170</f>
        <v>387.56057245080513</v>
      </c>
      <c r="I220" s="113">
        <f t="shared" si="769"/>
        <v>536.3397495527729</v>
      </c>
      <c r="J220" s="113">
        <f t="shared" ref="J220:T220" si="770">J201/$W$170</f>
        <v>463.78694096601083</v>
      </c>
      <c r="K220" s="113">
        <f t="shared" si="770"/>
        <v>89.083828264758523</v>
      </c>
      <c r="L220" s="113">
        <f t="shared" si="770"/>
        <v>30.306869409660116</v>
      </c>
      <c r="M220" s="113">
        <f t="shared" si="770"/>
        <v>56.021788908765664</v>
      </c>
      <c r="N220" s="113">
        <f t="shared" si="770"/>
        <v>48.674669051878368</v>
      </c>
      <c r="O220" s="113">
        <f t="shared" si="770"/>
        <v>56.021788908765664</v>
      </c>
      <c r="P220" s="113">
        <f t="shared" si="770"/>
        <v>45.919499105545626</v>
      </c>
      <c r="Q220" s="113">
        <f t="shared" si="770"/>
        <v>82.655098389982129</v>
      </c>
      <c r="R220" s="113">
        <f t="shared" si="770"/>
        <v>191.94350626118072</v>
      </c>
      <c r="S220" s="113">
        <f t="shared" si="770"/>
        <v>170.82053667262974</v>
      </c>
      <c r="T220" s="113">
        <f t="shared" si="770"/>
        <v>214.90325581395354</v>
      </c>
      <c r="U220" s="113">
        <f t="shared" ref="U220" si="771">U201/$W$170</f>
        <v>257.14919499105554</v>
      </c>
      <c r="V220" s="101">
        <f t="shared" si="677"/>
        <v>-4.1245564433459059E-2</v>
      </c>
      <c r="W220" s="110"/>
      <c r="X220" s="113">
        <f t="shared" ref="X220:AG220" si="772">X201/$W$170</f>
        <v>45.919499105545626</v>
      </c>
      <c r="Y220" s="113">
        <f t="shared" si="772"/>
        <v>45.919499105545626</v>
      </c>
      <c r="Z220" s="113">
        <f t="shared" si="772"/>
        <v>45.919499105545626</v>
      </c>
      <c r="AA220" s="113">
        <f t="shared" si="772"/>
        <v>45.919499105545626</v>
      </c>
      <c r="AB220" s="113">
        <f t="shared" si="772"/>
        <v>45.919499105545626</v>
      </c>
      <c r="AC220" s="113">
        <f t="shared" si="772"/>
        <v>45.919499105545626</v>
      </c>
      <c r="AD220" s="113">
        <f t="shared" si="772"/>
        <v>45.919499105545626</v>
      </c>
      <c r="AE220" s="113">
        <f t="shared" si="772"/>
        <v>45.919499105545626</v>
      </c>
      <c r="AF220" s="113">
        <f t="shared" si="772"/>
        <v>45.919499105545626</v>
      </c>
      <c r="AG220" s="113">
        <f t="shared" si="772"/>
        <v>45.919499105545626</v>
      </c>
      <c r="AH220" s="116">
        <f t="shared" ref="AH220:AH222" si="773">((AG220/J220)^(1/($AG$3-$K$1) ))-1</f>
        <v>-9.5655600666997076E-2</v>
      </c>
      <c r="AI220" s="21">
        <f t="shared" si="767"/>
        <v>0.05</v>
      </c>
      <c r="AJ220" s="158">
        <f>(AJ206)/($O$2*100)</f>
        <v>0.11416483029772098</v>
      </c>
    </row>
    <row r="221" spans="2:36" x14ac:dyDescent="0.2">
      <c r="B221" s="10" t="s">
        <v>437</v>
      </c>
      <c r="C221" s="111"/>
      <c r="D221" s="111"/>
      <c r="E221" s="111"/>
      <c r="F221" s="111"/>
      <c r="G221" s="158">
        <f t="shared" ref="G221" si="774">(G220)/($O$2*100)</f>
        <v>28.408863446630896</v>
      </c>
      <c r="H221" s="158">
        <f t="shared" ref="H221:I221" si="775">(H220)/($O$2*100)</f>
        <v>25.837371496720341</v>
      </c>
      <c r="I221" s="158">
        <f t="shared" si="775"/>
        <v>35.755983303518192</v>
      </c>
      <c r="J221" s="158">
        <f t="shared" ref="J221:T221" si="776">(J220)/($O$2*100)</f>
        <v>30.919129397734057</v>
      </c>
      <c r="K221" s="158">
        <f t="shared" si="776"/>
        <v>5.9389218843172351</v>
      </c>
      <c r="L221" s="158">
        <f t="shared" si="776"/>
        <v>2.0204579606440078</v>
      </c>
      <c r="M221" s="158">
        <f t="shared" si="776"/>
        <v>3.7347859272510444</v>
      </c>
      <c r="N221" s="158">
        <f t="shared" si="776"/>
        <v>3.2449779367918912</v>
      </c>
      <c r="O221" s="158">
        <f t="shared" si="776"/>
        <v>3.7347859272510444</v>
      </c>
      <c r="P221" s="158">
        <f t="shared" si="776"/>
        <v>3.0612999403697083</v>
      </c>
      <c r="Q221" s="158">
        <f t="shared" si="776"/>
        <v>5.510339892665475</v>
      </c>
      <c r="R221" s="158">
        <f t="shared" si="776"/>
        <v>12.796233750745381</v>
      </c>
      <c r="S221" s="158">
        <f t="shared" si="776"/>
        <v>11.388035778175317</v>
      </c>
      <c r="T221" s="158">
        <f t="shared" si="776"/>
        <v>14.326883720930235</v>
      </c>
      <c r="U221" s="158">
        <f t="shared" ref="U221" si="777">(U220)/($O$2*100)</f>
        <v>17.14327966607037</v>
      </c>
      <c r="V221" s="101">
        <f t="shared" si="677"/>
        <v>-4.1245564433459059E-2</v>
      </c>
      <c r="W221" s="110"/>
      <c r="X221" s="158">
        <f t="shared" ref="X221:AG221" si="778">(X220)/($O$2*100)</f>
        <v>3.0612999403697083</v>
      </c>
      <c r="Y221" s="158">
        <f t="shared" si="778"/>
        <v>3.0612999403697083</v>
      </c>
      <c r="Z221" s="158">
        <f t="shared" si="778"/>
        <v>3.0612999403697083</v>
      </c>
      <c r="AA221" s="158">
        <f t="shared" si="778"/>
        <v>3.0612999403697083</v>
      </c>
      <c r="AB221" s="158">
        <f t="shared" si="778"/>
        <v>3.0612999403697083</v>
      </c>
      <c r="AC221" s="158">
        <f t="shared" si="778"/>
        <v>3.0612999403697083</v>
      </c>
      <c r="AD221" s="158">
        <f t="shared" si="778"/>
        <v>3.0612999403697083</v>
      </c>
      <c r="AE221" s="158">
        <f t="shared" si="778"/>
        <v>3.0612999403697083</v>
      </c>
      <c r="AF221" s="158">
        <f t="shared" si="778"/>
        <v>3.0612999403697083</v>
      </c>
      <c r="AG221" s="158">
        <f t="shared" si="778"/>
        <v>3.0612999403697083</v>
      </c>
      <c r="AH221" s="116">
        <f t="shared" si="773"/>
        <v>-9.5655600666997076E-2</v>
      </c>
      <c r="AI221" s="21">
        <f t="shared" si="767"/>
        <v>0.05</v>
      </c>
      <c r="AJ221" s="158">
        <f>(AJ207)/($O$2*100)</f>
        <v>0.12777519355693431</v>
      </c>
    </row>
    <row r="222" spans="2:36" x14ac:dyDescent="0.2">
      <c r="B222" s="10" t="s">
        <v>439</v>
      </c>
      <c r="C222" s="111"/>
      <c r="D222" s="111"/>
      <c r="E222" s="111"/>
      <c r="F222" s="111"/>
      <c r="G222" s="129">
        <f t="shared" ref="G222" si="779">G221-1</f>
        <v>27.408863446630896</v>
      </c>
      <c r="H222" s="129">
        <f t="shared" ref="H222:I222" si="780">H221-1</f>
        <v>24.837371496720341</v>
      </c>
      <c r="I222" s="129">
        <f t="shared" si="780"/>
        <v>34.755983303518192</v>
      </c>
      <c r="J222" s="129">
        <f t="shared" ref="J222:T222" si="781">J221-1</f>
        <v>29.919129397734057</v>
      </c>
      <c r="K222" s="129">
        <f t="shared" si="781"/>
        <v>4.9389218843172351</v>
      </c>
      <c r="L222" s="129">
        <f t="shared" si="781"/>
        <v>1.0204579606440078</v>
      </c>
      <c r="M222" s="129">
        <f t="shared" si="781"/>
        <v>2.7347859272510444</v>
      </c>
      <c r="N222" s="129">
        <f t="shared" si="781"/>
        <v>2.2449779367918912</v>
      </c>
      <c r="O222" s="129">
        <f t="shared" si="781"/>
        <v>2.7347859272510444</v>
      </c>
      <c r="P222" s="129">
        <f t="shared" si="781"/>
        <v>2.0612999403697083</v>
      </c>
      <c r="Q222" s="129">
        <f t="shared" si="781"/>
        <v>4.510339892665475</v>
      </c>
      <c r="R222" s="129">
        <f t="shared" si="781"/>
        <v>11.796233750745381</v>
      </c>
      <c r="S222" s="129">
        <f t="shared" si="781"/>
        <v>10.388035778175317</v>
      </c>
      <c r="T222" s="129">
        <f t="shared" si="781"/>
        <v>13.326883720930235</v>
      </c>
      <c r="U222" s="129">
        <f t="shared" ref="U222" si="782">U221-1</f>
        <v>16.14327966607037</v>
      </c>
      <c r="V222" s="101">
        <f t="shared" si="677"/>
        <v>-4.3494755987589895E-2</v>
      </c>
      <c r="W222" s="110"/>
      <c r="X222" s="129">
        <f t="shared" ref="X222:AG222" si="783">X221-1</f>
        <v>2.0612999403697083</v>
      </c>
      <c r="Y222" s="129">
        <f t="shared" si="783"/>
        <v>2.0612999403697083</v>
      </c>
      <c r="Z222" s="129">
        <f t="shared" si="783"/>
        <v>2.0612999403697083</v>
      </c>
      <c r="AA222" s="129">
        <f t="shared" si="783"/>
        <v>2.0612999403697083</v>
      </c>
      <c r="AB222" s="129">
        <f t="shared" si="783"/>
        <v>2.0612999403697083</v>
      </c>
      <c r="AC222" s="129">
        <f t="shared" si="783"/>
        <v>2.0612999403697083</v>
      </c>
      <c r="AD222" s="129">
        <f t="shared" si="783"/>
        <v>2.0612999403697083</v>
      </c>
      <c r="AE222" s="129">
        <f t="shared" si="783"/>
        <v>2.0612999403697083</v>
      </c>
      <c r="AF222" s="129">
        <f t="shared" si="783"/>
        <v>2.0612999403697083</v>
      </c>
      <c r="AG222" s="129">
        <f t="shared" si="783"/>
        <v>2.0612999403697083</v>
      </c>
      <c r="AH222" s="116">
        <f t="shared" si="773"/>
        <v>-0.10980199005962599</v>
      </c>
      <c r="AI222" s="21">
        <f t="shared" si="767"/>
        <v>0.05</v>
      </c>
      <c r="AJ222" s="158">
        <f>(AJ208)/($O$2*100)</f>
        <v>0.38208080312466391</v>
      </c>
    </row>
    <row r="223" spans="2:36" x14ac:dyDescent="0.2">
      <c r="B223" s="10"/>
      <c r="C223" s="111"/>
      <c r="D223" s="111"/>
      <c r="E223" s="111"/>
      <c r="F223" s="111"/>
      <c r="G223" s="113"/>
      <c r="H223" s="113"/>
      <c r="I223" s="113"/>
      <c r="J223" s="113"/>
      <c r="K223" s="113"/>
      <c r="L223" s="113"/>
      <c r="M223" s="113"/>
      <c r="N223" s="176"/>
      <c r="O223" s="177"/>
      <c r="P223" s="113"/>
      <c r="Q223" s="113"/>
      <c r="R223" s="113"/>
      <c r="S223" s="113"/>
      <c r="T223" s="113"/>
      <c r="U223" s="113"/>
      <c r="V223" s="110"/>
      <c r="W223" s="110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5"/>
      <c r="AI223" s="10"/>
      <c r="AJ223" s="10"/>
    </row>
    <row r="224" spans="2:36" x14ac:dyDescent="0.2">
      <c r="B224" s="10" t="s">
        <v>414</v>
      </c>
      <c r="C224" s="111"/>
      <c r="D224" s="111"/>
      <c r="E224" s="111"/>
      <c r="F224" s="111"/>
      <c r="G224" s="129">
        <f t="shared" ref="G224:U224" si="784">1/G225</f>
        <v>2.3391290446949965E-3</v>
      </c>
      <c r="H224" s="129">
        <f t="shared" si="784"/>
        <v>2.5719333572001854E-3</v>
      </c>
      <c r="I224" s="129">
        <f t="shared" si="784"/>
        <v>1.8584860903056136E-3</v>
      </c>
      <c r="J224" s="129">
        <f t="shared" si="784"/>
        <v>2.1492195578979769E-3</v>
      </c>
      <c r="K224" s="129">
        <f t="shared" si="784"/>
        <v>1.1189235842664725E-2</v>
      </c>
      <c r="L224" s="129">
        <f t="shared" si="784"/>
        <v>3.2889572022378133E-2</v>
      </c>
      <c r="M224" s="129">
        <f t="shared" si="784"/>
        <v>1.7792719290794727E-2</v>
      </c>
      <c r="N224" s="129">
        <f t="shared" si="784"/>
        <v>2.0478412768650537E-2</v>
      </c>
      <c r="O224" s="129">
        <f t="shared" si="784"/>
        <v>1.7792719290794727E-2</v>
      </c>
      <c r="P224" s="129">
        <f t="shared" si="784"/>
        <v>2.1707117534769567E-2</v>
      </c>
      <c r="Q224" s="129">
        <f t="shared" si="784"/>
        <v>1.2059509741538649E-2</v>
      </c>
      <c r="R224" s="129">
        <f t="shared" si="784"/>
        <v>5.1930903193228633E-3</v>
      </c>
      <c r="S224" s="129">
        <f t="shared" si="784"/>
        <v>5.835246649131604E-3</v>
      </c>
      <c r="T224" s="129">
        <f t="shared" si="784"/>
        <v>4.6382729775148648E-3</v>
      </c>
      <c r="U224" s="129">
        <f t="shared" si="784"/>
        <v>3.876270988351708E-3</v>
      </c>
      <c r="V224" s="101">
        <f t="shared" si="677"/>
        <v>4.3019946404823095E-2</v>
      </c>
      <c r="W224" s="110"/>
      <c r="X224" s="129">
        <f t="shared" ref="X224:AG224" si="785">1/X225</f>
        <v>2.1707117534769567E-2</v>
      </c>
      <c r="Y224" s="129">
        <f t="shared" si="785"/>
        <v>2.1707117534769567E-2</v>
      </c>
      <c r="Z224" s="129">
        <f t="shared" si="785"/>
        <v>2.1707117534769567E-2</v>
      </c>
      <c r="AA224" s="129">
        <f t="shared" si="785"/>
        <v>2.1707117534769567E-2</v>
      </c>
      <c r="AB224" s="129">
        <f t="shared" si="785"/>
        <v>2.1707117534769567E-2</v>
      </c>
      <c r="AC224" s="129">
        <f t="shared" si="785"/>
        <v>2.1707117534769567E-2</v>
      </c>
      <c r="AD224" s="129">
        <f t="shared" si="785"/>
        <v>2.1707117534769567E-2</v>
      </c>
      <c r="AE224" s="129">
        <f t="shared" si="785"/>
        <v>2.1707117534769567E-2</v>
      </c>
      <c r="AF224" s="129">
        <f t="shared" si="785"/>
        <v>2.1707117534769567E-2</v>
      </c>
      <c r="AG224" s="129">
        <f t="shared" si="785"/>
        <v>2.1707117534769567E-2</v>
      </c>
      <c r="AH224" s="116">
        <f t="shared" ref="AH224" si="786">((AG224/J224)^(1/($AG$3-$K$1) ))-1</f>
        <v>0.10577342076486307</v>
      </c>
      <c r="AI224" s="21">
        <f t="shared" ref="AI224" si="787">$O$1</f>
        <v>0.05</v>
      </c>
      <c r="AJ224" s="158">
        <f>(AJ210)/($O$2*100)</f>
        <v>0</v>
      </c>
    </row>
    <row r="225" spans="2:36" x14ac:dyDescent="0.2">
      <c r="B225" s="10" t="s">
        <v>416</v>
      </c>
      <c r="C225" s="111"/>
      <c r="D225" s="111"/>
      <c r="E225" s="111"/>
      <c r="F225" s="111"/>
      <c r="G225" s="113">
        <f t="shared" ref="G225" si="788">G201/$T$170</f>
        <v>427.50954773869347</v>
      </c>
      <c r="H225" s="113">
        <f t="shared" ref="H225:I225" si="789">H201/$T$170</f>
        <v>388.81256281407036</v>
      </c>
      <c r="I225" s="113">
        <f t="shared" si="789"/>
        <v>538.07236180904522</v>
      </c>
      <c r="J225" s="113">
        <f t="shared" ref="J225:S225" si="790">J201/$T$170</f>
        <v>465.285175879397</v>
      </c>
      <c r="K225" s="113">
        <f t="shared" si="790"/>
        <v>89.371608040201011</v>
      </c>
      <c r="L225" s="113">
        <f t="shared" si="790"/>
        <v>30.404773869346734</v>
      </c>
      <c r="M225" s="113">
        <f t="shared" si="790"/>
        <v>56.20276381909548</v>
      </c>
      <c r="N225" s="113">
        <f t="shared" si="790"/>
        <v>48.83190954773869</v>
      </c>
      <c r="O225" s="113">
        <f t="shared" si="790"/>
        <v>56.20276381909548</v>
      </c>
      <c r="P225" s="113">
        <f t="shared" si="790"/>
        <v>46.0678391959799</v>
      </c>
      <c r="Q225" s="113">
        <f t="shared" si="790"/>
        <v>82.922110552763812</v>
      </c>
      <c r="R225" s="113">
        <f t="shared" si="790"/>
        <v>192.56356783919597</v>
      </c>
      <c r="S225" s="113">
        <f t="shared" si="790"/>
        <v>171.37236180904523</v>
      </c>
      <c r="T225" s="113">
        <f>T201/$T$170</f>
        <v>215.59748743718592</v>
      </c>
      <c r="U225" s="113">
        <f>U201/$T$170</f>
        <v>257.97989949748745</v>
      </c>
      <c r="V225" s="101">
        <f t="shared" si="677"/>
        <v>-4.1245564433459059E-2</v>
      </c>
      <c r="W225" s="110"/>
      <c r="X225" s="113">
        <f t="shared" ref="X225:AG225" si="791">X201/$T$170</f>
        <v>46.0678391959799</v>
      </c>
      <c r="Y225" s="113">
        <f t="shared" si="791"/>
        <v>46.0678391959799</v>
      </c>
      <c r="Z225" s="113">
        <f t="shared" si="791"/>
        <v>46.0678391959799</v>
      </c>
      <c r="AA225" s="113">
        <f t="shared" si="791"/>
        <v>46.0678391959799</v>
      </c>
      <c r="AB225" s="113">
        <f t="shared" si="791"/>
        <v>46.0678391959799</v>
      </c>
      <c r="AC225" s="113">
        <f t="shared" si="791"/>
        <v>46.0678391959799</v>
      </c>
      <c r="AD225" s="113">
        <f t="shared" si="791"/>
        <v>46.0678391959799</v>
      </c>
      <c r="AE225" s="113">
        <f t="shared" si="791"/>
        <v>46.0678391959799</v>
      </c>
      <c r="AF225" s="113">
        <f t="shared" si="791"/>
        <v>46.0678391959799</v>
      </c>
      <c r="AG225" s="113">
        <f t="shared" si="791"/>
        <v>46.0678391959799</v>
      </c>
      <c r="AH225" s="116">
        <f t="shared" ref="AH225:AH227" si="792">((AG225/J225)^(1/($AG$3-$K$1) ))-1</f>
        <v>-9.5655600666997076E-2</v>
      </c>
      <c r="AI225" s="21">
        <f t="shared" ref="AI225:AI227" si="793">$O$1</f>
        <v>0.05</v>
      </c>
      <c r="AJ225" s="158">
        <f>(AJ210)/($O$2*100)</f>
        <v>0</v>
      </c>
    </row>
    <row r="226" spans="2:36" x14ac:dyDescent="0.2">
      <c r="B226" s="10" t="s">
        <v>437</v>
      </c>
      <c r="C226" s="111"/>
      <c r="D226" s="111"/>
      <c r="E226" s="111"/>
      <c r="F226" s="111"/>
      <c r="G226" s="158">
        <f t="shared" ref="G226" si="794">(G225)/($O$2*100)</f>
        <v>28.500636515912898</v>
      </c>
      <c r="H226" s="158">
        <f t="shared" ref="H226:I226" si="795">(H225)/($O$2*100)</f>
        <v>25.920837520938026</v>
      </c>
      <c r="I226" s="158">
        <f t="shared" si="795"/>
        <v>35.871490787269678</v>
      </c>
      <c r="J226" s="158">
        <f t="shared" ref="J226:T226" si="796">(J225)/($O$2*100)</f>
        <v>31.019011725293133</v>
      </c>
      <c r="K226" s="158">
        <f t="shared" si="796"/>
        <v>5.9581072026800674</v>
      </c>
      <c r="L226" s="158">
        <f t="shared" si="796"/>
        <v>2.0269849246231155</v>
      </c>
      <c r="M226" s="158">
        <f t="shared" si="796"/>
        <v>3.7468509212730319</v>
      </c>
      <c r="N226" s="158">
        <f t="shared" si="796"/>
        <v>3.2554606365159127</v>
      </c>
      <c r="O226" s="158">
        <f t="shared" si="796"/>
        <v>3.7468509212730319</v>
      </c>
      <c r="P226" s="158">
        <f t="shared" si="796"/>
        <v>3.0711892797319935</v>
      </c>
      <c r="Q226" s="158">
        <f t="shared" si="796"/>
        <v>5.5281407035175878</v>
      </c>
      <c r="R226" s="158">
        <f t="shared" si="796"/>
        <v>12.837571189279732</v>
      </c>
      <c r="S226" s="158">
        <f t="shared" si="796"/>
        <v>11.424824120603015</v>
      </c>
      <c r="T226" s="158">
        <f t="shared" si="796"/>
        <v>14.373165829145728</v>
      </c>
      <c r="U226" s="158">
        <f t="shared" ref="U226" si="797">(U225)/($O$2*100)</f>
        <v>17.198659966499164</v>
      </c>
      <c r="V226" s="101">
        <f t="shared" si="677"/>
        <v>-4.1245564433459059E-2</v>
      </c>
      <c r="W226" s="110"/>
      <c r="X226" s="158">
        <f t="shared" ref="X226:AG226" si="798">(X225)/($O$2*100)</f>
        <v>3.0711892797319935</v>
      </c>
      <c r="Y226" s="158">
        <f t="shared" si="798"/>
        <v>3.0711892797319935</v>
      </c>
      <c r="Z226" s="158">
        <f t="shared" si="798"/>
        <v>3.0711892797319935</v>
      </c>
      <c r="AA226" s="158">
        <f t="shared" si="798"/>
        <v>3.0711892797319935</v>
      </c>
      <c r="AB226" s="158">
        <f t="shared" si="798"/>
        <v>3.0711892797319935</v>
      </c>
      <c r="AC226" s="158">
        <f t="shared" si="798"/>
        <v>3.0711892797319935</v>
      </c>
      <c r="AD226" s="158">
        <f t="shared" si="798"/>
        <v>3.0711892797319935</v>
      </c>
      <c r="AE226" s="158">
        <f t="shared" si="798"/>
        <v>3.0711892797319935</v>
      </c>
      <c r="AF226" s="158">
        <f t="shared" si="798"/>
        <v>3.0711892797319935</v>
      </c>
      <c r="AG226" s="158">
        <f t="shared" si="798"/>
        <v>3.0711892797319935</v>
      </c>
      <c r="AH226" s="116">
        <f t="shared" si="792"/>
        <v>-9.5655600666997076E-2</v>
      </c>
      <c r="AI226" s="21">
        <f t="shared" si="793"/>
        <v>0.05</v>
      </c>
      <c r="AJ226" s="158" t="e">
        <f>(#REF!)/($O$2*100)</f>
        <v>#REF!</v>
      </c>
    </row>
    <row r="227" spans="2:36" x14ac:dyDescent="0.2">
      <c r="B227" s="10" t="s">
        <v>439</v>
      </c>
      <c r="C227" s="111"/>
      <c r="D227" s="111"/>
      <c r="E227" s="111"/>
      <c r="F227" s="111"/>
      <c r="G227" s="129">
        <f t="shared" ref="G227" si="799">G226-1</f>
        <v>27.500636515912898</v>
      </c>
      <c r="H227" s="129">
        <f t="shared" ref="H227:I227" si="800">H226-1</f>
        <v>24.920837520938026</v>
      </c>
      <c r="I227" s="129">
        <f t="shared" si="800"/>
        <v>34.871490787269678</v>
      </c>
      <c r="J227" s="129">
        <f t="shared" ref="J227:T227" si="801">J226-1</f>
        <v>30.019011725293133</v>
      </c>
      <c r="K227" s="129">
        <f t="shared" si="801"/>
        <v>4.9581072026800674</v>
      </c>
      <c r="L227" s="129">
        <f t="shared" si="801"/>
        <v>1.0269849246231155</v>
      </c>
      <c r="M227" s="129">
        <f t="shared" si="801"/>
        <v>2.7468509212730319</v>
      </c>
      <c r="N227" s="129">
        <f t="shared" si="801"/>
        <v>2.2554606365159127</v>
      </c>
      <c r="O227" s="129">
        <f t="shared" si="801"/>
        <v>2.7468509212730319</v>
      </c>
      <c r="P227" s="129">
        <f t="shared" si="801"/>
        <v>2.0711892797319935</v>
      </c>
      <c r="Q227" s="129">
        <f t="shared" si="801"/>
        <v>4.5281407035175878</v>
      </c>
      <c r="R227" s="129">
        <f t="shared" si="801"/>
        <v>11.837571189279732</v>
      </c>
      <c r="S227" s="129">
        <f t="shared" si="801"/>
        <v>10.424824120603015</v>
      </c>
      <c r="T227" s="129">
        <f t="shared" si="801"/>
        <v>13.373165829145728</v>
      </c>
      <c r="U227" s="129">
        <f t="shared" ref="U227" si="802">U226-1</f>
        <v>16.198659966499164</v>
      </c>
      <c r="V227" s="101">
        <f t="shared" si="677"/>
        <v>-4.3487107058608476E-2</v>
      </c>
      <c r="W227" s="110"/>
      <c r="X227" s="129">
        <f t="shared" ref="X227:AG227" si="803">X226-1</f>
        <v>2.0711892797319935</v>
      </c>
      <c r="Y227" s="129">
        <f t="shared" si="803"/>
        <v>2.0711892797319935</v>
      </c>
      <c r="Z227" s="129">
        <f t="shared" si="803"/>
        <v>2.0711892797319935</v>
      </c>
      <c r="AA227" s="129">
        <f t="shared" si="803"/>
        <v>2.0711892797319935</v>
      </c>
      <c r="AB227" s="129">
        <f t="shared" si="803"/>
        <v>2.0711892797319935</v>
      </c>
      <c r="AC227" s="129">
        <f t="shared" si="803"/>
        <v>2.0711892797319935</v>
      </c>
      <c r="AD227" s="129">
        <f t="shared" si="803"/>
        <v>2.0711892797319935</v>
      </c>
      <c r="AE227" s="129">
        <f t="shared" si="803"/>
        <v>2.0711892797319935</v>
      </c>
      <c r="AF227" s="129">
        <f t="shared" si="803"/>
        <v>2.0711892797319935</v>
      </c>
      <c r="AG227" s="129">
        <f t="shared" si="803"/>
        <v>2.0711892797319935</v>
      </c>
      <c r="AH227" s="116">
        <f t="shared" si="792"/>
        <v>-0.10974573935369392</v>
      </c>
      <c r="AI227" s="21">
        <f t="shared" si="793"/>
        <v>0.05</v>
      </c>
      <c r="AJ227" s="158" t="e">
        <f>(AJ211)/($O$2*100)</f>
        <v>#DIV/0!</v>
      </c>
    </row>
    <row r="228" spans="2:36" x14ac:dyDescent="0.2">
      <c r="B228" s="10"/>
      <c r="C228" s="111"/>
      <c r="D228" s="111"/>
      <c r="E228" s="111"/>
      <c r="F228" s="111"/>
      <c r="G228" s="111"/>
      <c r="H228" s="111"/>
      <c r="I228" s="111"/>
      <c r="J228" s="113"/>
      <c r="K228" s="113"/>
      <c r="L228" s="113"/>
      <c r="M228" s="113"/>
      <c r="N228" s="176"/>
      <c r="O228" s="177"/>
      <c r="P228" s="113"/>
      <c r="Q228" s="113"/>
      <c r="R228" s="113"/>
      <c r="S228" s="113"/>
      <c r="T228" s="113"/>
      <c r="U228" s="113"/>
      <c r="V228" s="110"/>
      <c r="W228" s="110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3"/>
      <c r="AH228" s="115"/>
      <c r="AI228" s="10"/>
      <c r="AJ228" s="10"/>
    </row>
    <row r="229" spans="2:36" x14ac:dyDescent="0.2">
      <c r="B229" s="10" t="s">
        <v>414</v>
      </c>
      <c r="C229" s="111"/>
      <c r="D229" s="111"/>
      <c r="E229" s="111"/>
      <c r="F229" s="111"/>
      <c r="G229" s="129">
        <f t="shared" ref="G229:S229" si="804">1/G230</f>
        <v>2.5084187852845549E-3</v>
      </c>
      <c r="H229" s="129">
        <f t="shared" si="804"/>
        <v>2.7580718397441557E-3</v>
      </c>
      <c r="I229" s="129">
        <f t="shared" si="804"/>
        <v>1.9929902677603313E-3</v>
      </c>
      <c r="J229" s="129">
        <f t="shared" si="804"/>
        <v>2.3047649829149178E-3</v>
      </c>
      <c r="K229" s="129">
        <f t="shared" si="804"/>
        <v>1.1999034189402409E-2</v>
      </c>
      <c r="L229" s="129">
        <f t="shared" si="804"/>
        <v>3.5269888374910109E-2</v>
      </c>
      <c r="M229" s="129">
        <f t="shared" si="804"/>
        <v>1.9080431415934976E-2</v>
      </c>
      <c r="N229" s="129">
        <f t="shared" si="804"/>
        <v>2.1960496535321387E-2</v>
      </c>
      <c r="O229" s="129">
        <f t="shared" si="804"/>
        <v>1.9080431415934976E-2</v>
      </c>
      <c r="P229" s="129">
        <f t="shared" si="804"/>
        <v>2.3278126327440671E-2</v>
      </c>
      <c r="Q229" s="129">
        <f t="shared" si="804"/>
        <v>1.2932292404133705E-2</v>
      </c>
      <c r="R229" s="129">
        <f t="shared" si="804"/>
        <v>5.5689297434068589E-3</v>
      </c>
      <c r="S229" s="129">
        <f t="shared" si="804"/>
        <v>6.2575608407098573E-3</v>
      </c>
      <c r="T229" s="129">
        <f>1/T230</f>
        <v>4.9739586169745024E-3</v>
      </c>
      <c r="U229" s="129">
        <f>1/U230</f>
        <v>4.1568082727572626E-3</v>
      </c>
      <c r="V229" s="101">
        <f t="shared" ref="V229:V232" si="805">((T229/H229)^(1/($K$2-$K$1) ))-1</f>
        <v>4.3019946404823095E-2</v>
      </c>
      <c r="W229" s="110"/>
      <c r="X229" s="129">
        <f t="shared" ref="X229:AG229" si="806">1/X230</f>
        <v>0.98976038541075806</v>
      </c>
      <c r="Y229" s="129">
        <f t="shared" si="806"/>
        <v>1.1159063168846781</v>
      </c>
      <c r="Z229" s="129">
        <f t="shared" si="806"/>
        <v>1.258129670997431</v>
      </c>
      <c r="AA229" s="129">
        <f t="shared" si="806"/>
        <v>1.4184795310265157</v>
      </c>
      <c r="AB229" s="129">
        <f t="shared" si="806"/>
        <v>1.5992661379220514</v>
      </c>
      <c r="AC229" s="129">
        <f t="shared" si="806"/>
        <v>1.803094175108195</v>
      </c>
      <c r="AD229" s="129">
        <f t="shared" si="806"/>
        <v>2.0329002954651219</v>
      </c>
      <c r="AE229" s="129">
        <f t="shared" si="806"/>
        <v>2.291995431161657</v>
      </c>
      <c r="AF229" s="129">
        <f t="shared" si="806"/>
        <v>2.5841124959175543</v>
      </c>
      <c r="AG229" s="129">
        <f t="shared" si="806"/>
        <v>2.9134601669658702</v>
      </c>
      <c r="AH229" s="116">
        <f t="shared" ref="AH229:AH232" si="807">((AG229/J229)^(1/($AG$3-$K$1) ))-1</f>
        <v>0.36414365078075073</v>
      </c>
      <c r="AI229" s="21">
        <f t="shared" ref="AI229:AI232" si="808">$O$1</f>
        <v>0.05</v>
      </c>
      <c r="AJ229" s="158">
        <f>(AJ215)/($O$2*100)</f>
        <v>1.2781794560611296E-3</v>
      </c>
    </row>
    <row r="230" spans="2:36" x14ac:dyDescent="0.2">
      <c r="B230" s="10" t="s">
        <v>509</v>
      </c>
      <c r="C230" s="111"/>
      <c r="D230" s="111"/>
      <c r="E230" s="111"/>
      <c r="F230" s="111"/>
      <c r="G230" s="113">
        <f t="shared" ref="G230" si="809">G201/$X$171</f>
        <v>398.65751519101303</v>
      </c>
      <c r="H230" s="113">
        <f t="shared" ref="H230:S230" si="810">H201/$X$171</f>
        <v>362.57213666079201</v>
      </c>
      <c r="I230" s="113">
        <f t="shared" si="810"/>
        <v>501.75859670593019</v>
      </c>
      <c r="J230" s="113">
        <f t="shared" si="810"/>
        <v>433.8837180419431</v>
      </c>
      <c r="K230" s="113">
        <f t="shared" si="810"/>
        <v>83.340040891224703</v>
      </c>
      <c r="L230" s="113">
        <f t="shared" si="810"/>
        <v>28.352797416602222</v>
      </c>
      <c r="M230" s="113">
        <f t="shared" si="810"/>
        <v>52.409716436749562</v>
      </c>
      <c r="N230" s="113">
        <f t="shared" si="810"/>
        <v>45.536311002421748</v>
      </c>
      <c r="O230" s="113">
        <f t="shared" si="810"/>
        <v>52.409716436749562</v>
      </c>
      <c r="P230" s="113">
        <f t="shared" si="810"/>
        <v>42.958783964548822</v>
      </c>
      <c r="Q230" s="113">
        <f t="shared" si="810"/>
        <v>77.32581113618788</v>
      </c>
      <c r="R230" s="113">
        <f t="shared" si="810"/>
        <v>179.56771697181406</v>
      </c>
      <c r="S230" s="113">
        <f t="shared" si="810"/>
        <v>159.80667634812161</v>
      </c>
      <c r="T230" s="113">
        <f>T201/$X$171</f>
        <v>201.04710895408849</v>
      </c>
      <c r="U230" s="113">
        <f>U201/$X$171</f>
        <v>240.56919020147339</v>
      </c>
      <c r="V230" s="101">
        <f t="shared" si="805"/>
        <v>-4.1245564433459059E-2</v>
      </c>
      <c r="W230" s="110"/>
      <c r="X230" s="113">
        <f t="shared" ref="X230:AG230" si="811">X206/$T$170</f>
        <v>1.0103455490239615</v>
      </c>
      <c r="Y230" s="113">
        <f t="shared" si="811"/>
        <v>0.89613257391690504</v>
      </c>
      <c r="Z230" s="113">
        <f t="shared" si="811"/>
        <v>0.79483063077847238</v>
      </c>
      <c r="AA230" s="113">
        <f t="shared" si="811"/>
        <v>0.70498021164699276</v>
      </c>
      <c r="AB230" s="113">
        <f t="shared" si="811"/>
        <v>0.62528679641733287</v>
      </c>
      <c r="AC230" s="113">
        <f t="shared" si="811"/>
        <v>0.55460220203972144</v>
      </c>
      <c r="AD230" s="113">
        <f t="shared" si="811"/>
        <v>0.49190804007001376</v>
      </c>
      <c r="AE230" s="113">
        <f t="shared" si="811"/>
        <v>0.43630104423601224</v>
      </c>
      <c r="AF230" s="113">
        <f t="shared" si="811"/>
        <v>0.38698005662672391</v>
      </c>
      <c r="AG230" s="113">
        <f t="shared" si="811"/>
        <v>0.34323448500805076</v>
      </c>
      <c r="AH230" s="116">
        <f t="shared" si="807"/>
        <v>-0.26693937297024228</v>
      </c>
      <c r="AI230" s="21">
        <f t="shared" si="808"/>
        <v>0.05</v>
      </c>
      <c r="AJ230" s="158">
        <f>(AJ215)/($O$2*100)</f>
        <v>1.2781794560611296E-3</v>
      </c>
    </row>
    <row r="231" spans="2:36" x14ac:dyDescent="0.2">
      <c r="B231" s="10" t="s">
        <v>437</v>
      </c>
      <c r="C231" s="111"/>
      <c r="D231" s="111"/>
      <c r="E231" s="111"/>
      <c r="F231" s="111"/>
      <c r="G231" s="158">
        <f t="shared" ref="G231" si="812">(G230)/($O$2*100)</f>
        <v>26.577167679400869</v>
      </c>
      <c r="H231" s="158">
        <f t="shared" ref="H231:T231" si="813">(H230)/($O$2*100)</f>
        <v>24.171475777386135</v>
      </c>
      <c r="I231" s="158">
        <f t="shared" si="813"/>
        <v>33.45057311372868</v>
      </c>
      <c r="J231" s="158">
        <f t="shared" si="813"/>
        <v>28.925581202796206</v>
      </c>
      <c r="K231" s="158">
        <f t="shared" si="813"/>
        <v>5.5560027260816467</v>
      </c>
      <c r="L231" s="158">
        <f t="shared" si="813"/>
        <v>1.8901864944401481</v>
      </c>
      <c r="M231" s="158">
        <f t="shared" si="813"/>
        <v>3.4939810957833042</v>
      </c>
      <c r="N231" s="158">
        <f t="shared" si="813"/>
        <v>3.0357540668281167</v>
      </c>
      <c r="O231" s="158">
        <f t="shared" si="813"/>
        <v>3.4939810957833042</v>
      </c>
      <c r="P231" s="158">
        <f t="shared" si="813"/>
        <v>2.8639189309699216</v>
      </c>
      <c r="Q231" s="158">
        <f t="shared" si="813"/>
        <v>5.1550540757458583</v>
      </c>
      <c r="R231" s="158">
        <f t="shared" si="813"/>
        <v>11.971181131454271</v>
      </c>
      <c r="S231" s="158">
        <f t="shared" si="813"/>
        <v>10.653778423208108</v>
      </c>
      <c r="T231" s="158">
        <f t="shared" si="813"/>
        <v>13.403140596939233</v>
      </c>
      <c r="U231" s="158">
        <f t="shared" ref="U231" si="814">(U230)/($O$2*100)</f>
        <v>16.037946013431558</v>
      </c>
      <c r="V231" s="101">
        <f t="shared" si="805"/>
        <v>-4.1245564433459059E-2</v>
      </c>
      <c r="W231" s="110"/>
      <c r="X231" s="158">
        <f t="shared" ref="X231:AG231" si="815">(X230)/($O$2*100)</f>
        <v>6.7356369934930757E-2</v>
      </c>
      <c r="Y231" s="158">
        <f t="shared" si="815"/>
        <v>5.9742171594460339E-2</v>
      </c>
      <c r="Z231" s="158">
        <f t="shared" si="815"/>
        <v>5.2988708718564828E-2</v>
      </c>
      <c r="AA231" s="158">
        <f t="shared" si="815"/>
        <v>4.6998680776466184E-2</v>
      </c>
      <c r="AB231" s="158">
        <f t="shared" si="815"/>
        <v>4.168578642782219E-2</v>
      </c>
      <c r="AC231" s="158">
        <f t="shared" si="815"/>
        <v>3.6973480135981431E-2</v>
      </c>
      <c r="AD231" s="158">
        <f t="shared" si="815"/>
        <v>3.2793869338000915E-2</v>
      </c>
      <c r="AE231" s="158">
        <f t="shared" si="815"/>
        <v>2.9086736282400816E-2</v>
      </c>
      <c r="AF231" s="158">
        <f t="shared" si="815"/>
        <v>2.5798670441781593E-2</v>
      </c>
      <c r="AG231" s="158">
        <f t="shared" si="815"/>
        <v>2.2882299000536718E-2</v>
      </c>
      <c r="AH231" s="116">
        <f t="shared" si="807"/>
        <v>-0.26693937297024228</v>
      </c>
      <c r="AI231" s="21">
        <f t="shared" si="808"/>
        <v>0.05</v>
      </c>
      <c r="AJ231" s="158" t="e">
        <f>(#REF!)/($O$2*100)</f>
        <v>#REF!</v>
      </c>
    </row>
    <row r="232" spans="2:36" x14ac:dyDescent="0.2">
      <c r="B232" s="10" t="s">
        <v>439</v>
      </c>
      <c r="C232" s="111"/>
      <c r="D232" s="111"/>
      <c r="E232" s="111"/>
      <c r="F232" s="111"/>
      <c r="G232" s="129">
        <f t="shared" ref="G232" si="816">G231-1</f>
        <v>25.577167679400869</v>
      </c>
      <c r="H232" s="129">
        <f t="shared" ref="H232:T232" si="817">H231-1</f>
        <v>23.171475777386135</v>
      </c>
      <c r="I232" s="129">
        <f t="shared" si="817"/>
        <v>32.45057311372868</v>
      </c>
      <c r="J232" s="129">
        <f t="shared" si="817"/>
        <v>27.925581202796206</v>
      </c>
      <c r="K232" s="129">
        <f t="shared" si="817"/>
        <v>4.5560027260816467</v>
      </c>
      <c r="L232" s="129">
        <f t="shared" si="817"/>
        <v>0.89018649444014808</v>
      </c>
      <c r="M232" s="129">
        <f t="shared" si="817"/>
        <v>2.4939810957833042</v>
      </c>
      <c r="N232" s="129">
        <f t="shared" si="817"/>
        <v>2.0357540668281167</v>
      </c>
      <c r="O232" s="129">
        <f t="shared" si="817"/>
        <v>2.4939810957833042</v>
      </c>
      <c r="P232" s="129">
        <f t="shared" si="817"/>
        <v>1.8639189309699216</v>
      </c>
      <c r="Q232" s="129">
        <f t="shared" si="817"/>
        <v>4.1550540757458583</v>
      </c>
      <c r="R232" s="129">
        <f t="shared" si="817"/>
        <v>10.971181131454271</v>
      </c>
      <c r="S232" s="129">
        <f t="shared" si="817"/>
        <v>9.6537784232081076</v>
      </c>
      <c r="T232" s="129">
        <f t="shared" si="817"/>
        <v>12.403140596939233</v>
      </c>
      <c r="U232" s="129">
        <f t="shared" ref="U232" si="818">U231-1</f>
        <v>15.037946013431558</v>
      </c>
      <c r="V232" s="101">
        <f t="shared" si="805"/>
        <v>-4.3659138382318385E-2</v>
      </c>
      <c r="W232" s="110"/>
      <c r="X232" s="129">
        <f t="shared" ref="X232:AG232" si="819">X231-1</f>
        <v>-0.93264363006506923</v>
      </c>
      <c r="Y232" s="129">
        <f t="shared" si="819"/>
        <v>-0.94025782840553962</v>
      </c>
      <c r="Z232" s="129">
        <f t="shared" si="819"/>
        <v>-0.94701129128143513</v>
      </c>
      <c r="AA232" s="129">
        <f t="shared" si="819"/>
        <v>-0.95300131922353382</v>
      </c>
      <c r="AB232" s="129">
        <f t="shared" si="819"/>
        <v>-0.95831421357217783</v>
      </c>
      <c r="AC232" s="129">
        <f t="shared" si="819"/>
        <v>-0.96302651986401855</v>
      </c>
      <c r="AD232" s="129">
        <f t="shared" si="819"/>
        <v>-0.96720613066199912</v>
      </c>
      <c r="AE232" s="129">
        <f t="shared" si="819"/>
        <v>-0.97091326371759923</v>
      </c>
      <c r="AF232" s="129">
        <f t="shared" si="819"/>
        <v>-0.97420132955821837</v>
      </c>
      <c r="AG232" s="129">
        <f t="shared" si="819"/>
        <v>-0.97711770099946327</v>
      </c>
      <c r="AH232" s="116">
        <f t="shared" si="807"/>
        <v>-1.8643571843203923</v>
      </c>
      <c r="AI232" s="21">
        <f t="shared" si="808"/>
        <v>0.05</v>
      </c>
      <c r="AJ232" s="158">
        <f>(AJ216)/($O$2*100)</f>
        <v>0.16407042642626582</v>
      </c>
    </row>
    <row r="233" spans="2:36" x14ac:dyDescent="0.2">
      <c r="B233" s="10"/>
      <c r="C233" s="111"/>
      <c r="D233" s="111"/>
      <c r="E233" s="111"/>
      <c r="F233" s="111"/>
      <c r="G233" s="111"/>
      <c r="H233" s="111"/>
      <c r="I233" s="111"/>
      <c r="J233" s="113"/>
      <c r="K233" s="113"/>
      <c r="L233" s="113"/>
      <c r="M233" s="113"/>
      <c r="N233" s="176"/>
      <c r="O233" s="177"/>
      <c r="P233" s="113"/>
      <c r="Q233" s="113"/>
      <c r="R233" s="113"/>
      <c r="S233" s="113"/>
      <c r="T233" s="113"/>
      <c r="U233" s="113"/>
      <c r="V233" s="110"/>
      <c r="W233" s="110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3"/>
      <c r="AH233" s="115"/>
      <c r="AI233" s="10"/>
      <c r="AJ233" s="10"/>
    </row>
    <row r="234" spans="2:36" x14ac:dyDescent="0.2">
      <c r="B234" s="10"/>
      <c r="C234" s="111"/>
      <c r="D234" s="111"/>
      <c r="E234" s="111"/>
      <c r="F234" s="111"/>
      <c r="G234" s="111"/>
      <c r="H234" s="111"/>
      <c r="I234" s="111"/>
      <c r="J234" s="113"/>
      <c r="K234" s="113"/>
      <c r="L234" s="113"/>
      <c r="M234" s="113"/>
      <c r="N234" s="176"/>
      <c r="O234" s="177"/>
      <c r="P234" s="113"/>
      <c r="Q234" s="113"/>
      <c r="R234" s="113"/>
      <c r="S234" s="113"/>
      <c r="T234" s="113"/>
      <c r="U234" s="113"/>
      <c r="V234" s="110"/>
      <c r="W234" s="110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3"/>
      <c r="AH234" s="115"/>
      <c r="AI234" s="10"/>
      <c r="AJ234" s="10"/>
    </row>
    <row r="235" spans="2:36" x14ac:dyDescent="0.2">
      <c r="B235" s="10"/>
      <c r="C235" s="111"/>
      <c r="D235" s="111"/>
      <c r="E235" s="111"/>
      <c r="F235" s="111"/>
      <c r="G235" s="111"/>
      <c r="H235" s="111"/>
      <c r="I235" s="111"/>
      <c r="J235" s="113"/>
      <c r="K235" s="113"/>
      <c r="L235" s="113"/>
      <c r="M235" s="113"/>
      <c r="N235" s="176"/>
      <c r="O235" s="177"/>
      <c r="P235" s="113"/>
      <c r="Q235" s="113"/>
      <c r="R235" s="113"/>
      <c r="S235" s="113"/>
      <c r="T235" s="113"/>
      <c r="U235" s="113"/>
      <c r="V235" s="110"/>
      <c r="W235" s="110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3"/>
      <c r="AH235" s="115"/>
      <c r="AI235" s="10"/>
      <c r="AJ235" s="10"/>
    </row>
    <row r="236" spans="2:36" x14ac:dyDescent="0.2">
      <c r="B236" s="93" t="s">
        <v>251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314" t="s">
        <v>296</v>
      </c>
      <c r="O236" s="315"/>
      <c r="P236" s="10"/>
      <c r="Q236" s="10"/>
      <c r="R236" s="10"/>
      <c r="S236" s="93" t="s">
        <v>375</v>
      </c>
      <c r="T236" s="93" t="s">
        <v>374</v>
      </c>
      <c r="U236" s="93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15"/>
      <c r="AI236" s="10"/>
      <c r="AJ236" s="10"/>
    </row>
    <row r="237" spans="2:36" x14ac:dyDescent="0.2">
      <c r="B237" s="10" t="s">
        <v>249</v>
      </c>
      <c r="C237" s="10" t="s">
        <v>261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 t="s">
        <v>297</v>
      </c>
      <c r="O237" s="12">
        <v>1</v>
      </c>
      <c r="P237" s="10"/>
      <c r="Q237" s="10"/>
      <c r="R237" s="10"/>
      <c r="S237" s="110">
        <f>(T201-W188)/T201</f>
        <v>1</v>
      </c>
      <c r="T237" s="110">
        <f>(T201-X188)/T201</f>
        <v>1</v>
      </c>
      <c r="U237" s="1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15"/>
      <c r="AI237" s="10"/>
      <c r="AJ237" s="10"/>
    </row>
    <row r="238" spans="2:36" x14ac:dyDescent="0.2">
      <c r="B238" s="10" t="s">
        <v>294</v>
      </c>
      <c r="C238" s="10" t="s">
        <v>261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49">
        <f>$O$237</f>
        <v>1</v>
      </c>
      <c r="O238" s="10"/>
      <c r="P238" s="110">
        <f>(S201-(N238*W179))/S201</f>
        <v>1.1924594342604886</v>
      </c>
      <c r="Q238" s="10"/>
      <c r="R238" s="10"/>
      <c r="S238" s="110">
        <f>(T201-W179)/T201</f>
        <v>1.1529805759506446</v>
      </c>
      <c r="T238" s="110">
        <f>(T201-X179)/T201</f>
        <v>1.0213169655013192</v>
      </c>
      <c r="U238" s="1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15"/>
      <c r="AI238" s="10"/>
      <c r="AJ238" s="10"/>
    </row>
    <row r="239" spans="2:36" x14ac:dyDescent="0.2">
      <c r="B239" s="10" t="s">
        <v>295</v>
      </c>
      <c r="C239" s="10" t="s">
        <v>261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49">
        <f>$O$237</f>
        <v>1</v>
      </c>
      <c r="O239" s="10"/>
      <c r="P239" s="110">
        <f>(S201-(N239*W172))/S201</f>
        <v>4.061888073180972E-2</v>
      </c>
      <c r="Q239" s="10"/>
      <c r="R239" s="10"/>
      <c r="S239" s="110">
        <f>(T201-W172)/T201</f>
        <v>0.23741500776118207</v>
      </c>
      <c r="T239" s="110">
        <f>(T201-X172)/T201</f>
        <v>0.89373815681918112</v>
      </c>
      <c r="U239" s="1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15"/>
      <c r="AI239" s="10"/>
      <c r="AJ239" s="10"/>
    </row>
    <row r="240" spans="2:36" x14ac:dyDescent="0.2">
      <c r="B240" s="10" t="s">
        <v>298</v>
      </c>
      <c r="C240" s="10" t="s">
        <v>261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49">
        <f>$O$237</f>
        <v>1</v>
      </c>
      <c r="O240" s="10"/>
      <c r="P240" s="110">
        <f>(S201-(N240*W185))/S201</f>
        <v>0.33150674480168207</v>
      </c>
      <c r="Q240" s="10"/>
      <c r="R240" s="10"/>
      <c r="S240" s="110">
        <f>(T201-W185)/T201</f>
        <v>0.46863356638082421</v>
      </c>
      <c r="T240" s="110">
        <f>(T201-X185)/T201</f>
        <v>0.92595713629896725</v>
      </c>
      <c r="U240" s="1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5"/>
      <c r="AI240" s="10"/>
      <c r="AJ240" s="10"/>
    </row>
    <row r="241" spans="2:50" x14ac:dyDescent="0.2">
      <c r="B241" s="10" t="s">
        <v>344</v>
      </c>
      <c r="C241" s="10" t="s">
        <v>261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49">
        <f>$O$237</f>
        <v>1</v>
      </c>
      <c r="O241" s="10"/>
      <c r="P241" s="110">
        <f>(S201-(N241*W198))/S201</f>
        <v>1</v>
      </c>
      <c r="Q241" s="10"/>
      <c r="R241" s="10"/>
      <c r="S241" s="110">
        <f>(T201-W198)/T201</f>
        <v>1</v>
      </c>
      <c r="T241" s="110">
        <f>(T201-X198)/T201</f>
        <v>1</v>
      </c>
      <c r="U241" s="1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5"/>
      <c r="AI241" s="10"/>
      <c r="AJ241" s="10"/>
    </row>
    <row r="242" spans="2:50" x14ac:dyDescent="0.2">
      <c r="B242" s="10" t="s">
        <v>250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5">
        <f>T201/W171</f>
        <v>28.014761083766423</v>
      </c>
      <c r="T242" s="15">
        <f>T201/X171</f>
        <v>201.04710895408849</v>
      </c>
      <c r="U242" s="15"/>
      <c r="V242" s="10"/>
      <c r="W242" s="10"/>
      <c r="X242" s="98" t="s">
        <v>5</v>
      </c>
      <c r="Y242" s="98" t="s">
        <v>6</v>
      </c>
      <c r="Z242" s="98" t="s">
        <v>7</v>
      </c>
      <c r="AA242" s="98" t="s">
        <v>8</v>
      </c>
      <c r="AB242" s="98" t="s">
        <v>9</v>
      </c>
      <c r="AC242" s="98" t="s">
        <v>192</v>
      </c>
      <c r="AD242" s="98" t="s">
        <v>193</v>
      </c>
      <c r="AE242" s="98" t="s">
        <v>194</v>
      </c>
      <c r="AF242" s="98" t="s">
        <v>195</v>
      </c>
      <c r="AG242" s="98" t="s">
        <v>196</v>
      </c>
      <c r="AH242" s="98" t="s">
        <v>352</v>
      </c>
      <c r="AI242" s="98" t="s">
        <v>353</v>
      </c>
      <c r="AJ242" s="98" t="s">
        <v>354</v>
      </c>
      <c r="AK242" s="98" t="s">
        <v>355</v>
      </c>
      <c r="AL242" s="98" t="s">
        <v>356</v>
      </c>
      <c r="AM242" s="98" t="s">
        <v>357</v>
      </c>
      <c r="AN242" s="98" t="s">
        <v>358</v>
      </c>
      <c r="AO242" s="98" t="s">
        <v>359</v>
      </c>
      <c r="AP242" s="98" t="s">
        <v>360</v>
      </c>
      <c r="AQ242" s="98" t="s">
        <v>361</v>
      </c>
      <c r="AR242" s="98" t="s">
        <v>362</v>
      </c>
      <c r="AS242" s="98" t="s">
        <v>363</v>
      </c>
      <c r="AT242" s="98" t="s">
        <v>364</v>
      </c>
      <c r="AU242" s="98" t="s">
        <v>365</v>
      </c>
      <c r="AV242" s="98" t="s">
        <v>366</v>
      </c>
      <c r="AW242" s="98" t="s">
        <v>367</v>
      </c>
      <c r="AX242" s="98" t="s">
        <v>368</v>
      </c>
    </row>
    <row r="243" spans="2:50" x14ac:dyDescent="0.2">
      <c r="B243" s="10" t="s">
        <v>316</v>
      </c>
      <c r="C243" s="10"/>
      <c r="D243" s="10"/>
      <c r="E243" s="10"/>
      <c r="F243" s="10"/>
      <c r="G243" s="10"/>
      <c r="H243" s="10"/>
      <c r="I243" s="10"/>
      <c r="J243" s="166" t="s">
        <v>391</v>
      </c>
      <c r="K243" s="167"/>
      <c r="L243" s="166" t="s">
        <v>392</v>
      </c>
      <c r="M243" s="167"/>
      <c r="N243" s="10"/>
      <c r="O243" s="166" t="s">
        <v>393</v>
      </c>
      <c r="P243" s="167"/>
      <c r="Q243" s="166" t="s">
        <v>394</v>
      </c>
      <c r="R243" s="167"/>
      <c r="S243" s="129">
        <f>1/S242</f>
        <v>3.5695467721817024E-2</v>
      </c>
      <c r="T243" s="129">
        <f>1/T242</f>
        <v>4.9739586169745024E-3</v>
      </c>
      <c r="U243" s="129"/>
      <c r="V243" s="10"/>
      <c r="W243" s="10"/>
      <c r="X243" s="111" t="e">
        <f>U201-X244</f>
        <v>#DIV/0!</v>
      </c>
      <c r="Y243" s="162" t="e">
        <f>X243-Y244</f>
        <v>#DIV/0!</v>
      </c>
      <c r="Z243" s="162" t="e">
        <f t="shared" ref="Z243:AB243" si="820">Y243-Z244</f>
        <v>#DIV/0!</v>
      </c>
      <c r="AA243" s="162" t="e">
        <f t="shared" si="820"/>
        <v>#DIV/0!</v>
      </c>
      <c r="AB243" s="162" t="e">
        <f t="shared" si="820"/>
        <v>#DIV/0!</v>
      </c>
      <c r="AC243" s="162" t="e">
        <f>AB243-AC244</f>
        <v>#DIV/0!</v>
      </c>
      <c r="AD243" s="162" t="e">
        <f t="shared" ref="AD243:AG243" si="821">AC243-AD244</f>
        <v>#DIV/0!</v>
      </c>
      <c r="AE243" s="162" t="e">
        <f t="shared" si="821"/>
        <v>#DIV/0!</v>
      </c>
      <c r="AF243" s="162" t="e">
        <f t="shared" si="821"/>
        <v>#DIV/0!</v>
      </c>
      <c r="AG243" s="162" t="e">
        <f t="shared" si="821"/>
        <v>#DIV/0!</v>
      </c>
      <c r="AH243" s="162" t="e">
        <f t="shared" ref="AH243" si="822">AG243-AH244</f>
        <v>#DIV/0!</v>
      </c>
      <c r="AI243" s="162" t="e">
        <f t="shared" ref="AI243" si="823">AH243-AI244</f>
        <v>#DIV/0!</v>
      </c>
      <c r="AJ243" s="162" t="e">
        <f t="shared" ref="AJ243" si="824">AI243-AJ244</f>
        <v>#DIV/0!</v>
      </c>
      <c r="AK243" s="162" t="e">
        <f t="shared" ref="AK243" si="825">AJ243-AK244</f>
        <v>#DIV/0!</v>
      </c>
      <c r="AL243" s="162" t="e">
        <f t="shared" ref="AL243" si="826">AK243-AL244</f>
        <v>#DIV/0!</v>
      </c>
      <c r="AM243" s="162" t="e">
        <f t="shared" ref="AM243" si="827">AL243-AM244</f>
        <v>#DIV/0!</v>
      </c>
      <c r="AN243" s="162" t="e">
        <f t="shared" ref="AN243" si="828">AM243-AN244</f>
        <v>#DIV/0!</v>
      </c>
      <c r="AO243" s="162" t="e">
        <f t="shared" ref="AO243" si="829">AN243-AO244</f>
        <v>#DIV/0!</v>
      </c>
      <c r="AP243" s="162" t="e">
        <f t="shared" ref="AP243" si="830">AO243-AP244</f>
        <v>#DIV/0!</v>
      </c>
      <c r="AQ243" s="162" t="e">
        <f t="shared" ref="AQ243" si="831">AP243-AQ244</f>
        <v>#DIV/0!</v>
      </c>
      <c r="AR243" s="162" t="e">
        <f t="shared" ref="AR243" si="832">AQ243-AR244</f>
        <v>#DIV/0!</v>
      </c>
      <c r="AS243" s="162" t="e">
        <f t="shared" ref="AS243" si="833">AR243-AS244</f>
        <v>#DIV/0!</v>
      </c>
      <c r="AT243" s="162" t="e">
        <f t="shared" ref="AT243" si="834">AS243-AT244</f>
        <v>#DIV/0!</v>
      </c>
      <c r="AU243" s="162" t="e">
        <f t="shared" ref="AU243" si="835">AT243-AU244</f>
        <v>#DIV/0!</v>
      </c>
      <c r="AV243" s="162" t="e">
        <f t="shared" ref="AV243" si="836">AU243-AV244</f>
        <v>#DIV/0!</v>
      </c>
      <c r="AW243" s="162" t="e">
        <f t="shared" ref="AW243" si="837">AV243-AW244</f>
        <v>#DIV/0!</v>
      </c>
      <c r="AX243" s="162" t="e">
        <f t="shared" ref="AX243" si="838">AW243-AX244</f>
        <v>#DIV/0!</v>
      </c>
    </row>
    <row r="244" spans="2:50" x14ac:dyDescent="0.2">
      <c r="B244" s="10" t="s">
        <v>341</v>
      </c>
      <c r="C244" s="10"/>
      <c r="D244" s="10"/>
      <c r="E244" s="10"/>
      <c r="F244" s="10"/>
      <c r="G244" s="10"/>
      <c r="H244" s="10"/>
      <c r="I244" s="10"/>
      <c r="J244" s="168">
        <v>0</v>
      </c>
      <c r="K244" s="167"/>
      <c r="L244" s="168">
        <v>0.05</v>
      </c>
      <c r="M244" s="167"/>
      <c r="N244" s="161">
        <v>0.15</v>
      </c>
      <c r="O244" s="168">
        <v>0.12</v>
      </c>
      <c r="P244" s="167"/>
      <c r="Q244" s="168">
        <v>0.2</v>
      </c>
      <c r="R244" s="175" t="s">
        <v>231</v>
      </c>
      <c r="S244" s="158">
        <f>T201/W170</f>
        <v>214.90325581395354</v>
      </c>
      <c r="T244" s="158" t="s">
        <v>412</v>
      </c>
      <c r="U244" s="158"/>
      <c r="V244" s="10"/>
      <c r="W244" s="10"/>
      <c r="X244" s="163" t="e">
        <f>V170*(1+$N$244)</f>
        <v>#DIV/0!</v>
      </c>
      <c r="Y244" s="163" t="e">
        <f>X244*(1+$N$244)</f>
        <v>#DIV/0!</v>
      </c>
      <c r="Z244" s="163" t="e">
        <f t="shared" ref="Z244:AG244" si="839">Y244*(1+$N$244)</f>
        <v>#DIV/0!</v>
      </c>
      <c r="AA244" s="163" t="e">
        <f t="shared" si="839"/>
        <v>#DIV/0!</v>
      </c>
      <c r="AB244" s="163" t="e">
        <f t="shared" si="839"/>
        <v>#DIV/0!</v>
      </c>
      <c r="AC244" s="163" t="e">
        <f t="shared" si="839"/>
        <v>#DIV/0!</v>
      </c>
      <c r="AD244" s="163" t="e">
        <f t="shared" si="839"/>
        <v>#DIV/0!</v>
      </c>
      <c r="AE244" s="163" t="e">
        <f t="shared" si="839"/>
        <v>#DIV/0!</v>
      </c>
      <c r="AF244" s="163" t="e">
        <f t="shared" si="839"/>
        <v>#DIV/0!</v>
      </c>
      <c r="AG244" s="163" t="e">
        <f t="shared" si="839"/>
        <v>#DIV/0!</v>
      </c>
      <c r="AH244" s="163" t="e">
        <f t="shared" ref="AH244" si="840">AG244*(1+$N$244)</f>
        <v>#DIV/0!</v>
      </c>
      <c r="AI244" s="163" t="e">
        <f t="shared" ref="AI244" si="841">AH244*(1+$N$244)</f>
        <v>#DIV/0!</v>
      </c>
      <c r="AJ244" s="163" t="e">
        <f t="shared" ref="AJ244" si="842">AI244*(1+$N$244)</f>
        <v>#DIV/0!</v>
      </c>
      <c r="AK244" s="163" t="e">
        <f t="shared" ref="AK244" si="843">AJ244*(1+$N$244)</f>
        <v>#DIV/0!</v>
      </c>
      <c r="AL244" s="163" t="e">
        <f t="shared" ref="AL244" si="844">AK244*(1+$N$244)</f>
        <v>#DIV/0!</v>
      </c>
      <c r="AM244" s="163" t="e">
        <f t="shared" ref="AM244" si="845">AL244*(1+$N$244)</f>
        <v>#DIV/0!</v>
      </c>
      <c r="AN244" s="163" t="e">
        <f t="shared" ref="AN244" si="846">AM244*(1+$N$244)</f>
        <v>#DIV/0!</v>
      </c>
      <c r="AO244" s="163" t="e">
        <f t="shared" ref="AO244" si="847">AN244*(1+$N$244)</f>
        <v>#DIV/0!</v>
      </c>
      <c r="AP244" s="163" t="e">
        <f t="shared" ref="AP244" si="848">AO244*(1+$N$244)</f>
        <v>#DIV/0!</v>
      </c>
      <c r="AQ244" s="163" t="e">
        <f t="shared" ref="AQ244" si="849">AP244*(1+$N$244)</f>
        <v>#DIV/0!</v>
      </c>
      <c r="AR244" s="163" t="e">
        <f t="shared" ref="AR244" si="850">AQ244*(1+$N$244)</f>
        <v>#DIV/0!</v>
      </c>
      <c r="AS244" s="163" t="e">
        <f t="shared" ref="AS244" si="851">AR244*(1+$N$244)</f>
        <v>#DIV/0!</v>
      </c>
      <c r="AT244" s="163" t="e">
        <f t="shared" ref="AT244" si="852">AS244*(1+$N$244)</f>
        <v>#DIV/0!</v>
      </c>
      <c r="AU244" s="163" t="e">
        <f t="shared" ref="AU244" si="853">AT244*(1+$N$244)</f>
        <v>#DIV/0!</v>
      </c>
      <c r="AV244" s="163" t="e">
        <f t="shared" ref="AV244" si="854">AU244*(1+$N$244)</f>
        <v>#DIV/0!</v>
      </c>
      <c r="AW244" s="163" t="e">
        <f t="shared" ref="AW244" si="855">AV244*(1+$N$244)</f>
        <v>#DIV/0!</v>
      </c>
      <c r="AX244" s="163" t="e">
        <f t="shared" ref="AX244" si="856">AW244*(1+$N$244)</f>
        <v>#DIV/0!</v>
      </c>
    </row>
    <row r="245" spans="2:50" x14ac:dyDescent="0.2">
      <c r="B245" s="10" t="s">
        <v>340</v>
      </c>
      <c r="C245" s="10"/>
      <c r="D245" s="10"/>
      <c r="E245" s="13" t="s">
        <v>336</v>
      </c>
      <c r="F245" s="13"/>
      <c r="G245" s="13"/>
      <c r="H245" s="13"/>
      <c r="I245" s="12"/>
      <c r="J245" s="168">
        <v>0</v>
      </c>
      <c r="K245" s="169">
        <f>T203</f>
        <v>111.43870129870132</v>
      </c>
      <c r="L245" s="168">
        <v>0.05</v>
      </c>
      <c r="M245" s="167"/>
      <c r="N245" s="161">
        <v>0.15</v>
      </c>
      <c r="O245" s="168">
        <v>0.12</v>
      </c>
      <c r="P245" s="167"/>
      <c r="Q245" s="168">
        <v>0.2</v>
      </c>
      <c r="R245" s="175" t="s">
        <v>411</v>
      </c>
      <c r="S245" s="158">
        <f>T201/T72</f>
        <v>111.43870129870132</v>
      </c>
      <c r="T245" s="158" t="s">
        <v>412</v>
      </c>
      <c r="U245" s="158"/>
      <c r="V245" s="10"/>
      <c r="W245" s="10"/>
      <c r="X245" s="163">
        <f>T72*(1+$N$245)</f>
        <v>2.4147804745023174</v>
      </c>
      <c r="Y245" s="163">
        <f>X245*(1+$N$245)</f>
        <v>2.7769975456776645</v>
      </c>
      <c r="Z245" s="163">
        <f t="shared" ref="Z245:AG245" si="857">Y245*(1+$N$245)</f>
        <v>3.1935471775293141</v>
      </c>
      <c r="AA245" s="163">
        <f t="shared" si="857"/>
        <v>3.6725792541587108</v>
      </c>
      <c r="AB245" s="163">
        <f t="shared" si="857"/>
        <v>4.2234661422825175</v>
      </c>
      <c r="AC245" s="163">
        <f t="shared" si="857"/>
        <v>4.8569860636248947</v>
      </c>
      <c r="AD245" s="163">
        <f t="shared" si="857"/>
        <v>5.5855339731686282</v>
      </c>
      <c r="AE245" s="163">
        <f t="shared" si="857"/>
        <v>6.423364069143922</v>
      </c>
      <c r="AF245" s="163">
        <f t="shared" si="857"/>
        <v>7.3868686795155094</v>
      </c>
      <c r="AG245" s="163">
        <f t="shared" si="857"/>
        <v>8.4948989814428355</v>
      </c>
      <c r="AH245" s="163">
        <f t="shared" ref="AH245" si="858">AG245*(1+$N$245)</f>
        <v>9.7691338286592604</v>
      </c>
      <c r="AI245" s="163">
        <f t="shared" ref="AI245" si="859">AH245*(1+$N$245)</f>
        <v>11.234503902958149</v>
      </c>
      <c r="AJ245" s="163">
        <f t="shared" ref="AJ245" si="860">AI245*(1+$N$245)</f>
        <v>12.91967948840187</v>
      </c>
      <c r="AK245" s="163">
        <f t="shared" ref="AK245" si="861">AJ245*(1+$N$245)</f>
        <v>14.857631411662149</v>
      </c>
      <c r="AL245" s="163">
        <f t="shared" ref="AL245" si="862">AK245*(1+$N$245)</f>
        <v>17.086276123411469</v>
      </c>
      <c r="AM245" s="163">
        <f t="shared" ref="AM245" si="863">AL245*(1+$N$245)</f>
        <v>19.649217541923189</v>
      </c>
      <c r="AN245" s="163">
        <f t="shared" ref="AN245" si="864">AM245*(1+$N$245)</f>
        <v>22.596600173211666</v>
      </c>
      <c r="AO245" s="163">
        <f t="shared" ref="AO245" si="865">AN245*(1+$N$245)</f>
        <v>25.986090199193413</v>
      </c>
      <c r="AP245" s="163">
        <f t="shared" ref="AP245" si="866">AO245*(1+$N$245)</f>
        <v>29.884003729072422</v>
      </c>
      <c r="AQ245" s="163">
        <f t="shared" ref="AQ245" si="867">AP245*(1+$N$245)</f>
        <v>34.36660428843328</v>
      </c>
      <c r="AR245" s="163">
        <f t="shared" ref="AR245" si="868">AQ245*(1+$N$245)</f>
        <v>39.521594931698267</v>
      </c>
      <c r="AS245" s="163">
        <f t="shared" ref="AS245" si="869">AR245*(1+$N$245)</f>
        <v>45.449834171453006</v>
      </c>
      <c r="AT245" s="163">
        <f t="shared" ref="AT245" si="870">AS245*(1+$N$245)</f>
        <v>52.267309297170954</v>
      </c>
      <c r="AU245" s="163">
        <f t="shared" ref="AU245" si="871">AT245*(1+$N$245)</f>
        <v>60.107405691746592</v>
      </c>
      <c r="AV245" s="163">
        <f t="shared" ref="AV245" si="872">AU245*(1+$N$245)</f>
        <v>69.123516545508579</v>
      </c>
      <c r="AW245" s="163">
        <f t="shared" ref="AW245" si="873">AV245*(1+$N$245)</f>
        <v>79.492044027334856</v>
      </c>
      <c r="AX245" s="163">
        <f t="shared" ref="AX245" si="874">AW245*(1+$N$245)</f>
        <v>91.415850631435077</v>
      </c>
    </row>
    <row r="246" spans="2:50" x14ac:dyDescent="0.2">
      <c r="B246" s="10"/>
      <c r="C246" s="10"/>
      <c r="D246" s="10"/>
      <c r="E246" s="13" t="s">
        <v>397</v>
      </c>
      <c r="F246" s="13"/>
      <c r="G246" s="13"/>
      <c r="H246" s="13"/>
      <c r="I246" s="12"/>
      <c r="J246" s="168">
        <v>0</v>
      </c>
      <c r="K246" s="169"/>
      <c r="L246" s="168">
        <v>0.05</v>
      </c>
      <c r="M246" s="167"/>
      <c r="N246" s="167"/>
      <c r="O246" s="168">
        <v>0.12</v>
      </c>
      <c r="P246" s="167"/>
      <c r="Q246" s="168">
        <v>0.2</v>
      </c>
      <c r="R246" s="10"/>
      <c r="S246" s="10"/>
      <c r="T246" s="10"/>
      <c r="U246" s="10"/>
      <c r="V246" s="10"/>
      <c r="W246" s="10"/>
      <c r="X246" s="111">
        <f>U201-X245</f>
        <v>277.58521952549768</v>
      </c>
      <c r="Y246" s="162">
        <f>X246-Y245</f>
        <v>274.80822197982002</v>
      </c>
      <c r="Z246" s="162">
        <f t="shared" ref="Z246:AE246" si="875">Y246-Z245</f>
        <v>271.61467480229072</v>
      </c>
      <c r="AA246" s="162">
        <f t="shared" si="875"/>
        <v>267.94209554813199</v>
      </c>
      <c r="AB246" s="162">
        <f t="shared" si="875"/>
        <v>263.71862940584947</v>
      </c>
      <c r="AC246" s="162">
        <f t="shared" si="875"/>
        <v>258.86164334222457</v>
      </c>
      <c r="AD246" s="162">
        <f t="shared" si="875"/>
        <v>253.27610936905594</v>
      </c>
      <c r="AE246" s="162">
        <f t="shared" si="875"/>
        <v>246.85274529991202</v>
      </c>
      <c r="AF246" s="162">
        <f>AE246-AF245</f>
        <v>239.4658766203965</v>
      </c>
      <c r="AG246" s="162">
        <f t="shared" ref="AG246" si="876">AF246-AG245</f>
        <v>230.97097763895366</v>
      </c>
      <c r="AH246" s="162">
        <f t="shared" ref="AH246" si="877">AG246-AH245</f>
        <v>221.20184381029441</v>
      </c>
      <c r="AI246" s="162">
        <f t="shared" ref="AI246" si="878">AH246-AI245</f>
        <v>209.96733990733625</v>
      </c>
      <c r="AJ246" s="162">
        <f t="shared" ref="AJ246" si="879">AI246-AJ245</f>
        <v>197.04766041893438</v>
      </c>
      <c r="AK246" s="162">
        <f t="shared" ref="AK246" si="880">AJ246-AK245</f>
        <v>182.19002900727224</v>
      </c>
      <c r="AL246" s="162">
        <f t="shared" ref="AL246" si="881">AK246-AL245</f>
        <v>165.10375288386078</v>
      </c>
      <c r="AM246" s="162">
        <f t="shared" ref="AM246" si="882">AL246-AM245</f>
        <v>145.4545353419376</v>
      </c>
      <c r="AN246" s="162">
        <f t="shared" ref="AN246" si="883">AM246-AN245</f>
        <v>122.85793516872593</v>
      </c>
      <c r="AO246" s="162">
        <f t="shared" ref="AO246" si="884">AN246-AO245</f>
        <v>96.871844969532518</v>
      </c>
      <c r="AP246" s="162">
        <f t="shared" ref="AP246" si="885">AO246-AP245</f>
        <v>66.987841240460099</v>
      </c>
      <c r="AQ246" s="162">
        <f t="shared" ref="AQ246" si="886">AP246-AQ245</f>
        <v>32.62123695202682</v>
      </c>
      <c r="AR246" s="162">
        <f t="shared" ref="AR246" si="887">AQ246-AR245</f>
        <v>-6.9003579796714476</v>
      </c>
      <c r="AS246" s="162">
        <f t="shared" ref="AS246" si="888">AR246-AS245</f>
        <v>-52.350192151124453</v>
      </c>
      <c r="AT246" s="162">
        <f t="shared" ref="AT246" si="889">AS246-AT245</f>
        <v>-104.6175014482954</v>
      </c>
      <c r="AU246" s="162">
        <f t="shared" ref="AU246" si="890">AT246-AU245</f>
        <v>-164.72490714004198</v>
      </c>
      <c r="AV246" s="162">
        <f t="shared" ref="AV246" si="891">AU246-AV245</f>
        <v>-233.84842368555056</v>
      </c>
      <c r="AW246" s="162">
        <f t="shared" ref="AW246" si="892">AV246-AW245</f>
        <v>-313.34046771288541</v>
      </c>
      <c r="AX246" s="162">
        <f t="shared" ref="AX246" si="893">AW246-AX245</f>
        <v>-404.7563183443205</v>
      </c>
    </row>
    <row r="247" spans="2:50" x14ac:dyDescent="0.2">
      <c r="B247" s="93" t="s">
        <v>252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spans="2:50" x14ac:dyDescent="0.2">
      <c r="B248" s="10" t="s">
        <v>255</v>
      </c>
      <c r="C248" s="15"/>
      <c r="D248" s="15"/>
      <c r="E248" s="15"/>
      <c r="F248" s="15"/>
      <c r="G248" s="15"/>
      <c r="H248" s="15">
        <f t="shared" ref="H248:I248" si="894">H10/H7</f>
        <v>1.2048192771084338E-3</v>
      </c>
      <c r="I248" s="15">
        <f t="shared" si="894"/>
        <v>4.666666666666667</v>
      </c>
      <c r="J248" s="15">
        <f t="shared" ref="J248:T248" si="895">J10/J7</f>
        <v>1.4666666666666666</v>
      </c>
      <c r="K248" s="15">
        <f t="shared" si="895"/>
        <v>1.1659192825112108</v>
      </c>
      <c r="L248" s="15">
        <f t="shared" si="895"/>
        <v>0.5629139072847682</v>
      </c>
      <c r="M248" s="15">
        <f t="shared" si="895"/>
        <v>0.5911764705882353</v>
      </c>
      <c r="N248" s="15">
        <f t="shared" si="895"/>
        <v>0.57397959183673475</v>
      </c>
      <c r="O248" s="15">
        <f t="shared" si="895"/>
        <v>0.42465753424657532</v>
      </c>
      <c r="P248" s="15">
        <f t="shared" si="895"/>
        <v>0.26162790697674421</v>
      </c>
      <c r="Q248" s="15" t="e">
        <f t="shared" si="895"/>
        <v>#DIV/0!</v>
      </c>
      <c r="R248" s="15">
        <f t="shared" si="895"/>
        <v>0.27831957989497375</v>
      </c>
      <c r="S248" s="15">
        <f t="shared" si="895"/>
        <v>0.59329446064139946</v>
      </c>
      <c r="T248" s="15">
        <f t="shared" si="895"/>
        <v>0.71003039513677813</v>
      </c>
      <c r="U248" s="15"/>
      <c r="V248" s="101">
        <f t="shared" ref="V248:V250" si="896">((S248/J248)^(1/($K$2-$K$1) ))-1</f>
        <v>-6.2601606007875787E-2</v>
      </c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spans="2:50" x14ac:dyDescent="0.2">
      <c r="B249" s="10" t="s">
        <v>256</v>
      </c>
      <c r="C249" s="96"/>
      <c r="D249" s="96"/>
      <c r="E249" s="96"/>
      <c r="F249" s="96"/>
      <c r="G249" s="96"/>
      <c r="H249" s="96">
        <f t="shared" ref="H249:I249" si="897">H10/H12</f>
        <v>2.3529411764705885E-3</v>
      </c>
      <c r="I249" s="96">
        <f t="shared" si="897"/>
        <v>1.4</v>
      </c>
      <c r="J249" s="96">
        <f t="shared" ref="J249:T249" si="898">J10/J12</f>
        <v>1.7023809523809523</v>
      </c>
      <c r="K249" s="96">
        <f t="shared" si="898"/>
        <v>1.6455696202531647</v>
      </c>
      <c r="L249" s="96">
        <f t="shared" si="898"/>
        <v>1.1805555555555556</v>
      </c>
      <c r="M249" s="96">
        <f t="shared" si="898"/>
        <v>1.4779411764705883</v>
      </c>
      <c r="N249" s="96">
        <f t="shared" si="898"/>
        <v>0.82720588235294112</v>
      </c>
      <c r="O249" s="96">
        <f t="shared" si="898"/>
        <v>0.89423076923076927</v>
      </c>
      <c r="P249" s="96">
        <f t="shared" si="898"/>
        <v>0.54545454545454541</v>
      </c>
      <c r="Q249" s="96" t="e">
        <f t="shared" si="898"/>
        <v>#DIV/0!</v>
      </c>
      <c r="R249" s="96">
        <f t="shared" si="898"/>
        <v>0.57519379844961238</v>
      </c>
      <c r="S249" s="96">
        <f t="shared" si="898"/>
        <v>0.98428053204353083</v>
      </c>
      <c r="T249" s="96">
        <f t="shared" si="898"/>
        <v>1.2452025586353945</v>
      </c>
      <c r="U249" s="96"/>
      <c r="V249" s="101">
        <f t="shared" si="896"/>
        <v>-3.8377893085343895E-2</v>
      </c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spans="2:50" x14ac:dyDescent="0.2">
      <c r="B250" s="10" t="s">
        <v>257</v>
      </c>
      <c r="C250" s="15"/>
      <c r="D250" s="15"/>
      <c r="E250" s="15"/>
      <c r="F250" s="15"/>
      <c r="G250" s="15"/>
      <c r="H250" s="15">
        <f t="shared" ref="H250:I250" si="899">H10/(H12+H13)</f>
        <v>2.0202020202020202E-3</v>
      </c>
      <c r="I250" s="15">
        <f t="shared" si="899"/>
        <v>1.3125</v>
      </c>
      <c r="J250" s="15">
        <f t="shared" ref="J250:T250" si="900">J10/(J12+J13)</f>
        <v>1.6953171310017785</v>
      </c>
      <c r="K250" s="15">
        <f t="shared" si="900"/>
        <v>1.6432815067627355</v>
      </c>
      <c r="L250" s="15">
        <f t="shared" si="900"/>
        <v>0.94972067039106145</v>
      </c>
      <c r="M250" s="15">
        <f t="shared" si="900"/>
        <v>1.3223684210526316</v>
      </c>
      <c r="N250" s="15">
        <f t="shared" si="900"/>
        <v>0.72580645161290325</v>
      </c>
      <c r="O250" s="15">
        <f t="shared" si="900"/>
        <v>0.58675078864353314</v>
      </c>
      <c r="P250" s="15">
        <f t="shared" si="900"/>
        <v>0.33457249070631973</v>
      </c>
      <c r="Q250" s="15" t="e">
        <f t="shared" si="900"/>
        <v>#DIV/0!</v>
      </c>
      <c r="R250" s="15">
        <f t="shared" si="900"/>
        <v>0.37703252032520324</v>
      </c>
      <c r="S250" s="15">
        <f t="shared" si="900"/>
        <v>0.84791666666666665</v>
      </c>
      <c r="T250" s="15">
        <f t="shared" si="900"/>
        <v>0.8482207697893972</v>
      </c>
      <c r="U250" s="15"/>
      <c r="V250" s="101">
        <f t="shared" si="896"/>
        <v>-4.8284151416872478E-2</v>
      </c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spans="2:50" x14ac:dyDescent="0.2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 x14ac:dyDescent="0.2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 x14ac:dyDescent="0.2">
      <c r="B253" s="10"/>
      <c r="C253" s="151" t="s">
        <v>322</v>
      </c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0"/>
      <c r="O253" s="311" t="s">
        <v>282</v>
      </c>
      <c r="P253" s="312"/>
      <c r="Q253" s="313"/>
      <c r="R253" s="13" t="s">
        <v>285</v>
      </c>
      <c r="S253" s="10"/>
      <c r="T253" s="115"/>
      <c r="U253" s="115"/>
      <c r="V253" s="311" t="s">
        <v>283</v>
      </c>
      <c r="W253" s="312"/>
      <c r="X253" s="313"/>
      <c r="Y253" s="13" t="s">
        <v>285</v>
      </c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 x14ac:dyDescent="0.2">
      <c r="B254" s="10"/>
      <c r="C254" s="143" t="s">
        <v>284</v>
      </c>
      <c r="D254" s="143" t="s">
        <v>0</v>
      </c>
      <c r="E254" s="143" t="s">
        <v>323</v>
      </c>
      <c r="F254" s="143"/>
      <c r="G254" s="143" t="s">
        <v>324</v>
      </c>
      <c r="H254" s="143" t="s">
        <v>325</v>
      </c>
      <c r="I254" s="143" t="s">
        <v>326</v>
      </c>
      <c r="J254" s="143" t="s">
        <v>327</v>
      </c>
      <c r="K254" s="143" t="s">
        <v>328</v>
      </c>
      <c r="L254" s="10"/>
      <c r="M254" s="143" t="s">
        <v>284</v>
      </c>
      <c r="N254" s="143"/>
      <c r="O254" s="143" t="s">
        <v>0</v>
      </c>
      <c r="P254" s="143" t="s">
        <v>317</v>
      </c>
      <c r="Q254" s="10"/>
      <c r="R254" s="10"/>
      <c r="S254" s="143" t="s">
        <v>284</v>
      </c>
      <c r="T254" s="143"/>
      <c r="U254" s="143"/>
      <c r="V254" s="143" t="s">
        <v>0</v>
      </c>
      <c r="W254" s="143" t="s">
        <v>317</v>
      </c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 spans="2:50" x14ac:dyDescent="0.2">
      <c r="B255" s="10"/>
      <c r="C255" s="144" t="s">
        <v>286</v>
      </c>
      <c r="D255" s="11">
        <v>464</v>
      </c>
      <c r="E255" s="153" t="s">
        <v>329</v>
      </c>
      <c r="F255" s="153"/>
      <c r="G255" s="12">
        <v>1</v>
      </c>
      <c r="H255" s="12">
        <v>1</v>
      </c>
      <c r="I255" s="144">
        <f>G255/H255</f>
        <v>1</v>
      </c>
      <c r="J255" s="144">
        <f>I255*D256</f>
        <v>1</v>
      </c>
      <c r="K255" s="154">
        <f>J255+D256</f>
        <v>2</v>
      </c>
      <c r="L255" s="10"/>
      <c r="M255" s="144" t="s">
        <v>286</v>
      </c>
      <c r="N255" s="144"/>
      <c r="O255" s="11">
        <v>48</v>
      </c>
      <c r="P255" s="150">
        <f>O255</f>
        <v>48</v>
      </c>
      <c r="Q255" s="10"/>
      <c r="R255" s="10"/>
      <c r="S255" s="144" t="s">
        <v>286</v>
      </c>
      <c r="T255" s="144"/>
      <c r="U255" s="144"/>
      <c r="V255" s="11">
        <v>1</v>
      </c>
      <c r="W255" s="150">
        <f>V255</f>
        <v>1</v>
      </c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 spans="2:50" x14ac:dyDescent="0.2">
      <c r="B256" s="10"/>
      <c r="C256" s="144" t="s">
        <v>287</v>
      </c>
      <c r="D256" s="11">
        <v>1</v>
      </c>
      <c r="E256" s="153" t="s">
        <v>330</v>
      </c>
      <c r="F256" s="153"/>
      <c r="G256" s="12">
        <v>0</v>
      </c>
      <c r="H256" s="12">
        <v>1</v>
      </c>
      <c r="I256" s="144">
        <f>G256/H256</f>
        <v>0</v>
      </c>
      <c r="J256" s="144">
        <f>I256*K255</f>
        <v>0</v>
      </c>
      <c r="K256" s="144">
        <f>J256+K255</f>
        <v>2</v>
      </c>
      <c r="L256" s="10"/>
      <c r="M256" s="144" t="s">
        <v>287</v>
      </c>
      <c r="N256" s="144"/>
      <c r="O256" s="11">
        <v>1</v>
      </c>
      <c r="P256" s="150">
        <f>O256</f>
        <v>1</v>
      </c>
      <c r="Q256" s="10"/>
      <c r="R256" s="10"/>
      <c r="S256" s="144" t="s">
        <v>287</v>
      </c>
      <c r="T256" s="144"/>
      <c r="U256" s="144"/>
      <c r="V256" s="11">
        <v>1</v>
      </c>
      <c r="W256" s="150">
        <f>V256</f>
        <v>1</v>
      </c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 spans="2:34" x14ac:dyDescent="0.2">
      <c r="B257" s="10"/>
      <c r="C257" s="144" t="s">
        <v>289</v>
      </c>
      <c r="D257" s="145">
        <f>D255*D256</f>
        <v>464</v>
      </c>
      <c r="E257" s="153" t="s">
        <v>342</v>
      </c>
      <c r="F257" s="153"/>
      <c r="G257" s="12">
        <v>0</v>
      </c>
      <c r="H257" s="12">
        <v>1</v>
      </c>
      <c r="I257" s="144">
        <f>G257/H257</f>
        <v>0</v>
      </c>
      <c r="J257" s="144">
        <f>I257*K256</f>
        <v>0</v>
      </c>
      <c r="K257" s="144">
        <f>J257+K256</f>
        <v>2</v>
      </c>
      <c r="L257" s="10"/>
      <c r="M257" s="144" t="s">
        <v>288</v>
      </c>
      <c r="N257" s="144"/>
      <c r="O257" s="145">
        <f>O255*O256</f>
        <v>48</v>
      </c>
      <c r="P257" s="150">
        <f>O257</f>
        <v>48</v>
      </c>
      <c r="Q257" s="10"/>
      <c r="R257" s="10"/>
      <c r="S257" s="144" t="s">
        <v>289</v>
      </c>
      <c r="T257" s="144"/>
      <c r="U257" s="144"/>
      <c r="V257" s="145">
        <f>V255*V256</f>
        <v>1</v>
      </c>
      <c r="W257" s="150">
        <f>V257</f>
        <v>1</v>
      </c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 spans="2:34" x14ac:dyDescent="0.2">
      <c r="B258" s="10"/>
      <c r="C258" s="144"/>
      <c r="D258" s="145"/>
      <c r="E258" s="153" t="s">
        <v>398</v>
      </c>
      <c r="F258" s="153"/>
      <c r="G258" s="12">
        <v>0</v>
      </c>
      <c r="H258" s="12">
        <v>1</v>
      </c>
      <c r="I258" s="144">
        <f t="shared" ref="I258:I261" si="901">G258/H258</f>
        <v>0</v>
      </c>
      <c r="J258" s="144">
        <f t="shared" ref="J258:J260" si="902">I258*K257</f>
        <v>0</v>
      </c>
      <c r="K258" s="144">
        <f t="shared" ref="K258:K260" si="903">J258+K257</f>
        <v>2</v>
      </c>
      <c r="L258" s="10"/>
      <c r="M258" s="144" t="s">
        <v>290</v>
      </c>
      <c r="N258" s="144"/>
      <c r="O258" s="11">
        <v>280</v>
      </c>
      <c r="P258" s="11">
        <v>290</v>
      </c>
      <c r="Q258" s="10"/>
      <c r="R258" s="10"/>
      <c r="S258" s="144" t="s">
        <v>290</v>
      </c>
      <c r="T258" s="144"/>
      <c r="U258" s="144"/>
      <c r="V258" s="11">
        <v>1</v>
      </c>
      <c r="W258" s="11">
        <v>1</v>
      </c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4" x14ac:dyDescent="0.2">
      <c r="B259" s="10"/>
      <c r="C259" s="144"/>
      <c r="D259" s="145"/>
      <c r="E259" s="153" t="s">
        <v>399</v>
      </c>
      <c r="F259" s="153"/>
      <c r="G259" s="12">
        <v>0</v>
      </c>
      <c r="H259" s="12">
        <v>1</v>
      </c>
      <c r="I259" s="144">
        <f t="shared" si="901"/>
        <v>0</v>
      </c>
      <c r="J259" s="144">
        <f t="shared" si="902"/>
        <v>0</v>
      </c>
      <c r="K259" s="144">
        <f t="shared" si="903"/>
        <v>2</v>
      </c>
      <c r="L259" s="10"/>
      <c r="M259" s="144" t="s">
        <v>291</v>
      </c>
      <c r="N259" s="144"/>
      <c r="O259" s="145">
        <f>O258*O256</f>
        <v>280</v>
      </c>
      <c r="P259" s="145">
        <f>P258*P256</f>
        <v>290</v>
      </c>
      <c r="Q259" s="10"/>
      <c r="R259" s="10"/>
      <c r="S259" s="144" t="s">
        <v>287</v>
      </c>
      <c r="T259" s="144"/>
      <c r="U259" s="144"/>
      <c r="V259" s="11">
        <v>1</v>
      </c>
      <c r="W259" s="109">
        <f>V259</f>
        <v>1</v>
      </c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4" x14ac:dyDescent="0.2">
      <c r="B260" s="10"/>
      <c r="C260" s="144"/>
      <c r="D260" s="145"/>
      <c r="E260" s="153" t="s">
        <v>400</v>
      </c>
      <c r="F260" s="153"/>
      <c r="G260" s="12">
        <v>0</v>
      </c>
      <c r="H260" s="12">
        <v>1</v>
      </c>
      <c r="I260" s="144">
        <f t="shared" si="901"/>
        <v>0</v>
      </c>
      <c r="J260" s="144">
        <f t="shared" si="902"/>
        <v>0</v>
      </c>
      <c r="K260" s="144">
        <f t="shared" si="903"/>
        <v>2</v>
      </c>
      <c r="L260" s="10"/>
      <c r="M260" s="144"/>
      <c r="N260" s="144"/>
      <c r="O260" s="145"/>
      <c r="P260" s="145"/>
      <c r="Q260" s="10"/>
      <c r="R260" s="10"/>
      <c r="S260" s="144" t="s">
        <v>289</v>
      </c>
      <c r="T260" s="144"/>
      <c r="U260" s="144"/>
      <c r="V260" s="145">
        <f>V259*V258</f>
        <v>1</v>
      </c>
      <c r="W260" s="145">
        <f>W259*W258</f>
        <v>1</v>
      </c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4" x14ac:dyDescent="0.2">
      <c r="B261" s="10"/>
      <c r="C261" s="144"/>
      <c r="D261" s="145"/>
      <c r="E261" s="153" t="s">
        <v>331</v>
      </c>
      <c r="F261" s="153"/>
      <c r="G261" s="12">
        <v>10</v>
      </c>
      <c r="H261" s="12">
        <v>1</v>
      </c>
      <c r="I261" s="144">
        <f t="shared" si="901"/>
        <v>10</v>
      </c>
      <c r="J261" s="144">
        <f>I261*K260</f>
        <v>20</v>
      </c>
      <c r="K261" s="144">
        <f>J261</f>
        <v>20</v>
      </c>
      <c r="L261" s="10"/>
      <c r="M261" s="144"/>
      <c r="N261" s="144"/>
      <c r="O261" s="145"/>
      <c r="P261" s="145"/>
      <c r="Q261" s="10"/>
      <c r="R261" s="10"/>
      <c r="S261" s="144"/>
      <c r="T261" s="144"/>
      <c r="U261" s="144"/>
      <c r="V261" s="145"/>
      <c r="W261" s="145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4" x14ac:dyDescent="0.2">
      <c r="B262" s="10"/>
      <c r="C262" s="144"/>
      <c r="D262" s="145"/>
      <c r="E262" s="153" t="s">
        <v>401</v>
      </c>
      <c r="F262" s="153"/>
      <c r="G262" s="12">
        <v>0</v>
      </c>
      <c r="H262" s="12">
        <v>1</v>
      </c>
      <c r="I262" s="144">
        <f>G262/H262</f>
        <v>0</v>
      </c>
      <c r="J262" s="144">
        <f>I262*K261</f>
        <v>0</v>
      </c>
      <c r="K262" s="144">
        <f>J262</f>
        <v>0</v>
      </c>
      <c r="L262" s="10"/>
      <c r="M262" s="146" t="s">
        <v>292</v>
      </c>
      <c r="N262" s="146"/>
      <c r="O262" s="147">
        <f>O259/O257</f>
        <v>5.833333333333333</v>
      </c>
      <c r="P262" s="147">
        <f>P259/P257</f>
        <v>6.041666666666667</v>
      </c>
      <c r="Q262" s="10"/>
      <c r="R262" s="10"/>
      <c r="S262" s="146" t="s">
        <v>292</v>
      </c>
      <c r="T262" s="146"/>
      <c r="U262" s="146"/>
      <c r="V262" s="147">
        <f>V260/V257</f>
        <v>1</v>
      </c>
      <c r="W262" s="147">
        <f>W260/W257</f>
        <v>1</v>
      </c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4" x14ac:dyDescent="0.2">
      <c r="B263" s="10"/>
      <c r="C263" s="144" t="s">
        <v>290</v>
      </c>
      <c r="D263" s="11">
        <v>280</v>
      </c>
      <c r="E263" s="153"/>
      <c r="F263" s="153"/>
      <c r="G263" s="144"/>
      <c r="H263" s="144"/>
      <c r="I263" s="146" t="s">
        <v>332</v>
      </c>
      <c r="J263" s="144"/>
      <c r="K263" s="144">
        <f>K262</f>
        <v>0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4" x14ac:dyDescent="0.2">
      <c r="B264" s="10"/>
      <c r="C264" s="144" t="s">
        <v>287</v>
      </c>
      <c r="D264" s="11">
        <v>10</v>
      </c>
      <c r="E264" s="153" t="s">
        <v>331</v>
      </c>
      <c r="F264" s="153"/>
      <c r="G264" s="12">
        <v>10</v>
      </c>
      <c r="H264" s="12">
        <v>1</v>
      </c>
      <c r="I264" s="144">
        <f>G264/H264</f>
        <v>10</v>
      </c>
      <c r="J264" s="154">
        <f>I264*D256</f>
        <v>10</v>
      </c>
      <c r="K264" s="154">
        <f>J264</f>
        <v>10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4" x14ac:dyDescent="0.2">
      <c r="B265" s="10"/>
      <c r="C265" s="144" t="s">
        <v>289</v>
      </c>
      <c r="D265" s="145">
        <f>D264*D263</f>
        <v>2800</v>
      </c>
      <c r="E265" s="144"/>
      <c r="F265" s="144"/>
      <c r="G265" s="144"/>
      <c r="H265" s="144"/>
      <c r="I265" s="146" t="s">
        <v>332</v>
      </c>
      <c r="J265" s="144"/>
      <c r="K265" s="144">
        <f>K264</f>
        <v>10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4" x14ac:dyDescent="0.2">
      <c r="B266" s="10"/>
      <c r="C266" s="144"/>
      <c r="D266" s="145"/>
      <c r="E266" s="153" t="s">
        <v>331</v>
      </c>
      <c r="F266" s="153"/>
      <c r="G266" s="12">
        <v>10</v>
      </c>
      <c r="H266" s="12">
        <v>2</v>
      </c>
      <c r="I266" s="144">
        <f>G266/H266</f>
        <v>5</v>
      </c>
      <c r="J266" s="144">
        <f>I266*K265</f>
        <v>50</v>
      </c>
      <c r="K266" s="144">
        <f>J266</f>
        <v>50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4" x14ac:dyDescent="0.2">
      <c r="B267" s="10"/>
      <c r="C267" s="146" t="s">
        <v>292</v>
      </c>
      <c r="D267" s="147">
        <f>D265/D257</f>
        <v>6.0344827586206895</v>
      </c>
      <c r="E267" s="153"/>
      <c r="F267" s="153"/>
      <c r="G267" s="144"/>
      <c r="H267" s="144"/>
      <c r="I267" s="146" t="s">
        <v>332</v>
      </c>
      <c r="J267" s="144"/>
      <c r="K267" s="144">
        <f>K266</f>
        <v>50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4" x14ac:dyDescent="0.2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4" x14ac:dyDescent="0.2">
      <c r="B269" s="10"/>
      <c r="C269" s="10"/>
      <c r="D269" s="115"/>
      <c r="E269" s="155"/>
      <c r="F269" s="155"/>
      <c r="G269" s="155"/>
      <c r="H269" s="155"/>
      <c r="I269" s="155"/>
      <c r="J269" s="156"/>
      <c r="K269" s="10"/>
      <c r="L269" s="115"/>
      <c r="M269" s="155"/>
      <c r="N269" s="156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4" ht="14.25" x14ac:dyDescent="0.2">
      <c r="B270" s="10"/>
      <c r="C270" s="10"/>
      <c r="D270" s="304" t="s">
        <v>15</v>
      </c>
      <c r="E270" s="305"/>
      <c r="F270" s="305"/>
      <c r="G270" s="305"/>
      <c r="H270" s="305"/>
      <c r="I270" s="305"/>
      <c r="J270" s="306"/>
      <c r="K270" s="10"/>
      <c r="L270" s="304" t="s">
        <v>337</v>
      </c>
      <c r="M270" s="305"/>
      <c r="N270" s="306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4" x14ac:dyDescent="0.2">
      <c r="B271" s="10"/>
      <c r="C271" s="10"/>
      <c r="D271" s="10" t="s">
        <v>16</v>
      </c>
      <c r="E271" s="109"/>
      <c r="F271" s="109"/>
      <c r="G271" s="109">
        <f>D257</f>
        <v>464</v>
      </c>
      <c r="H271" s="11">
        <f>D257</f>
        <v>464</v>
      </c>
      <c r="I271" s="10"/>
      <c r="J271" s="10"/>
      <c r="K271" s="10"/>
      <c r="L271" s="10" t="s">
        <v>16</v>
      </c>
      <c r="M271" s="109"/>
      <c r="N271" s="11">
        <f>H271</f>
        <v>464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4" x14ac:dyDescent="0.2">
      <c r="B272" s="10"/>
      <c r="C272" s="10"/>
      <c r="D272" s="10" t="s">
        <v>17</v>
      </c>
      <c r="E272" s="109"/>
      <c r="F272" s="109"/>
      <c r="G272" s="109">
        <f>D265</f>
        <v>2800</v>
      </c>
      <c r="H272" s="11">
        <f>D265</f>
        <v>2800</v>
      </c>
      <c r="I272" s="10"/>
      <c r="J272" s="10"/>
      <c r="K272" s="10"/>
      <c r="L272" s="10" t="s">
        <v>17</v>
      </c>
      <c r="M272" s="10"/>
      <c r="N272" s="11">
        <f>H272</f>
        <v>2800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 x14ac:dyDescent="0.2">
      <c r="B273" s="10"/>
      <c r="C273" s="10"/>
      <c r="D273" s="10" t="s">
        <v>18</v>
      </c>
      <c r="E273" s="10"/>
      <c r="F273" s="10"/>
      <c r="G273" s="12">
        <f>H273</f>
        <v>10</v>
      </c>
      <c r="H273" s="12">
        <v>10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 x14ac:dyDescent="0.2">
      <c r="B274" s="10"/>
      <c r="C274" s="10"/>
      <c r="D274" s="13" t="s">
        <v>19</v>
      </c>
      <c r="E274" s="3"/>
      <c r="F274" s="3"/>
      <c r="G274" s="3">
        <f>((G272/G271)^(1/G273))-1</f>
        <v>0.19691691650152476</v>
      </c>
      <c r="H274" s="3">
        <f>((H272/H271)^(1/H273))-1</f>
        <v>0.19691691650152476</v>
      </c>
      <c r="I274" s="10"/>
      <c r="J274" s="10"/>
      <c r="K274" s="10"/>
      <c r="L274" s="13" t="s">
        <v>338</v>
      </c>
      <c r="M274" s="13"/>
      <c r="N274" s="170">
        <f>(N272-N271)/N271</f>
        <v>5.0344827586206895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 x14ac:dyDescent="0.2">
      <c r="B275" s="10"/>
      <c r="C275" s="10"/>
      <c r="D275" s="13" t="s">
        <v>20</v>
      </c>
      <c r="E275" s="142"/>
      <c r="F275" s="142"/>
      <c r="G275" s="142">
        <f>G273*12</f>
        <v>120</v>
      </c>
      <c r="H275" s="14">
        <f>H273*12</f>
        <v>120</v>
      </c>
      <c r="I275" s="10"/>
      <c r="J275" s="10"/>
      <c r="K275" s="10"/>
      <c r="L275" s="13" t="s">
        <v>339</v>
      </c>
      <c r="M275" s="13"/>
      <c r="N275" s="273">
        <f>N272/N271</f>
        <v>6.0344827586206895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 x14ac:dyDescent="0.2">
      <c r="B276" s="10"/>
      <c r="C276" s="10"/>
      <c r="D276" s="10" t="s">
        <v>18</v>
      </c>
      <c r="E276" s="15"/>
      <c r="F276" s="15"/>
      <c r="G276" s="15">
        <f>G275/12</f>
        <v>10</v>
      </c>
      <c r="H276" s="15">
        <f>H275/12</f>
        <v>10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 x14ac:dyDescent="0.2">
      <c r="B277" s="10"/>
      <c r="C277" s="10"/>
      <c r="D277" s="13" t="s">
        <v>21</v>
      </c>
      <c r="E277" s="3"/>
      <c r="F277" s="3"/>
      <c r="G277" s="3">
        <f>((G272/G271)^(1/G276))-1</f>
        <v>0.19691691650152476</v>
      </c>
      <c r="H277" s="3">
        <f>((H272/H271)^(1/H276))-1</f>
        <v>0.19691691650152476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 x14ac:dyDescent="0.2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 x14ac:dyDescent="0.2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</sheetData>
  <mergeCells count="9">
    <mergeCell ref="A36:A45"/>
    <mergeCell ref="A124:A132"/>
    <mergeCell ref="D270:J270"/>
    <mergeCell ref="L270:N270"/>
    <mergeCell ref="AI2:AJ2"/>
    <mergeCell ref="AI3:AJ3"/>
    <mergeCell ref="O253:Q253"/>
    <mergeCell ref="V253:X253"/>
    <mergeCell ref="N236:O23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52</v>
      </c>
    </row>
    <row r="3" spans="2:14" x14ac:dyDescent="0.3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 x14ac:dyDescent="0.3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90" t="s">
        <v>15</v>
      </c>
      <c r="K5" s="290"/>
      <c r="M5" s="290" t="s">
        <v>53</v>
      </c>
      <c r="N5" s="290"/>
    </row>
    <row r="6" spans="2:14" x14ac:dyDescent="0.3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 x14ac:dyDescent="0.3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 x14ac:dyDescent="0.3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 x14ac:dyDescent="0.3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 x14ac:dyDescent="0.3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 x14ac:dyDescent="0.3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 x14ac:dyDescent="0.3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 x14ac:dyDescent="0.3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90" t="s">
        <v>24</v>
      </c>
      <c r="K14" s="290"/>
      <c r="L14" s="290"/>
    </row>
    <row r="15" spans="2:14" x14ac:dyDescent="0.3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 x14ac:dyDescent="0.3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 x14ac:dyDescent="0.3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 x14ac:dyDescent="0.3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 x14ac:dyDescent="0.3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 x14ac:dyDescent="0.3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8" t="s">
        <v>34</v>
      </c>
      <c r="C23" s="1"/>
      <c r="D23" s="4">
        <v>0.1125</v>
      </c>
      <c r="E23" s="4"/>
      <c r="F23" s="1"/>
      <c r="G23" s="1"/>
    </row>
    <row r="27" spans="1:17" x14ac:dyDescent="0.3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 x14ac:dyDescent="0.3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 x14ac:dyDescent="0.3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 x14ac:dyDescent="0.3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 x14ac:dyDescent="0.3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 x14ac:dyDescent="0.3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 x14ac:dyDescent="0.3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 x14ac:dyDescent="0.3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 x14ac:dyDescent="0.3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 x14ac:dyDescent="0.3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 x14ac:dyDescent="0.3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 x14ac:dyDescent="0.3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 x14ac:dyDescent="0.3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 x14ac:dyDescent="0.3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 x14ac:dyDescent="0.3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 x14ac:dyDescent="0.3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 x14ac:dyDescent="0.3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 x14ac:dyDescent="0.3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35</v>
      </c>
    </row>
    <row r="3" spans="2:20" x14ac:dyDescent="0.3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 x14ac:dyDescent="0.3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8">
        <v>1</v>
      </c>
      <c r="C5" s="1">
        <v>2001</v>
      </c>
      <c r="D5" s="1"/>
      <c r="E5" s="1"/>
      <c r="F5" s="1"/>
      <c r="G5" s="1">
        <v>115.93</v>
      </c>
      <c r="R5" s="290" t="s">
        <v>15</v>
      </c>
      <c r="S5" s="290"/>
    </row>
    <row r="6" spans="2:20" x14ac:dyDescent="0.3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 x14ac:dyDescent="0.3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 x14ac:dyDescent="0.3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 x14ac:dyDescent="0.3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 x14ac:dyDescent="0.3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 x14ac:dyDescent="0.3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 x14ac:dyDescent="0.3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 x14ac:dyDescent="0.3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90" t="s">
        <v>24</v>
      </c>
      <c r="S14" s="290"/>
      <c r="T14" s="290"/>
    </row>
    <row r="15" spans="2:20" x14ac:dyDescent="0.3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 x14ac:dyDescent="0.3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 x14ac:dyDescent="0.3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 x14ac:dyDescent="0.3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 x14ac:dyDescent="0.3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 x14ac:dyDescent="0.3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8" t="s">
        <v>34</v>
      </c>
      <c r="C23" s="1"/>
      <c r="D23" s="4">
        <v>0.1125</v>
      </c>
      <c r="E23" s="4"/>
      <c r="F23" s="1"/>
      <c r="G23" s="1"/>
    </row>
    <row r="27" spans="1:20" x14ac:dyDescent="0.3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 x14ac:dyDescent="0.3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 x14ac:dyDescent="0.3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 x14ac:dyDescent="0.3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 x14ac:dyDescent="0.3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 x14ac:dyDescent="0.3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 x14ac:dyDescent="0.3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 x14ac:dyDescent="0.3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 x14ac:dyDescent="0.3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 x14ac:dyDescent="0.3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 x14ac:dyDescent="0.3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 x14ac:dyDescent="0.3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 x14ac:dyDescent="0.3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 x14ac:dyDescent="0.3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 x14ac:dyDescent="0.3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 x14ac:dyDescent="0.3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 x14ac:dyDescent="0.3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 x14ac:dyDescent="0.3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 x14ac:dyDescent="0.25">
      <c r="B2" s="290" t="s">
        <v>15</v>
      </c>
      <c r="C2" s="290"/>
      <c r="E2" s="290" t="s">
        <v>53</v>
      </c>
      <c r="F2" s="290"/>
      <c r="H2" s="319" t="s">
        <v>24</v>
      </c>
      <c r="I2" s="320"/>
    </row>
    <row r="3" spans="2:12" x14ac:dyDescent="0.25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 x14ac:dyDescent="0.25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 x14ac:dyDescent="0.25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 x14ac:dyDescent="0.25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 x14ac:dyDescent="0.25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 x14ac:dyDescent="0.3"/>
    <row r="10" spans="2:12" ht="16.5" thickBot="1" x14ac:dyDescent="0.35">
      <c r="B10" s="76"/>
      <c r="C10" s="77"/>
      <c r="D10" s="316" t="s">
        <v>56</v>
      </c>
      <c r="E10" s="317"/>
      <c r="F10" s="317"/>
      <c r="G10" s="317"/>
      <c r="H10" s="318"/>
      <c r="I10" s="316" t="s">
        <v>60</v>
      </c>
      <c r="J10" s="317"/>
      <c r="K10" s="317"/>
      <c r="L10" s="318"/>
    </row>
    <row r="11" spans="2:12" ht="45" x14ac:dyDescent="0.2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 x14ac:dyDescent="0.3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 x14ac:dyDescent="0.3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 x14ac:dyDescent="0.3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 x14ac:dyDescent="0.3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 x14ac:dyDescent="0.3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 x14ac:dyDescent="0.3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 x14ac:dyDescent="0.3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 x14ac:dyDescent="0.3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 x14ac:dyDescent="0.3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 x14ac:dyDescent="0.3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 x14ac:dyDescent="0.3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 x14ac:dyDescent="0.3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 x14ac:dyDescent="0.3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 x14ac:dyDescent="0.3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 x14ac:dyDescent="0.3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 x14ac:dyDescent="0.3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 x14ac:dyDescent="0.3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 x14ac:dyDescent="0.3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 x14ac:dyDescent="0.3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 x14ac:dyDescent="0.3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 x14ac:dyDescent="0.3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 x14ac:dyDescent="0.3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 x14ac:dyDescent="0.3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 x14ac:dyDescent="0.3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 x14ac:dyDescent="0.3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 x14ac:dyDescent="0.3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 x14ac:dyDescent="0.3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 x14ac:dyDescent="0.3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 x14ac:dyDescent="0.25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 x14ac:dyDescent="0.25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 x14ac:dyDescent="0.25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 x14ac:dyDescent="0.25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 x14ac:dyDescent="0.25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 x14ac:dyDescent="0.25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 x14ac:dyDescent="0.25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 x14ac:dyDescent="0.25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 x14ac:dyDescent="0.3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64"/>
    <col min="2" max="2" width="16.5703125" style="164" customWidth="1"/>
    <col min="3" max="3" width="39.7109375" style="164" customWidth="1"/>
    <col min="4" max="5" width="9.140625" style="164"/>
    <col min="6" max="6" width="19" style="164" bestFit="1" customWidth="1"/>
    <col min="7" max="7" width="49" style="164" customWidth="1"/>
    <col min="8" max="16384" width="9.140625" style="164"/>
  </cols>
  <sheetData>
    <row r="3" spans="2:7" x14ac:dyDescent="0.2">
      <c r="B3" s="321" t="s">
        <v>376</v>
      </c>
      <c r="C3" s="322"/>
      <c r="F3" s="321" t="s">
        <v>377</v>
      </c>
      <c r="G3" s="322"/>
    </row>
    <row r="4" spans="2:7" x14ac:dyDescent="0.2">
      <c r="B4" s="165" t="s">
        <v>378</v>
      </c>
      <c r="C4" s="165"/>
      <c r="F4" s="165" t="s">
        <v>379</v>
      </c>
      <c r="G4" s="165"/>
    </row>
    <row r="5" spans="2:7" x14ac:dyDescent="0.2">
      <c r="B5" s="165" t="s">
        <v>380</v>
      </c>
      <c r="C5" s="165"/>
      <c r="F5" s="165" t="s">
        <v>242</v>
      </c>
      <c r="G5" s="165"/>
    </row>
    <row r="6" spans="2:7" x14ac:dyDescent="0.2">
      <c r="B6" s="165" t="s">
        <v>381</v>
      </c>
      <c r="C6" s="165"/>
      <c r="F6" s="165" t="s">
        <v>382</v>
      </c>
      <c r="G6" s="165"/>
    </row>
    <row r="7" spans="2:7" x14ac:dyDescent="0.2">
      <c r="B7" s="165" t="s">
        <v>383</v>
      </c>
      <c r="C7" s="165"/>
      <c r="F7" s="165" t="s">
        <v>384</v>
      </c>
      <c r="G7" s="165"/>
    </row>
    <row r="8" spans="2:7" x14ac:dyDescent="0.2">
      <c r="B8" s="165" t="s">
        <v>385</v>
      </c>
      <c r="C8" s="165"/>
      <c r="F8" s="165" t="s">
        <v>386</v>
      </c>
      <c r="G8" s="165"/>
    </row>
    <row r="9" spans="2:7" x14ac:dyDescent="0.2">
      <c r="B9" s="165" t="s">
        <v>387</v>
      </c>
      <c r="C9" s="165"/>
      <c r="F9" s="165" t="s">
        <v>388</v>
      </c>
      <c r="G9" s="165"/>
    </row>
    <row r="10" spans="2:7" x14ac:dyDescent="0.2">
      <c r="B10" s="165" t="s">
        <v>386</v>
      </c>
      <c r="C10" s="165"/>
      <c r="F10" s="165"/>
      <c r="G10" s="165"/>
    </row>
    <row r="11" spans="2:7" x14ac:dyDescent="0.2">
      <c r="B11" s="165" t="s">
        <v>389</v>
      </c>
      <c r="C11" s="165"/>
      <c r="F11" s="165"/>
      <c r="G11" s="165"/>
    </row>
    <row r="12" spans="2:7" x14ac:dyDescent="0.2">
      <c r="B12" s="165" t="s">
        <v>390</v>
      </c>
      <c r="C12" s="165"/>
      <c r="F12" s="165"/>
      <c r="G12" s="165"/>
    </row>
    <row r="13" spans="2:7" x14ac:dyDescent="0.2">
      <c r="B13" s="165"/>
      <c r="C13" s="165"/>
      <c r="F13" s="165"/>
      <c r="G13" s="165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2020-03-27T01:51:51Z</dcterms:modified>
</cp:coreProperties>
</file>
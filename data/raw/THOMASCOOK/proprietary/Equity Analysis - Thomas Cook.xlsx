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W34" i="18" l="1"/>
  <c r="W33" i="18"/>
  <c r="W18" i="18"/>
  <c r="W16" i="18"/>
  <c r="W15" i="18"/>
  <c r="W14" i="18"/>
  <c r="W13" i="18"/>
  <c r="W12" i="18"/>
  <c r="W10" i="18"/>
  <c r="W9" i="18"/>
  <c r="W7" i="18"/>
  <c r="W6" i="18"/>
  <c r="W60" i="18"/>
  <c r="W58" i="18"/>
  <c r="W56" i="18"/>
  <c r="W54" i="18"/>
  <c r="W29" i="18"/>
  <c r="V29" i="18"/>
  <c r="W27" i="18"/>
  <c r="W25" i="18"/>
  <c r="U61" i="18" l="1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U59" i="18"/>
  <c r="T59" i="18"/>
  <c r="S59" i="18"/>
  <c r="R59" i="18"/>
  <c r="Q59" i="18"/>
  <c r="P59" i="18"/>
  <c r="O59" i="18"/>
  <c r="N59" i="18"/>
  <c r="M59" i="18"/>
  <c r="L59" i="18"/>
  <c r="K59" i="18"/>
  <c r="J59" i="18"/>
  <c r="I59" i="18"/>
  <c r="H59" i="18"/>
  <c r="G59" i="18"/>
  <c r="U57" i="18"/>
  <c r="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J49" i="18"/>
  <c r="I49" i="18" s="1"/>
  <c r="H49" i="18" s="1"/>
  <c r="G49" i="18" s="1"/>
  <c r="U48" i="18"/>
  <c r="T48" i="18"/>
  <c r="S48" i="18"/>
  <c r="R48" i="18"/>
  <c r="Q48" i="18"/>
  <c r="P48" i="18"/>
  <c r="O48" i="18"/>
  <c r="N48" i="18"/>
  <c r="M48" i="18"/>
  <c r="L48" i="18"/>
  <c r="K48" i="18"/>
  <c r="J47" i="18"/>
  <c r="J48" i="18" s="1"/>
  <c r="I47" i="18"/>
  <c r="H47" i="18" s="1"/>
  <c r="U46" i="18"/>
  <c r="T46" i="18"/>
  <c r="S46" i="18"/>
  <c r="R46" i="18"/>
  <c r="Q46" i="18"/>
  <c r="P46" i="18"/>
  <c r="O46" i="18"/>
  <c r="N46" i="18"/>
  <c r="M46" i="18"/>
  <c r="L46" i="18"/>
  <c r="J45" i="18"/>
  <c r="K46" i="18" s="1"/>
  <c r="U44" i="18"/>
  <c r="T44" i="18"/>
  <c r="S44" i="18"/>
  <c r="R44" i="18"/>
  <c r="Q44" i="18"/>
  <c r="P44" i="18"/>
  <c r="O44" i="18"/>
  <c r="N44" i="18"/>
  <c r="M44" i="18"/>
  <c r="L44" i="18"/>
  <c r="K44" i="18"/>
  <c r="J43" i="18"/>
  <c r="J44" i="18" s="1"/>
  <c r="I43" i="18"/>
  <c r="J42" i="18"/>
  <c r="I42" i="18"/>
  <c r="H42" i="18" s="1"/>
  <c r="G42" i="18" s="1"/>
  <c r="J41" i="18"/>
  <c r="I41" i="18"/>
  <c r="H41" i="18" s="1"/>
  <c r="G41" i="18" s="1"/>
  <c r="J40" i="18"/>
  <c r="I40" i="18"/>
  <c r="H40" i="18" s="1"/>
  <c r="G40" i="18" s="1"/>
  <c r="U39" i="18"/>
  <c r="T39" i="18"/>
  <c r="S39" i="18"/>
  <c r="R39" i="18"/>
  <c r="Q39" i="18"/>
  <c r="P39" i="18"/>
  <c r="O39" i="18"/>
  <c r="N39" i="18"/>
  <c r="M39" i="18"/>
  <c r="L39" i="18"/>
  <c r="J38" i="18"/>
  <c r="I38" i="18" s="1"/>
  <c r="U37" i="18"/>
  <c r="T37" i="18"/>
  <c r="S37" i="18"/>
  <c r="R37" i="18"/>
  <c r="Q37" i="18"/>
  <c r="P37" i="18"/>
  <c r="O37" i="18"/>
  <c r="N37" i="18"/>
  <c r="M37" i="18"/>
  <c r="L37" i="18"/>
  <c r="K37" i="18"/>
  <c r="J36" i="18"/>
  <c r="J37" i="18" s="1"/>
  <c r="I36" i="18"/>
  <c r="H36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H37" i="18" l="1"/>
  <c r="G36" i="18"/>
  <c r="G37" i="18" s="1"/>
  <c r="I39" i="18"/>
  <c r="H38" i="18"/>
  <c r="H48" i="18"/>
  <c r="G47" i="18"/>
  <c r="G48" i="18" s="1"/>
  <c r="K39" i="18"/>
  <c r="H43" i="18"/>
  <c r="I45" i="18"/>
  <c r="I37" i="18"/>
  <c r="J46" i="18"/>
  <c r="J39" i="18"/>
  <c r="I48" i="18"/>
  <c r="V209" i="18"/>
  <c r="W209" i="18"/>
  <c r="V211" i="18"/>
  <c r="S213" i="18"/>
  <c r="R216" i="18"/>
  <c r="S216" i="18"/>
  <c r="T216" i="18"/>
  <c r="U216" i="18"/>
  <c r="V216" i="18"/>
  <c r="W216" i="18"/>
  <c r="R217" i="18"/>
  <c r="S217" i="18"/>
  <c r="T217" i="18"/>
  <c r="U217" i="18"/>
  <c r="V217" i="18"/>
  <c r="W217" i="18"/>
  <c r="S219" i="18"/>
  <c r="R71" i="18"/>
  <c r="R207" i="18" s="1"/>
  <c r="S71" i="18"/>
  <c r="S207" i="18" s="1"/>
  <c r="T71" i="18"/>
  <c r="T207" i="18" s="1"/>
  <c r="U71" i="18"/>
  <c r="U207" i="18" s="1"/>
  <c r="V71" i="18"/>
  <c r="V207" i="18" s="1"/>
  <c r="W71" i="18"/>
  <c r="W207" i="18" s="1"/>
  <c r="R72" i="18"/>
  <c r="S72" i="18"/>
  <c r="T72" i="18"/>
  <c r="U72" i="18"/>
  <c r="V72" i="18"/>
  <c r="W72" i="18"/>
  <c r="R73" i="18"/>
  <c r="R115" i="18" s="1"/>
  <c r="S73" i="18"/>
  <c r="S115" i="18" s="1"/>
  <c r="T73" i="18"/>
  <c r="U73" i="18"/>
  <c r="U115" i="18" s="1"/>
  <c r="V73" i="18"/>
  <c r="W73" i="18"/>
  <c r="R75" i="18"/>
  <c r="R209" i="18" s="1"/>
  <c r="S75" i="18"/>
  <c r="S209" i="18" s="1"/>
  <c r="T75" i="18"/>
  <c r="T209" i="18" s="1"/>
  <c r="U75" i="18"/>
  <c r="U209" i="18" s="1"/>
  <c r="V75" i="18"/>
  <c r="W75" i="18"/>
  <c r="R76" i="18"/>
  <c r="R210" i="18" s="1"/>
  <c r="S76" i="18"/>
  <c r="S210" i="18" s="1"/>
  <c r="T76" i="18"/>
  <c r="T210" i="18" s="1"/>
  <c r="U76" i="18"/>
  <c r="U210" i="18" s="1"/>
  <c r="V76" i="18"/>
  <c r="V210" i="18" s="1"/>
  <c r="W76" i="18"/>
  <c r="W210" i="18" s="1"/>
  <c r="R77" i="18"/>
  <c r="R208" i="18" s="1"/>
  <c r="S77" i="18"/>
  <c r="S208" i="18" s="1"/>
  <c r="T77" i="18"/>
  <c r="T219" i="18" s="1"/>
  <c r="U77" i="18"/>
  <c r="U219" i="18" s="1"/>
  <c r="V77" i="18"/>
  <c r="V219" i="18" s="1"/>
  <c r="W77" i="18"/>
  <c r="W208" i="18" s="1"/>
  <c r="R78" i="18"/>
  <c r="S78" i="18"/>
  <c r="T78" i="18"/>
  <c r="U78" i="18"/>
  <c r="V78" i="18"/>
  <c r="W78" i="18"/>
  <c r="R79" i="18"/>
  <c r="S79" i="18"/>
  <c r="T79" i="18"/>
  <c r="U79" i="18"/>
  <c r="V79" i="18"/>
  <c r="W79" i="18"/>
  <c r="R80" i="18"/>
  <c r="R211" i="18" s="1"/>
  <c r="S80" i="18"/>
  <c r="S211" i="18" s="1"/>
  <c r="T80" i="18"/>
  <c r="T211" i="18" s="1"/>
  <c r="U80" i="18"/>
  <c r="U211" i="18" s="1"/>
  <c r="V80" i="18"/>
  <c r="W80" i="18"/>
  <c r="W211" i="18" s="1"/>
  <c r="R81" i="18"/>
  <c r="S81" i="18"/>
  <c r="T81" i="18"/>
  <c r="U81" i="18"/>
  <c r="V81" i="18"/>
  <c r="W81" i="18"/>
  <c r="R83" i="18"/>
  <c r="S83" i="18"/>
  <c r="T83" i="18"/>
  <c r="U83" i="18"/>
  <c r="V83" i="18"/>
  <c r="W83" i="18"/>
  <c r="R84" i="18"/>
  <c r="S84" i="18"/>
  <c r="T84" i="18"/>
  <c r="U84" i="18"/>
  <c r="V84" i="18"/>
  <c r="W84" i="18"/>
  <c r="R85" i="18"/>
  <c r="R214" i="18" s="1"/>
  <c r="S85" i="18"/>
  <c r="S214" i="18" s="1"/>
  <c r="T85" i="18"/>
  <c r="T214" i="18" s="1"/>
  <c r="U85" i="18"/>
  <c r="U214" i="18" s="1"/>
  <c r="V85" i="18"/>
  <c r="V214" i="18" s="1"/>
  <c r="W85" i="18"/>
  <c r="W214" i="18" s="1"/>
  <c r="R87" i="18"/>
  <c r="R89" i="18" s="1"/>
  <c r="R212" i="18" s="1"/>
  <c r="S87" i="18"/>
  <c r="T87" i="18"/>
  <c r="U87" i="18"/>
  <c r="V87" i="18"/>
  <c r="W87" i="18"/>
  <c r="R88" i="18"/>
  <c r="S88" i="18"/>
  <c r="T88" i="18"/>
  <c r="U88" i="18"/>
  <c r="V88" i="18"/>
  <c r="V89" i="18" s="1"/>
  <c r="V212" i="18" s="1"/>
  <c r="W88" i="18"/>
  <c r="W89" i="18" s="1"/>
  <c r="W212" i="18" s="1"/>
  <c r="T89" i="18"/>
  <c r="T212" i="18" s="1"/>
  <c r="R90" i="18"/>
  <c r="S90" i="18"/>
  <c r="T90" i="18"/>
  <c r="U90" i="18"/>
  <c r="V90" i="18"/>
  <c r="W90" i="18"/>
  <c r="R91" i="18"/>
  <c r="R213" i="18" s="1"/>
  <c r="S91" i="18"/>
  <c r="T91" i="18"/>
  <c r="T213" i="18" s="1"/>
  <c r="U91" i="18"/>
  <c r="U213" i="18" s="1"/>
  <c r="V91" i="18"/>
  <c r="V213" i="18" s="1"/>
  <c r="W91" i="18"/>
  <c r="W213" i="18" s="1"/>
  <c r="R93" i="18"/>
  <c r="S93" i="18"/>
  <c r="T93" i="18"/>
  <c r="T144" i="18" s="1"/>
  <c r="T145" i="18" s="1"/>
  <c r="U93" i="18"/>
  <c r="V93" i="18"/>
  <c r="W93" i="18"/>
  <c r="R95" i="18"/>
  <c r="R97" i="18" s="1"/>
  <c r="S95" i="18"/>
  <c r="S97" i="18" s="1"/>
  <c r="T95" i="18"/>
  <c r="U95" i="18"/>
  <c r="V95" i="18"/>
  <c r="W95" i="18"/>
  <c r="W97" i="18" s="1"/>
  <c r="T97" i="18"/>
  <c r="U97" i="18"/>
  <c r="V97" i="18"/>
  <c r="R98" i="18"/>
  <c r="S98" i="18"/>
  <c r="T98" i="18"/>
  <c r="U98" i="18"/>
  <c r="V98" i="18"/>
  <c r="W98" i="18"/>
  <c r="R99" i="18"/>
  <c r="S99" i="18"/>
  <c r="T99" i="18"/>
  <c r="U99" i="18"/>
  <c r="V99" i="18"/>
  <c r="W99" i="18"/>
  <c r="R100" i="18"/>
  <c r="S100" i="18"/>
  <c r="T100" i="18"/>
  <c r="U100" i="18"/>
  <c r="V100" i="18"/>
  <c r="W100" i="18"/>
  <c r="R101" i="18"/>
  <c r="S101" i="18"/>
  <c r="T101" i="18"/>
  <c r="U101" i="18"/>
  <c r="V101" i="18"/>
  <c r="W101" i="18"/>
  <c r="R103" i="18"/>
  <c r="S103" i="18"/>
  <c r="T103" i="18"/>
  <c r="T169" i="18" s="1"/>
  <c r="U103" i="18"/>
  <c r="U169" i="18" s="1"/>
  <c r="V103" i="18"/>
  <c r="W103" i="18"/>
  <c r="W169" i="18" s="1"/>
  <c r="R104" i="18"/>
  <c r="S104" i="18"/>
  <c r="T104" i="18"/>
  <c r="U104" i="18"/>
  <c r="V104" i="18"/>
  <c r="W104" i="18"/>
  <c r="R105" i="18"/>
  <c r="S105" i="18"/>
  <c r="T105" i="18"/>
  <c r="U105" i="18"/>
  <c r="V105" i="18"/>
  <c r="W105" i="18"/>
  <c r="R107" i="18"/>
  <c r="S107" i="18"/>
  <c r="T107" i="18"/>
  <c r="U107" i="18"/>
  <c r="V107" i="18"/>
  <c r="W107" i="18"/>
  <c r="R110" i="18"/>
  <c r="S110" i="18"/>
  <c r="T110" i="18"/>
  <c r="U110" i="18"/>
  <c r="V110" i="18"/>
  <c r="W110" i="18"/>
  <c r="R111" i="18"/>
  <c r="S111" i="18"/>
  <c r="T111" i="18"/>
  <c r="U111" i="18"/>
  <c r="V111" i="18"/>
  <c r="W111" i="18"/>
  <c r="R112" i="18"/>
  <c r="S112" i="18"/>
  <c r="T112" i="18"/>
  <c r="U112" i="18"/>
  <c r="V112" i="18"/>
  <c r="W112" i="18"/>
  <c r="R113" i="18"/>
  <c r="S113" i="18"/>
  <c r="T113" i="18"/>
  <c r="U113" i="18"/>
  <c r="V113" i="18"/>
  <c r="W113" i="18"/>
  <c r="R114" i="18"/>
  <c r="S114" i="18"/>
  <c r="T114" i="18"/>
  <c r="U114" i="18"/>
  <c r="V114" i="18"/>
  <c r="W114" i="18"/>
  <c r="T115" i="18"/>
  <c r="V115" i="18"/>
  <c r="W115" i="18"/>
  <c r="R117" i="18"/>
  <c r="S117" i="18"/>
  <c r="S123" i="18" s="1"/>
  <c r="T117" i="18"/>
  <c r="T123" i="18" s="1"/>
  <c r="U117" i="18"/>
  <c r="V117" i="18"/>
  <c r="W117" i="18"/>
  <c r="W123" i="18" s="1"/>
  <c r="R118" i="18"/>
  <c r="R124" i="18" s="1"/>
  <c r="S118" i="18"/>
  <c r="S124" i="18" s="1"/>
  <c r="T118" i="18"/>
  <c r="T124" i="18" s="1"/>
  <c r="U118" i="18"/>
  <c r="U124" i="18" s="1"/>
  <c r="V118" i="18"/>
  <c r="W118" i="18"/>
  <c r="W124" i="18" s="1"/>
  <c r="R119" i="18"/>
  <c r="S119" i="18"/>
  <c r="S125" i="18" s="1"/>
  <c r="T119" i="18"/>
  <c r="T125" i="18" s="1"/>
  <c r="U119" i="18"/>
  <c r="U125" i="18" s="1"/>
  <c r="V119" i="18"/>
  <c r="V125" i="18" s="1"/>
  <c r="W119" i="18"/>
  <c r="W125" i="18" s="1"/>
  <c r="R120" i="18"/>
  <c r="R126" i="18" s="1"/>
  <c r="S120" i="18"/>
  <c r="T120" i="18"/>
  <c r="U120" i="18"/>
  <c r="U126" i="18" s="1"/>
  <c r="V120" i="18"/>
  <c r="V126" i="18" s="1"/>
  <c r="W120" i="18"/>
  <c r="W126" i="18" s="1"/>
  <c r="R121" i="18"/>
  <c r="S121" i="18"/>
  <c r="S127" i="18" s="1"/>
  <c r="T121" i="18"/>
  <c r="T127" i="18" s="1"/>
  <c r="U121" i="18"/>
  <c r="V121" i="18"/>
  <c r="W121" i="18"/>
  <c r="W127" i="18" s="1"/>
  <c r="R123" i="18"/>
  <c r="U123" i="18"/>
  <c r="V123" i="18"/>
  <c r="V124" i="18"/>
  <c r="R125" i="18"/>
  <c r="S126" i="18"/>
  <c r="T126" i="18"/>
  <c r="R127" i="18"/>
  <c r="U127" i="18"/>
  <c r="V127" i="18"/>
  <c r="R129" i="18"/>
  <c r="S129" i="18"/>
  <c r="T129" i="18"/>
  <c r="U129" i="18"/>
  <c r="V129" i="18"/>
  <c r="W129" i="18"/>
  <c r="R130" i="18"/>
  <c r="S130" i="18"/>
  <c r="T130" i="18"/>
  <c r="U130" i="18"/>
  <c r="V130" i="18"/>
  <c r="W130" i="18"/>
  <c r="R131" i="18"/>
  <c r="S131" i="18"/>
  <c r="T131" i="18"/>
  <c r="U131" i="18"/>
  <c r="V131" i="18"/>
  <c r="W131" i="18"/>
  <c r="R132" i="18"/>
  <c r="S132" i="18"/>
  <c r="T132" i="18"/>
  <c r="U132" i="18"/>
  <c r="V132" i="18"/>
  <c r="W132" i="18"/>
  <c r="R133" i="18"/>
  <c r="S133" i="18"/>
  <c r="T133" i="18"/>
  <c r="U133" i="18"/>
  <c r="V133" i="18"/>
  <c r="W133" i="18"/>
  <c r="R134" i="18"/>
  <c r="S134" i="18"/>
  <c r="T134" i="18"/>
  <c r="U134" i="18"/>
  <c r="V134" i="18"/>
  <c r="W134" i="18"/>
  <c r="R135" i="18"/>
  <c r="S135" i="18"/>
  <c r="T135" i="18"/>
  <c r="U135" i="18"/>
  <c r="V135" i="18"/>
  <c r="W135" i="18"/>
  <c r="R136" i="18"/>
  <c r="S136" i="18"/>
  <c r="T136" i="18"/>
  <c r="U136" i="18"/>
  <c r="V136" i="18"/>
  <c r="W136" i="18"/>
  <c r="R137" i="18"/>
  <c r="S137" i="18"/>
  <c r="T137" i="18"/>
  <c r="U137" i="18"/>
  <c r="V137" i="18"/>
  <c r="W137" i="18"/>
  <c r="R139" i="18"/>
  <c r="S139" i="18"/>
  <c r="T139" i="18"/>
  <c r="U139" i="18"/>
  <c r="V139" i="18"/>
  <c r="W139" i="18"/>
  <c r="R140" i="18"/>
  <c r="S140" i="18"/>
  <c r="T140" i="18"/>
  <c r="U140" i="18"/>
  <c r="V140" i="18"/>
  <c r="W140" i="18"/>
  <c r="R141" i="18"/>
  <c r="S141" i="18"/>
  <c r="T141" i="18"/>
  <c r="U141" i="18"/>
  <c r="V141" i="18"/>
  <c r="W141" i="18"/>
  <c r="R142" i="18"/>
  <c r="S142" i="18"/>
  <c r="T142" i="18"/>
  <c r="U142" i="18"/>
  <c r="V142" i="18"/>
  <c r="W142" i="18"/>
  <c r="R144" i="18"/>
  <c r="R145" i="18" s="1"/>
  <c r="S144" i="18"/>
  <c r="U144" i="18"/>
  <c r="U145" i="18" s="1"/>
  <c r="V144" i="18"/>
  <c r="V145" i="18" s="1"/>
  <c r="W144" i="18"/>
  <c r="W145" i="18" s="1"/>
  <c r="W146" i="18" s="1"/>
  <c r="W147" i="18" s="1"/>
  <c r="S145" i="18"/>
  <c r="S146" i="18" s="1"/>
  <c r="S147" i="18" s="1"/>
  <c r="R150" i="18"/>
  <c r="S150" i="18"/>
  <c r="T150" i="18"/>
  <c r="U150" i="18"/>
  <c r="V150" i="18"/>
  <c r="W150" i="18"/>
  <c r="R151" i="18"/>
  <c r="S151" i="18"/>
  <c r="T151" i="18"/>
  <c r="U151" i="18"/>
  <c r="V151" i="18"/>
  <c r="W151" i="18"/>
  <c r="R152" i="18"/>
  <c r="S152" i="18"/>
  <c r="T152" i="18"/>
  <c r="U152" i="18"/>
  <c r="V152" i="18"/>
  <c r="W152" i="18"/>
  <c r="R154" i="18"/>
  <c r="S154" i="18"/>
  <c r="T154" i="18"/>
  <c r="U154" i="18"/>
  <c r="V154" i="18"/>
  <c r="W154" i="18"/>
  <c r="R155" i="18"/>
  <c r="S155" i="18"/>
  <c r="T155" i="18"/>
  <c r="U155" i="18"/>
  <c r="V155" i="18"/>
  <c r="W155" i="18"/>
  <c r="R156" i="18"/>
  <c r="S156" i="18"/>
  <c r="T156" i="18"/>
  <c r="U156" i="18"/>
  <c r="V156" i="18"/>
  <c r="W156" i="18"/>
  <c r="R159" i="18"/>
  <c r="S159" i="18"/>
  <c r="T159" i="18"/>
  <c r="U159" i="18"/>
  <c r="V159" i="18"/>
  <c r="W159" i="18"/>
  <c r="R160" i="18"/>
  <c r="S160" i="18"/>
  <c r="T160" i="18"/>
  <c r="U160" i="18"/>
  <c r="V160" i="18"/>
  <c r="W160" i="18"/>
  <c r="R161" i="18"/>
  <c r="S161" i="18"/>
  <c r="T161" i="18"/>
  <c r="U161" i="18"/>
  <c r="V161" i="18"/>
  <c r="W161" i="18"/>
  <c r="R162" i="18"/>
  <c r="S162" i="18"/>
  <c r="T162" i="18"/>
  <c r="U162" i="18"/>
  <c r="V162" i="18"/>
  <c r="W162" i="18"/>
  <c r="R164" i="18"/>
  <c r="S164" i="18"/>
  <c r="T164" i="18"/>
  <c r="U164" i="18"/>
  <c r="V164" i="18"/>
  <c r="W164" i="18"/>
  <c r="R165" i="18"/>
  <c r="S165" i="18"/>
  <c r="T165" i="18"/>
  <c r="U165" i="18"/>
  <c r="V165" i="18"/>
  <c r="W165" i="18"/>
  <c r="R167" i="18"/>
  <c r="R168" i="18" s="1"/>
  <c r="S167" i="18"/>
  <c r="S168" i="18" s="1"/>
  <c r="T167" i="18"/>
  <c r="U167" i="18"/>
  <c r="V167" i="18"/>
  <c r="V168" i="18" s="1"/>
  <c r="W167" i="18"/>
  <c r="W168" i="18" s="1"/>
  <c r="T168" i="18"/>
  <c r="U168" i="18"/>
  <c r="R169" i="18"/>
  <c r="S169" i="18"/>
  <c r="V169" i="18"/>
  <c r="R171" i="18"/>
  <c r="S171" i="18"/>
  <c r="T171" i="18"/>
  <c r="U171" i="18"/>
  <c r="V171" i="18"/>
  <c r="W171" i="18"/>
  <c r="R172" i="18"/>
  <c r="S172" i="18"/>
  <c r="T172" i="18"/>
  <c r="U172" i="18"/>
  <c r="V172" i="18"/>
  <c r="W172" i="18"/>
  <c r="V8" i="18"/>
  <c r="W8" i="18"/>
  <c r="V11" i="18"/>
  <c r="W11" i="18"/>
  <c r="V26" i="18"/>
  <c r="W26" i="18"/>
  <c r="V28" i="18"/>
  <c r="W28" i="18"/>
  <c r="V30" i="18"/>
  <c r="W30" i="18"/>
  <c r="V37" i="18"/>
  <c r="W37" i="18"/>
  <c r="V39" i="18"/>
  <c r="W39" i="18"/>
  <c r="V44" i="18"/>
  <c r="W44" i="18"/>
  <c r="V46" i="18"/>
  <c r="W46" i="18"/>
  <c r="V48" i="18"/>
  <c r="W48" i="18"/>
  <c r="V50" i="18"/>
  <c r="W50" i="18"/>
  <c r="V55" i="18"/>
  <c r="W55" i="18"/>
  <c r="V57" i="18"/>
  <c r="W57" i="18"/>
  <c r="V59" i="18"/>
  <c r="W59" i="18"/>
  <c r="V61" i="18"/>
  <c r="W61" i="18"/>
  <c r="V63" i="18"/>
  <c r="W63" i="18"/>
  <c r="R65" i="18"/>
  <c r="S65" i="18"/>
  <c r="T65" i="18"/>
  <c r="U65" i="18"/>
  <c r="V65" i="18"/>
  <c r="W65" i="18"/>
  <c r="S89" i="18" l="1"/>
  <c r="S212" i="18" s="1"/>
  <c r="V148" i="18"/>
  <c r="V146" i="18"/>
  <c r="V147" i="18" s="1"/>
  <c r="W219" i="18"/>
  <c r="V208" i="18"/>
  <c r="W221" i="18"/>
  <c r="W222" i="18" s="1"/>
  <c r="W220" i="18"/>
  <c r="S221" i="18"/>
  <c r="S222" i="18" s="1"/>
  <c r="S220" i="18"/>
  <c r="R148" i="18"/>
  <c r="R146" i="18"/>
  <c r="R147" i="18" s="1"/>
  <c r="R220" i="18"/>
  <c r="R221" i="18"/>
  <c r="R222" i="18" s="1"/>
  <c r="T146" i="18"/>
  <c r="T147" i="18" s="1"/>
  <c r="T148" i="18"/>
  <c r="U208" i="18"/>
  <c r="R219" i="18"/>
  <c r="T208" i="18"/>
  <c r="U89" i="18"/>
  <c r="U212" i="18" s="1"/>
  <c r="H45" i="18"/>
  <c r="H44" i="18"/>
  <c r="G43" i="18"/>
  <c r="G44" i="18" s="1"/>
  <c r="H39" i="18"/>
  <c r="G38" i="18"/>
  <c r="G39" i="18" s="1"/>
  <c r="I44" i="18"/>
  <c r="U146" i="18"/>
  <c r="U147" i="18" s="1"/>
  <c r="U148" i="18"/>
  <c r="W148" i="18"/>
  <c r="S148" i="18"/>
  <c r="Z7" i="18"/>
  <c r="Z52" i="18"/>
  <c r="Z62" i="18"/>
  <c r="Z64" i="18"/>
  <c r="Z6" i="18"/>
  <c r="V220" i="18" l="1"/>
  <c r="V221" i="18"/>
  <c r="V222" i="18" s="1"/>
  <c r="T220" i="18"/>
  <c r="T221" i="18"/>
  <c r="T222" i="18" s="1"/>
  <c r="G45" i="18"/>
  <c r="G46" i="18" s="1"/>
  <c r="H46" i="18"/>
  <c r="I46" i="18"/>
  <c r="U221" i="18"/>
  <c r="U222" i="18" s="1"/>
  <c r="U220" i="18"/>
  <c r="W256" i="18"/>
  <c r="W255" i="18"/>
  <c r="W254" i="18"/>
  <c r="G107" i="18"/>
  <c r="X107" i="18" s="1"/>
  <c r="H107" i="18"/>
  <c r="T175" i="18" s="1"/>
  <c r="I107" i="18"/>
  <c r="J107" i="18"/>
  <c r="K107" i="18"/>
  <c r="L107" i="18"/>
  <c r="M107" i="18"/>
  <c r="N107" i="18"/>
  <c r="O107" i="18"/>
  <c r="P107" i="18"/>
  <c r="Q107" i="18"/>
  <c r="U175" i="18"/>
  <c r="AK111" i="18"/>
  <c r="AK112" i="18"/>
  <c r="AK113" i="18"/>
  <c r="AK114" i="18"/>
  <c r="AK115" i="18"/>
  <c r="AK117" i="18"/>
  <c r="AK118" i="18"/>
  <c r="AK119" i="18"/>
  <c r="AK120" i="18"/>
  <c r="AK121" i="18"/>
  <c r="AK123" i="18"/>
  <c r="AK124" i="18"/>
  <c r="AK125" i="18"/>
  <c r="AK126" i="18"/>
  <c r="AK127" i="18"/>
  <c r="AK129" i="18"/>
  <c r="AK130" i="18"/>
  <c r="AK131" i="18"/>
  <c r="AK132" i="18"/>
  <c r="AK133" i="18"/>
  <c r="AK134" i="18"/>
  <c r="AK135" i="18"/>
  <c r="AK136" i="18"/>
  <c r="AK137" i="18"/>
  <c r="AK139" i="18"/>
  <c r="AK140" i="18"/>
  <c r="AK141" i="18"/>
  <c r="AK142" i="18"/>
  <c r="AK144" i="18"/>
  <c r="AK145" i="18"/>
  <c r="AK146" i="18"/>
  <c r="AK147" i="18"/>
  <c r="AK148" i="18"/>
  <c r="AK150" i="18"/>
  <c r="AK151" i="18"/>
  <c r="AK152" i="18"/>
  <c r="AK154" i="18"/>
  <c r="AK155" i="18"/>
  <c r="AK156" i="18"/>
  <c r="AK159" i="18"/>
  <c r="AK160" i="18"/>
  <c r="AK161" i="18"/>
  <c r="AK162" i="18"/>
  <c r="AK164" i="18"/>
  <c r="AK165" i="18"/>
  <c r="AK167" i="18"/>
  <c r="AK168" i="18"/>
  <c r="AK169" i="18"/>
  <c r="AK171" i="18"/>
  <c r="AK172" i="18"/>
  <c r="AK110" i="18"/>
  <c r="AK107" i="18"/>
  <c r="AK91" i="18"/>
  <c r="X74" i="18"/>
  <c r="X82" i="18"/>
  <c r="X86" i="18"/>
  <c r="X92" i="18"/>
  <c r="X94" i="18"/>
  <c r="X96" i="18"/>
  <c r="X102" i="18"/>
  <c r="X106" i="18"/>
  <c r="X108" i="18"/>
  <c r="X109" i="18"/>
  <c r="X116" i="18"/>
  <c r="X122" i="18"/>
  <c r="X128" i="18"/>
  <c r="X138" i="18"/>
  <c r="X143" i="18"/>
  <c r="X149" i="18"/>
  <c r="X153" i="18"/>
  <c r="X157" i="18"/>
  <c r="X158" i="18"/>
  <c r="X163" i="18"/>
  <c r="X166" i="18"/>
  <c r="X170" i="18"/>
  <c r="X13" i="18"/>
  <c r="X14" i="18"/>
  <c r="X15" i="18"/>
  <c r="X16" i="18"/>
  <c r="X18" i="18"/>
  <c r="X20" i="18"/>
  <c r="X21" i="18"/>
  <c r="X22" i="18"/>
  <c r="X23" i="18"/>
  <c r="X25" i="18"/>
  <c r="X27" i="18"/>
  <c r="X29" i="18"/>
  <c r="X31" i="18"/>
  <c r="X32" i="18"/>
  <c r="X33" i="18"/>
  <c r="X34" i="18"/>
  <c r="X47" i="18"/>
  <c r="X54" i="18"/>
  <c r="X56" i="18"/>
  <c r="X58" i="18"/>
  <c r="X60" i="18"/>
  <c r="R239" i="18" s="1"/>
  <c r="X62" i="18"/>
  <c r="X64" i="18"/>
  <c r="X66" i="18"/>
  <c r="X67" i="18"/>
  <c r="X68" i="18"/>
  <c r="X12" i="18"/>
  <c r="X10" i="18"/>
  <c r="X9" i="18"/>
  <c r="X7" i="18"/>
  <c r="X6" i="18"/>
  <c r="C1" i="18"/>
  <c r="T225" i="18" l="1"/>
  <c r="W225" i="18"/>
  <c r="U225" i="18"/>
  <c r="R225" i="18"/>
  <c r="V225" i="18"/>
  <c r="S225" i="18"/>
  <c r="R230" i="18"/>
  <c r="V230" i="18"/>
  <c r="U230" i="18"/>
  <c r="S230" i="18"/>
  <c r="W230" i="18"/>
  <c r="T230" i="18"/>
  <c r="AK47" i="18"/>
  <c r="Y47" i="18"/>
  <c r="AK58" i="18"/>
  <c r="Y58" i="18"/>
  <c r="V256" i="18"/>
  <c r="V255" i="18"/>
  <c r="X255" i="18" s="1"/>
  <c r="V254" i="18"/>
  <c r="X254" i="18" s="1"/>
  <c r="X256" i="18"/>
  <c r="X206" i="18"/>
  <c r="T250" i="18"/>
  <c r="Z58" i="18" l="1"/>
  <c r="AA58" i="18" s="1"/>
  <c r="AB58" i="18" s="1"/>
  <c r="AC58" i="18" s="1"/>
  <c r="AD58" i="18" s="1"/>
  <c r="AE58" i="18" s="1"/>
  <c r="AF58" i="18" s="1"/>
  <c r="AG58" i="18" s="1"/>
  <c r="AH58" i="18" s="1"/>
  <c r="AI58" i="18" s="1"/>
  <c r="Z47" i="18"/>
  <c r="AA47" i="18" s="1"/>
  <c r="AB47" i="18" s="1"/>
  <c r="AC47" i="18" s="1"/>
  <c r="AD47" i="18" s="1"/>
  <c r="AE47" i="18" s="1"/>
  <c r="AF47" i="18" s="1"/>
  <c r="AG47" i="18" s="1"/>
  <c r="AH47" i="18" s="1"/>
  <c r="AI47" i="18" s="1"/>
  <c r="T229" i="18"/>
  <c r="T231" i="18"/>
  <c r="T232" i="18" s="1"/>
  <c r="R224" i="18"/>
  <c r="R226" i="18"/>
  <c r="R227" i="18" s="1"/>
  <c r="W229" i="18"/>
  <c r="W231" i="18"/>
  <c r="W232" i="18" s="1"/>
  <c r="R229" i="18"/>
  <c r="R231" i="18"/>
  <c r="R232" i="18" s="1"/>
  <c r="U224" i="18"/>
  <c r="U226" i="18"/>
  <c r="U227" i="18" s="1"/>
  <c r="W224" i="18"/>
  <c r="W226" i="18"/>
  <c r="W227" i="18" s="1"/>
  <c r="V229" i="18"/>
  <c r="V231" i="18"/>
  <c r="V232" i="18" s="1"/>
  <c r="S229" i="18"/>
  <c r="S231" i="18"/>
  <c r="S232" i="18" s="1"/>
  <c r="S224" i="18"/>
  <c r="S226" i="18"/>
  <c r="S227" i="18" s="1"/>
  <c r="U229" i="18"/>
  <c r="U231" i="18"/>
  <c r="U232" i="18" s="1"/>
  <c r="V224" i="18"/>
  <c r="V226" i="18"/>
  <c r="V227" i="18" s="1"/>
  <c r="T224" i="18"/>
  <c r="T226" i="18"/>
  <c r="T227" i="18" s="1"/>
  <c r="T251" i="18"/>
  <c r="G216" i="18"/>
  <c r="X216" i="18" s="1"/>
  <c r="G217" i="18"/>
  <c r="G65" i="18"/>
  <c r="G71" i="18"/>
  <c r="G72" i="18"/>
  <c r="X72" i="18" s="1"/>
  <c r="G73" i="18"/>
  <c r="G75" i="18"/>
  <c r="G76" i="18"/>
  <c r="G77" i="18"/>
  <c r="X77" i="18" s="1"/>
  <c r="G78" i="18"/>
  <c r="X78" i="18" s="1"/>
  <c r="G79" i="18"/>
  <c r="X79" i="18" s="1"/>
  <c r="G80" i="18"/>
  <c r="G81" i="18"/>
  <c r="X81" i="18" s="1"/>
  <c r="G83" i="18"/>
  <c r="X83" i="18" s="1"/>
  <c r="G84" i="18"/>
  <c r="X84" i="18" s="1"/>
  <c r="G85" i="18"/>
  <c r="G87" i="18"/>
  <c r="X87" i="18" s="1"/>
  <c r="G88" i="18"/>
  <c r="X88" i="18" s="1"/>
  <c r="G90" i="18"/>
  <c r="X90" i="18" s="1"/>
  <c r="G91" i="18"/>
  <c r="G93" i="18"/>
  <c r="G95" i="18"/>
  <c r="G98" i="18"/>
  <c r="X98" i="18" s="1"/>
  <c r="G99" i="18"/>
  <c r="X99" i="18" s="1"/>
  <c r="G100" i="18"/>
  <c r="X100" i="18" s="1"/>
  <c r="G101" i="18"/>
  <c r="X101" i="18" s="1"/>
  <c r="G103" i="18"/>
  <c r="G104" i="18"/>
  <c r="X104" i="18" s="1"/>
  <c r="G105" i="18"/>
  <c r="X105" i="18" s="1"/>
  <c r="G110" i="18"/>
  <c r="X110" i="18" s="1"/>
  <c r="G111" i="18"/>
  <c r="X111" i="18" s="1"/>
  <c r="G112" i="18"/>
  <c r="X112" i="18" s="1"/>
  <c r="G113" i="18"/>
  <c r="X113" i="18" s="1"/>
  <c r="G114" i="18"/>
  <c r="X114" i="18" s="1"/>
  <c r="G117" i="18"/>
  <c r="G118" i="18"/>
  <c r="G119" i="18"/>
  <c r="G120" i="18"/>
  <c r="G121" i="18"/>
  <c r="G139" i="18"/>
  <c r="X139" i="18" s="1"/>
  <c r="G140" i="18"/>
  <c r="X140" i="18" s="1"/>
  <c r="G141" i="18"/>
  <c r="X141" i="18" s="1"/>
  <c r="G142" i="18"/>
  <c r="X142" i="18" s="1"/>
  <c r="G150" i="18"/>
  <c r="X150" i="18" s="1"/>
  <c r="G151" i="18"/>
  <c r="X151" i="18" s="1"/>
  <c r="G152" i="18"/>
  <c r="X152" i="18" s="1"/>
  <c r="G154" i="18"/>
  <c r="X154" i="18" s="1"/>
  <c r="G155" i="18"/>
  <c r="X155" i="18" s="1"/>
  <c r="G156" i="18"/>
  <c r="X156" i="18" s="1"/>
  <c r="G159" i="18"/>
  <c r="X159" i="18" s="1"/>
  <c r="G160" i="18"/>
  <c r="X160" i="18" s="1"/>
  <c r="G161" i="18"/>
  <c r="X161" i="18" s="1"/>
  <c r="G162" i="18"/>
  <c r="X162" i="18" s="1"/>
  <c r="G164" i="18"/>
  <c r="X164" i="18" s="1"/>
  <c r="G165" i="18"/>
  <c r="X165" i="18" s="1"/>
  <c r="G167" i="18"/>
  <c r="G171" i="18"/>
  <c r="X171" i="18" s="1"/>
  <c r="G172" i="18"/>
  <c r="X172" i="18" s="1"/>
  <c r="AK237" i="18"/>
  <c r="AK236" i="18"/>
  <c r="AK235" i="18"/>
  <c r="AK234" i="18"/>
  <c r="AJ47" i="18" l="1"/>
  <c r="AL47" i="18"/>
  <c r="AL58" i="18"/>
  <c r="AJ58" i="18"/>
  <c r="X217" i="18"/>
  <c r="G239" i="18"/>
  <c r="G127" i="18"/>
  <c r="X127" i="18" s="1"/>
  <c r="X121" i="18"/>
  <c r="G125" i="18"/>
  <c r="X125" i="18" s="1"/>
  <c r="X119" i="18"/>
  <c r="G123" i="18"/>
  <c r="X123" i="18" s="1"/>
  <c r="X117" i="18"/>
  <c r="G169" i="18"/>
  <c r="X169" i="18" s="1"/>
  <c r="X103" i="18"/>
  <c r="G144" i="18"/>
  <c r="X93" i="18"/>
  <c r="G209" i="18"/>
  <c r="X209" i="18" s="1"/>
  <c r="X75" i="18"/>
  <c r="G168" i="18"/>
  <c r="X168" i="18" s="1"/>
  <c r="X167" i="18"/>
  <c r="G126" i="18"/>
  <c r="X126" i="18" s="1"/>
  <c r="X120" i="18"/>
  <c r="G124" i="18"/>
  <c r="X124" i="18" s="1"/>
  <c r="X118" i="18"/>
  <c r="G97" i="18"/>
  <c r="X97" i="18" s="1"/>
  <c r="X95" i="18"/>
  <c r="G213" i="18"/>
  <c r="X213" i="18" s="1"/>
  <c r="X91" i="18"/>
  <c r="G214" i="18"/>
  <c r="X214" i="18" s="1"/>
  <c r="X85" i="18"/>
  <c r="G211" i="18"/>
  <c r="X211" i="18" s="1"/>
  <c r="X80" i="18"/>
  <c r="G210" i="18"/>
  <c r="X210" i="18" s="1"/>
  <c r="X76" i="18"/>
  <c r="G115" i="18"/>
  <c r="X115" i="18" s="1"/>
  <c r="X73" i="18"/>
  <c r="G207" i="18"/>
  <c r="X207" i="18" s="1"/>
  <c r="X71" i="18"/>
  <c r="G208" i="18"/>
  <c r="G220" i="18" s="1"/>
  <c r="X220" i="18" s="1"/>
  <c r="G89" i="18"/>
  <c r="X89" i="18" s="1"/>
  <c r="G219" i="18"/>
  <c r="X219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Q21" i="20" l="1"/>
  <c r="R21" i="20" s="1"/>
  <c r="R22" i="20" s="1"/>
  <c r="G145" i="18"/>
  <c r="X144" i="18"/>
  <c r="G212" i="18"/>
  <c r="X212" i="18" s="1"/>
  <c r="G221" i="18"/>
  <c r="X208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6" i="18" l="1"/>
  <c r="X145" i="18"/>
  <c r="G148" i="18"/>
  <c r="X148" i="18" s="1"/>
  <c r="G222" i="18"/>
  <c r="X222" i="18" s="1"/>
  <c r="X221" i="18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7" i="18"/>
  <c r="X147" i="18" s="1"/>
  <c r="X146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81" i="18"/>
  <c r="G282" i="18" s="1"/>
  <c r="H254" i="18"/>
  <c r="I254" i="18"/>
  <c r="H255" i="18"/>
  <c r="I255" i="18"/>
  <c r="H256" i="18"/>
  <c r="I256" i="18"/>
  <c r="H216" i="18"/>
  <c r="I216" i="18"/>
  <c r="H217" i="18"/>
  <c r="H239" i="18" s="1"/>
  <c r="I217" i="18"/>
  <c r="I239" i="18" s="1"/>
  <c r="I65" i="18"/>
  <c r="H65" i="18"/>
  <c r="H71" i="18"/>
  <c r="I71" i="18"/>
  <c r="I207" i="18" s="1"/>
  <c r="H72" i="18"/>
  <c r="I72" i="18"/>
  <c r="H73" i="18"/>
  <c r="H115" i="18" s="1"/>
  <c r="I73" i="18"/>
  <c r="I115" i="18" s="1"/>
  <c r="H75" i="18"/>
  <c r="H209" i="18" s="1"/>
  <c r="I75" i="18"/>
  <c r="I209" i="18" s="1"/>
  <c r="H76" i="18"/>
  <c r="H210" i="18" s="1"/>
  <c r="I76" i="18"/>
  <c r="I210" i="18" s="1"/>
  <c r="H77" i="18"/>
  <c r="I77" i="18"/>
  <c r="I208" i="18" s="1"/>
  <c r="H78" i="18"/>
  <c r="I78" i="18"/>
  <c r="H79" i="18"/>
  <c r="I79" i="18"/>
  <c r="I80" i="18"/>
  <c r="I211" i="18" s="1"/>
  <c r="H81" i="18"/>
  <c r="I81" i="18"/>
  <c r="H83" i="18"/>
  <c r="I83" i="18"/>
  <c r="H84" i="18"/>
  <c r="I84" i="18"/>
  <c r="H85" i="18"/>
  <c r="I85" i="18"/>
  <c r="I214" i="18" s="1"/>
  <c r="H87" i="18"/>
  <c r="I87" i="18"/>
  <c r="H88" i="18"/>
  <c r="I88" i="18"/>
  <c r="I89" i="18" s="1"/>
  <c r="I212" i="18" s="1"/>
  <c r="H90" i="18"/>
  <c r="I90" i="18"/>
  <c r="H91" i="18"/>
  <c r="H213" i="18" s="1"/>
  <c r="I91" i="18"/>
  <c r="I213" i="18" s="1"/>
  <c r="H93" i="18"/>
  <c r="H144" i="18" s="1"/>
  <c r="H145" i="18" s="1"/>
  <c r="I93" i="18"/>
  <c r="I144" i="18" s="1"/>
  <c r="I145" i="18" s="1"/>
  <c r="I146" i="18" s="1"/>
  <c r="I147" i="18" s="1"/>
  <c r="H95" i="18"/>
  <c r="I95" i="18"/>
  <c r="I97" i="18" s="1"/>
  <c r="H97" i="18"/>
  <c r="H98" i="18"/>
  <c r="I98" i="18"/>
  <c r="H99" i="18"/>
  <c r="I99" i="18"/>
  <c r="H100" i="18"/>
  <c r="I100" i="18"/>
  <c r="H101" i="18"/>
  <c r="I101" i="18"/>
  <c r="H103" i="18"/>
  <c r="I103" i="18"/>
  <c r="I169" i="18" s="1"/>
  <c r="H104" i="18"/>
  <c r="I104" i="18"/>
  <c r="I105" i="18"/>
  <c r="H110" i="18"/>
  <c r="I110" i="18"/>
  <c r="H111" i="18"/>
  <c r="I111" i="18"/>
  <c r="H112" i="18"/>
  <c r="I112" i="18"/>
  <c r="H113" i="18"/>
  <c r="I113" i="18"/>
  <c r="H114" i="18"/>
  <c r="I114" i="18"/>
  <c r="H117" i="18"/>
  <c r="H123" i="18" s="1"/>
  <c r="I117" i="18"/>
  <c r="I123" i="18" s="1"/>
  <c r="H118" i="18"/>
  <c r="H124" i="18" s="1"/>
  <c r="I118" i="18"/>
  <c r="H119" i="18"/>
  <c r="H125" i="18" s="1"/>
  <c r="I119" i="18"/>
  <c r="I125" i="18" s="1"/>
  <c r="H120" i="18"/>
  <c r="H126" i="18" s="1"/>
  <c r="I120" i="18"/>
  <c r="H121" i="18"/>
  <c r="H127" i="18" s="1"/>
  <c r="I121" i="18"/>
  <c r="I127" i="18" s="1"/>
  <c r="I124" i="18"/>
  <c r="I126" i="18"/>
  <c r="H139" i="18"/>
  <c r="I139" i="18"/>
  <c r="H140" i="18"/>
  <c r="I140" i="18"/>
  <c r="H141" i="18"/>
  <c r="I141" i="18"/>
  <c r="H142" i="18"/>
  <c r="I142" i="18"/>
  <c r="H150" i="18"/>
  <c r="I150" i="18"/>
  <c r="H151" i="18"/>
  <c r="I151" i="18"/>
  <c r="H152" i="18"/>
  <c r="I152" i="18"/>
  <c r="H154" i="18"/>
  <c r="I154" i="18"/>
  <c r="H155" i="18"/>
  <c r="I155" i="18"/>
  <c r="H156" i="18"/>
  <c r="I156" i="18"/>
  <c r="H159" i="18"/>
  <c r="I159" i="18"/>
  <c r="H160" i="18"/>
  <c r="I160" i="18"/>
  <c r="H161" i="18"/>
  <c r="I161" i="18"/>
  <c r="H162" i="18"/>
  <c r="I162" i="18"/>
  <c r="H164" i="18"/>
  <c r="I164" i="18"/>
  <c r="H165" i="18"/>
  <c r="I165" i="18"/>
  <c r="H167" i="18"/>
  <c r="H168" i="18" s="1"/>
  <c r="I167" i="18"/>
  <c r="I168" i="18" s="1"/>
  <c r="H169" i="18"/>
  <c r="H171" i="18"/>
  <c r="I171" i="18"/>
  <c r="H172" i="18"/>
  <c r="I172" i="18"/>
  <c r="X45" i="18"/>
  <c r="X38" i="18"/>
  <c r="H89" i="18" l="1"/>
  <c r="H212" i="18" s="1"/>
  <c r="I148" i="18"/>
  <c r="H146" i="18"/>
  <c r="H147" i="18" s="1"/>
  <c r="H148" i="18"/>
  <c r="X40" i="18"/>
  <c r="X42" i="18"/>
  <c r="X41" i="18"/>
  <c r="X43" i="18"/>
  <c r="I130" i="18"/>
  <c r="I131" i="18"/>
  <c r="I132" i="18"/>
  <c r="I133" i="18"/>
  <c r="I136" i="18"/>
  <c r="X49" i="18"/>
  <c r="I134" i="18"/>
  <c r="X36" i="18"/>
  <c r="I129" i="18"/>
  <c r="I137" i="18"/>
  <c r="I220" i="18"/>
  <c r="I221" i="18"/>
  <c r="I222" i="18" s="1"/>
  <c r="I219" i="18"/>
  <c r="H219" i="18"/>
  <c r="H208" i="18"/>
  <c r="H214" i="18"/>
  <c r="H207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5" i="18"/>
  <c r="H80" i="18"/>
  <c r="Q134" i="18"/>
  <c r="P134" i="18"/>
  <c r="O134" i="18"/>
  <c r="N134" i="18"/>
  <c r="M134" i="18"/>
  <c r="L134" i="18"/>
  <c r="K134" i="18"/>
  <c r="J134" i="18"/>
  <c r="AK49" i="18"/>
  <c r="Y49" i="18"/>
  <c r="Z49" i="18" s="1"/>
  <c r="Q135" i="18"/>
  <c r="P135" i="18"/>
  <c r="O135" i="18"/>
  <c r="N135" i="18"/>
  <c r="M135" i="18"/>
  <c r="L135" i="18"/>
  <c r="K135" i="18"/>
  <c r="AA49" i="18" l="1"/>
  <c r="AB49" i="18" s="1"/>
  <c r="AC49" i="18" s="1"/>
  <c r="AD49" i="18" s="1"/>
  <c r="AE49" i="18" s="1"/>
  <c r="AF49" i="18" s="1"/>
  <c r="AG49" i="18" s="1"/>
  <c r="AH49" i="18" s="1"/>
  <c r="AI49" i="18" s="1"/>
  <c r="G134" i="18"/>
  <c r="X134" i="18" s="1"/>
  <c r="G130" i="18"/>
  <c r="X130" i="18" s="1"/>
  <c r="G132" i="18"/>
  <c r="X132" i="18" s="1"/>
  <c r="G136" i="18"/>
  <c r="X136" i="18" s="1"/>
  <c r="G131" i="18"/>
  <c r="X131" i="18" s="1"/>
  <c r="G133" i="18"/>
  <c r="X133" i="18" s="1"/>
  <c r="G129" i="18"/>
  <c r="X129" i="18" s="1"/>
  <c r="G137" i="18"/>
  <c r="X137" i="18" s="1"/>
  <c r="H134" i="18"/>
  <c r="H130" i="18"/>
  <c r="H131" i="18"/>
  <c r="H132" i="18"/>
  <c r="H133" i="18"/>
  <c r="H136" i="18"/>
  <c r="H129" i="18"/>
  <c r="H137" i="18"/>
  <c r="H220" i="18"/>
  <c r="H221" i="18"/>
  <c r="H211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1" i="18"/>
  <c r="P131" i="18"/>
  <c r="O131" i="18"/>
  <c r="N131" i="18"/>
  <c r="M131" i="18"/>
  <c r="L131" i="18"/>
  <c r="K131" i="18"/>
  <c r="Y51" i="18"/>
  <c r="Z51" i="18" s="1"/>
  <c r="J131" i="18"/>
  <c r="AL49" i="18" l="1"/>
  <c r="AJ49" i="18"/>
  <c r="J135" i="18"/>
  <c r="H222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Q137" i="18"/>
  <c r="Q136" i="18"/>
  <c r="Q133" i="18"/>
  <c r="Q132" i="18"/>
  <c r="P137" i="18"/>
  <c r="P136" i="18"/>
  <c r="P133" i="18"/>
  <c r="P132" i="18"/>
  <c r="O137" i="18"/>
  <c r="O136" i="18"/>
  <c r="O133" i="18"/>
  <c r="O132" i="18"/>
  <c r="N137" i="18"/>
  <c r="N136" i="18"/>
  <c r="N133" i="18"/>
  <c r="N132" i="18"/>
  <c r="M137" i="18"/>
  <c r="M136" i="18"/>
  <c r="M133" i="18"/>
  <c r="M132" i="18"/>
  <c r="L137" i="18"/>
  <c r="L136" i="18"/>
  <c r="L133" i="18"/>
  <c r="L132" i="18"/>
  <c r="K137" i="18"/>
  <c r="K136" i="18"/>
  <c r="K133" i="18"/>
  <c r="K132" i="18"/>
  <c r="J137" i="18"/>
  <c r="J133" i="18"/>
  <c r="J136" i="18"/>
  <c r="J132" i="18"/>
  <c r="Q130" i="18"/>
  <c r="P130" i="18"/>
  <c r="O130" i="18"/>
  <c r="N130" i="18"/>
  <c r="M130" i="18"/>
  <c r="L130" i="18"/>
  <c r="K130" i="18"/>
  <c r="J130" i="18"/>
  <c r="Q129" i="18"/>
  <c r="P129" i="18"/>
  <c r="O129" i="18"/>
  <c r="N129" i="18"/>
  <c r="M129" i="18"/>
  <c r="L129" i="18"/>
  <c r="K129" i="18"/>
  <c r="J129" i="18"/>
  <c r="AK51" i="18"/>
  <c r="AK45" i="18"/>
  <c r="AK43" i="18"/>
  <c r="AK42" i="18"/>
  <c r="AK41" i="18"/>
  <c r="AK40" i="18"/>
  <c r="AK38" i="18"/>
  <c r="AK36" i="18"/>
  <c r="Y40" i="18"/>
  <c r="Z40" i="18" s="1"/>
  <c r="AA51" i="18"/>
  <c r="AB51" i="18" s="1"/>
  <c r="AC51" i="18" s="1"/>
  <c r="AD51" i="18" s="1"/>
  <c r="AE51" i="18" s="1"/>
  <c r="AF51" i="18" s="1"/>
  <c r="AG51" i="18" s="1"/>
  <c r="AH51" i="18" s="1"/>
  <c r="AI51" i="18" s="1"/>
  <c r="Y45" i="18"/>
  <c r="Z45" i="18" s="1"/>
  <c r="AL51" i="18" l="1"/>
  <c r="AA45" i="18"/>
  <c r="AB45" i="18" s="1"/>
  <c r="AC45" i="18" s="1"/>
  <c r="AD45" i="18" s="1"/>
  <c r="AE45" i="18" s="1"/>
  <c r="AF45" i="18" s="1"/>
  <c r="AG45" i="18" s="1"/>
  <c r="AH45" i="18" s="1"/>
  <c r="AI45" i="18" s="1"/>
  <c r="AA40" i="18"/>
  <c r="AB40" i="18" s="1"/>
  <c r="AC40" i="18" s="1"/>
  <c r="AD40" i="18" s="1"/>
  <c r="AE40" i="18" s="1"/>
  <c r="AF40" i="18" s="1"/>
  <c r="AG40" i="18" s="1"/>
  <c r="AH40" i="18" s="1"/>
  <c r="AI40" i="18" s="1"/>
  <c r="X51" i="18"/>
  <c r="I135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Y43" i="18"/>
  <c r="Z43" i="18" s="1"/>
  <c r="Y42" i="18"/>
  <c r="Z42" i="18" s="1"/>
  <c r="Y41" i="18"/>
  <c r="Z41" i="18" s="1"/>
  <c r="Y38" i="18"/>
  <c r="Z38" i="18" s="1"/>
  <c r="Y36" i="18"/>
  <c r="Z36" i="18" s="1"/>
  <c r="AJ51" i="18" l="1"/>
  <c r="AL40" i="18"/>
  <c r="AJ40" i="18"/>
  <c r="AL45" i="18"/>
  <c r="AJ45" i="18"/>
  <c r="AA42" i="18"/>
  <c r="AB42" i="18" s="1"/>
  <c r="AC42" i="18" s="1"/>
  <c r="AD42" i="18" s="1"/>
  <c r="AE42" i="18" s="1"/>
  <c r="AF42" i="18" s="1"/>
  <c r="AG42" i="18" s="1"/>
  <c r="AH42" i="18" s="1"/>
  <c r="AI42" i="18" s="1"/>
  <c r="G135" i="18"/>
  <c r="X135" i="18" s="1"/>
  <c r="AA41" i="18"/>
  <c r="AB41" i="18" s="1"/>
  <c r="AC41" i="18" s="1"/>
  <c r="AD41" i="18" s="1"/>
  <c r="AE41" i="18" s="1"/>
  <c r="AF41" i="18" s="1"/>
  <c r="AG41" i="18" s="1"/>
  <c r="AH41" i="18" s="1"/>
  <c r="AI41" i="18" s="1"/>
  <c r="Z131" i="18"/>
  <c r="H135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AA38" i="18"/>
  <c r="Z132" i="18"/>
  <c r="AA36" i="18"/>
  <c r="B220" i="18"/>
  <c r="AK232" i="18"/>
  <c r="AK229" i="18"/>
  <c r="AK231" i="18"/>
  <c r="AK230" i="18"/>
  <c r="AK227" i="18"/>
  <c r="AK226" i="18"/>
  <c r="AK225" i="18"/>
  <c r="AK224" i="18"/>
  <c r="AK219" i="18"/>
  <c r="AK222" i="18"/>
  <c r="AK221" i="18"/>
  <c r="AK220" i="18"/>
  <c r="AK217" i="18"/>
  <c r="AK216" i="18"/>
  <c r="AK213" i="18"/>
  <c r="AK212" i="18"/>
  <c r="AK214" i="18"/>
  <c r="AK211" i="18"/>
  <c r="AK210" i="18"/>
  <c r="AK209" i="18"/>
  <c r="AK208" i="18"/>
  <c r="AK207" i="18"/>
  <c r="AK206" i="18"/>
  <c r="AL229" i="18"/>
  <c r="Z133" i="18" l="1"/>
  <c r="AA43" i="18"/>
  <c r="AB43" i="18" s="1"/>
  <c r="AC43" i="18" s="1"/>
  <c r="AD43" i="18" s="1"/>
  <c r="AE43" i="18" s="1"/>
  <c r="AF43" i="18" s="1"/>
  <c r="AG43" i="18" s="1"/>
  <c r="AH43" i="18" s="1"/>
  <c r="AI43" i="18" s="1"/>
  <c r="AL43" i="18" s="1"/>
  <c r="AL42" i="18"/>
  <c r="AJ42" i="18"/>
  <c r="AL41" i="18"/>
  <c r="AJ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B38" i="18"/>
  <c r="AA132" i="18"/>
  <c r="AB36" i="18"/>
  <c r="AA131" i="18"/>
  <c r="AL230" i="18"/>
  <c r="Q217" i="18"/>
  <c r="Q239" i="18" s="1"/>
  <c r="P217" i="18"/>
  <c r="P239" i="18" s="1"/>
  <c r="O217" i="18"/>
  <c r="O239" i="18" s="1"/>
  <c r="N217" i="18"/>
  <c r="N239" i="18" s="1"/>
  <c r="M217" i="18"/>
  <c r="M239" i="18" s="1"/>
  <c r="L217" i="18"/>
  <c r="L239" i="18" s="1"/>
  <c r="K217" i="18"/>
  <c r="K239" i="18" s="1"/>
  <c r="J217" i="18"/>
  <c r="J239" i="18" s="1"/>
  <c r="AJ43" i="18" l="1"/>
  <c r="AA133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C38" i="18"/>
  <c r="AB132" i="18"/>
  <c r="AC36" i="18"/>
  <c r="AB133" i="18"/>
  <c r="AB131" i="18"/>
  <c r="Q65" i="18"/>
  <c r="P65" i="18"/>
  <c r="O65" i="18"/>
  <c r="N65" i="18"/>
  <c r="M65" i="18"/>
  <c r="L65" i="18"/>
  <c r="K65" i="18"/>
  <c r="J65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D38" i="18"/>
  <c r="AC132" i="18"/>
  <c r="AD36" i="18"/>
  <c r="AC133" i="18"/>
  <c r="AC131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E38" i="18"/>
  <c r="AD132" i="18"/>
  <c r="AE36" i="18"/>
  <c r="AD131" i="18"/>
  <c r="AD133" i="18"/>
  <c r="G225" i="18"/>
  <c r="X225" i="18" s="1"/>
  <c r="G230" i="18" l="1"/>
  <c r="X230" i="18" s="1"/>
  <c r="G224" i="18"/>
  <c r="X224" i="18" s="1"/>
  <c r="G226" i="18"/>
  <c r="Z230" i="18"/>
  <c r="Z231" i="18" s="1"/>
  <c r="Z232" i="18" s="1"/>
  <c r="H230" i="18"/>
  <c r="I230" i="18"/>
  <c r="Z225" i="18"/>
  <c r="Z226" i="18" s="1"/>
  <c r="Z227" i="18" s="1"/>
  <c r="H225" i="18"/>
  <c r="I225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F38" i="18"/>
  <c r="AE132" i="18"/>
  <c r="AF36" i="18"/>
  <c r="AE131" i="18"/>
  <c r="AE133" i="18"/>
  <c r="N230" i="18"/>
  <c r="N231" i="18" s="1"/>
  <c r="N232" i="18" s="1"/>
  <c r="M230" i="18"/>
  <c r="L230" i="18"/>
  <c r="Q230" i="18"/>
  <c r="K230" i="18"/>
  <c r="P230" i="18"/>
  <c r="J230" i="18"/>
  <c r="O230" i="18"/>
  <c r="P225" i="18"/>
  <c r="O225" i="18"/>
  <c r="K225" i="18"/>
  <c r="N225" i="18"/>
  <c r="J225" i="18"/>
  <c r="Q225" i="18"/>
  <c r="M225" i="18"/>
  <c r="L225" i="18"/>
  <c r="AK76" i="18"/>
  <c r="AK75" i="18"/>
  <c r="AK73" i="18"/>
  <c r="J76" i="18"/>
  <c r="J210" i="18" s="1"/>
  <c r="K76" i="18"/>
  <c r="K210" i="18" s="1"/>
  <c r="L76" i="18"/>
  <c r="L210" i="18" s="1"/>
  <c r="M76" i="18"/>
  <c r="M210" i="18" s="1"/>
  <c r="N76" i="18"/>
  <c r="N210" i="18" s="1"/>
  <c r="O76" i="18"/>
  <c r="O210" i="18" s="1"/>
  <c r="P76" i="18"/>
  <c r="P210" i="18" s="1"/>
  <c r="Q76" i="18"/>
  <c r="Q210" i="18" s="1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G227" i="18" l="1"/>
  <c r="X227" i="18" s="1"/>
  <c r="X226" i="18"/>
  <c r="Z229" i="18"/>
  <c r="G229" i="18"/>
  <c r="X229" i="18" s="1"/>
  <c r="G231" i="18"/>
  <c r="Z224" i="18"/>
  <c r="H224" i="18"/>
  <c r="H226" i="18"/>
  <c r="I229" i="18"/>
  <c r="I231" i="18"/>
  <c r="I232" i="18" s="1"/>
  <c r="I224" i="18"/>
  <c r="I226" i="18"/>
  <c r="I227" i="18" s="1"/>
  <c r="H229" i="18"/>
  <c r="H231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G38" i="18"/>
  <c r="AF132" i="18"/>
  <c r="AG36" i="18"/>
  <c r="AF133" i="18"/>
  <c r="AF131" i="18"/>
  <c r="N229" i="18"/>
  <c r="M226" i="18"/>
  <c r="M227" i="18" s="1"/>
  <c r="M224" i="18"/>
  <c r="P226" i="18"/>
  <c r="P227" i="18" s="1"/>
  <c r="P224" i="18"/>
  <c r="O231" i="18"/>
  <c r="O232" i="18" s="1"/>
  <c r="O229" i="18"/>
  <c r="Q231" i="18"/>
  <c r="Q232" i="18" s="1"/>
  <c r="Q229" i="18"/>
  <c r="Q226" i="18"/>
  <c r="Q227" i="18" s="1"/>
  <c r="Q224" i="18"/>
  <c r="K226" i="18"/>
  <c r="K227" i="18" s="1"/>
  <c r="K224" i="18"/>
  <c r="J231" i="18"/>
  <c r="J232" i="18" s="1"/>
  <c r="J229" i="18"/>
  <c r="L231" i="18"/>
  <c r="L232" i="18" s="1"/>
  <c r="L229" i="18"/>
  <c r="L226" i="18"/>
  <c r="L227" i="18" s="1"/>
  <c r="L224" i="18"/>
  <c r="J226" i="18"/>
  <c r="J227" i="18" s="1"/>
  <c r="J224" i="18"/>
  <c r="O226" i="18"/>
  <c r="O227" i="18" s="1"/>
  <c r="O224" i="18"/>
  <c r="P231" i="18"/>
  <c r="P232" i="18" s="1"/>
  <c r="P229" i="18"/>
  <c r="M231" i="18"/>
  <c r="M232" i="18" s="1"/>
  <c r="M229" i="18"/>
  <c r="N226" i="18"/>
  <c r="N227" i="18" s="1"/>
  <c r="N224" i="18"/>
  <c r="K231" i="18"/>
  <c r="K232" i="18" s="1"/>
  <c r="K229" i="18"/>
  <c r="G232" i="18" l="1"/>
  <c r="X232" i="18" s="1"/>
  <c r="X231" i="18"/>
  <c r="H227" i="18"/>
  <c r="H232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H38" i="18"/>
  <c r="AG132" i="18"/>
  <c r="AH36" i="18"/>
  <c r="AG133" i="18"/>
  <c r="AG131" i="18"/>
  <c r="J152" i="18"/>
  <c r="K152" i="18"/>
  <c r="L152" i="18"/>
  <c r="M152" i="18"/>
  <c r="N152" i="18"/>
  <c r="O152" i="18"/>
  <c r="P152" i="18"/>
  <c r="Q152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I38" i="18"/>
  <c r="AH132" i="18"/>
  <c r="AI36" i="18"/>
  <c r="AH131" i="18"/>
  <c r="AH133" i="18"/>
  <c r="I267" i="18"/>
  <c r="I264" i="18"/>
  <c r="I265" i="18"/>
  <c r="I266" i="18"/>
  <c r="AL36" i="18" l="1"/>
  <c r="AJ36" i="18"/>
  <c r="AL38" i="18"/>
  <c r="AJ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I132" i="18"/>
  <c r="AI131" i="18"/>
  <c r="AI133" i="18"/>
  <c r="U256" i="18"/>
  <c r="U255" i="18"/>
  <c r="U254" i="18"/>
  <c r="AJ133" i="18" l="1"/>
  <c r="AL133" i="18"/>
  <c r="AJ132" i="18"/>
  <c r="AL132" i="18"/>
  <c r="AJ131" i="18"/>
  <c r="AL131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3" i="18"/>
  <c r="K115" i="18" s="1"/>
  <c r="L73" i="18"/>
  <c r="L115" i="18" s="1"/>
  <c r="M73" i="18"/>
  <c r="M115" i="18" s="1"/>
  <c r="N73" i="18"/>
  <c r="N115" i="18" s="1"/>
  <c r="O73" i="18"/>
  <c r="O115" i="18" s="1"/>
  <c r="P73" i="18"/>
  <c r="P115" i="18" s="1"/>
  <c r="Q73" i="18"/>
  <c r="Q115" i="18" s="1"/>
  <c r="J73" i="18"/>
  <c r="J115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1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7" i="18"/>
  <c r="N246" i="18"/>
  <c r="N245" i="18"/>
  <c r="N244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K56" i="18"/>
  <c r="Y56" i="18"/>
  <c r="Z56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A56" i="18"/>
  <c r="W251" i="18"/>
  <c r="W252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B56" i="18"/>
  <c r="D263" i="18"/>
  <c r="I263" i="18"/>
  <c r="O139" i="18"/>
  <c r="M139" i="18"/>
  <c r="K139" i="18"/>
  <c r="J139" i="18"/>
  <c r="L139" i="18"/>
  <c r="N139" i="18"/>
  <c r="P139" i="18"/>
  <c r="Q139" i="18"/>
  <c r="K172" i="18"/>
  <c r="L172" i="18"/>
  <c r="M172" i="18"/>
  <c r="N172" i="18"/>
  <c r="O172" i="18"/>
  <c r="P172" i="18"/>
  <c r="Q172" i="18"/>
  <c r="K171" i="18"/>
  <c r="L171" i="18"/>
  <c r="M171" i="18"/>
  <c r="N171" i="18"/>
  <c r="O171" i="18"/>
  <c r="P171" i="18"/>
  <c r="Q171" i="18"/>
  <c r="H281" i="18"/>
  <c r="H282" i="18" s="1"/>
  <c r="AK78" i="18"/>
  <c r="K78" i="18"/>
  <c r="L78" i="18"/>
  <c r="M78" i="18"/>
  <c r="N78" i="18"/>
  <c r="O78" i="18"/>
  <c r="P78" i="18"/>
  <c r="Q78" i="18"/>
  <c r="J78" i="18"/>
  <c r="I272" i="18"/>
  <c r="D271" i="18"/>
  <c r="I270" i="18"/>
  <c r="J270" i="18" s="1"/>
  <c r="K270" i="18" s="1"/>
  <c r="K271" i="18" s="1"/>
  <c r="I268" i="18"/>
  <c r="I262" i="18"/>
  <c r="I261" i="18"/>
  <c r="J261" i="18" s="1"/>
  <c r="K261" i="18" s="1"/>
  <c r="H278" i="18" l="1"/>
  <c r="N278" i="18" s="1"/>
  <c r="G278" i="18"/>
  <c r="H277" i="18"/>
  <c r="N277" i="18" s="1"/>
  <c r="G277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C56" i="18"/>
  <c r="D273" i="18"/>
  <c r="J262" i="18"/>
  <c r="K262" i="18" s="1"/>
  <c r="J272" i="18"/>
  <c r="K272" i="18" s="1"/>
  <c r="K273" i="18" s="1"/>
  <c r="K114" i="18"/>
  <c r="L114" i="18"/>
  <c r="M114" i="18"/>
  <c r="N114" i="18"/>
  <c r="O114" i="18"/>
  <c r="P114" i="18"/>
  <c r="Q114" i="18"/>
  <c r="J114" i="18"/>
  <c r="J172" i="18"/>
  <c r="J171" i="18"/>
  <c r="AK14" i="18"/>
  <c r="Y14" i="18"/>
  <c r="Z14" i="18" s="1"/>
  <c r="P262" i="18"/>
  <c r="P265" i="18" s="1"/>
  <c r="P261" i="18"/>
  <c r="K121" i="18"/>
  <c r="K127" i="18" s="1"/>
  <c r="L121" i="18"/>
  <c r="L127" i="18" s="1"/>
  <c r="M121" i="18"/>
  <c r="M127" i="18" s="1"/>
  <c r="N121" i="18"/>
  <c r="N127" i="18" s="1"/>
  <c r="O121" i="18"/>
  <c r="O127" i="18" s="1"/>
  <c r="P121" i="18"/>
  <c r="P127" i="18" s="1"/>
  <c r="Q121" i="18"/>
  <c r="Q127" i="18" s="1"/>
  <c r="J121" i="18"/>
  <c r="J127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K167" i="18"/>
  <c r="K168" i="18" s="1"/>
  <c r="L167" i="18"/>
  <c r="L168" i="18" s="1"/>
  <c r="M167" i="18"/>
  <c r="M168" i="18" s="1"/>
  <c r="N167" i="18"/>
  <c r="N168" i="18" s="1"/>
  <c r="O167" i="18"/>
  <c r="O168" i="18" s="1"/>
  <c r="P167" i="18"/>
  <c r="P168" i="18" s="1"/>
  <c r="Q167" i="18"/>
  <c r="Q168" i="18" s="1"/>
  <c r="J167" i="18"/>
  <c r="J168" i="18" s="1"/>
  <c r="N280" i="18" l="1"/>
  <c r="N281" i="18"/>
  <c r="H280" i="18"/>
  <c r="H283" i="18"/>
  <c r="G283" i="18"/>
  <c r="G280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D56" i="18"/>
  <c r="AA14" i="18"/>
  <c r="AB14" i="18" s="1"/>
  <c r="AC14" i="18" s="1"/>
  <c r="AD14" i="18" s="1"/>
  <c r="AE14" i="18" s="1"/>
  <c r="AF14" i="18" s="1"/>
  <c r="AG14" i="18" s="1"/>
  <c r="AH14" i="18" s="1"/>
  <c r="AI14" i="18" s="1"/>
  <c r="J263" i="18"/>
  <c r="K263" i="18" s="1"/>
  <c r="K113" i="18"/>
  <c r="L113" i="18"/>
  <c r="M113" i="18"/>
  <c r="N113" i="18"/>
  <c r="O113" i="18"/>
  <c r="P113" i="18"/>
  <c r="Q113" i="18"/>
  <c r="J113" i="18"/>
  <c r="J112" i="18"/>
  <c r="K165" i="18"/>
  <c r="L165" i="18"/>
  <c r="M165" i="18"/>
  <c r="N165" i="18"/>
  <c r="O165" i="18"/>
  <c r="P165" i="18"/>
  <c r="Q165" i="18"/>
  <c r="J165" i="18"/>
  <c r="K164" i="18"/>
  <c r="L164" i="18"/>
  <c r="M164" i="18"/>
  <c r="N164" i="18"/>
  <c r="O164" i="18"/>
  <c r="P164" i="18"/>
  <c r="Q164" i="18"/>
  <c r="J164" i="18"/>
  <c r="K161" i="18"/>
  <c r="L161" i="18"/>
  <c r="M161" i="18"/>
  <c r="N161" i="18"/>
  <c r="O161" i="18"/>
  <c r="P161" i="18"/>
  <c r="Q161" i="18"/>
  <c r="J161" i="18"/>
  <c r="K162" i="18"/>
  <c r="L162" i="18"/>
  <c r="M162" i="18"/>
  <c r="N162" i="18"/>
  <c r="O162" i="18"/>
  <c r="P162" i="18"/>
  <c r="Q162" i="18"/>
  <c r="J162" i="18"/>
  <c r="K160" i="18"/>
  <c r="L160" i="18"/>
  <c r="M160" i="18"/>
  <c r="N160" i="18"/>
  <c r="O160" i="18"/>
  <c r="P160" i="18"/>
  <c r="Q160" i="18"/>
  <c r="J160" i="18"/>
  <c r="K159" i="18"/>
  <c r="L159" i="18"/>
  <c r="M159" i="18"/>
  <c r="N159" i="18"/>
  <c r="O159" i="18"/>
  <c r="P159" i="18"/>
  <c r="Q159" i="18"/>
  <c r="J159" i="18"/>
  <c r="K156" i="18"/>
  <c r="L156" i="18"/>
  <c r="M156" i="18"/>
  <c r="N156" i="18"/>
  <c r="O156" i="18"/>
  <c r="P156" i="18"/>
  <c r="Q156" i="18"/>
  <c r="J156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B156" i="18"/>
  <c r="B155" i="18"/>
  <c r="AK32" i="18"/>
  <c r="Y32" i="18"/>
  <c r="Z32" i="18" s="1"/>
  <c r="J142" i="18"/>
  <c r="K142" i="18"/>
  <c r="L142" i="18"/>
  <c r="M142" i="18"/>
  <c r="N142" i="18"/>
  <c r="O142" i="18"/>
  <c r="P142" i="18"/>
  <c r="Q142" i="18"/>
  <c r="O265" i="18"/>
  <c r="O263" i="18"/>
  <c r="P263" i="18" s="1"/>
  <c r="P268" i="18" s="1"/>
  <c r="K151" i="18"/>
  <c r="L151" i="18"/>
  <c r="M151" i="18"/>
  <c r="N151" i="18"/>
  <c r="O151" i="18"/>
  <c r="P151" i="18"/>
  <c r="Q151" i="18"/>
  <c r="J151" i="18"/>
  <c r="K150" i="18"/>
  <c r="L150" i="18"/>
  <c r="M150" i="18"/>
  <c r="N150" i="18"/>
  <c r="O150" i="18"/>
  <c r="P150" i="18"/>
  <c r="Q150" i="18"/>
  <c r="J150" i="18"/>
  <c r="AL14" i="18" l="1"/>
  <c r="AJ14" i="18"/>
  <c r="F77" i="20"/>
  <c r="G77" i="20"/>
  <c r="C78" i="20" s="1"/>
  <c r="M64" i="20"/>
  <c r="N64" i="20" s="1"/>
  <c r="J264" i="18"/>
  <c r="K264" i="18" s="1"/>
  <c r="J265" i="18" s="1"/>
  <c r="K265" i="18" s="1"/>
  <c r="J266" i="18" s="1"/>
  <c r="K266" i="18" s="1"/>
  <c r="J267" i="18" s="1"/>
  <c r="K267" i="18" s="1"/>
  <c r="J268" i="18" s="1"/>
  <c r="K268" i="18" s="1"/>
  <c r="K269" i="18" s="1"/>
  <c r="AE56" i="18"/>
  <c r="AA32" i="18"/>
  <c r="AB32" i="18" s="1"/>
  <c r="AC32" i="18" s="1"/>
  <c r="AD32" i="18" s="1"/>
  <c r="AE32" i="18" s="1"/>
  <c r="AF32" i="18" s="1"/>
  <c r="AG32" i="18" s="1"/>
  <c r="AH32" i="18" s="1"/>
  <c r="AI32" i="18" s="1"/>
  <c r="O268" i="18"/>
  <c r="Y9" i="18"/>
  <c r="Z9" i="18" s="1"/>
  <c r="Y10" i="18"/>
  <c r="Z10" i="18" s="1"/>
  <c r="Y12" i="18"/>
  <c r="Z12" i="18" s="1"/>
  <c r="Y13" i="18"/>
  <c r="Z13" i="18" s="1"/>
  <c r="Y15" i="18"/>
  <c r="Z15" i="18" s="1"/>
  <c r="Y16" i="18"/>
  <c r="Z16" i="18" s="1"/>
  <c r="Y18" i="18"/>
  <c r="Z18" i="18" s="1"/>
  <c r="Y20" i="18"/>
  <c r="Z20" i="18" s="1"/>
  <c r="Y21" i="18"/>
  <c r="Z21" i="18" s="1"/>
  <c r="Y22" i="18"/>
  <c r="Z22" i="18" s="1"/>
  <c r="Y23" i="18"/>
  <c r="Z23" i="18" s="1"/>
  <c r="Y25" i="18"/>
  <c r="Z25" i="18" s="1"/>
  <c r="Y27" i="18"/>
  <c r="Z27" i="18" s="1"/>
  <c r="Y29" i="18"/>
  <c r="Z29" i="18" s="1"/>
  <c r="Y31" i="18"/>
  <c r="Z31" i="18" s="1"/>
  <c r="Y33" i="18"/>
  <c r="Z33" i="18" s="1"/>
  <c r="Y34" i="18"/>
  <c r="Z34" i="18" s="1"/>
  <c r="Y54" i="18"/>
  <c r="Z54" i="18" s="1"/>
  <c r="Y60" i="18"/>
  <c r="Y7" i="18"/>
  <c r="Y6" i="18"/>
  <c r="AK9" i="18"/>
  <c r="AK10" i="18"/>
  <c r="AK12" i="18"/>
  <c r="AK13" i="18"/>
  <c r="AK15" i="18"/>
  <c r="AK16" i="18"/>
  <c r="AK18" i="18"/>
  <c r="AK20" i="18"/>
  <c r="AK21" i="18"/>
  <c r="AK22" i="18"/>
  <c r="AK23" i="18"/>
  <c r="AK25" i="18"/>
  <c r="AK27" i="18"/>
  <c r="AK29" i="18"/>
  <c r="AK31" i="18"/>
  <c r="AK33" i="18"/>
  <c r="AK34" i="18"/>
  <c r="AK54" i="18"/>
  <c r="AK60" i="18"/>
  <c r="AK62" i="18"/>
  <c r="AK64" i="18"/>
  <c r="AK71" i="18"/>
  <c r="AK72" i="18"/>
  <c r="AK77" i="18"/>
  <c r="AK79" i="18"/>
  <c r="AK80" i="18"/>
  <c r="AK81" i="18"/>
  <c r="AK83" i="18"/>
  <c r="AK84" i="18"/>
  <c r="AK85" i="18"/>
  <c r="AK87" i="18"/>
  <c r="AK88" i="18"/>
  <c r="AK89" i="18"/>
  <c r="AK90" i="18"/>
  <c r="AK93" i="18"/>
  <c r="AK95" i="18"/>
  <c r="AK97" i="18"/>
  <c r="AK98" i="18"/>
  <c r="AK99" i="18"/>
  <c r="AK100" i="18"/>
  <c r="AK101" i="18"/>
  <c r="AK103" i="18"/>
  <c r="AK104" i="18"/>
  <c r="AK105" i="18"/>
  <c r="AK7" i="18"/>
  <c r="AK6" i="18"/>
  <c r="S239" i="18" l="1"/>
  <c r="Z60" i="18"/>
  <c r="T239" i="18" s="1"/>
  <c r="AL32" i="18"/>
  <c r="AJ32" i="18"/>
  <c r="Z134" i="18"/>
  <c r="J65" i="20"/>
  <c r="P64" i="20"/>
  <c r="F78" i="20"/>
  <c r="G78" i="20" s="1"/>
  <c r="Z129" i="18"/>
  <c r="AF56" i="18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J117" i="18"/>
  <c r="J123" i="18" s="1"/>
  <c r="Z135" i="18" l="1"/>
  <c r="Z73" i="18"/>
  <c r="Z115" i="18" s="1"/>
  <c r="Z130" i="18"/>
  <c r="Z136" i="18"/>
  <c r="Z137" i="18"/>
  <c r="G81" i="20"/>
  <c r="G82" i="20" s="1"/>
  <c r="C79" i="20"/>
  <c r="M65" i="20"/>
  <c r="N65" i="20"/>
  <c r="J66" i="20" s="1"/>
  <c r="AG56" i="18"/>
  <c r="AA31" i="18"/>
  <c r="Z152" i="18"/>
  <c r="AA29" i="18"/>
  <c r="K141" i="18"/>
  <c r="L141" i="18"/>
  <c r="M141" i="18"/>
  <c r="N141" i="18"/>
  <c r="O141" i="18"/>
  <c r="P141" i="18"/>
  <c r="Q141" i="18"/>
  <c r="J141" i="18"/>
  <c r="K140" i="18"/>
  <c r="L140" i="18"/>
  <c r="M140" i="18"/>
  <c r="N140" i="18"/>
  <c r="O140" i="18"/>
  <c r="P140" i="18"/>
  <c r="Q140" i="18"/>
  <c r="J140" i="18"/>
  <c r="M66" i="20" l="1"/>
  <c r="N66" i="20"/>
  <c r="J67" i="20" s="1"/>
  <c r="F79" i="20"/>
  <c r="G79" i="20"/>
  <c r="AH56" i="18"/>
  <c r="AB31" i="18"/>
  <c r="AB29" i="18"/>
  <c r="M67" i="20" l="1"/>
  <c r="N67" i="20"/>
  <c r="J68" i="20" s="1"/>
  <c r="AI56" i="18"/>
  <c r="AC31" i="18"/>
  <c r="AC29" i="18"/>
  <c r="J216" i="18"/>
  <c r="K216" i="18"/>
  <c r="L216" i="18"/>
  <c r="M216" i="18"/>
  <c r="N216" i="18"/>
  <c r="O216" i="18"/>
  <c r="P216" i="18"/>
  <c r="Q216" i="18"/>
  <c r="J93" i="18"/>
  <c r="J144" i="18" s="1"/>
  <c r="J145" i="18" s="1"/>
  <c r="J148" i="18" s="1"/>
  <c r="K93" i="18"/>
  <c r="K144" i="18" s="1"/>
  <c r="K145" i="18" s="1"/>
  <c r="K148" i="18" s="1"/>
  <c r="L93" i="18"/>
  <c r="L144" i="18" s="1"/>
  <c r="L145" i="18" s="1"/>
  <c r="L148" i="18" s="1"/>
  <c r="M93" i="18"/>
  <c r="M144" i="18" s="1"/>
  <c r="M145" i="18" s="1"/>
  <c r="M148" i="18" s="1"/>
  <c r="N93" i="18"/>
  <c r="N144" i="18" s="1"/>
  <c r="N145" i="18" s="1"/>
  <c r="N148" i="18" s="1"/>
  <c r="O93" i="18"/>
  <c r="O144" i="18" s="1"/>
  <c r="O145" i="18" s="1"/>
  <c r="O148" i="18" s="1"/>
  <c r="P93" i="18"/>
  <c r="P144" i="18" s="1"/>
  <c r="P145" i="18" s="1"/>
  <c r="P148" i="18" s="1"/>
  <c r="Q93" i="18"/>
  <c r="Q144" i="18" s="1"/>
  <c r="Q145" i="18" s="1"/>
  <c r="Q148" i="18" s="1"/>
  <c r="AL56" i="18" l="1"/>
  <c r="AJ56" i="18"/>
  <c r="M68" i="20"/>
  <c r="N68" i="20" s="1"/>
  <c r="J69" i="20" s="1"/>
  <c r="AD31" i="18"/>
  <c r="Z93" i="18"/>
  <c r="AD29" i="18"/>
  <c r="Q146" i="18"/>
  <c r="Q147" i="18" s="1"/>
  <c r="M146" i="18"/>
  <c r="M147" i="18" s="1"/>
  <c r="O146" i="18"/>
  <c r="O147" i="18" s="1"/>
  <c r="K146" i="18"/>
  <c r="K147" i="18" s="1"/>
  <c r="P146" i="18"/>
  <c r="P147" i="18" s="1"/>
  <c r="L146" i="18"/>
  <c r="L147" i="18" s="1"/>
  <c r="N146" i="18"/>
  <c r="N147" i="18" s="1"/>
  <c r="J146" i="18"/>
  <c r="J147" i="18" s="1"/>
  <c r="AA64" i="18"/>
  <c r="M69" i="20" l="1"/>
  <c r="N69" i="20"/>
  <c r="J70" i="20" s="1"/>
  <c r="AE31" i="18"/>
  <c r="AB64" i="18"/>
  <c r="AE29" i="18"/>
  <c r="AA93" i="18"/>
  <c r="J103" i="18"/>
  <c r="J169" i="18" s="1"/>
  <c r="K103" i="18"/>
  <c r="K169" i="18" s="1"/>
  <c r="L103" i="18"/>
  <c r="L169" i="18" s="1"/>
  <c r="M103" i="18"/>
  <c r="M169" i="18" s="1"/>
  <c r="N103" i="18"/>
  <c r="N169" i="18" s="1"/>
  <c r="O103" i="18"/>
  <c r="O169" i="18" s="1"/>
  <c r="P103" i="18"/>
  <c r="P169" i="18" s="1"/>
  <c r="Q103" i="18"/>
  <c r="Q169" i="18" s="1"/>
  <c r="J104" i="18"/>
  <c r="K104" i="18"/>
  <c r="L104" i="18"/>
  <c r="M104" i="18"/>
  <c r="N104" i="18"/>
  <c r="O104" i="18"/>
  <c r="P104" i="18"/>
  <c r="Q104" i="18"/>
  <c r="J105" i="18"/>
  <c r="K105" i="18"/>
  <c r="L105" i="18"/>
  <c r="M105" i="18"/>
  <c r="N105" i="18"/>
  <c r="O105" i="18"/>
  <c r="P105" i="18"/>
  <c r="Q105" i="18"/>
  <c r="K112" i="18"/>
  <c r="L112" i="18"/>
  <c r="M112" i="18"/>
  <c r="N112" i="18"/>
  <c r="O112" i="18"/>
  <c r="P112" i="18"/>
  <c r="Q112" i="18"/>
  <c r="J111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M70" i="20" l="1"/>
  <c r="N70" i="20" s="1"/>
  <c r="J71" i="20" s="1"/>
  <c r="AF31" i="18"/>
  <c r="AC64" i="18"/>
  <c r="AB93" i="18"/>
  <c r="AF29" i="18"/>
  <c r="K256" i="18"/>
  <c r="L256" i="18"/>
  <c r="M256" i="18"/>
  <c r="N256" i="18"/>
  <c r="O256" i="18"/>
  <c r="P256" i="18"/>
  <c r="Q256" i="18"/>
  <c r="S256" i="18"/>
  <c r="T256" i="18"/>
  <c r="J256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72" i="18"/>
  <c r="L72" i="18"/>
  <c r="M72" i="18"/>
  <c r="N72" i="18"/>
  <c r="O72" i="18"/>
  <c r="P72" i="18"/>
  <c r="Q72" i="18"/>
  <c r="J72" i="18"/>
  <c r="J77" i="18"/>
  <c r="K71" i="18"/>
  <c r="K207" i="18" s="1"/>
  <c r="L71" i="18"/>
  <c r="L207" i="18" s="1"/>
  <c r="M71" i="18"/>
  <c r="M207" i="18" s="1"/>
  <c r="N71" i="18"/>
  <c r="N207" i="18" s="1"/>
  <c r="O71" i="18"/>
  <c r="O207" i="18" s="1"/>
  <c r="P71" i="18"/>
  <c r="P207" i="18" s="1"/>
  <c r="Q71" i="18"/>
  <c r="Q207" i="18" s="1"/>
  <c r="J71" i="18"/>
  <c r="J207" i="18" s="1"/>
  <c r="Z118" i="18"/>
  <c r="Z124" i="18" s="1"/>
  <c r="J219" i="18" l="1"/>
  <c r="M71" i="20"/>
  <c r="N71" i="20" s="1"/>
  <c r="J72" i="20" s="1"/>
  <c r="AG31" i="18"/>
  <c r="AD64" i="18"/>
  <c r="AC93" i="18"/>
  <c r="AG29" i="18"/>
  <c r="AA54" i="18"/>
  <c r="M72" i="20" l="1"/>
  <c r="N72" i="20" s="1"/>
  <c r="J73" i="20" s="1"/>
  <c r="AA118" i="18"/>
  <c r="AA124" i="18" s="1"/>
  <c r="AH31" i="18"/>
  <c r="AE64" i="18"/>
  <c r="AD93" i="18"/>
  <c r="AH29" i="18"/>
  <c r="AB54" i="18"/>
  <c r="L100" i="18"/>
  <c r="M100" i="18"/>
  <c r="N100" i="18"/>
  <c r="O100" i="18"/>
  <c r="P100" i="18"/>
  <c r="Q100" i="18"/>
  <c r="L101" i="18"/>
  <c r="M101" i="18"/>
  <c r="N101" i="18"/>
  <c r="O101" i="18"/>
  <c r="P101" i="18"/>
  <c r="Q101" i="18"/>
  <c r="L95" i="18"/>
  <c r="L97" i="18" s="1"/>
  <c r="M95" i="18"/>
  <c r="M97" i="18" s="1"/>
  <c r="N95" i="18"/>
  <c r="N97" i="18" s="1"/>
  <c r="O95" i="18"/>
  <c r="O97" i="18" s="1"/>
  <c r="P95" i="18"/>
  <c r="P97" i="18" s="1"/>
  <c r="Q95" i="18"/>
  <c r="Q97" i="18" s="1"/>
  <c r="L98" i="18"/>
  <c r="M98" i="18"/>
  <c r="N98" i="18"/>
  <c r="O98" i="18"/>
  <c r="P98" i="18"/>
  <c r="Q98" i="18"/>
  <c r="L99" i="18"/>
  <c r="M99" i="18"/>
  <c r="N99" i="18"/>
  <c r="O99" i="18"/>
  <c r="P99" i="18"/>
  <c r="Q99" i="18"/>
  <c r="J98" i="18"/>
  <c r="J99" i="18"/>
  <c r="J100" i="18"/>
  <c r="J101" i="18"/>
  <c r="K101" i="18"/>
  <c r="K100" i="18"/>
  <c r="AA22" i="18"/>
  <c r="AB22" i="18" s="1"/>
  <c r="AC22" i="18" s="1"/>
  <c r="AD22" i="18" s="1"/>
  <c r="AE22" i="18" s="1"/>
  <c r="AF22" i="18" s="1"/>
  <c r="AG22" i="18" s="1"/>
  <c r="AH22" i="18" s="1"/>
  <c r="AI22" i="18" s="1"/>
  <c r="J95" i="18"/>
  <c r="J97" i="18" s="1"/>
  <c r="K95" i="18"/>
  <c r="K97" i="18" s="1"/>
  <c r="K99" i="18"/>
  <c r="K98" i="18"/>
  <c r="AL22" i="18" l="1"/>
  <c r="AJ22" i="18"/>
  <c r="M73" i="20"/>
  <c r="N73" i="20" s="1"/>
  <c r="J74" i="20" s="1"/>
  <c r="AB118" i="18"/>
  <c r="AB124" i="18" s="1"/>
  <c r="AI31" i="18"/>
  <c r="AF64" i="18"/>
  <c r="AE93" i="18"/>
  <c r="AA23" i="18"/>
  <c r="Z121" i="18"/>
  <c r="Z127" i="18" s="1"/>
  <c r="AI29" i="18"/>
  <c r="AC54" i="18"/>
  <c r="AA21" i="18"/>
  <c r="AL31" i="18" l="1"/>
  <c r="AJ31" i="18"/>
  <c r="AL29" i="18"/>
  <c r="AJ29" i="18"/>
  <c r="M74" i="20"/>
  <c r="N74" i="20" s="1"/>
  <c r="J75" i="20" s="1"/>
  <c r="AC118" i="18"/>
  <c r="AC124" i="18" s="1"/>
  <c r="AF93" i="18"/>
  <c r="AG64" i="18"/>
  <c r="AB23" i="18"/>
  <c r="AA121" i="18"/>
  <c r="AA127" i="18" s="1"/>
  <c r="AA20" i="18"/>
  <c r="Z95" i="18"/>
  <c r="AB21" i="18"/>
  <c r="AA9" i="18"/>
  <c r="AB9" i="18" s="1"/>
  <c r="AC9" i="18" s="1"/>
  <c r="AD9" i="18" s="1"/>
  <c r="AE9" i="18" s="1"/>
  <c r="AF9" i="18" s="1"/>
  <c r="AG9" i="18" s="1"/>
  <c r="AH9" i="18" s="1"/>
  <c r="AI9" i="18" s="1"/>
  <c r="Z114" i="18"/>
  <c r="AA33" i="18"/>
  <c r="AB33" i="18" s="1"/>
  <c r="AC33" i="18" s="1"/>
  <c r="AD33" i="18" s="1"/>
  <c r="AE33" i="18" s="1"/>
  <c r="AF33" i="18" s="1"/>
  <c r="AG33" i="18" s="1"/>
  <c r="AH33" i="18" s="1"/>
  <c r="AI33" i="18" s="1"/>
  <c r="AA34" i="18"/>
  <c r="AB34" i="18" s="1"/>
  <c r="AC34" i="18" s="1"/>
  <c r="AD34" i="18" s="1"/>
  <c r="AE34" i="18" s="1"/>
  <c r="AF34" i="18" s="1"/>
  <c r="AG34" i="18" s="1"/>
  <c r="AH34" i="18" s="1"/>
  <c r="AI34" i="18" s="1"/>
  <c r="AD54" i="18"/>
  <c r="AL9" i="18" l="1"/>
  <c r="AJ9" i="18"/>
  <c r="V175" i="18"/>
  <c r="AL34" i="18"/>
  <c r="AJ34" i="18"/>
  <c r="AL33" i="18"/>
  <c r="AJ33" i="18"/>
  <c r="M75" i="20"/>
  <c r="N75" i="20" s="1"/>
  <c r="J76" i="20" s="1"/>
  <c r="AD118" i="18"/>
  <c r="AD124" i="18" s="1"/>
  <c r="AG93" i="18"/>
  <c r="AH64" i="18"/>
  <c r="AA95" i="18"/>
  <c r="Z161" i="18"/>
  <c r="Z171" i="18"/>
  <c r="Z162" i="18"/>
  <c r="Z172" i="18"/>
  <c r="AC23" i="18"/>
  <c r="AB121" i="18"/>
  <c r="AB127" i="18" s="1"/>
  <c r="Z155" i="18"/>
  <c r="Z156" i="18"/>
  <c r="Z154" i="18"/>
  <c r="Z142" i="18"/>
  <c r="Z117" i="18"/>
  <c r="Z123" i="18" s="1"/>
  <c r="Z151" i="18"/>
  <c r="Z150" i="18"/>
  <c r="AA18" i="18"/>
  <c r="AB20" i="18"/>
  <c r="AA27" i="18"/>
  <c r="AE54" i="18"/>
  <c r="AA25" i="18"/>
  <c r="AA134" i="18" s="1"/>
  <c r="Z110" i="18"/>
  <c r="AC21" i="18"/>
  <c r="J85" i="18"/>
  <c r="J214" i="18" s="1"/>
  <c r="K85" i="18"/>
  <c r="K214" i="18" s="1"/>
  <c r="L85" i="18"/>
  <c r="L214" i="18" s="1"/>
  <c r="M85" i="18"/>
  <c r="M214" i="18" s="1"/>
  <c r="N85" i="18"/>
  <c r="N214" i="18" s="1"/>
  <c r="O85" i="18"/>
  <c r="O214" i="18" s="1"/>
  <c r="P85" i="18"/>
  <c r="P214" i="18" s="1"/>
  <c r="Q85" i="18"/>
  <c r="Q214" i="18" s="1"/>
  <c r="M76" i="20" l="1"/>
  <c r="N76" i="20" s="1"/>
  <c r="J77" i="20" s="1"/>
  <c r="AA129" i="18"/>
  <c r="AA130" i="18"/>
  <c r="AE118" i="18"/>
  <c r="AE124" i="18" s="1"/>
  <c r="AA114" i="18"/>
  <c r="AA152" i="18"/>
  <c r="AI64" i="18"/>
  <c r="AH93" i="18"/>
  <c r="AA162" i="18"/>
  <c r="AA172" i="18"/>
  <c r="AA161" i="18"/>
  <c r="AA171" i="18"/>
  <c r="AD23" i="18"/>
  <c r="AC121" i="18"/>
  <c r="AC127" i="18" s="1"/>
  <c r="AA154" i="18"/>
  <c r="AA156" i="18"/>
  <c r="AA155" i="18"/>
  <c r="AA142" i="18"/>
  <c r="AA117" i="18"/>
  <c r="AA123" i="18" s="1"/>
  <c r="AA151" i="18"/>
  <c r="AA150" i="18"/>
  <c r="AB18" i="18"/>
  <c r="AC20" i="18"/>
  <c r="AB95" i="18"/>
  <c r="AB27" i="18"/>
  <c r="AB25" i="18"/>
  <c r="AA110" i="18"/>
  <c r="AF54" i="18"/>
  <c r="AD21" i="18"/>
  <c r="J84" i="18"/>
  <c r="K84" i="18"/>
  <c r="L84" i="18"/>
  <c r="M84" i="18"/>
  <c r="N84" i="18"/>
  <c r="O84" i="18"/>
  <c r="P84" i="18"/>
  <c r="Q84" i="18"/>
  <c r="J83" i="18"/>
  <c r="K83" i="18"/>
  <c r="L83" i="18"/>
  <c r="M83" i="18"/>
  <c r="N83" i="18"/>
  <c r="O83" i="18"/>
  <c r="P83" i="18"/>
  <c r="Q83" i="18"/>
  <c r="AL64" i="18" l="1"/>
  <c r="AJ64" i="18"/>
  <c r="M77" i="20"/>
  <c r="N77" i="20" s="1"/>
  <c r="J78" i="20" s="1"/>
  <c r="AB130" i="18"/>
  <c r="AB134" i="18"/>
  <c r="AB152" i="18"/>
  <c r="AB129" i="18"/>
  <c r="AF118" i="18"/>
  <c r="AF124" i="18" s="1"/>
  <c r="AI93" i="18"/>
  <c r="AL93" i="18" s="1"/>
  <c r="AB161" i="18"/>
  <c r="AB171" i="18"/>
  <c r="AB162" i="18"/>
  <c r="AB172" i="18"/>
  <c r="AB114" i="18"/>
  <c r="AE23" i="18"/>
  <c r="AD121" i="18"/>
  <c r="AD127" i="18" s="1"/>
  <c r="AB156" i="18"/>
  <c r="AB155" i="18"/>
  <c r="AB154" i="18"/>
  <c r="AB142" i="18"/>
  <c r="AB117" i="18"/>
  <c r="AB123" i="18" s="1"/>
  <c r="AB151" i="18"/>
  <c r="AB150" i="18"/>
  <c r="AC18" i="18"/>
  <c r="AD20" i="18"/>
  <c r="AC95" i="18"/>
  <c r="AC27" i="18"/>
  <c r="AC25" i="18"/>
  <c r="AC134" i="18" s="1"/>
  <c r="AB110" i="18"/>
  <c r="AG54" i="18"/>
  <c r="AE21" i="18"/>
  <c r="M78" i="20" l="1"/>
  <c r="N78" i="20" s="1"/>
  <c r="AC129" i="18"/>
  <c r="AC130" i="18"/>
  <c r="AG118" i="18"/>
  <c r="AG124" i="18" s="1"/>
  <c r="AC114" i="18"/>
  <c r="AC152" i="18"/>
  <c r="Z193" i="18"/>
  <c r="U243" i="18" s="1"/>
  <c r="AA193" i="18"/>
  <c r="T243" i="18" s="1"/>
  <c r="AJ93" i="18"/>
  <c r="AC162" i="18"/>
  <c r="AC172" i="18"/>
  <c r="AC161" i="18"/>
  <c r="AC171" i="18"/>
  <c r="AF23" i="18"/>
  <c r="AE121" i="18"/>
  <c r="AE127" i="18" s="1"/>
  <c r="AC142" i="18"/>
  <c r="AC156" i="18"/>
  <c r="AC155" i="18"/>
  <c r="AC154" i="18"/>
  <c r="AC117" i="18"/>
  <c r="AC123" i="18" s="1"/>
  <c r="AC151" i="18"/>
  <c r="AC150" i="18"/>
  <c r="AD18" i="18"/>
  <c r="AE20" i="18"/>
  <c r="AD95" i="18"/>
  <c r="AD27" i="18"/>
  <c r="AD25" i="18"/>
  <c r="AC110" i="18"/>
  <c r="AH54" i="18"/>
  <c r="AF21" i="18"/>
  <c r="K77" i="18"/>
  <c r="L77" i="18"/>
  <c r="M77" i="18"/>
  <c r="N77" i="18"/>
  <c r="N219" i="18" s="1"/>
  <c r="O77" i="18"/>
  <c r="O219" i="18" s="1"/>
  <c r="P77" i="18"/>
  <c r="P219" i="18" s="1"/>
  <c r="Q77" i="18"/>
  <c r="J91" i="18"/>
  <c r="K91" i="18"/>
  <c r="K213" i="18" s="1"/>
  <c r="L91" i="18"/>
  <c r="L213" i="18" s="1"/>
  <c r="M91" i="18"/>
  <c r="M213" i="18" s="1"/>
  <c r="N91" i="18"/>
  <c r="N213" i="18" s="1"/>
  <c r="O91" i="18"/>
  <c r="O213" i="18" s="1"/>
  <c r="P91" i="18"/>
  <c r="P213" i="18" s="1"/>
  <c r="Q91" i="18"/>
  <c r="J90" i="18"/>
  <c r="K90" i="18"/>
  <c r="L90" i="18"/>
  <c r="M90" i="18"/>
  <c r="N90" i="18"/>
  <c r="O90" i="18"/>
  <c r="P90" i="18"/>
  <c r="Q90" i="18"/>
  <c r="J88" i="18"/>
  <c r="K88" i="18"/>
  <c r="L88" i="18"/>
  <c r="M88" i="18"/>
  <c r="N88" i="18"/>
  <c r="O88" i="18"/>
  <c r="P88" i="18"/>
  <c r="Q88" i="18"/>
  <c r="J87" i="18"/>
  <c r="K87" i="18"/>
  <c r="L87" i="18"/>
  <c r="M87" i="18"/>
  <c r="N87" i="18"/>
  <c r="O87" i="18"/>
  <c r="P87" i="18"/>
  <c r="Q87" i="18"/>
  <c r="J81" i="18"/>
  <c r="K81" i="18"/>
  <c r="L81" i="18"/>
  <c r="M81" i="18"/>
  <c r="N81" i="18"/>
  <c r="O81" i="18"/>
  <c r="P81" i="18"/>
  <c r="Q81" i="18"/>
  <c r="J80" i="18"/>
  <c r="K80" i="18"/>
  <c r="K211" i="18" s="1"/>
  <c r="L80" i="18"/>
  <c r="L211" i="18" s="1"/>
  <c r="M80" i="18"/>
  <c r="M211" i="18" s="1"/>
  <c r="N80" i="18"/>
  <c r="N211" i="18" s="1"/>
  <c r="O80" i="18"/>
  <c r="O211" i="18" s="1"/>
  <c r="P80" i="18"/>
  <c r="P211" i="18" s="1"/>
  <c r="Q80" i="18"/>
  <c r="J79" i="18"/>
  <c r="K79" i="18"/>
  <c r="L79" i="18"/>
  <c r="M79" i="18"/>
  <c r="N79" i="18"/>
  <c r="O79" i="18"/>
  <c r="P79" i="18"/>
  <c r="Q79" i="18"/>
  <c r="Z159" i="18"/>
  <c r="Z167" i="18"/>
  <c r="Z168" i="18" s="1"/>
  <c r="Z119" i="18"/>
  <c r="Z125" i="18" s="1"/>
  <c r="M219" i="18" l="1"/>
  <c r="X175" i="18"/>
  <c r="W250" i="18" s="1"/>
  <c r="W249" i="18" s="1"/>
  <c r="Q219" i="18"/>
  <c r="L219" i="18"/>
  <c r="K219" i="18"/>
  <c r="N81" i="20"/>
  <c r="N82" i="20" s="1"/>
  <c r="J79" i="20"/>
  <c r="AD130" i="18"/>
  <c r="AD134" i="18"/>
  <c r="AD152" i="18"/>
  <c r="AD129" i="18"/>
  <c r="Z216" i="18"/>
  <c r="AH118" i="18"/>
  <c r="AH124" i="18" s="1"/>
  <c r="Z139" i="18"/>
  <c r="Y193" i="18"/>
  <c r="AD161" i="18"/>
  <c r="AD171" i="18"/>
  <c r="AD114" i="18"/>
  <c r="AD162" i="18"/>
  <c r="AD172" i="18"/>
  <c r="AG23" i="18"/>
  <c r="AF121" i="18"/>
  <c r="AF127" i="18" s="1"/>
  <c r="Z112" i="18"/>
  <c r="Z113" i="18"/>
  <c r="Z165" i="18"/>
  <c r="Z164" i="18"/>
  <c r="Z120" i="18"/>
  <c r="Z126" i="18" s="1"/>
  <c r="Z160" i="18"/>
  <c r="K208" i="18"/>
  <c r="AD142" i="18"/>
  <c r="AD155" i="18"/>
  <c r="AD154" i="18"/>
  <c r="AD156" i="18"/>
  <c r="Z141" i="18"/>
  <c r="AD117" i="18"/>
  <c r="AD123" i="18" s="1"/>
  <c r="AD151" i="18"/>
  <c r="AD150" i="18"/>
  <c r="Z140" i="18"/>
  <c r="AE18" i="18"/>
  <c r="N208" i="18"/>
  <c r="M208" i="18"/>
  <c r="P208" i="18"/>
  <c r="L208" i="18"/>
  <c r="AF20" i="18"/>
  <c r="AE95" i="18"/>
  <c r="K89" i="18"/>
  <c r="K212" i="18" s="1"/>
  <c r="AE27" i="18"/>
  <c r="AA12" i="18"/>
  <c r="AA15" i="18"/>
  <c r="AA159" i="18" s="1"/>
  <c r="AA13" i="18"/>
  <c r="AA10" i="18"/>
  <c r="AA16" i="18"/>
  <c r="AA167" i="18" s="1"/>
  <c r="AA168" i="18" s="1"/>
  <c r="AA6" i="18"/>
  <c r="AA7" i="18"/>
  <c r="AE25" i="18"/>
  <c r="AE134" i="18" s="1"/>
  <c r="AD110" i="18"/>
  <c r="AA60" i="18"/>
  <c r="U239" i="18" s="1"/>
  <c r="Z111" i="18"/>
  <c r="AI54" i="18"/>
  <c r="O89" i="18"/>
  <c r="O212" i="18" s="1"/>
  <c r="N89" i="18"/>
  <c r="N212" i="18" s="1"/>
  <c r="M89" i="18"/>
  <c r="M212" i="18" s="1"/>
  <c r="AG21" i="18"/>
  <c r="AA206" i="18"/>
  <c r="L89" i="18"/>
  <c r="L212" i="18" s="1"/>
  <c r="J211" i="18"/>
  <c r="J208" i="18"/>
  <c r="J213" i="18"/>
  <c r="J89" i="18"/>
  <c r="Q211" i="18"/>
  <c r="Q208" i="18"/>
  <c r="Q213" i="18"/>
  <c r="O208" i="18"/>
  <c r="Q89" i="18"/>
  <c r="P89" i="18"/>
  <c r="P212" i="18" s="1"/>
  <c r="C6" i="12"/>
  <c r="AA135" i="18" l="1"/>
  <c r="AL54" i="18"/>
  <c r="AJ54" i="18"/>
  <c r="M79" i="20"/>
  <c r="N79" i="20" s="1"/>
  <c r="J80" i="20" s="1"/>
  <c r="AA137" i="18"/>
  <c r="AA136" i="18"/>
  <c r="AE129" i="18"/>
  <c r="AE130" i="18"/>
  <c r="AA216" i="18"/>
  <c r="AA225" i="18"/>
  <c r="AA230" i="18"/>
  <c r="J221" i="18"/>
  <c r="J222" i="18" s="1"/>
  <c r="J220" i="18"/>
  <c r="P221" i="18"/>
  <c r="P222" i="18" s="1"/>
  <c r="P220" i="18"/>
  <c r="N221" i="18"/>
  <c r="N222" i="18" s="1"/>
  <c r="N220" i="18"/>
  <c r="Q221" i="18"/>
  <c r="Q222" i="18" s="1"/>
  <c r="Q220" i="18"/>
  <c r="K221" i="18"/>
  <c r="K222" i="18" s="1"/>
  <c r="K220" i="18"/>
  <c r="L221" i="18"/>
  <c r="L222" i="18" s="1"/>
  <c r="L220" i="18"/>
  <c r="M221" i="18"/>
  <c r="M222" i="18" s="1"/>
  <c r="M220" i="18"/>
  <c r="O221" i="18"/>
  <c r="O222" i="18" s="1"/>
  <c r="O220" i="18"/>
  <c r="AE114" i="18"/>
  <c r="AE152" i="18"/>
  <c r="AA119" i="18"/>
  <c r="AA125" i="18" s="1"/>
  <c r="AA73" i="18"/>
  <c r="AA115" i="18" s="1"/>
  <c r="X251" i="18"/>
  <c r="Y251" i="18" s="1"/>
  <c r="Z251" i="18" s="1"/>
  <c r="AA251" i="18" s="1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A139" i="18"/>
  <c r="AE161" i="18"/>
  <c r="AE171" i="18"/>
  <c r="AE162" i="18"/>
  <c r="AE172" i="18"/>
  <c r="AI118" i="18"/>
  <c r="AL118" i="18" s="1"/>
  <c r="AH23" i="18"/>
  <c r="AG121" i="18"/>
  <c r="AG127" i="18" s="1"/>
  <c r="AA165" i="18"/>
  <c r="AA164" i="18"/>
  <c r="AA120" i="18"/>
  <c r="AA126" i="18" s="1"/>
  <c r="AA160" i="18"/>
  <c r="AA113" i="18"/>
  <c r="AE154" i="18"/>
  <c r="AE155" i="18"/>
  <c r="AE156" i="18"/>
  <c r="AE142" i="18"/>
  <c r="AE117" i="18"/>
  <c r="AE123" i="18" s="1"/>
  <c r="AE151" i="18"/>
  <c r="AE150" i="18"/>
  <c r="AA140" i="18"/>
  <c r="AA141" i="18"/>
  <c r="AF18" i="18"/>
  <c r="AG20" i="18"/>
  <c r="AF95" i="18"/>
  <c r="AF27" i="18"/>
  <c r="AB15" i="18"/>
  <c r="AB159" i="18" s="1"/>
  <c r="AB13" i="18"/>
  <c r="AB12" i="18"/>
  <c r="AB16" i="18"/>
  <c r="AB167" i="18" s="1"/>
  <c r="AB168" i="18" s="1"/>
  <c r="AB10" i="18"/>
  <c r="AB7" i="18"/>
  <c r="AB6" i="18"/>
  <c r="AF25" i="18"/>
  <c r="AF134" i="18" s="1"/>
  <c r="AE110" i="18"/>
  <c r="AB60" i="18"/>
  <c r="V239" i="18" s="1"/>
  <c r="AA112" i="18"/>
  <c r="AA111" i="18"/>
  <c r="AH21" i="18"/>
  <c r="AB206" i="18"/>
  <c r="J212" i="18"/>
  <c r="Q212" i="18"/>
  <c r="AB135" i="18" l="1"/>
  <c r="M80" i="20"/>
  <c r="N80" i="20" s="1"/>
  <c r="AB136" i="18"/>
  <c r="AB137" i="18"/>
  <c r="AF129" i="18"/>
  <c r="AF130" i="18"/>
  <c r="AA231" i="18"/>
  <c r="AA232" i="18" s="1"/>
  <c r="AA229" i="18"/>
  <c r="AA226" i="18"/>
  <c r="AA227" i="18" s="1"/>
  <c r="AA224" i="18"/>
  <c r="AB216" i="18"/>
  <c r="AB230" i="18"/>
  <c r="AB225" i="18"/>
  <c r="AF114" i="18"/>
  <c r="AF152" i="18"/>
  <c r="AB119" i="18"/>
  <c r="AB125" i="18" s="1"/>
  <c r="AB73" i="18"/>
  <c r="AB115" i="18" s="1"/>
  <c r="X252" i="18"/>
  <c r="Y252" i="18" s="1"/>
  <c r="Z252" i="18" s="1"/>
  <c r="AA252" i="18" s="1"/>
  <c r="AB252" i="18" s="1"/>
  <c r="AC252" i="18" s="1"/>
  <c r="AD252" i="18" s="1"/>
  <c r="AE252" i="18" s="1"/>
  <c r="AF252" i="18" s="1"/>
  <c r="AG252" i="18" s="1"/>
  <c r="AH252" i="18" s="1"/>
  <c r="AI252" i="18" s="1"/>
  <c r="AJ252" i="18" s="1"/>
  <c r="AK252" i="18" s="1"/>
  <c r="AL252" i="18" s="1"/>
  <c r="AM252" i="18" s="1"/>
  <c r="AN252" i="18" s="1"/>
  <c r="AO252" i="18" s="1"/>
  <c r="AP252" i="18" s="1"/>
  <c r="AQ252" i="18" s="1"/>
  <c r="AR252" i="18" s="1"/>
  <c r="AS252" i="18" s="1"/>
  <c r="AT252" i="18" s="1"/>
  <c r="AU252" i="18" s="1"/>
  <c r="AV252" i="18" s="1"/>
  <c r="AW252" i="18" s="1"/>
  <c r="AJ118" i="18"/>
  <c r="AI124" i="18"/>
  <c r="X250" i="18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B139" i="18"/>
  <c r="AF161" i="18"/>
  <c r="AF171" i="18"/>
  <c r="AF162" i="18"/>
  <c r="AF172" i="18"/>
  <c r="AI23" i="18"/>
  <c r="AH121" i="18"/>
  <c r="AH127" i="18" s="1"/>
  <c r="AB120" i="18"/>
  <c r="AB126" i="18" s="1"/>
  <c r="AB160" i="18"/>
  <c r="AB165" i="18"/>
  <c r="AB164" i="18"/>
  <c r="AB113" i="18"/>
  <c r="AF156" i="18"/>
  <c r="AF155" i="18"/>
  <c r="AF154" i="18"/>
  <c r="AF142" i="18"/>
  <c r="AF117" i="18"/>
  <c r="AF123" i="18" s="1"/>
  <c r="AF151" i="18"/>
  <c r="AF150" i="18"/>
  <c r="AB140" i="18"/>
  <c r="AB141" i="18"/>
  <c r="AG18" i="18"/>
  <c r="AH20" i="18"/>
  <c r="AG95" i="18"/>
  <c r="AG27" i="18"/>
  <c r="AC13" i="18"/>
  <c r="AC12" i="18"/>
  <c r="AC15" i="18"/>
  <c r="AC159" i="18" s="1"/>
  <c r="AC10" i="18"/>
  <c r="AC16" i="18"/>
  <c r="AC167" i="18" s="1"/>
  <c r="AC168" i="18" s="1"/>
  <c r="AC6" i="18"/>
  <c r="AC7" i="18"/>
  <c r="AC60" i="18"/>
  <c r="W239" i="18" s="1"/>
  <c r="AB112" i="18"/>
  <c r="AB111" i="18"/>
  <c r="AG25" i="18"/>
  <c r="AG134" i="18" s="1"/>
  <c r="AF110" i="18"/>
  <c r="AI21" i="18"/>
  <c r="AC206" i="18"/>
  <c r="AC135" i="18" l="1"/>
  <c r="AL23" i="18"/>
  <c r="AJ23" i="18"/>
  <c r="AJ124" i="18"/>
  <c r="AL124" i="18"/>
  <c r="AL21" i="18"/>
  <c r="AJ21" i="18"/>
  <c r="AC137" i="18"/>
  <c r="AC136" i="18"/>
  <c r="AG129" i="18"/>
  <c r="AG130" i="18"/>
  <c r="AB226" i="18"/>
  <c r="AB227" i="18" s="1"/>
  <c r="AB224" i="18"/>
  <c r="AB231" i="18"/>
  <c r="AB232" i="18" s="1"/>
  <c r="AB229" i="18"/>
  <c r="AC216" i="18"/>
  <c r="AC225" i="18"/>
  <c r="AC230" i="18"/>
  <c r="AG114" i="18"/>
  <c r="AG152" i="18"/>
  <c r="AC119" i="18"/>
  <c r="AC125" i="18" s="1"/>
  <c r="AC73" i="18"/>
  <c r="AC115" i="18" s="1"/>
  <c r="X249" i="18"/>
  <c r="Y249" i="18" s="1"/>
  <c r="Z249" i="18" s="1"/>
  <c r="AA249" i="18" s="1"/>
  <c r="AB249" i="18" s="1"/>
  <c r="AC249" i="18" s="1"/>
  <c r="AD249" i="18" s="1"/>
  <c r="AE249" i="18" s="1"/>
  <c r="AF249" i="18" s="1"/>
  <c r="AG249" i="18" s="1"/>
  <c r="AH250" i="18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C139" i="18"/>
  <c r="AG161" i="18"/>
  <c r="AG171" i="18"/>
  <c r="AG162" i="18"/>
  <c r="AG172" i="18"/>
  <c r="AI121" i="18"/>
  <c r="AL121" i="18" s="1"/>
  <c r="AC113" i="18"/>
  <c r="AC164" i="18"/>
  <c r="AC165" i="18"/>
  <c r="AC120" i="18"/>
  <c r="AC126" i="18" s="1"/>
  <c r="AC160" i="18"/>
  <c r="AG156" i="18"/>
  <c r="AG155" i="18"/>
  <c r="AG154" i="18"/>
  <c r="AG142" i="18"/>
  <c r="AG117" i="18"/>
  <c r="AG123" i="18" s="1"/>
  <c r="AG151" i="18"/>
  <c r="AG150" i="18"/>
  <c r="AC141" i="18"/>
  <c r="AC140" i="18"/>
  <c r="AH18" i="18"/>
  <c r="AI20" i="18"/>
  <c r="AH95" i="18"/>
  <c r="AH27" i="18"/>
  <c r="AD12" i="18"/>
  <c r="AD15" i="18"/>
  <c r="AD159" i="18" s="1"/>
  <c r="AD13" i="18"/>
  <c r="AD16" i="18"/>
  <c r="AD167" i="18" s="1"/>
  <c r="AD168" i="18" s="1"/>
  <c r="AD10" i="18"/>
  <c r="AD7" i="18"/>
  <c r="AD6" i="18"/>
  <c r="AH25" i="18"/>
  <c r="AG110" i="18"/>
  <c r="AD60" i="18"/>
  <c r="AC111" i="18"/>
  <c r="AC112" i="18"/>
  <c r="AD206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35" i="18" l="1"/>
  <c r="AL20" i="18"/>
  <c r="AJ20" i="18"/>
  <c r="AH130" i="18"/>
  <c r="AH134" i="18"/>
  <c r="AD137" i="18"/>
  <c r="AD136" i="18"/>
  <c r="AH152" i="18"/>
  <c r="AH129" i="18"/>
  <c r="AC231" i="18"/>
  <c r="AC232" i="18" s="1"/>
  <c r="AC229" i="18"/>
  <c r="AC226" i="18"/>
  <c r="AC227" i="18" s="1"/>
  <c r="AC224" i="18"/>
  <c r="AD216" i="18"/>
  <c r="AD230" i="18"/>
  <c r="AD225" i="18"/>
  <c r="AD119" i="18"/>
  <c r="AD125" i="18" s="1"/>
  <c r="AD73" i="18"/>
  <c r="AD115" i="18" s="1"/>
  <c r="AH249" i="18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J121" i="18"/>
  <c r="AI127" i="18"/>
  <c r="AD139" i="18"/>
  <c r="AH161" i="18"/>
  <c r="AH171" i="18"/>
  <c r="AH162" i="18"/>
  <c r="AH172" i="18"/>
  <c r="AH114" i="18"/>
  <c r="AD165" i="18"/>
  <c r="AD164" i="18"/>
  <c r="AD120" i="18"/>
  <c r="AD126" i="18" s="1"/>
  <c r="AD160" i="18"/>
  <c r="AD113" i="18"/>
  <c r="AH155" i="18"/>
  <c r="AH154" i="18"/>
  <c r="AH156" i="18"/>
  <c r="AH142" i="18"/>
  <c r="AH117" i="18"/>
  <c r="AH123" i="18" s="1"/>
  <c r="AH151" i="18"/>
  <c r="AH150" i="18"/>
  <c r="AD141" i="18"/>
  <c r="AD140" i="18"/>
  <c r="AI18" i="18"/>
  <c r="AI95" i="18"/>
  <c r="AL95" i="18" s="1"/>
  <c r="AI27" i="18"/>
  <c r="AE15" i="18"/>
  <c r="AE159" i="18" s="1"/>
  <c r="AE13" i="18"/>
  <c r="AE12" i="18"/>
  <c r="AE10" i="18"/>
  <c r="AE16" i="18"/>
  <c r="AE167" i="18" s="1"/>
  <c r="AE168" i="18" s="1"/>
  <c r="AE6" i="18"/>
  <c r="AE7" i="18"/>
  <c r="AE60" i="18"/>
  <c r="AE135" i="18" s="1"/>
  <c r="AD112" i="18"/>
  <c r="AD111" i="18"/>
  <c r="AI25" i="18"/>
  <c r="AH110" i="18"/>
  <c r="AE206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I134" i="18" l="1"/>
  <c r="AL25" i="18"/>
  <c r="AJ25" i="18"/>
  <c r="AJ127" i="18"/>
  <c r="AL127" i="18"/>
  <c r="AI172" i="18"/>
  <c r="AL27" i="18"/>
  <c r="AJ27" i="18"/>
  <c r="AL18" i="18"/>
  <c r="AJ18" i="18"/>
  <c r="AE137" i="18"/>
  <c r="AE136" i="18"/>
  <c r="AI129" i="18"/>
  <c r="AI130" i="18"/>
  <c r="AD226" i="18"/>
  <c r="AD227" i="18" s="1"/>
  <c r="AD224" i="18"/>
  <c r="AD231" i="18"/>
  <c r="AD232" i="18" s="1"/>
  <c r="AD229" i="18"/>
  <c r="AE216" i="18"/>
  <c r="AE230" i="18"/>
  <c r="AE225" i="18"/>
  <c r="AI114" i="18"/>
  <c r="AI152" i="18"/>
  <c r="AE119" i="18"/>
  <c r="AE125" i="18" s="1"/>
  <c r="AE73" i="18"/>
  <c r="AE115" i="18" s="1"/>
  <c r="AE139" i="18"/>
  <c r="AI161" i="18"/>
  <c r="AI171" i="18"/>
  <c r="AE120" i="18"/>
  <c r="AE126" i="18" s="1"/>
  <c r="AE160" i="18"/>
  <c r="AE165" i="18"/>
  <c r="AE164" i="18"/>
  <c r="AI162" i="18"/>
  <c r="AE113" i="18"/>
  <c r="AI154" i="18"/>
  <c r="AI156" i="18"/>
  <c r="AI155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I142" i="18"/>
  <c r="AI117" i="18"/>
  <c r="AL117" i="18" s="1"/>
  <c r="AI151" i="18"/>
  <c r="AI150" i="18"/>
  <c r="AE141" i="18"/>
  <c r="AE140" i="18"/>
  <c r="Z195" i="18"/>
  <c r="AJ9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F12" i="18"/>
  <c r="AF15" i="18"/>
  <c r="AF159" i="18" s="1"/>
  <c r="AF13" i="18"/>
  <c r="AF10" i="18"/>
  <c r="AF16" i="18"/>
  <c r="AF167" i="18" s="1"/>
  <c r="AF168" i="18" s="1"/>
  <c r="AF7" i="18"/>
  <c r="AF6" i="18"/>
  <c r="AI110" i="18"/>
  <c r="AF60" i="18"/>
  <c r="AF135" i="18" s="1"/>
  <c r="AE112" i="18"/>
  <c r="AE111" i="18"/>
  <c r="O31" i="9"/>
  <c r="O32" i="9" s="1"/>
  <c r="AF206" i="18"/>
  <c r="P31" i="11"/>
  <c r="N32" i="11"/>
  <c r="T19" i="9"/>
  <c r="D22" i="9"/>
  <c r="AJ151" i="18" l="1"/>
  <c r="AL151" i="18"/>
  <c r="AJ110" i="18"/>
  <c r="AL110" i="18"/>
  <c r="AJ150" i="18"/>
  <c r="AL150" i="18"/>
  <c r="AJ155" i="18"/>
  <c r="AL155" i="18"/>
  <c r="AJ154" i="18"/>
  <c r="AL154" i="18"/>
  <c r="AJ162" i="18"/>
  <c r="AL162" i="18"/>
  <c r="AJ161" i="18"/>
  <c r="AL161" i="18"/>
  <c r="AJ152" i="18"/>
  <c r="AL152" i="18"/>
  <c r="AJ129" i="18"/>
  <c r="AL129" i="18"/>
  <c r="AJ134" i="18"/>
  <c r="AL134" i="18"/>
  <c r="AJ142" i="18"/>
  <c r="AL142" i="18"/>
  <c r="AJ156" i="18"/>
  <c r="AL156" i="18"/>
  <c r="AJ171" i="18"/>
  <c r="AL171" i="18"/>
  <c r="AJ114" i="18"/>
  <c r="AL114" i="18"/>
  <c r="AJ130" i="18"/>
  <c r="AL130" i="18"/>
  <c r="AJ172" i="18"/>
  <c r="AL172" i="18"/>
  <c r="AF136" i="18"/>
  <c r="AF137" i="18"/>
  <c r="AE226" i="18"/>
  <c r="AE227" i="18" s="1"/>
  <c r="AE224" i="18"/>
  <c r="AE231" i="18"/>
  <c r="AE232" i="18" s="1"/>
  <c r="AE229" i="18"/>
  <c r="AF216" i="18"/>
  <c r="AF225" i="18"/>
  <c r="AF230" i="18"/>
  <c r="AF119" i="18"/>
  <c r="AF125" i="18" s="1"/>
  <c r="AF73" i="18"/>
  <c r="AF115" i="18" s="1"/>
  <c r="AJ117" i="18"/>
  <c r="AI123" i="18"/>
  <c r="AF139" i="18"/>
  <c r="AF165" i="18"/>
  <c r="AF164" i="18"/>
  <c r="AF120" i="18"/>
  <c r="AF126" i="18" s="1"/>
  <c r="AF160" i="18"/>
  <c r="AF113" i="18"/>
  <c r="AF140" i="18"/>
  <c r="AF141" i="18"/>
  <c r="AA195" i="18"/>
  <c r="Y195" i="18" s="1"/>
  <c r="AG13" i="18"/>
  <c r="AG12" i="18"/>
  <c r="AG15" i="18"/>
  <c r="AG159" i="18" s="1"/>
  <c r="AG10" i="18"/>
  <c r="AG16" i="18"/>
  <c r="AG167" i="18" s="1"/>
  <c r="AG168" i="18" s="1"/>
  <c r="AG6" i="18"/>
  <c r="AG7" i="18"/>
  <c r="AG60" i="18"/>
  <c r="AG135" i="18" s="1"/>
  <c r="AF112" i="18"/>
  <c r="AF111" i="18"/>
  <c r="AG206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J123" i="18" l="1"/>
  <c r="AL123" i="18"/>
  <c r="AG137" i="18"/>
  <c r="AG136" i="18"/>
  <c r="AF231" i="18"/>
  <c r="AF232" i="18" s="1"/>
  <c r="AF229" i="18"/>
  <c r="AF226" i="18"/>
  <c r="AF227" i="18" s="1"/>
  <c r="AF224" i="18"/>
  <c r="AG216" i="18"/>
  <c r="AG230" i="18"/>
  <c r="AG225" i="18"/>
  <c r="AG119" i="18"/>
  <c r="AG125" i="18" s="1"/>
  <c r="AG73" i="18"/>
  <c r="AG115" i="18" s="1"/>
  <c r="AG139" i="18"/>
  <c r="AG120" i="18"/>
  <c r="AG126" i="18" s="1"/>
  <c r="AG160" i="18"/>
  <c r="AG164" i="18"/>
  <c r="AG165" i="18"/>
  <c r="AG113" i="18"/>
  <c r="AG140" i="18"/>
  <c r="AG141" i="18"/>
  <c r="AH12" i="18"/>
  <c r="AH15" i="18"/>
  <c r="AH159" i="18" s="1"/>
  <c r="AH13" i="18"/>
  <c r="AH10" i="18"/>
  <c r="AH16" i="18"/>
  <c r="AH167" i="18" s="1"/>
  <c r="AH168" i="18" s="1"/>
  <c r="AH7" i="18"/>
  <c r="AH6" i="18"/>
  <c r="AH60" i="18"/>
  <c r="AH135" i="18" s="1"/>
  <c r="AG111" i="18"/>
  <c r="AG112" i="18"/>
  <c r="AH206" i="18"/>
  <c r="N34" i="11"/>
  <c r="O33" i="11"/>
  <c r="AH137" i="18" l="1"/>
  <c r="AH136" i="18"/>
  <c r="AG226" i="18"/>
  <c r="AG227" i="18" s="1"/>
  <c r="AG224" i="18"/>
  <c r="AG231" i="18"/>
  <c r="AG232" i="18" s="1"/>
  <c r="AG229" i="18"/>
  <c r="AH216" i="18"/>
  <c r="AH230" i="18"/>
  <c r="AH225" i="18"/>
  <c r="AH119" i="18"/>
  <c r="AH125" i="18" s="1"/>
  <c r="AH73" i="18"/>
  <c r="AH115" i="18" s="1"/>
  <c r="AH139" i="18"/>
  <c r="AH113" i="18"/>
  <c r="AH164" i="18"/>
  <c r="AH165" i="18"/>
  <c r="AH120" i="18"/>
  <c r="AH126" i="18" s="1"/>
  <c r="AH160" i="18"/>
  <c r="AH140" i="18"/>
  <c r="AH141" i="18"/>
  <c r="AI15" i="18"/>
  <c r="AI13" i="18"/>
  <c r="AI12" i="18"/>
  <c r="AI10" i="18"/>
  <c r="AI16" i="18"/>
  <c r="AI6" i="18"/>
  <c r="AL6" i="18" s="1"/>
  <c r="AI7" i="18"/>
  <c r="AI60" i="18"/>
  <c r="AH112" i="18"/>
  <c r="AH111" i="18"/>
  <c r="AI206" i="18"/>
  <c r="N35" i="11"/>
  <c r="O34" i="11"/>
  <c r="AL7" i="18" l="1"/>
  <c r="AJ7" i="18"/>
  <c r="AL16" i="18"/>
  <c r="AJ16" i="18"/>
  <c r="AI160" i="18"/>
  <c r="AL12" i="18"/>
  <c r="AJ12" i="18"/>
  <c r="AL15" i="18"/>
  <c r="AJ15" i="18"/>
  <c r="AI135" i="18"/>
  <c r="AL60" i="18"/>
  <c r="AJ60" i="18"/>
  <c r="AJ6" i="18"/>
  <c r="AL10" i="18"/>
  <c r="AJ10" i="18"/>
  <c r="AL13" i="18"/>
  <c r="AJ13" i="18"/>
  <c r="AI137" i="18"/>
  <c r="AI136" i="18"/>
  <c r="AH226" i="18"/>
  <c r="AH227" i="18" s="1"/>
  <c r="AH224" i="18"/>
  <c r="AH231" i="18"/>
  <c r="AH232" i="18" s="1"/>
  <c r="AH229" i="18"/>
  <c r="AI216" i="18"/>
  <c r="AJ216" i="18" s="1"/>
  <c r="AL216" i="18" s="1"/>
  <c r="AL231" i="18" s="1"/>
  <c r="AI230" i="18"/>
  <c r="AI229" i="18" s="1"/>
  <c r="AJ229" i="18" s="1"/>
  <c r="AI225" i="18"/>
  <c r="AI224" i="18" s="1"/>
  <c r="AJ224" i="18" s="1"/>
  <c r="AI119" i="18"/>
  <c r="AI73" i="18"/>
  <c r="AL73" i="18" s="1"/>
  <c r="AI139" i="18"/>
  <c r="AI167" i="18"/>
  <c r="AL167" i="18" s="1"/>
  <c r="AI165" i="18"/>
  <c r="AI164" i="18"/>
  <c r="AI159" i="18"/>
  <c r="AI113" i="18"/>
  <c r="AI120" i="18"/>
  <c r="AL120" i="18" s="1"/>
  <c r="AI140" i="18"/>
  <c r="AI141" i="18"/>
  <c r="Z189" i="18"/>
  <c r="AI112" i="18"/>
  <c r="AI111" i="18"/>
  <c r="AJ206" i="18"/>
  <c r="AL206" i="18" s="1"/>
  <c r="N36" i="11"/>
  <c r="O35" i="11"/>
  <c r="AJ165" i="18" l="1"/>
  <c r="AL165" i="18"/>
  <c r="AJ135" i="18"/>
  <c r="AL135" i="18"/>
  <c r="AJ111" i="18"/>
  <c r="AL111" i="18"/>
  <c r="AJ140" i="18"/>
  <c r="AL140" i="18"/>
  <c r="AJ113" i="18"/>
  <c r="AL113" i="18"/>
  <c r="AJ164" i="18"/>
  <c r="AL164" i="18"/>
  <c r="AJ137" i="18"/>
  <c r="AL137" i="18"/>
  <c r="AJ160" i="18"/>
  <c r="AL160" i="18"/>
  <c r="AJ112" i="18"/>
  <c r="AL112" i="18"/>
  <c r="AJ141" i="18"/>
  <c r="AL141" i="18"/>
  <c r="AJ159" i="18"/>
  <c r="AL159" i="18"/>
  <c r="AJ139" i="18"/>
  <c r="AL139" i="18"/>
  <c r="AI125" i="18"/>
  <c r="AL119" i="18"/>
  <c r="AJ136" i="18"/>
  <c r="AL136" i="18"/>
  <c r="AI226" i="18"/>
  <c r="AJ225" i="18"/>
  <c r="AJ230" i="18"/>
  <c r="AI231" i="18"/>
  <c r="AJ73" i="18"/>
  <c r="AJ119" i="18"/>
  <c r="AI115" i="18"/>
  <c r="AJ120" i="18"/>
  <c r="AI126" i="18"/>
  <c r="AJ167" i="18"/>
  <c r="AI168" i="18"/>
  <c r="AA189" i="18"/>
  <c r="AA190" i="18" s="1"/>
  <c r="T246" i="18" s="1"/>
  <c r="Z190" i="18"/>
  <c r="U246" i="18" s="1"/>
  <c r="N37" i="11"/>
  <c r="O36" i="11"/>
  <c r="AJ168" i="18" l="1"/>
  <c r="AL168" i="18"/>
  <c r="AJ126" i="18"/>
  <c r="AL126" i="18"/>
  <c r="AJ115" i="18"/>
  <c r="AL115" i="18"/>
  <c r="AJ125" i="18"/>
  <c r="AL125" i="18"/>
  <c r="AJ226" i="18"/>
  <c r="AI227" i="18"/>
  <c r="AJ227" i="18" s="1"/>
  <c r="AI232" i="18"/>
  <c r="AJ232" i="18" s="1"/>
  <c r="AJ231" i="18"/>
  <c r="Y189" i="18"/>
  <c r="Y190" i="18"/>
  <c r="N38" i="11"/>
  <c r="O37" i="11"/>
  <c r="P246" i="18" l="1"/>
  <c r="N39" i="11"/>
  <c r="O38" i="11"/>
  <c r="N40" i="11" l="1"/>
  <c r="O39" i="11"/>
  <c r="N41" i="11" l="1"/>
  <c r="O40" i="11"/>
  <c r="N42" i="11" l="1"/>
  <c r="O41" i="11"/>
  <c r="Z217" i="18"/>
  <c r="Z239" i="18" s="1"/>
  <c r="Z98" i="18"/>
  <c r="Z79" i="18"/>
  <c r="Z84" i="18"/>
  <c r="Z105" i="18"/>
  <c r="Z107" i="18"/>
  <c r="Z100" i="18"/>
  <c r="Z97" i="18"/>
  <c r="Z83" i="18"/>
  <c r="Z78" i="18"/>
  <c r="Z72" i="18"/>
  <c r="Z90" i="18"/>
  <c r="Z104" i="18"/>
  <c r="Z88" i="18"/>
  <c r="Z81" i="18"/>
  <c r="Z99" i="18"/>
  <c r="Z101" i="18"/>
  <c r="Z85" i="18"/>
  <c r="Z214" i="18" s="1"/>
  <c r="Z71" i="18"/>
  <c r="Z207" i="18" s="1"/>
  <c r="Z76" i="18"/>
  <c r="Z210" i="18" s="1"/>
  <c r="Z91" i="18"/>
  <c r="Z213" i="18" s="1"/>
  <c r="Z103" i="18"/>
  <c r="Z169" i="18" s="1"/>
  <c r="Z75" i="18"/>
  <c r="Z209" i="18" s="1"/>
  <c r="Z87" i="18"/>
  <c r="Z144" i="18"/>
  <c r="Z145" i="18" s="1"/>
  <c r="Z77" i="18"/>
  <c r="Z219" i="18" s="1"/>
  <c r="Z80" i="18"/>
  <c r="AA62" i="18"/>
  <c r="Z211" i="18" l="1"/>
  <c r="Z235" i="18" s="1"/>
  <c r="Z89" i="18"/>
  <c r="Z212" i="18" s="1"/>
  <c r="AA81" i="18"/>
  <c r="AA104" i="18"/>
  <c r="AA88" i="18"/>
  <c r="AA100" i="18"/>
  <c r="AA84" i="18"/>
  <c r="AA83" i="18"/>
  <c r="AA217" i="18"/>
  <c r="AA239" i="18" s="1"/>
  <c r="AA99" i="18"/>
  <c r="AA79" i="18"/>
  <c r="AA103" i="18"/>
  <c r="AA169" i="18" s="1"/>
  <c r="AA91" i="18"/>
  <c r="AA213" i="18" s="1"/>
  <c r="AA75" i="18"/>
  <c r="AA209" i="18" s="1"/>
  <c r="AA144" i="18"/>
  <c r="AA145" i="18" s="1"/>
  <c r="AA97" i="18"/>
  <c r="AA78" i="18"/>
  <c r="AA107" i="18"/>
  <c r="AA90" i="18"/>
  <c r="AA105" i="18"/>
  <c r="AA98" i="18"/>
  <c r="AA101" i="18"/>
  <c r="AA72" i="18"/>
  <c r="AA80" i="18"/>
  <c r="AA211" i="18" s="1"/>
  <c r="AA235" i="18" s="1"/>
  <c r="AA71" i="18"/>
  <c r="AA207" i="18" s="1"/>
  <c r="AA85" i="18"/>
  <c r="AA214" i="18" s="1"/>
  <c r="AA76" i="18"/>
  <c r="AA210" i="18" s="1"/>
  <c r="AA77" i="18"/>
  <c r="AA219" i="18" s="1"/>
  <c r="AB62" i="18"/>
  <c r="AA87" i="18"/>
  <c r="Z146" i="18"/>
  <c r="Z147" i="18" s="1"/>
  <c r="Z148" i="18"/>
  <c r="Z208" i="18"/>
  <c r="Z234" i="18" l="1"/>
  <c r="Z236" i="18"/>
  <c r="Z237" i="18" s="1"/>
  <c r="AA236" i="18"/>
  <c r="AA237" i="18" s="1"/>
  <c r="AA234" i="18"/>
  <c r="AA89" i="18"/>
  <c r="AA212" i="18" s="1"/>
  <c r="Z221" i="18"/>
  <c r="Z222" i="18" s="1"/>
  <c r="Z220" i="18"/>
  <c r="AB98" i="18"/>
  <c r="AB75" i="18"/>
  <c r="AB209" i="18" s="1"/>
  <c r="AB99" i="18"/>
  <c r="AB100" i="18"/>
  <c r="AB104" i="18"/>
  <c r="AB84" i="18"/>
  <c r="AB81" i="18"/>
  <c r="AB107" i="18"/>
  <c r="AB90" i="18"/>
  <c r="AB88" i="18"/>
  <c r="AB71" i="18"/>
  <c r="AB207" i="18" s="1"/>
  <c r="AB80" i="18"/>
  <c r="AB211" i="18" s="1"/>
  <c r="AB235" i="18" s="1"/>
  <c r="AB76" i="18"/>
  <c r="AB210" i="18" s="1"/>
  <c r="AB79" i="18"/>
  <c r="AB78" i="18"/>
  <c r="AB97" i="18"/>
  <c r="AB101" i="18"/>
  <c r="AB72" i="18"/>
  <c r="AB85" i="18"/>
  <c r="AB214" i="18" s="1"/>
  <c r="AB105" i="18"/>
  <c r="AB83" i="18"/>
  <c r="AB217" i="18"/>
  <c r="AB239" i="18" s="1"/>
  <c r="AB103" i="18"/>
  <c r="AB169" i="18" s="1"/>
  <c r="AB91" i="18"/>
  <c r="AB213" i="18" s="1"/>
  <c r="AB87" i="18"/>
  <c r="AB144" i="18"/>
  <c r="AB145" i="18" s="1"/>
  <c r="AB77" i="18"/>
  <c r="AB219" i="18" s="1"/>
  <c r="AC62" i="18"/>
  <c r="AA208" i="18"/>
  <c r="AA148" i="18"/>
  <c r="AA146" i="18"/>
  <c r="AA147" i="18" s="1"/>
  <c r="AB236" i="18" l="1"/>
  <c r="AB237" i="18" s="1"/>
  <c r="AB234" i="18"/>
  <c r="AA221" i="18"/>
  <c r="AA222" i="18" s="1"/>
  <c r="AA220" i="18"/>
  <c r="AC98" i="18"/>
  <c r="AC217" i="18"/>
  <c r="AC239" i="18" s="1"/>
  <c r="AC72" i="18"/>
  <c r="AC99" i="18"/>
  <c r="AC84" i="18"/>
  <c r="AC79" i="18"/>
  <c r="AC83" i="18"/>
  <c r="AC97" i="18"/>
  <c r="AC103" i="18"/>
  <c r="AC169" i="18" s="1"/>
  <c r="AC75" i="18"/>
  <c r="AC209" i="18" s="1"/>
  <c r="AC76" i="18"/>
  <c r="AC210" i="18" s="1"/>
  <c r="AC91" i="18"/>
  <c r="AC213" i="18" s="1"/>
  <c r="AC107" i="18"/>
  <c r="AC78" i="18"/>
  <c r="AC101" i="18"/>
  <c r="AC105" i="18"/>
  <c r="AC104" i="18"/>
  <c r="AC81" i="18"/>
  <c r="AC100" i="18"/>
  <c r="AC90" i="18"/>
  <c r="AC88" i="18"/>
  <c r="AC85" i="18"/>
  <c r="AC214" i="18" s="1"/>
  <c r="AC71" i="18"/>
  <c r="AC207" i="18" s="1"/>
  <c r="AC144" i="18"/>
  <c r="AC145" i="18" s="1"/>
  <c r="AC77" i="18"/>
  <c r="AC219" i="18" s="1"/>
  <c r="AC80" i="18"/>
  <c r="AC211" i="18" s="1"/>
  <c r="AC235" i="18" s="1"/>
  <c r="AD62" i="18"/>
  <c r="AC87" i="18"/>
  <c r="AB208" i="18"/>
  <c r="AB146" i="18"/>
  <c r="AB147" i="18" s="1"/>
  <c r="AB148" i="18"/>
  <c r="AB89" i="18"/>
  <c r="AB212" i="18" s="1"/>
  <c r="AC236" i="18" l="1"/>
  <c r="AC237" i="18" s="1"/>
  <c r="AC234" i="18"/>
  <c r="AB221" i="18"/>
  <c r="AB222" i="18" s="1"/>
  <c r="AB220" i="18"/>
  <c r="AC208" i="18"/>
  <c r="AC89" i="18"/>
  <c r="AC212" i="18" s="1"/>
  <c r="AC148" i="18"/>
  <c r="AC146" i="18"/>
  <c r="AC147" i="18" s="1"/>
  <c r="AD78" i="18"/>
  <c r="AD99" i="18"/>
  <c r="AD88" i="18"/>
  <c r="AD98" i="18"/>
  <c r="AD97" i="18"/>
  <c r="AD83" i="18"/>
  <c r="AD72" i="18"/>
  <c r="AD81" i="18"/>
  <c r="AD80" i="18"/>
  <c r="AD211" i="18" s="1"/>
  <c r="AD235" i="18" s="1"/>
  <c r="AD71" i="18"/>
  <c r="AD207" i="18" s="1"/>
  <c r="AD103" i="18"/>
  <c r="AD169" i="18" s="1"/>
  <c r="AD217" i="18"/>
  <c r="AD239" i="18" s="1"/>
  <c r="AD101" i="18"/>
  <c r="AD79" i="18"/>
  <c r="AD107" i="18"/>
  <c r="AD100" i="18"/>
  <c r="AD84" i="18"/>
  <c r="AD90" i="18"/>
  <c r="AD104" i="18"/>
  <c r="AD105" i="18"/>
  <c r="AD75" i="18"/>
  <c r="AD209" i="18" s="1"/>
  <c r="AD76" i="18"/>
  <c r="AD210" i="18" s="1"/>
  <c r="AD91" i="18"/>
  <c r="AD213" i="18" s="1"/>
  <c r="AD85" i="18"/>
  <c r="AD214" i="18" s="1"/>
  <c r="AD87" i="18"/>
  <c r="AD77" i="18"/>
  <c r="AD219" i="18" s="1"/>
  <c r="AD144" i="18"/>
  <c r="AD145" i="18" s="1"/>
  <c r="AE62" i="18"/>
  <c r="AD236" i="18" l="1"/>
  <c r="AD237" i="18" s="1"/>
  <c r="AD234" i="18"/>
  <c r="AD89" i="18"/>
  <c r="AD212" i="18" s="1"/>
  <c r="AC221" i="18"/>
  <c r="AC222" i="18" s="1"/>
  <c r="AC220" i="18"/>
  <c r="AE78" i="18"/>
  <c r="AE81" i="18"/>
  <c r="AE83" i="18"/>
  <c r="AE72" i="18"/>
  <c r="AE85" i="18"/>
  <c r="AE214" i="18" s="1"/>
  <c r="AE97" i="18"/>
  <c r="AE90" i="18"/>
  <c r="AE98" i="18"/>
  <c r="AE88" i="18"/>
  <c r="AE76" i="18"/>
  <c r="AE210" i="18" s="1"/>
  <c r="AE71" i="18"/>
  <c r="AE207" i="18" s="1"/>
  <c r="AE80" i="18"/>
  <c r="AE211" i="18" s="1"/>
  <c r="AE235" i="18" s="1"/>
  <c r="AE100" i="18"/>
  <c r="AE99" i="18"/>
  <c r="AE79" i="18"/>
  <c r="AE105" i="18"/>
  <c r="AE91" i="18"/>
  <c r="AE213" i="18" s="1"/>
  <c r="AE107" i="18"/>
  <c r="AE217" i="18"/>
  <c r="AE104" i="18"/>
  <c r="AE101" i="18"/>
  <c r="AE84" i="18"/>
  <c r="AE103" i="18"/>
  <c r="AE169" i="18" s="1"/>
  <c r="AE75" i="18"/>
  <c r="AE209" i="18" s="1"/>
  <c r="AF62" i="18"/>
  <c r="AE144" i="18"/>
  <c r="AE145" i="18" s="1"/>
  <c r="AE87" i="18"/>
  <c r="AE77" i="18"/>
  <c r="AE219" i="18" s="1"/>
  <c r="AD146" i="18"/>
  <c r="AD147" i="18" s="1"/>
  <c r="AD148" i="18"/>
  <c r="AD208" i="18"/>
  <c r="AE236" i="18" l="1"/>
  <c r="AE237" i="18" s="1"/>
  <c r="AE234" i="18"/>
  <c r="AD221" i="18"/>
  <c r="AD222" i="18" s="1"/>
  <c r="AD220" i="18"/>
  <c r="AE89" i="18"/>
  <c r="AE212" i="18" s="1"/>
  <c r="AF97" i="18"/>
  <c r="AF84" i="18"/>
  <c r="AF217" i="18"/>
  <c r="AF83" i="18"/>
  <c r="AF85" i="18"/>
  <c r="AF214" i="18" s="1"/>
  <c r="AF100" i="18"/>
  <c r="AF72" i="18"/>
  <c r="AF88" i="18"/>
  <c r="AF105" i="18"/>
  <c r="AF103" i="18"/>
  <c r="AF169" i="18" s="1"/>
  <c r="AF71" i="18"/>
  <c r="AF207" i="18" s="1"/>
  <c r="AF104" i="18"/>
  <c r="AF79" i="18"/>
  <c r="AF81" i="18"/>
  <c r="AF101" i="18"/>
  <c r="AF91" i="18"/>
  <c r="AF213" i="18" s="1"/>
  <c r="AF78" i="18"/>
  <c r="AF107" i="18"/>
  <c r="AF99" i="18"/>
  <c r="AF98" i="18"/>
  <c r="AF90" i="18"/>
  <c r="AF75" i="18"/>
  <c r="AF209" i="18" s="1"/>
  <c r="AF76" i="18"/>
  <c r="AF210" i="18" s="1"/>
  <c r="AF80" i="18"/>
  <c r="AF211" i="18" s="1"/>
  <c r="AF235" i="18" s="1"/>
  <c r="AF144" i="18"/>
  <c r="AF145" i="18" s="1"/>
  <c r="AF77" i="18"/>
  <c r="AF219" i="18" s="1"/>
  <c r="AF87" i="18"/>
  <c r="AG62" i="18"/>
  <c r="AE208" i="18"/>
  <c r="AE146" i="18"/>
  <c r="AE147" i="18" s="1"/>
  <c r="AE148" i="18"/>
  <c r="AF236" i="18" l="1"/>
  <c r="AF237" i="18" s="1"/>
  <c r="AF234" i="18"/>
  <c r="AE221" i="18"/>
  <c r="AE222" i="18" s="1"/>
  <c r="AE220" i="18"/>
  <c r="AF89" i="18"/>
  <c r="AF212" i="18" s="1"/>
  <c r="AF148" i="18"/>
  <c r="AF146" i="18"/>
  <c r="AF147" i="18" s="1"/>
  <c r="AG97" i="18"/>
  <c r="AG99" i="18"/>
  <c r="AG81" i="18"/>
  <c r="AG101" i="18"/>
  <c r="AG71" i="18"/>
  <c r="AG207" i="18" s="1"/>
  <c r="AG79" i="18"/>
  <c r="AG88" i="18"/>
  <c r="AG105" i="18"/>
  <c r="AG100" i="18"/>
  <c r="AG75" i="18"/>
  <c r="AG209" i="18" s="1"/>
  <c r="AG85" i="18"/>
  <c r="AG214" i="18" s="1"/>
  <c r="AG90" i="18"/>
  <c r="AG84" i="18"/>
  <c r="AG217" i="18"/>
  <c r="AG104" i="18"/>
  <c r="AG107" i="18"/>
  <c r="AG98" i="18"/>
  <c r="AG72" i="18"/>
  <c r="AG78" i="18"/>
  <c r="AG83" i="18"/>
  <c r="AG76" i="18"/>
  <c r="AG210" i="18" s="1"/>
  <c r="AG91" i="18"/>
  <c r="AG213" i="18" s="1"/>
  <c r="AG103" i="18"/>
  <c r="AG169" i="18" s="1"/>
  <c r="AG80" i="18"/>
  <c r="AG211" i="18" s="1"/>
  <c r="AG235" i="18" s="1"/>
  <c r="AG144" i="18"/>
  <c r="AG145" i="18" s="1"/>
  <c r="AG87" i="18"/>
  <c r="AG77" i="18"/>
  <c r="AG219" i="18" s="1"/>
  <c r="AH62" i="18"/>
  <c r="AF208" i="18"/>
  <c r="AG236" i="18" l="1"/>
  <c r="AG237" i="18" s="1"/>
  <c r="AG234" i="18"/>
  <c r="AF221" i="18"/>
  <c r="AF222" i="18" s="1"/>
  <c r="AF220" i="18"/>
  <c r="AG208" i="18"/>
  <c r="AG89" i="18"/>
  <c r="AG212" i="18" s="1"/>
  <c r="AG146" i="18"/>
  <c r="AG147" i="18" s="1"/>
  <c r="AG148" i="18"/>
  <c r="AH84" i="18"/>
  <c r="AH97" i="18"/>
  <c r="AH88" i="18"/>
  <c r="AH78" i="18"/>
  <c r="AH103" i="18"/>
  <c r="AH169" i="18" s="1"/>
  <c r="AH105" i="18"/>
  <c r="AH98" i="18"/>
  <c r="AH104" i="18"/>
  <c r="AH81" i="18"/>
  <c r="AH71" i="18"/>
  <c r="AH207" i="18" s="1"/>
  <c r="AH91" i="18"/>
  <c r="AH213" i="18" s="1"/>
  <c r="AH101" i="18"/>
  <c r="AH76" i="18"/>
  <c r="AH210" i="18" s="1"/>
  <c r="AH107" i="18"/>
  <c r="AH99" i="18"/>
  <c r="AH100" i="18"/>
  <c r="AH90" i="18"/>
  <c r="AH83" i="18"/>
  <c r="AH72" i="18"/>
  <c r="AH217" i="18"/>
  <c r="AH79" i="18"/>
  <c r="AH75" i="18"/>
  <c r="AH209" i="18" s="1"/>
  <c r="AH85" i="18"/>
  <c r="AH214" i="18" s="1"/>
  <c r="AH80" i="18"/>
  <c r="AH211" i="18" s="1"/>
  <c r="AH235" i="18" s="1"/>
  <c r="AH144" i="18"/>
  <c r="AH145" i="18" s="1"/>
  <c r="AH77" i="18"/>
  <c r="AH219" i="18" s="1"/>
  <c r="AI62" i="18"/>
  <c r="AH87" i="18"/>
  <c r="AL62" i="18" l="1"/>
  <c r="AJ62" i="18"/>
  <c r="AH236" i="18"/>
  <c r="AH237" i="18" s="1"/>
  <c r="AH234" i="18"/>
  <c r="AG221" i="18"/>
  <c r="AG222" i="18" s="1"/>
  <c r="AG220" i="18"/>
  <c r="AH89" i="18"/>
  <c r="AH212" i="18" s="1"/>
  <c r="AH208" i="18"/>
  <c r="AI217" i="18"/>
  <c r="AI104" i="18"/>
  <c r="AL104" i="18" s="1"/>
  <c r="AI105" i="18"/>
  <c r="AL105" i="18" s="1"/>
  <c r="AI72" i="18"/>
  <c r="AL72" i="18" s="1"/>
  <c r="AI78" i="18"/>
  <c r="AL78" i="18" s="1"/>
  <c r="AI107" i="18"/>
  <c r="AI103" i="18"/>
  <c r="AL103" i="18" s="1"/>
  <c r="AI75" i="18"/>
  <c r="AL75" i="18" s="1"/>
  <c r="AI71" i="18"/>
  <c r="AL71" i="18" s="1"/>
  <c r="AI76" i="18"/>
  <c r="AL76" i="18" s="1"/>
  <c r="AI80" i="18"/>
  <c r="AL80" i="18" s="1"/>
  <c r="AI90" i="18"/>
  <c r="AL90" i="18" s="1"/>
  <c r="AI77" i="18"/>
  <c r="AI91" i="18"/>
  <c r="AL91" i="18" s="1"/>
  <c r="AI98" i="18"/>
  <c r="AL98" i="18" s="1"/>
  <c r="AI100" i="18"/>
  <c r="AL100" i="18" s="1"/>
  <c r="AI85" i="18"/>
  <c r="AL85" i="18" s="1"/>
  <c r="AI87" i="18"/>
  <c r="AL87" i="18" s="1"/>
  <c r="AI83" i="18"/>
  <c r="AL83" i="18" s="1"/>
  <c r="AI88" i="18"/>
  <c r="AL88" i="18" s="1"/>
  <c r="AI99" i="18"/>
  <c r="AL99" i="18" s="1"/>
  <c r="AI97" i="18"/>
  <c r="AL97" i="18" s="1"/>
  <c r="AI81" i="18"/>
  <c r="AL81" i="18" s="1"/>
  <c r="AI101" i="18"/>
  <c r="AL101" i="18" s="1"/>
  <c r="AI144" i="18"/>
  <c r="AL144" i="18" s="1"/>
  <c r="AI79" i="18"/>
  <c r="AL79" i="18" s="1"/>
  <c r="AI84" i="18"/>
  <c r="AL84" i="18" s="1"/>
  <c r="AH148" i="18"/>
  <c r="AH146" i="18"/>
  <c r="AH147" i="18" s="1"/>
  <c r="AL107" i="18" l="1"/>
  <c r="AJ107" i="18"/>
  <c r="AI219" i="18"/>
  <c r="AL77" i="18"/>
  <c r="AA176" i="18" s="1"/>
  <c r="T248" i="18" s="1"/>
  <c r="AH221" i="18"/>
  <c r="AH222" i="18" s="1"/>
  <c r="AH220" i="18"/>
  <c r="AI145" i="18"/>
  <c r="AL145" i="18" s="1"/>
  <c r="AJ144" i="18"/>
  <c r="AJ99" i="18"/>
  <c r="Z199" i="18"/>
  <c r="AA199" i="18"/>
  <c r="AA184" i="18"/>
  <c r="T244" i="18" s="1"/>
  <c r="AI214" i="18"/>
  <c r="AJ85" i="18"/>
  <c r="Z184" i="18"/>
  <c r="U244" i="18" s="1"/>
  <c r="AJ77" i="18"/>
  <c r="Z176" i="18"/>
  <c r="AI208" i="18"/>
  <c r="AI220" i="18" s="1"/>
  <c r="AJ220" i="18" s="1"/>
  <c r="AJ71" i="18"/>
  <c r="AI207" i="18"/>
  <c r="AJ105" i="18"/>
  <c r="Z203" i="18"/>
  <c r="U247" i="18" s="1"/>
  <c r="AA203" i="18"/>
  <c r="T247" i="18" s="1"/>
  <c r="AJ101" i="18"/>
  <c r="AJ88" i="18"/>
  <c r="AA200" i="18"/>
  <c r="AJ100" i="18"/>
  <c r="Z200" i="18"/>
  <c r="AJ90" i="18"/>
  <c r="Z186" i="18"/>
  <c r="AA186" i="18"/>
  <c r="AJ75" i="18"/>
  <c r="AI209" i="18"/>
  <c r="AJ78" i="18"/>
  <c r="AJ104" i="18"/>
  <c r="AJ84" i="18"/>
  <c r="AA183" i="18"/>
  <c r="Z183" i="18"/>
  <c r="AJ81" i="18"/>
  <c r="Z179" i="18"/>
  <c r="AA179" i="18"/>
  <c r="Z182" i="18"/>
  <c r="AJ83" i="18"/>
  <c r="AA182" i="18"/>
  <c r="AJ98" i="18"/>
  <c r="Z198" i="18"/>
  <c r="AA198" i="18"/>
  <c r="AJ80" i="18"/>
  <c r="AA178" i="18"/>
  <c r="AI211" i="18"/>
  <c r="AI235" i="18" s="1"/>
  <c r="Z178" i="18"/>
  <c r="AJ103" i="18"/>
  <c r="AI169" i="18"/>
  <c r="AJ217" i="18"/>
  <c r="AL217" i="18" s="1"/>
  <c r="AL232" i="18" s="1"/>
  <c r="Z177" i="18"/>
  <c r="U245" i="18" s="1"/>
  <c r="AA177" i="18"/>
  <c r="T245" i="18" s="1"/>
  <c r="AJ79" i="18"/>
  <c r="AJ97" i="18"/>
  <c r="Z197" i="18"/>
  <c r="AA197" i="18"/>
  <c r="AJ87" i="18"/>
  <c r="AA180" i="18"/>
  <c r="Z180" i="18"/>
  <c r="AI89" i="18"/>
  <c r="AL89" i="18" s="1"/>
  <c r="AJ91" i="18"/>
  <c r="AI213" i="18"/>
  <c r="Z187" i="18"/>
  <c r="AA187" i="18"/>
  <c r="AJ76" i="18"/>
  <c r="AI210" i="18"/>
  <c r="AJ72" i="18"/>
  <c r="R235" i="18" l="1"/>
  <c r="V235" i="18"/>
  <c r="T235" i="18"/>
  <c r="S235" i="18"/>
  <c r="W235" i="18"/>
  <c r="U235" i="18"/>
  <c r="AJ169" i="18"/>
  <c r="AL169" i="18"/>
  <c r="U248" i="18"/>
  <c r="U249" i="18" s="1"/>
  <c r="G235" i="18"/>
  <c r="G236" i="18" s="1"/>
  <c r="G237" i="18" s="1"/>
  <c r="AI236" i="18"/>
  <c r="AI237" i="18" s="1"/>
  <c r="AI234" i="18"/>
  <c r="I235" i="18"/>
  <c r="K235" i="18"/>
  <c r="M235" i="18"/>
  <c r="O235" i="18"/>
  <c r="Q235" i="18"/>
  <c r="H235" i="18"/>
  <c r="J235" i="18"/>
  <c r="L235" i="18"/>
  <c r="N235" i="18"/>
  <c r="P235" i="18"/>
  <c r="Y180" i="18"/>
  <c r="AA201" i="18"/>
  <c r="AJ219" i="18"/>
  <c r="AL219" i="18" s="1"/>
  <c r="AL234" i="18" s="1"/>
  <c r="Y197" i="18"/>
  <c r="Y182" i="18"/>
  <c r="Y178" i="18"/>
  <c r="Y186" i="18"/>
  <c r="AI212" i="18"/>
  <c r="AJ89" i="18"/>
  <c r="AJ211" i="18"/>
  <c r="AL211" i="18" s="1"/>
  <c r="Z201" i="18"/>
  <c r="Y198" i="18"/>
  <c r="Y183" i="18"/>
  <c r="Y203" i="18"/>
  <c r="Y199" i="18"/>
  <c r="AJ210" i="18"/>
  <c r="AL210" i="18" s="1"/>
  <c r="Y187" i="18"/>
  <c r="Y177" i="18"/>
  <c r="Y200" i="18"/>
  <c r="AJ214" i="18"/>
  <c r="AL214" i="18" s="1"/>
  <c r="AJ213" i="18"/>
  <c r="AL213" i="18" s="1"/>
  <c r="AL227" i="18" s="1"/>
  <c r="Y179" i="18"/>
  <c r="AI221" i="18"/>
  <c r="AJ208" i="18"/>
  <c r="AL208" i="18" s="1"/>
  <c r="AL221" i="18" s="1"/>
  <c r="AL236" i="18" s="1"/>
  <c r="AJ209" i="18"/>
  <c r="AL209" i="18" s="1"/>
  <c r="AL222" i="18" s="1"/>
  <c r="AL237" i="18" s="1"/>
  <c r="AJ207" i="18"/>
  <c r="AL207" i="18" s="1"/>
  <c r="AL220" i="18" s="1"/>
  <c r="AL235" i="18" s="1"/>
  <c r="Y176" i="18"/>
  <c r="T249" i="18" s="1"/>
  <c r="Y184" i="18"/>
  <c r="AI148" i="18"/>
  <c r="AJ145" i="18"/>
  <c r="AI146" i="18"/>
  <c r="AL146" i="18" s="1"/>
  <c r="U234" i="18" l="1"/>
  <c r="U236" i="18"/>
  <c r="U237" i="18" s="1"/>
  <c r="V234" i="18"/>
  <c r="V236" i="18"/>
  <c r="V237" i="18" s="1"/>
  <c r="S234" i="18"/>
  <c r="S236" i="18"/>
  <c r="S237" i="18" s="1"/>
  <c r="T234" i="18"/>
  <c r="T236" i="18"/>
  <c r="T237" i="18" s="1"/>
  <c r="W234" i="18"/>
  <c r="W236" i="18"/>
  <c r="W237" i="18" s="1"/>
  <c r="R234" i="18"/>
  <c r="R236" i="18"/>
  <c r="R237" i="18" s="1"/>
  <c r="G234" i="18"/>
  <c r="AJ148" i="18"/>
  <c r="AL148" i="18"/>
  <c r="X234" i="18"/>
  <c r="X235" i="18"/>
  <c r="P236" i="18"/>
  <c r="P237" i="18" s="1"/>
  <c r="P234" i="18"/>
  <c r="L236" i="18"/>
  <c r="L237" i="18" s="1"/>
  <c r="L234" i="18"/>
  <c r="H236" i="18"/>
  <c r="H237" i="18" s="1"/>
  <c r="H234" i="18"/>
  <c r="Q236" i="18"/>
  <c r="Q237" i="18" s="1"/>
  <c r="Q234" i="18"/>
  <c r="M236" i="18"/>
  <c r="M237" i="18" s="1"/>
  <c r="M234" i="18"/>
  <c r="I236" i="18"/>
  <c r="I237" i="18" s="1"/>
  <c r="I234" i="18"/>
  <c r="N234" i="18"/>
  <c r="N236" i="18"/>
  <c r="N237" i="18" s="1"/>
  <c r="J234" i="18"/>
  <c r="AJ234" i="18" s="1"/>
  <c r="J236" i="18"/>
  <c r="AJ235" i="18"/>
  <c r="O236" i="18"/>
  <c r="O237" i="18" s="1"/>
  <c r="O234" i="18"/>
  <c r="K236" i="18"/>
  <c r="K237" i="18" s="1"/>
  <c r="K234" i="18"/>
  <c r="AL225" i="18"/>
  <c r="AL224" i="18"/>
  <c r="AJ221" i="18"/>
  <c r="AI222" i="18"/>
  <c r="AJ222" i="18" s="1"/>
  <c r="Y201" i="18"/>
  <c r="AJ146" i="18"/>
  <c r="AI147" i="18"/>
  <c r="P244" i="18"/>
  <c r="P245" i="18"/>
  <c r="P247" i="18"/>
  <c r="AJ212" i="18"/>
  <c r="AL212" i="18" s="1"/>
  <c r="AL226" i="18" s="1"/>
  <c r="AJ147" i="18" l="1"/>
  <c r="AL147" i="18"/>
  <c r="X237" i="18"/>
  <c r="X236" i="18"/>
  <c r="J237" i="18"/>
  <c r="AJ237" i="18" s="1"/>
  <c r="AJ236" i="18"/>
</calcChain>
</file>

<file path=xl/comments1.xml><?xml version="1.0" encoding="utf-8"?>
<comments xmlns="http://schemas.openxmlformats.org/spreadsheetml/2006/main">
  <authors>
    <author>Author</author>
  </authors>
  <commentList>
    <comment ref="B1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U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<sst xmlns="http://schemas.openxmlformats.org/spreadsheetml/2006/main" count="768" uniqueCount="514">
  <si>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</si>
  <si>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</si>
  <si>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</si>
  <si>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</si>
  <si>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</si>
  <si>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</si>
  <si>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</si>
  <si>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</si>
  <si>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</si>
  <si>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</si>
  <si>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</si>
  <si>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</si>
  <si>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</si>
  <si>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</si>
  <si>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</si>
  <si>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</si>
  <si>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</si>
  <si>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</si>
  <si>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</si>
  <si>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</si>
  <si>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</si>
  <si>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</si>
  <si>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</si>
  <si>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</si>
  <si>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</si>
  <si>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</si>
  <si>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</si>
  <si>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</si>
  <si>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</si>
  <si>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</si>
  <si>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</si>
  <si>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</si>
  <si>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</si>
  <si>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</si>
  <si>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</si>
  <si>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</si>
  <si>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</si>
  <si>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</si>
  <si>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</si>
  <si>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</si>
  <si>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</si>
  <si>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</si>
  <si>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</si>
  <si>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</si>
  <si>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</si>
  <si>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</si>
  <si>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</si>
  <si>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</si>
  <si>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</si>
  <si>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</si>
  <si>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</si>
  <si>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</si>
  <si>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</si>
  <si>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</si>
  <si>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</si>
  <si>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</si>
  <si>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</si>
  <si>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</si>
  <si>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</si>
  <si>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</si>
  <si>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</si>
  <si>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</si>
  <si>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</si>
  <si>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</si>
  <si>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</si>
  <si>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</si>
  <si>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</si>
  <si>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</si>
  <si>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</si>
  <si>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</si>
  <si>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</si>
  <si>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</si>
  <si>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</si>
  <si>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</si>
  <si>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</si>
  <si>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</si>
  <si>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</si>
  <si>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</si>
  <si>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</si>
  <si>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</si>
  <si>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</si>
  <si>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</si>
  <si>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</si>
  <si>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</si>
  <si>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</si>
  <si>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</si>
  <si>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</si>
  <si>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</si>
  <si>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</si>
  <si>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</si>
  <si>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</si>
  <si>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</si>
  <si>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</si>
  <si>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</si>
  <si>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</si>
  <si>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</si>
  <si>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</si>
  <si>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</si>
  <si>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</si>
  <si>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</si>
  <si>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</si>
  <si>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</si>
  <si>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</si>
  <si>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</si>
  <si>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</si>
  <si>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</si>
  <si>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</si>
  <si>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</si>
  <si>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</si>
  <si>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</si>
  <si>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</si>
  <si>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</si>
  <si>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</si>
  <si>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</si>
  <si>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</si>
  <si>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</si>
  <si>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</si>
  <si>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</si>
  <si>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</si>
  <si>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</si>
  <si>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</si>
  <si>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</si>
  <si>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</si>
  <si>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</si>
  <si>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</si>
  <si>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</si>
  <si>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</si>
  <si>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</si>
  <si>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</si>
  <si>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</si>
  <si>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</si>
  <si>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</si>
  <si>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</si>
  <si>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</si>
  <si>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</si>
  <si>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</si>
  <si>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</si>
  <si>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</si>
  <si>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</si>
  <si>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</si>
  <si>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</si>
  <si>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</si>
  <si>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</si>
  <si>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</si>
  <si>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</si>
  <si>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</si>
  <si>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</si>
  <si>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</si>
  <si>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</si>
  <si>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</si>
  <si>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</si>
  <si>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</si>
  <si>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</si>
  <si>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</si>
  <si>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</si>
  <si>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</si>
  <si>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</si>
  <si>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</si>
  <si>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</si>
  <si>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</si>
  <si>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</si>
  <si>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</si>
  <si>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</si>
  <si>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</si>
  <si>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</si>
  <si>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</si>
  <si>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</si>
  <si>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</si>
  <si>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</si>
  <si>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</si>
  <si>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</si>
  <si>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</si>
  <si>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</si>
  <si>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</si>
  <si>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</si>
  <si>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</si>
  <si>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</si>
  <si>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</si>
  <si>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</si>
  <si>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</si>
  <si>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</si>
  <si>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</si>
  <si>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</si>
  <si>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</si>
  <si>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</si>
  <si>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</si>
  <si>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</si>
  <si>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</si>
  <si>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</si>
  <si>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</si>
  <si>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</si>
  <si>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</si>
  <si>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</si>
  <si>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</si>
  <si>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</si>
  <si>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</si>
  <si>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</si>
  <si>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</si>
  <si>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</si>
  <si>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</si>
  <si>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</si>
  <si>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</si>
  <si>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</si>
  <si>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</si>
  <si>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</si>
  <si>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</si>
  <si>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</si>
  <si>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</si>
  <si>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</si>
  <si>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</si>
  <si>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</si>
  <si>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</si>
  <si>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</si>
  <si>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</si>
  <si>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</si>
  <si>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</si>
  <si>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</si>
  <si>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</si>
  <si>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</si>
  <si>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</si>
  <si>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</si>
  <si>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</si>
  <si>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</si>
  <si>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</si>
  <si>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</si>
  <si>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</si>
  <si>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</si>
  <si>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</si>
  <si>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</si>
  <si>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</si>
  <si>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</si>
  <si>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</si>
  <si>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</si>
  <si>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</si>
  <si>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</si>
  <si>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</si>
  <si>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</si>
  <si>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</si>
  <si>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</si>
  <si>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</si>
  <si>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</si>
  <si>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</si>
  <si>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</si>
  <si>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</si>
  <si>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</si>
  <si>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</si>
  <si>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</si>
  <si>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</si>
  <si>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</si>
  <si>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</si>
  <si>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</si>
  <si>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</si>
  <si>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</si>
  <si>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</si>
  <si>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</si>
  <si>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</si>
  <si>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</si>
  <si>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</si>
  <si>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</si>
  <si>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</si>
  <si>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</si>
  <si>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</si>
  <si>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</si>
  <si>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</si>
  <si>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</si>
  <si>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</si>
  <si>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</si>
  <si>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</si>
  <si>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</si>
  <si>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</si>
  <si>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</si>
  <si>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</si>
  <si>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</si>
  <si>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</si>
  <si>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</si>
  <si>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</si>
  <si>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</si>
  <si>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</si>
  <si>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</si>
  <si>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</si>
  <si>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</si>
  <si>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</si>
  <si>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</si>
  <si>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</si>
  <si>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</si>
  <si>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</si>
  <si>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</si>
  <si>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</si>
  <si>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</si>
  <si>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</si>
  <si>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</si>
  <si>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</si>
  <si>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</si>
  <si>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</si>
  <si>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</si>
  <si>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</si>
  <si>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</si>
  <si>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</si>
  <si>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</si>
  <si>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</si>
  <si>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</si>
  <si>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</si>
  <si>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</si>
  <si>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</si>
  <si>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</si>
  <si>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</si>
  <si>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</si>
  <si>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</si>
  <si>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</si>
  <si>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</si>
  <si>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</si>
  <si>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</si>
  <si>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</si>
  <si>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</si>
  <si>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</si>
  <si>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</si>
  <si>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</si>
  <si>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</si>
  <si>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</si>
  <si>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</si>
  <si>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</si>
  <si>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</si>
  <si>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</si>
  <si>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</si>
  <si>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</si>
  <si>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</si>
  <si>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</si>
  <si>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</si>
  <si>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</si>
  <si>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</si>
  <si>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</si>
  <si>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</si>
  <si>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</si>
  <si>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</si>
  <si>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</si>
  <si>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</si>
  <si>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</si>
  <si>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</si>
  <si>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</si>
  <si>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</si>
  <si>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</si>
  <si>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</si>
  <si>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</si>
  <si>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</si>
  <si>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</si>
  <si>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</si>
  <si>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</si>
  <si>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</si>
  <si>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</si>
  <si>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</si>
  <si>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</si>
  <si>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</si>
  <si>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</si>
  <si>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</si>
  <si>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</si>
  <si>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</si>
  <si>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</si>
  <si>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</si>
  <si>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</si>
  <si>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</si>
  <si>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</si>
  <si>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</si>
  <si>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</si>
  <si>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</si>
  <si>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</si>
  <si>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</si>
  <si>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</si>
  <si>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</si>
  <si>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</si>
  <si>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</si>
  <si>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</si>
  <si>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</si>
  <si>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</si>
  <si>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</si>
  <si>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</si>
  <si>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</si>
  <si>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</si>
  <si>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</si>
  <si>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</si>
  <si>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</si>
  <si>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</si>
  <si>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</si>
  <si>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</si>
  <si>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</si>
  <si>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</si>
  <si>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</si>
  <si>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</si>
  <si>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</si>
  <si>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</si>
  <si>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</si>
  <si>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</si>
  <si>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</si>
  <si>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</si>
  <si>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</si>
  <si>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</si>
  <si>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</si>
  <si>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</si>
  <si>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</si>
  <si>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</si>
  <si>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</si>
  <si>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</si>
  <si>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</si>
  <si>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</si>
  <si>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</si>
  <si>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</si>
  <si>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</si>
  <si>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</si>
  <si>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</si>
  <si>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</si>
  <si>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</si>
  <si>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</si>
  <si>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</si>
  <si>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</si>
  <si>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</si>
  <si>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</si>
  <si>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</si>
  <si>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</si>
  <si>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</si>
  <si>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</si>
  <si>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</si>
  <si>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</si>
  <si>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</si>
  <si>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</si>
  <si>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</si>
  <si>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</si>
  <si>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</si>
  <si>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</si>
  <si>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</si>
  <si>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</si>
  <si>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</si>
  <si>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</si>
  <si>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</si>
  <si>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</si>
  <si>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</si>
  <si>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</si>
  <si>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</si>
  <si>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</si>
  <si>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</si>
  <si>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</si>
  <si>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</si>
  <si>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</si>
  <si>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</si>
  <si>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</si>
  <si>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</si>
  <si>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</si>
  <si>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</si>
  <si>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</si>
  <si>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</si>
  <si>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</si>
  <si>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</si>
  <si>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</si>
  <si>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</si>
  <si>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</si>
  <si>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</si>
  <si>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</si>
  <si>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</si>
  <si>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</si>
  <si>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</si>
  <si>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</si>
  <si>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</si>
  <si>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</si>
  <si>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</si>
  <si>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</si>
  <si>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</si>
  <si>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</si>
  <si>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</si>
  <si>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</si>
  <si>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</si>
  <si>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</si>
  <si>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</si>
  <si>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</si>
  <si>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</si>
  <si>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</si>
  <si>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</si>
  <si>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</si>
  <si>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</si>
  <si>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</si>
  <si>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</si>
  <si>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</si>
  <si>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</si>
  <si>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</si>
  <si>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</si>
  <si>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</si>
  <si>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</si>
  <si>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</si>
  <si>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</si>
  <si>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</si>
  <si>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</si>
  <si>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</si>
  <si>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</si>
  <si>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</si>
  <si>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</si>
  <si>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</si>
  <si>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</si>
  <si>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</si>
  <si>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</si>
  <si>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</si>
  <si>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</si>
  <si>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</si>
  <si>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</si>
  <si>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</si>
  <si>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</si>
  <si>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</si>
  <si>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</si>
  <si>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</si>
  <si>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</si>
  <si>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</si>
  <si>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</si>
  <si>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</si>
  <si>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</si>
  <si>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</si>
  <si>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10x1</t>
  </si>
  <si>
    <t>35x100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</si>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</sst>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174" fontId="4" fillId="16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77" t="s">
        <v>434</v>
      </c>
      <c r="C3" s="277"/>
      <c r="D3" s="277"/>
      <c r="G3" s="277" t="s">
        <v>435</v>
      </c>
      <c r="H3" s="277"/>
      <c r="I3" s="277"/>
      <c r="P3" s="278" t="s">
        <v>436</v>
      </c>
      <c r="Q3" s="279"/>
      <c r="R3" s="279"/>
      <c r="S3" s="280"/>
      <c r="T3" s="278" t="s">
        <v>437</v>
      </c>
      <c r="U3" s="279"/>
      <c r="V3" s="279"/>
      <c r="W3" s="280"/>
    </row>
    <row r="4" spans="2:23" x14ac:dyDescent="0.25">
      <c r="B4" s="181" t="s">
        <v>438</v>
      </c>
      <c r="C4" s="281">
        <v>9500000</v>
      </c>
      <c r="D4" s="281"/>
      <c r="G4" s="181" t="s">
        <v>439</v>
      </c>
      <c r="H4" s="282">
        <v>200000</v>
      </c>
      <c r="I4" s="282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83">
        <v>0.08</v>
      </c>
      <c r="D5" s="284"/>
      <c r="G5" s="181" t="s">
        <v>445</v>
      </c>
      <c r="H5" s="285">
        <v>0.12</v>
      </c>
      <c r="I5" s="285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82">
        <v>30</v>
      </c>
      <c r="D6" s="282"/>
      <c r="G6" s="181" t="s">
        <v>447</v>
      </c>
      <c r="H6" s="282">
        <v>10</v>
      </c>
      <c r="I6" s="282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86"/>
      <c r="D7" s="286"/>
      <c r="G7" s="181"/>
      <c r="H7" s="286"/>
      <c r="I7" s="286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86"/>
      <c r="D8" s="286"/>
      <c r="G8" s="181"/>
      <c r="H8" s="286"/>
      <c r="I8" s="286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7">
        <f>C4*(1/(1+C5)^C6)</f>
        <v>944084.6592231117</v>
      </c>
      <c r="D9" s="287"/>
      <c r="G9" s="199" t="s">
        <v>452</v>
      </c>
      <c r="H9" s="287">
        <f>H4*((1+H5)^H6)</f>
        <v>621169.64166884217</v>
      </c>
      <c r="I9" s="287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7">
        <f>C4-C9</f>
        <v>8555915.3407768887</v>
      </c>
      <c r="D10" s="287"/>
      <c r="G10" s="199" t="s">
        <v>454</v>
      </c>
      <c r="H10" s="288">
        <f>H9-H4</f>
        <v>421169.64166884217</v>
      </c>
      <c r="I10" s="288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77" t="s">
        <v>458</v>
      </c>
      <c r="C14" s="277"/>
      <c r="D14" s="277"/>
      <c r="G14" s="277" t="s">
        <v>459</v>
      </c>
      <c r="H14" s="277"/>
      <c r="I14" s="277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82">
        <v>24000</v>
      </c>
      <c r="D15" s="282"/>
      <c r="G15" s="181" t="s">
        <v>460</v>
      </c>
      <c r="H15" s="282">
        <v>200000</v>
      </c>
      <c r="I15" s="282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83">
        <v>0.1</v>
      </c>
      <c r="D16" s="284"/>
      <c r="G16" s="181" t="s">
        <v>445</v>
      </c>
      <c r="H16" s="283">
        <v>0.12</v>
      </c>
      <c r="I16" s="284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82">
        <v>20</v>
      </c>
      <c r="D17" s="282"/>
      <c r="G17" s="181" t="s">
        <v>447</v>
      </c>
      <c r="H17" s="282">
        <v>10</v>
      </c>
      <c r="I17" s="282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86"/>
      <c r="D18" s="286"/>
      <c r="G18" s="181"/>
      <c r="H18" s="286"/>
      <c r="I18" s="286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9">
        <f>( ( 1-  (1/ ( (1+C16)^C17) ) ) / C16)</f>
        <v>8.5135637197585652</v>
      </c>
      <c r="D19" s="290"/>
      <c r="G19" s="199" t="s">
        <v>462</v>
      </c>
      <c r="H19" s="289">
        <f>( ((1+H16)^H17) -1 ) / H16</f>
        <v>17.548735069535095</v>
      </c>
      <c r="I19" s="290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1">
        <f>C19 * C15</f>
        <v>204325.52927420556</v>
      </c>
      <c r="D20" s="292"/>
      <c r="G20" s="199" t="s">
        <v>464</v>
      </c>
      <c r="H20" s="289">
        <f>H19 * H15</f>
        <v>3509747.013907019</v>
      </c>
      <c r="I20" s="290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93"/>
      <c r="D21" s="294"/>
      <c r="G21" s="199"/>
      <c r="H21" s="293"/>
      <c r="I21" s="294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7"/>
      <c r="D22" s="287"/>
      <c r="G22" s="199"/>
      <c r="H22" s="287"/>
      <c r="I22" s="287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77" t="s">
        <v>465</v>
      </c>
      <c r="C26" s="277"/>
      <c r="D26" s="277"/>
      <c r="G26" s="277" t="s">
        <v>466</v>
      </c>
      <c r="H26" s="277"/>
      <c r="I26" s="277"/>
      <c r="K26" s="277" t="s">
        <v>15</v>
      </c>
      <c r="L26" s="277"/>
    </row>
    <row r="27" spans="2:18" x14ac:dyDescent="0.25">
      <c r="B27" s="181" t="s">
        <v>460</v>
      </c>
      <c r="C27" s="282">
        <v>100</v>
      </c>
      <c r="D27" s="282"/>
      <c r="G27" s="181" t="s">
        <v>460</v>
      </c>
      <c r="H27" s="282">
        <v>200000</v>
      </c>
      <c r="I27" s="282"/>
      <c r="K27" s="10" t="s">
        <v>16</v>
      </c>
      <c r="L27" s="11">
        <v>45</v>
      </c>
      <c r="M27" s="271">
        <v>2000000</v>
      </c>
    </row>
    <row r="28" spans="2:18" x14ac:dyDescent="0.25">
      <c r="B28" s="181" t="s">
        <v>445</v>
      </c>
      <c r="C28" s="283">
        <v>0.05</v>
      </c>
      <c r="D28" s="284"/>
      <c r="G28" s="181" t="s">
        <v>445</v>
      </c>
      <c r="H28" s="283">
        <v>0.12</v>
      </c>
      <c r="I28" s="284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 x14ac:dyDescent="0.25">
      <c r="B29" s="181" t="s">
        <v>447</v>
      </c>
      <c r="C29" s="282">
        <v>3</v>
      </c>
      <c r="D29" s="282"/>
      <c r="G29" s="181" t="s">
        <v>447</v>
      </c>
      <c r="H29" s="282">
        <v>11</v>
      </c>
      <c r="I29" s="282"/>
      <c r="K29" s="10" t="s">
        <v>18</v>
      </c>
      <c r="L29" s="12">
        <v>8</v>
      </c>
      <c r="M29" s="270"/>
    </row>
    <row r="30" spans="2:18" ht="15.75" thickBot="1" x14ac:dyDescent="0.3">
      <c r="B30" s="181"/>
      <c r="C30" s="286"/>
      <c r="D30" s="286"/>
      <c r="G30" s="181"/>
      <c r="H30" s="286"/>
      <c r="I30" s="286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199" t="s">
        <v>461</v>
      </c>
      <c r="C31" s="289">
        <f>( ( ( 1-  (1/ ( (1+C28)^C29) ) ) / C28) ) * (1+C28)</f>
        <v>2.859410430839004</v>
      </c>
      <c r="D31" s="290"/>
      <c r="G31" s="199" t="s">
        <v>462</v>
      </c>
      <c r="H31" s="289">
        <f>(( ((1+H28)^H29) -1 ) / H28 ) * ( 1+H28)</f>
        <v>23.133133271224832</v>
      </c>
      <c r="I31" s="290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 x14ac:dyDescent="0.25">
      <c r="B32" s="199" t="s">
        <v>469</v>
      </c>
      <c r="C32" s="289">
        <f>C31 * C27</f>
        <v>285.94104308390041</v>
      </c>
      <c r="D32" s="290"/>
      <c r="G32" s="199" t="s">
        <v>470</v>
      </c>
      <c r="H32" s="289">
        <f>H31 * H27</f>
        <v>4626626.6542449668</v>
      </c>
      <c r="I32" s="290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 x14ac:dyDescent="0.25">
      <c r="B33" s="199"/>
      <c r="C33" s="293"/>
      <c r="D33" s="294"/>
      <c r="G33" s="199"/>
      <c r="H33" s="293"/>
      <c r="I33" s="294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 x14ac:dyDescent="0.25">
      <c r="B34" s="199"/>
      <c r="C34" s="287"/>
      <c r="D34" s="287"/>
      <c r="G34" s="199"/>
      <c r="H34" s="287"/>
      <c r="I34" s="287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77" t="s">
        <v>24</v>
      </c>
      <c r="C36" s="277"/>
      <c r="D36" s="277"/>
      <c r="E36" s="217"/>
      <c r="G36" s="277" t="s">
        <v>53</v>
      </c>
      <c r="H36" s="277"/>
      <c r="K36" s="277" t="s">
        <v>334</v>
      </c>
      <c r="L36" s="277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97" t="s">
        <v>452</v>
      </c>
      <c r="D43" s="297"/>
      <c r="E43" s="297"/>
      <c r="F43" s="297"/>
      <c r="J43" s="297" t="s">
        <v>452</v>
      </c>
      <c r="K43" s="297"/>
      <c r="L43" s="297"/>
      <c r="M43" s="297"/>
    </row>
    <row r="44" spans="2:17" ht="15.75" thickBot="1" x14ac:dyDescent="0.3">
      <c r="B44" s="227"/>
      <c r="C44" s="295" t="s">
        <v>473</v>
      </c>
      <c r="D44" s="296"/>
      <c r="E44" s="228" t="s">
        <v>474</v>
      </c>
      <c r="F44" s="228"/>
      <c r="G44" s="229"/>
      <c r="I44" s="227"/>
      <c r="J44" s="295" t="s">
        <v>475</v>
      </c>
      <c r="K44" s="296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98" t="s">
        <v>477</v>
      </c>
      <c r="C46" s="299"/>
      <c r="D46" s="299"/>
      <c r="E46" s="299"/>
      <c r="F46" s="299"/>
      <c r="G46" s="300"/>
      <c r="I46" s="298" t="s">
        <v>477</v>
      </c>
      <c r="J46" s="299"/>
      <c r="K46" s="299"/>
      <c r="L46" s="299"/>
      <c r="M46" s="299"/>
      <c r="N46" s="300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301" t="s">
        <v>485</v>
      </c>
      <c r="C81" s="302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301" t="s">
        <v>485</v>
      </c>
      <c r="J81" s="302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97" t="s">
        <v>487</v>
      </c>
      <c r="D84" s="297"/>
      <c r="E84" s="297"/>
      <c r="F84" s="297"/>
      <c r="H84" s="248">
        <f t="shared" si="14"/>
        <v>0</v>
      </c>
      <c r="J84" s="297" t="s">
        <v>487</v>
      </c>
      <c r="K84" s="297"/>
      <c r="L84" s="297"/>
      <c r="M84" s="297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95" t="s">
        <v>473</v>
      </c>
      <c r="D86" s="296"/>
      <c r="E86" s="228" t="s">
        <v>474</v>
      </c>
      <c r="F86" s="228"/>
      <c r="G86" s="229"/>
      <c r="H86" s="248">
        <f t="shared" si="14"/>
        <v>0</v>
      </c>
      <c r="I86" s="227"/>
      <c r="J86" s="295" t="s">
        <v>488</v>
      </c>
      <c r="K86" s="296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98" t="s">
        <v>490</v>
      </c>
      <c r="C88" s="299"/>
      <c r="D88" s="299"/>
      <c r="E88" s="299"/>
      <c r="F88" s="299"/>
      <c r="G88" s="300"/>
      <c r="H88" s="248">
        <f t="shared" si="14"/>
        <v>0</v>
      </c>
      <c r="I88" s="298" t="s">
        <v>490</v>
      </c>
      <c r="J88" s="299"/>
      <c r="K88" s="299"/>
      <c r="L88" s="299"/>
      <c r="M88" s="299"/>
      <c r="N88" s="300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301" t="s">
        <v>496</v>
      </c>
      <c r="C124" s="302"/>
      <c r="D124" s="253">
        <f>SUM(D91:D123)</f>
        <v>1900</v>
      </c>
      <c r="E124" s="251"/>
      <c r="F124" s="251"/>
      <c r="G124" s="265">
        <f>G121</f>
        <v>1413.1902480939689</v>
      </c>
      <c r="I124" s="301" t="s">
        <v>496</v>
      </c>
      <c r="J124" s="302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85"/>
  <sheetViews>
    <sheetView tabSelected="1" zoomScale="90" zoomScaleNormal="90" workbookViewId="0">
      <pane xSplit="2" ySplit="3" topLeftCell="E4" activePane="bottomRight" state="frozen"/>
      <selection pane="topRight" activeCell="C1" sqref="C1"/>
      <selection pane="bottomLeft" activeCell="A5" sqref="A5"/>
      <selection pane="bottomRight" activeCell="R23" sqref="R23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7" width="12.28515625" style="89" bestFit="1" customWidth="1"/>
    <col min="18" max="18" width="12.28515625" style="89" customWidth="1"/>
    <col min="19" max="20" width="12.28515625" style="89" bestFit="1" customWidth="1"/>
    <col min="21" max="23" width="10.7109375" style="89" customWidth="1"/>
    <col min="24" max="24" width="9.85546875" style="89" customWidth="1"/>
    <col min="25" max="25" width="10.85546875" style="89" bestFit="1" customWidth="1"/>
    <col min="26" max="27" width="9.7109375" style="89" bestFit="1" customWidth="1"/>
    <col min="28" max="34" width="8" style="89" bestFit="1" customWidth="1"/>
    <col min="35" max="35" width="11.28515625" style="89" bestFit="1" customWidth="1"/>
    <col min="36" max="36" width="9.28515625" style="89" bestFit="1" customWidth="1"/>
    <col min="37" max="37" width="9" style="89" customWidth="1"/>
    <col min="38" max="38" width="10.7109375" style="89" customWidth="1"/>
    <col min="39" max="16384" width="9.140625" style="89"/>
  </cols>
  <sheetData>
    <row r="1" spans="2:38" x14ac:dyDescent="0.2">
      <c r="B1" s="106" t="s">
        <v>506</v>
      </c>
      <c r="C1" s="275">
        <f>T2</f>
        <v>0.22</v>
      </c>
      <c r="I1" s="89" t="s">
        <v>209</v>
      </c>
      <c r="K1" s="107">
        <v>2004</v>
      </c>
      <c r="M1" s="89" t="s">
        <v>271</v>
      </c>
      <c r="O1" s="137">
        <v>0.01</v>
      </c>
      <c r="Q1" s="89" t="s">
        <v>340</v>
      </c>
      <c r="T1" s="137">
        <v>0.01</v>
      </c>
    </row>
    <row r="2" spans="2:38" x14ac:dyDescent="0.2">
      <c r="B2" s="129" t="s">
        <v>261</v>
      </c>
      <c r="C2" s="103"/>
      <c r="I2" s="89" t="s">
        <v>210</v>
      </c>
      <c r="K2" s="107">
        <v>2020</v>
      </c>
      <c r="M2" s="89" t="s">
        <v>272</v>
      </c>
      <c r="O2" s="137">
        <v>0.15</v>
      </c>
      <c r="Q2" s="89" t="s">
        <v>405</v>
      </c>
      <c r="T2" s="137">
        <v>0.22</v>
      </c>
      <c r="Z2" s="98" t="s">
        <v>5</v>
      </c>
      <c r="AA2" s="98" t="s">
        <v>6</v>
      </c>
      <c r="AB2" s="98" t="s">
        <v>7</v>
      </c>
      <c r="AC2" s="98" t="s">
        <v>8</v>
      </c>
      <c r="AD2" s="98" t="s">
        <v>9</v>
      </c>
      <c r="AE2" s="98" t="s">
        <v>192</v>
      </c>
      <c r="AF2" s="98" t="s">
        <v>193</v>
      </c>
      <c r="AG2" s="98" t="s">
        <v>194</v>
      </c>
      <c r="AH2" s="98" t="s">
        <v>195</v>
      </c>
      <c r="AI2" s="98" t="s">
        <v>196</v>
      </c>
      <c r="AK2" s="307" t="s">
        <v>240</v>
      </c>
      <c r="AL2" s="308"/>
    </row>
    <row r="3" spans="2:38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9" t="s">
        <v>1</v>
      </c>
      <c r="Y3" s="99" t="s">
        <v>211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98">
        <v>2028</v>
      </c>
      <c r="AI3" s="98">
        <v>2029</v>
      </c>
      <c r="AJ3" s="113" t="s">
        <v>1</v>
      </c>
      <c r="AK3" s="309" t="s">
        <v>241</v>
      </c>
      <c r="AL3" s="310"/>
    </row>
    <row r="4" spans="2:38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14"/>
      <c r="AK4" s="10"/>
      <c r="AL4" s="10"/>
    </row>
    <row r="5" spans="2:38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276" t="s">
        <v>513</v>
      </c>
      <c r="X5" s="10"/>
      <c r="Y5" s="1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14"/>
      <c r="AK5" s="10"/>
      <c r="AL5" s="130"/>
    </row>
    <row r="6" spans="2:38" x14ac:dyDescent="0.2">
      <c r="B6" s="10" t="s">
        <v>10</v>
      </c>
      <c r="C6" s="118"/>
      <c r="D6" s="118"/>
      <c r="E6" s="124"/>
      <c r="F6" s="124"/>
      <c r="G6" s="124">
        <v>130</v>
      </c>
      <c r="H6" s="124">
        <v>152</v>
      </c>
      <c r="I6" s="124">
        <v>38</v>
      </c>
      <c r="J6" s="124">
        <v>75</v>
      </c>
      <c r="K6" s="124">
        <v>102</v>
      </c>
      <c r="L6" s="124">
        <v>280</v>
      </c>
      <c r="M6" s="124">
        <v>319</v>
      </c>
      <c r="N6" s="124">
        <v>370</v>
      </c>
      <c r="O6" s="124">
        <v>416</v>
      </c>
      <c r="P6" s="124">
        <v>663</v>
      </c>
      <c r="Q6" s="124"/>
      <c r="R6" s="124">
        <v>1301</v>
      </c>
      <c r="S6" s="178">
        <v>1210</v>
      </c>
      <c r="T6" s="178">
        <v>1489</v>
      </c>
      <c r="U6" s="178">
        <v>8633</v>
      </c>
      <c r="V6" s="178">
        <v>8856</v>
      </c>
      <c r="W6" s="178">
        <f>V6</f>
        <v>8856</v>
      </c>
      <c r="X6" s="101">
        <f>((W6/G6)^(1/($K$2-$K$1) ))-1</f>
        <v>0.30190978456332873</v>
      </c>
      <c r="Y6" s="21">
        <f>$O$2</f>
        <v>0.15</v>
      </c>
      <c r="Z6" s="130">
        <f>W6*(1+$Y6)</f>
        <v>10184.4</v>
      </c>
      <c r="AA6" s="130">
        <f>Z6*(1+$Y6)</f>
        <v>11712.06</v>
      </c>
      <c r="AB6" s="130">
        <f t="shared" ref="AB6:AI6" si="0">AA6*(1+$Y6)</f>
        <v>13468.868999999999</v>
      </c>
      <c r="AC6" s="130">
        <f t="shared" si="0"/>
        <v>15489.199349999997</v>
      </c>
      <c r="AD6" s="130">
        <f t="shared" si="0"/>
        <v>17812.579252499996</v>
      </c>
      <c r="AE6" s="130">
        <f t="shared" si="0"/>
        <v>20484.466140374992</v>
      </c>
      <c r="AF6" s="130">
        <f t="shared" si="0"/>
        <v>23557.13606143124</v>
      </c>
      <c r="AG6" s="130">
        <f t="shared" si="0"/>
        <v>27090.706470645924</v>
      </c>
      <c r="AH6" s="130">
        <f t="shared" si="0"/>
        <v>31154.312441242811</v>
      </c>
      <c r="AI6" s="130">
        <f t="shared" si="0"/>
        <v>35827.459307429228</v>
      </c>
      <c r="AJ6" s="115">
        <f>((AI6/G6)^(1/($AI$3-$K$1) ))-1</f>
        <v>0.25201896197089058</v>
      </c>
      <c r="AK6" s="21">
        <f>$O$1</f>
        <v>0.01</v>
      </c>
      <c r="AL6" s="123" t="e">
        <f>(AI6*(1+AK6))/($O$1-AK6)</f>
        <v>#DIV/0!</v>
      </c>
    </row>
    <row r="7" spans="2:38" x14ac:dyDescent="0.2">
      <c r="B7" s="10" t="s">
        <v>198</v>
      </c>
      <c r="C7" s="118"/>
      <c r="D7" s="118"/>
      <c r="E7" s="124"/>
      <c r="F7" s="124"/>
      <c r="G7" s="124">
        <v>144</v>
      </c>
      <c r="H7" s="124">
        <v>166</v>
      </c>
      <c r="I7" s="124">
        <v>54</v>
      </c>
      <c r="J7" s="124">
        <v>195</v>
      </c>
      <c r="K7" s="124">
        <v>223</v>
      </c>
      <c r="L7" s="124">
        <v>302</v>
      </c>
      <c r="M7" s="124">
        <v>340</v>
      </c>
      <c r="N7" s="124">
        <v>392</v>
      </c>
      <c r="O7" s="124">
        <v>438</v>
      </c>
      <c r="P7" s="124">
        <v>688</v>
      </c>
      <c r="Q7" s="124"/>
      <c r="R7" s="124">
        <v>1333</v>
      </c>
      <c r="S7" s="178">
        <v>1372</v>
      </c>
      <c r="T7" s="178">
        <v>2111</v>
      </c>
      <c r="U7" s="178">
        <v>8671</v>
      </c>
      <c r="V7" s="178">
        <v>8893</v>
      </c>
      <c r="W7" s="178">
        <f>V7</f>
        <v>8893</v>
      </c>
      <c r="X7" s="101">
        <f>((W7/G7)^(1/($K$2-$K$1) ))-1</f>
        <v>0.2939510952103026</v>
      </c>
      <c r="Y7" s="21">
        <f>$O$2</f>
        <v>0.15</v>
      </c>
      <c r="Z7" s="130">
        <f t="shared" ref="Z7:Z64" si="1">W7*(1+$Y7)</f>
        <v>10226.949999999999</v>
      </c>
      <c r="AA7" s="130">
        <f t="shared" ref="AA7:AI7" si="2">Z7*(1+$Y7)</f>
        <v>11760.992499999998</v>
      </c>
      <c r="AB7" s="130">
        <f t="shared" si="2"/>
        <v>13525.141374999997</v>
      </c>
      <c r="AC7" s="130">
        <f t="shared" si="2"/>
        <v>15553.912581249995</v>
      </c>
      <c r="AD7" s="130">
        <f t="shared" si="2"/>
        <v>17886.999468437494</v>
      </c>
      <c r="AE7" s="130">
        <f t="shared" si="2"/>
        <v>20570.049388703115</v>
      </c>
      <c r="AF7" s="130">
        <f t="shared" si="2"/>
        <v>23655.556797008579</v>
      </c>
      <c r="AG7" s="130">
        <f t="shared" si="2"/>
        <v>27203.890316559864</v>
      </c>
      <c r="AH7" s="130">
        <f t="shared" si="2"/>
        <v>31284.473864043841</v>
      </c>
      <c r="AI7" s="130">
        <f t="shared" si="2"/>
        <v>35977.144943650412</v>
      </c>
      <c r="AJ7" s="115">
        <f t="shared" ref="AJ7:AJ64" si="3">((AI7/G7)^(1/($AI$3-$K$1) ))-1</f>
        <v>0.24711518752375849</v>
      </c>
      <c r="AK7" s="21">
        <f>$O$1</f>
        <v>0.01</v>
      </c>
      <c r="AL7" s="123" t="e">
        <f>(AI7*(1+AK7))/($O$1-AK7)</f>
        <v>#DIV/0!</v>
      </c>
    </row>
    <row r="8" spans="2:38" x14ac:dyDescent="0.2">
      <c r="B8" s="10"/>
      <c r="C8" s="118"/>
      <c r="D8" s="118"/>
      <c r="E8" s="124"/>
      <c r="F8" s="266"/>
      <c r="G8" s="266">
        <f>(G7-F7)/G7</f>
        <v>1</v>
      </c>
      <c r="H8" s="127">
        <f>(H7-G7)/H7</f>
        <v>0.13253012048192772</v>
      </c>
      <c r="I8" s="127">
        <f t="shared" ref="I8:R8" si="4">(I7-H7)/I7</f>
        <v>-2.074074074074074</v>
      </c>
      <c r="J8" s="127">
        <f t="shared" si="4"/>
        <v>0.72307692307692306</v>
      </c>
      <c r="K8" s="127">
        <f t="shared" si="4"/>
        <v>0.12556053811659193</v>
      </c>
      <c r="L8" s="127">
        <f t="shared" si="4"/>
        <v>0.26158940397350994</v>
      </c>
      <c r="M8" s="127">
        <f t="shared" si="4"/>
        <v>0.11176470588235295</v>
      </c>
      <c r="N8" s="127">
        <f t="shared" si="4"/>
        <v>0.1326530612244898</v>
      </c>
      <c r="O8" s="127">
        <f t="shared" si="4"/>
        <v>0.1050228310502283</v>
      </c>
      <c r="P8" s="127">
        <f t="shared" si="4"/>
        <v>0.36337209302325579</v>
      </c>
      <c r="Q8" s="127" t="e">
        <f t="shared" si="4"/>
        <v>#DIV/0!</v>
      </c>
      <c r="R8" s="127">
        <f t="shared" si="4"/>
        <v>1</v>
      </c>
      <c r="S8" s="127">
        <f t="shared" ref="S8:U8" si="5">(S7-R7)/R7</f>
        <v>2.9257314328582147E-2</v>
      </c>
      <c r="T8" s="127">
        <f t="shared" si="5"/>
        <v>0.53862973760932942</v>
      </c>
      <c r="U8" s="127">
        <f t="shared" si="5"/>
        <v>3.1075319753671247</v>
      </c>
      <c r="V8" s="127">
        <f t="shared" ref="V8" si="6">(V7-U7)/V7</f>
        <v>2.4963454402338919E-2</v>
      </c>
      <c r="W8" s="127">
        <f t="shared" ref="W8" si="7">(W7-V7)/W7</f>
        <v>0</v>
      </c>
      <c r="X8" s="10"/>
      <c r="Y8" s="1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14"/>
      <c r="AK8" s="114"/>
      <c r="AL8" s="123"/>
    </row>
    <row r="9" spans="2:38" x14ac:dyDescent="0.2">
      <c r="B9" s="10" t="s">
        <v>220</v>
      </c>
      <c r="C9" s="118"/>
      <c r="D9" s="118"/>
      <c r="E9" s="124"/>
      <c r="F9" s="124"/>
      <c r="G9" s="124">
        <v>91</v>
      </c>
      <c r="H9" s="124">
        <v>110</v>
      </c>
      <c r="I9" s="124">
        <v>235</v>
      </c>
      <c r="J9" s="124">
        <v>186</v>
      </c>
      <c r="K9" s="124">
        <v>163</v>
      </c>
      <c r="L9" s="124">
        <v>238</v>
      </c>
      <c r="M9" s="124">
        <v>240</v>
      </c>
      <c r="N9" s="124">
        <v>293</v>
      </c>
      <c r="O9" s="124">
        <v>320</v>
      </c>
      <c r="P9" s="124">
        <v>594</v>
      </c>
      <c r="Q9" s="124"/>
      <c r="R9" s="124">
        <v>1156</v>
      </c>
      <c r="S9" s="178">
        <v>2613</v>
      </c>
      <c r="T9" s="178">
        <v>3220</v>
      </c>
      <c r="U9" s="178">
        <v>3191</v>
      </c>
      <c r="V9" s="124">
        <v>3853</v>
      </c>
      <c r="W9" s="124">
        <f>V9</f>
        <v>3853</v>
      </c>
      <c r="X9" s="101">
        <f>((W9/G9)^(1/($K$2-$K$1) ))-1</f>
        <v>0.26378254012281555</v>
      </c>
      <c r="Y9" s="21">
        <f t="shared" ref="Y9:Y60" si="8">$O$2</f>
        <v>0.15</v>
      </c>
      <c r="Z9" s="130">
        <f t="shared" si="1"/>
        <v>4430.95</v>
      </c>
      <c r="AA9" s="130">
        <f t="shared" ref="AA9" si="9">Z9*(1+$Y9)</f>
        <v>5095.5924999999997</v>
      </c>
      <c r="AB9" s="130">
        <f t="shared" ref="AB9" si="10">AA9*(1+$Y9)</f>
        <v>5859.9313749999992</v>
      </c>
      <c r="AC9" s="130">
        <f t="shared" ref="AC9" si="11">AB9*(1+$Y9)</f>
        <v>6738.9210812499987</v>
      </c>
      <c r="AD9" s="130">
        <f t="shared" ref="AD9" si="12">AC9*(1+$Y9)</f>
        <v>7749.7592434374983</v>
      </c>
      <c r="AE9" s="130">
        <f t="shared" ref="AE9" si="13">AD9*(1+$Y9)</f>
        <v>8912.2231299531231</v>
      </c>
      <c r="AF9" s="130">
        <f t="shared" ref="AF9" si="14">AE9*(1+$Y9)</f>
        <v>10249.05659944609</v>
      </c>
      <c r="AG9" s="130">
        <f t="shared" ref="AG9" si="15">AF9*(1+$Y9)</f>
        <v>11786.415089363003</v>
      </c>
      <c r="AH9" s="130">
        <f t="shared" ref="AH9" si="16">AG9*(1+$Y9)</f>
        <v>13554.377352767453</v>
      </c>
      <c r="AI9" s="130">
        <f t="shared" ref="AI9" si="17">AH9*(1+$Y9)</f>
        <v>15587.533955682569</v>
      </c>
      <c r="AJ9" s="115">
        <f t="shared" si="3"/>
        <v>0.22842724730734365</v>
      </c>
      <c r="AK9" s="21">
        <f t="shared" ref="AK9:AK104" si="18">$O$1</f>
        <v>0.01</v>
      </c>
      <c r="AL9" s="123" t="e">
        <f>(AI9*(1+AK9))/($O$1-AK9)</f>
        <v>#DIV/0!</v>
      </c>
    </row>
    <row r="10" spans="2:38" x14ac:dyDescent="0.2">
      <c r="B10" s="10" t="s">
        <v>3</v>
      </c>
      <c r="C10" s="118"/>
      <c r="D10" s="118"/>
      <c r="E10" s="124"/>
      <c r="F10" s="124"/>
      <c r="G10" s="124">
        <v>15</v>
      </c>
      <c r="H10" s="124">
        <v>0.2</v>
      </c>
      <c r="I10" s="124">
        <v>252</v>
      </c>
      <c r="J10" s="124">
        <v>286</v>
      </c>
      <c r="K10" s="124">
        <v>260</v>
      </c>
      <c r="L10" s="124">
        <v>170</v>
      </c>
      <c r="M10" s="124">
        <v>201</v>
      </c>
      <c r="N10" s="124">
        <v>225</v>
      </c>
      <c r="O10" s="124">
        <v>186</v>
      </c>
      <c r="P10" s="124">
        <v>180</v>
      </c>
      <c r="Q10" s="124"/>
      <c r="R10" s="124">
        <v>371</v>
      </c>
      <c r="S10" s="178">
        <v>814</v>
      </c>
      <c r="T10" s="178">
        <v>1182</v>
      </c>
      <c r="U10" s="178">
        <v>297</v>
      </c>
      <c r="V10" s="124">
        <v>297</v>
      </c>
      <c r="W10" s="124">
        <f>V10</f>
        <v>297</v>
      </c>
      <c r="X10" s="101">
        <f>((W10/G10)^(1/($K$2-$K$1) ))-1</f>
        <v>0.20515130226532907</v>
      </c>
      <c r="Y10" s="21">
        <f t="shared" si="8"/>
        <v>0.15</v>
      </c>
      <c r="Z10" s="130">
        <f t="shared" si="1"/>
        <v>341.54999999999995</v>
      </c>
      <c r="AA10" s="130">
        <f t="shared" ref="AA10:AI10" si="19">Z10*(1+$Y10)</f>
        <v>392.78249999999991</v>
      </c>
      <c r="AB10" s="130">
        <f t="shared" si="19"/>
        <v>451.69987499999985</v>
      </c>
      <c r="AC10" s="130">
        <f t="shared" si="19"/>
        <v>519.45485624999981</v>
      </c>
      <c r="AD10" s="130">
        <f t="shared" si="19"/>
        <v>597.37308468749973</v>
      </c>
      <c r="AE10" s="130">
        <f t="shared" si="19"/>
        <v>686.9790473906246</v>
      </c>
      <c r="AF10" s="130">
        <f t="shared" si="19"/>
        <v>790.0259044992182</v>
      </c>
      <c r="AG10" s="130">
        <f t="shared" si="19"/>
        <v>908.52979017410087</v>
      </c>
      <c r="AH10" s="130">
        <f t="shared" si="19"/>
        <v>1044.8092587002159</v>
      </c>
      <c r="AI10" s="130">
        <f t="shared" si="19"/>
        <v>1201.5306475052482</v>
      </c>
      <c r="AJ10" s="115">
        <f t="shared" si="3"/>
        <v>0.19164184091002956</v>
      </c>
      <c r="AK10" s="21">
        <f t="shared" si="18"/>
        <v>0.01</v>
      </c>
      <c r="AL10" s="123" t="e">
        <f>(AI10*(1+AK10))/($O$1-AK10)</f>
        <v>#DIV/0!</v>
      </c>
    </row>
    <row r="11" spans="2:38" x14ac:dyDescent="0.2">
      <c r="B11" s="10"/>
      <c r="C11" s="118"/>
      <c r="D11" s="118"/>
      <c r="E11" s="124"/>
      <c r="F11" s="266"/>
      <c r="G11" s="266">
        <f>(G10-F10)/G10</f>
        <v>1</v>
      </c>
      <c r="H11" s="266">
        <f t="shared" ref="H11:R11" si="20">(H10-G10)/H10</f>
        <v>-74</v>
      </c>
      <c r="I11" s="266">
        <f t="shared" si="20"/>
        <v>0.99920634920634921</v>
      </c>
      <c r="J11" s="266">
        <f t="shared" si="20"/>
        <v>0.11888111888111888</v>
      </c>
      <c r="K11" s="266">
        <f t="shared" si="20"/>
        <v>-0.1</v>
      </c>
      <c r="L11" s="266">
        <f t="shared" si="20"/>
        <v>-0.52941176470588236</v>
      </c>
      <c r="M11" s="266">
        <f t="shared" si="20"/>
        <v>0.15422885572139303</v>
      </c>
      <c r="N11" s="266">
        <f t="shared" si="20"/>
        <v>0.10666666666666667</v>
      </c>
      <c r="O11" s="266">
        <f t="shared" si="20"/>
        <v>-0.20967741935483872</v>
      </c>
      <c r="P11" s="266">
        <f t="shared" si="20"/>
        <v>-3.3333333333333333E-2</v>
      </c>
      <c r="Q11" s="266" t="e">
        <f t="shared" si="20"/>
        <v>#DIV/0!</v>
      </c>
      <c r="R11" s="266">
        <f t="shared" si="20"/>
        <v>1</v>
      </c>
      <c r="S11" s="127">
        <f t="shared" ref="S11:U11" si="21">(S10-R10)/R10</f>
        <v>1.1940700808625337</v>
      </c>
      <c r="T11" s="127">
        <f t="shared" si="21"/>
        <v>0.45208845208845211</v>
      </c>
      <c r="U11" s="127">
        <f t="shared" si="21"/>
        <v>-0.74873096446700504</v>
      </c>
      <c r="V11" s="266">
        <f t="shared" ref="V11" si="22">(V10-U10)/V10</f>
        <v>0</v>
      </c>
      <c r="W11" s="266">
        <f t="shared" ref="W11" si="23">(W10-V10)/W10</f>
        <v>0</v>
      </c>
      <c r="X11" s="10"/>
      <c r="Y11" s="1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14"/>
      <c r="AK11" s="114"/>
      <c r="AL11" s="114"/>
    </row>
    <row r="12" spans="2:38" x14ac:dyDescent="0.2">
      <c r="B12" s="10" t="s">
        <v>2</v>
      </c>
      <c r="C12" s="118"/>
      <c r="D12" s="118"/>
      <c r="E12" s="124"/>
      <c r="F12" s="124"/>
      <c r="G12" s="124">
        <v>95</v>
      </c>
      <c r="H12" s="124">
        <v>85</v>
      </c>
      <c r="I12" s="124">
        <v>180</v>
      </c>
      <c r="J12" s="124">
        <v>168</v>
      </c>
      <c r="K12" s="124">
        <v>158</v>
      </c>
      <c r="L12" s="124">
        <v>144</v>
      </c>
      <c r="M12" s="124">
        <v>136</v>
      </c>
      <c r="N12" s="124">
        <v>272</v>
      </c>
      <c r="O12" s="124">
        <v>208</v>
      </c>
      <c r="P12" s="124">
        <v>330</v>
      </c>
      <c r="Q12" s="124"/>
      <c r="R12" s="124">
        <v>277</v>
      </c>
      <c r="S12" s="178">
        <v>983</v>
      </c>
      <c r="T12" s="178">
        <v>1379</v>
      </c>
      <c r="U12" s="178">
        <v>1092</v>
      </c>
      <c r="V12" s="124">
        <v>1034</v>
      </c>
      <c r="W12" s="124">
        <f>V12</f>
        <v>1034</v>
      </c>
      <c r="X12" s="101">
        <f>((W12/G12)^(1/($K$2-$K$1) ))-1</f>
        <v>0.16091335780423743</v>
      </c>
      <c r="Y12" s="21">
        <f t="shared" si="8"/>
        <v>0.15</v>
      </c>
      <c r="Z12" s="130">
        <f t="shared" si="1"/>
        <v>1189.0999999999999</v>
      </c>
      <c r="AA12" s="130">
        <f t="shared" ref="AA12:AI12" si="24">Z12*(1+$Y12)</f>
        <v>1367.4649999999997</v>
      </c>
      <c r="AB12" s="130">
        <f t="shared" si="24"/>
        <v>1572.5847499999995</v>
      </c>
      <c r="AC12" s="130">
        <f t="shared" si="24"/>
        <v>1808.4724624999992</v>
      </c>
      <c r="AD12" s="130">
        <f t="shared" si="24"/>
        <v>2079.7433318749991</v>
      </c>
      <c r="AE12" s="130">
        <f t="shared" si="24"/>
        <v>2391.7048316562486</v>
      </c>
      <c r="AF12" s="130">
        <f t="shared" si="24"/>
        <v>2750.4605564046856</v>
      </c>
      <c r="AG12" s="130">
        <f t="shared" si="24"/>
        <v>3163.0296398653882</v>
      </c>
      <c r="AH12" s="130">
        <f t="shared" si="24"/>
        <v>3637.4840858451962</v>
      </c>
      <c r="AI12" s="130">
        <f t="shared" si="24"/>
        <v>4183.1066987219756</v>
      </c>
      <c r="AJ12" s="115">
        <f t="shared" si="3"/>
        <v>0.16345881251321659</v>
      </c>
      <c r="AK12" s="21">
        <f t="shared" si="18"/>
        <v>0.01</v>
      </c>
      <c r="AL12" s="123" t="e">
        <f t="shared" ref="AL12:AL75" si="25">(AI12*(1+AK12))/($O$1-AK12)</f>
        <v>#DIV/0!</v>
      </c>
    </row>
    <row r="13" spans="2:38" x14ac:dyDescent="0.2">
      <c r="B13" s="10" t="s">
        <v>191</v>
      </c>
      <c r="C13" s="118"/>
      <c r="D13" s="118"/>
      <c r="E13" s="124"/>
      <c r="F13" s="124"/>
      <c r="G13" s="124">
        <v>0.61</v>
      </c>
      <c r="H13" s="124">
        <v>14</v>
      </c>
      <c r="I13" s="124">
        <v>12</v>
      </c>
      <c r="J13" s="124">
        <v>0.7</v>
      </c>
      <c r="K13" s="124">
        <v>0.22</v>
      </c>
      <c r="L13" s="124">
        <v>35</v>
      </c>
      <c r="M13" s="124">
        <v>16</v>
      </c>
      <c r="N13" s="124">
        <v>38</v>
      </c>
      <c r="O13" s="124">
        <v>109</v>
      </c>
      <c r="P13" s="124">
        <v>208</v>
      </c>
      <c r="Q13" s="124"/>
      <c r="R13" s="124">
        <v>339</v>
      </c>
      <c r="S13" s="178">
        <v>133</v>
      </c>
      <c r="T13" s="178">
        <v>219</v>
      </c>
      <c r="U13" s="178">
        <v>7398</v>
      </c>
      <c r="V13" s="124">
        <v>7416</v>
      </c>
      <c r="W13" s="124">
        <f>V13</f>
        <v>7416</v>
      </c>
      <c r="X13" s="101">
        <f t="shared" ref="X13:X68" si="26">((W13/G13)^(1/($K$2-$K$1) ))-1</f>
        <v>0.80012429323662704</v>
      </c>
      <c r="Y13" s="21">
        <f t="shared" si="8"/>
        <v>0.15</v>
      </c>
      <c r="Z13" s="130">
        <f t="shared" si="1"/>
        <v>8528.4</v>
      </c>
      <c r="AA13" s="130">
        <f t="shared" ref="AA13:AI13" si="27">Z13*(1+$Y13)</f>
        <v>9807.659999999998</v>
      </c>
      <c r="AB13" s="130">
        <f t="shared" si="27"/>
        <v>11278.808999999997</v>
      </c>
      <c r="AC13" s="130">
        <f t="shared" si="27"/>
        <v>12970.630349999996</v>
      </c>
      <c r="AD13" s="130">
        <f t="shared" si="27"/>
        <v>14916.224902499995</v>
      </c>
      <c r="AE13" s="130">
        <f t="shared" si="27"/>
        <v>17153.658637874993</v>
      </c>
      <c r="AF13" s="130">
        <f t="shared" si="27"/>
        <v>19726.707433556239</v>
      </c>
      <c r="AG13" s="130">
        <f t="shared" si="27"/>
        <v>22685.713548589672</v>
      </c>
      <c r="AH13" s="130">
        <f t="shared" si="27"/>
        <v>26088.57058087812</v>
      </c>
      <c r="AI13" s="130">
        <f t="shared" si="27"/>
        <v>30001.856168009836</v>
      </c>
      <c r="AJ13" s="115">
        <f t="shared" si="3"/>
        <v>0.5405391215834352</v>
      </c>
      <c r="AK13" s="21">
        <f t="shared" si="18"/>
        <v>0.01</v>
      </c>
      <c r="AL13" s="123" t="e">
        <f t="shared" si="25"/>
        <v>#DIV/0!</v>
      </c>
    </row>
    <row r="14" spans="2:38" x14ac:dyDescent="0.2">
      <c r="B14" s="10" t="s">
        <v>315</v>
      </c>
      <c r="C14" s="118"/>
      <c r="D14" s="118"/>
      <c r="E14" s="124"/>
      <c r="F14" s="124"/>
      <c r="G14" s="124">
        <v>0.01</v>
      </c>
      <c r="H14" s="124">
        <v>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/>
      <c r="R14" s="124">
        <v>3.03</v>
      </c>
      <c r="S14" s="178">
        <v>3</v>
      </c>
      <c r="T14" s="178">
        <v>8</v>
      </c>
      <c r="U14" s="178">
        <v>1</v>
      </c>
      <c r="V14" s="124">
        <v>15</v>
      </c>
      <c r="W14" s="124">
        <f>V14</f>
        <v>15</v>
      </c>
      <c r="X14" s="101">
        <f t="shared" si="26"/>
        <v>0.57944935087998495</v>
      </c>
      <c r="Y14" s="21">
        <f t="shared" si="8"/>
        <v>0.15</v>
      </c>
      <c r="Z14" s="130">
        <f t="shared" si="1"/>
        <v>17.25</v>
      </c>
      <c r="AA14" s="130">
        <f t="shared" ref="AA14" si="28">Z14*(1+$Y14)</f>
        <v>19.837499999999999</v>
      </c>
      <c r="AB14" s="130">
        <f t="shared" ref="AB14" si="29">AA14*(1+$Y14)</f>
        <v>22.813124999999996</v>
      </c>
      <c r="AC14" s="130">
        <f t="shared" ref="AC14" si="30">AB14*(1+$Y14)</f>
        <v>26.235093749999994</v>
      </c>
      <c r="AD14" s="130">
        <f t="shared" ref="AD14" si="31">AC14*(1+$Y14)</f>
        <v>30.17035781249999</v>
      </c>
      <c r="AE14" s="130">
        <f t="shared" ref="AE14" si="32">AD14*(1+$Y14)</f>
        <v>34.695911484374989</v>
      </c>
      <c r="AF14" s="130">
        <f t="shared" ref="AF14" si="33">AE14*(1+$Y14)</f>
        <v>39.900298207031234</v>
      </c>
      <c r="AG14" s="130">
        <f t="shared" ref="AG14" si="34">AF14*(1+$Y14)</f>
        <v>45.885342938085913</v>
      </c>
      <c r="AH14" s="130">
        <f t="shared" ref="AH14" si="35">AG14*(1+$Y14)</f>
        <v>52.768144378798794</v>
      </c>
      <c r="AI14" s="130">
        <f t="shared" ref="AI14" si="36">AH14*(1+$Y14)</f>
        <v>60.683366035618612</v>
      </c>
      <c r="AJ14" s="115">
        <f t="shared" si="3"/>
        <v>0.416846450474611</v>
      </c>
      <c r="AK14" s="21">
        <f t="shared" si="18"/>
        <v>0.01</v>
      </c>
      <c r="AL14" s="123" t="e">
        <f t="shared" si="25"/>
        <v>#DIV/0!</v>
      </c>
    </row>
    <row r="15" spans="2:38" x14ac:dyDescent="0.2">
      <c r="B15" s="10" t="s">
        <v>11</v>
      </c>
      <c r="C15" s="118"/>
      <c r="D15" s="118"/>
      <c r="E15" s="124"/>
      <c r="F15" s="124"/>
      <c r="G15" s="124">
        <v>168</v>
      </c>
      <c r="H15" s="124">
        <v>165</v>
      </c>
      <c r="I15" s="124">
        <v>362</v>
      </c>
      <c r="J15" s="124">
        <v>366</v>
      </c>
      <c r="K15" s="124">
        <v>310</v>
      </c>
      <c r="L15" s="124">
        <v>351</v>
      </c>
      <c r="M15" s="124">
        <v>358</v>
      </c>
      <c r="N15" s="124">
        <v>498</v>
      </c>
      <c r="O15" s="124">
        <v>418</v>
      </c>
      <c r="P15" s="124">
        <v>490</v>
      </c>
      <c r="Q15" s="124"/>
      <c r="R15" s="124">
        <v>925</v>
      </c>
      <c r="S15" s="124">
        <v>1815</v>
      </c>
      <c r="T15" s="178">
        <v>2389</v>
      </c>
      <c r="U15" s="178">
        <v>1951</v>
      </c>
      <c r="V15" s="124">
        <v>1878</v>
      </c>
      <c r="W15" s="124">
        <f>V15</f>
        <v>1878</v>
      </c>
      <c r="X15" s="101">
        <f t="shared" si="26"/>
        <v>0.16285119667638903</v>
      </c>
      <c r="Y15" s="21">
        <f t="shared" si="8"/>
        <v>0.15</v>
      </c>
      <c r="Z15" s="130">
        <f t="shared" si="1"/>
        <v>2159.6999999999998</v>
      </c>
      <c r="AA15" s="130">
        <f t="shared" ref="AA15:AI15" si="37">Z15*(1+$Y15)</f>
        <v>2483.6549999999997</v>
      </c>
      <c r="AB15" s="130">
        <f t="shared" si="37"/>
        <v>2856.2032499999996</v>
      </c>
      <c r="AC15" s="130">
        <f t="shared" si="37"/>
        <v>3284.6337374999994</v>
      </c>
      <c r="AD15" s="130">
        <f t="shared" si="37"/>
        <v>3777.3287981249991</v>
      </c>
      <c r="AE15" s="130">
        <f t="shared" si="37"/>
        <v>4343.9281178437486</v>
      </c>
      <c r="AF15" s="130">
        <f t="shared" si="37"/>
        <v>4995.5173355203106</v>
      </c>
      <c r="AG15" s="130">
        <f t="shared" si="37"/>
        <v>5744.8449358483567</v>
      </c>
      <c r="AH15" s="130">
        <f t="shared" si="37"/>
        <v>6606.5716762256097</v>
      </c>
      <c r="AI15" s="130">
        <f t="shared" si="37"/>
        <v>7597.5574276594507</v>
      </c>
      <c r="AJ15" s="115">
        <f t="shared" si="3"/>
        <v>0.16470137555599496</v>
      </c>
      <c r="AK15" s="21">
        <f t="shared" si="18"/>
        <v>0.01</v>
      </c>
      <c r="AL15" s="123" t="e">
        <f t="shared" si="25"/>
        <v>#DIV/0!</v>
      </c>
    </row>
    <row r="16" spans="2:38" x14ac:dyDescent="0.2">
      <c r="B16" s="10" t="s">
        <v>12</v>
      </c>
      <c r="C16" s="118"/>
      <c r="D16" s="118"/>
      <c r="E16" s="124"/>
      <c r="F16" s="124"/>
      <c r="G16" s="124">
        <v>105</v>
      </c>
      <c r="H16" s="124">
        <v>97</v>
      </c>
      <c r="I16" s="124">
        <v>185</v>
      </c>
      <c r="J16" s="124">
        <v>263</v>
      </c>
      <c r="K16" s="124">
        <v>268</v>
      </c>
      <c r="L16" s="124">
        <v>217</v>
      </c>
      <c r="M16" s="124">
        <v>279</v>
      </c>
      <c r="N16" s="124">
        <v>330</v>
      </c>
      <c r="O16" s="124">
        <v>267</v>
      </c>
      <c r="P16" s="124">
        <v>227</v>
      </c>
      <c r="Q16" s="124"/>
      <c r="R16" s="124">
        <v>278</v>
      </c>
      <c r="S16" s="178">
        <v>200</v>
      </c>
      <c r="T16" s="178">
        <v>458</v>
      </c>
      <c r="U16" s="178">
        <v>-152</v>
      </c>
      <c r="V16" s="124">
        <v>-578</v>
      </c>
      <c r="W16" s="124">
        <f>V16</f>
        <v>-578</v>
      </c>
      <c r="X16" s="101" t="e">
        <f t="shared" si="26"/>
        <v>#NUM!</v>
      </c>
      <c r="Y16" s="21">
        <f t="shared" si="8"/>
        <v>0.15</v>
      </c>
      <c r="Z16" s="130">
        <f t="shared" si="1"/>
        <v>-664.69999999999993</v>
      </c>
      <c r="AA16" s="130">
        <f t="shared" ref="AA16:AI16" si="38">Z16*(1+$Y16)</f>
        <v>-764.40499999999986</v>
      </c>
      <c r="AB16" s="130">
        <f t="shared" si="38"/>
        <v>-879.06574999999975</v>
      </c>
      <c r="AC16" s="130">
        <f t="shared" si="38"/>
        <v>-1010.9256124999996</v>
      </c>
      <c r="AD16" s="130">
        <f t="shared" si="38"/>
        <v>-1162.5644543749995</v>
      </c>
      <c r="AE16" s="130">
        <f t="shared" si="38"/>
        <v>-1336.9491225312493</v>
      </c>
      <c r="AF16" s="130">
        <f t="shared" si="38"/>
        <v>-1537.4914909109366</v>
      </c>
      <c r="AG16" s="130">
        <f t="shared" si="38"/>
        <v>-1768.1152145475769</v>
      </c>
      <c r="AH16" s="130">
        <f t="shared" si="38"/>
        <v>-2033.3324967297133</v>
      </c>
      <c r="AI16" s="130">
        <f t="shared" si="38"/>
        <v>-2338.3323712391702</v>
      </c>
      <c r="AJ16" s="115">
        <f t="shared" si="3"/>
        <v>-2.1321622701431959</v>
      </c>
      <c r="AK16" s="21">
        <f t="shared" si="18"/>
        <v>0.01</v>
      </c>
      <c r="AL16" s="123" t="e">
        <f t="shared" si="25"/>
        <v>#DIV/0!</v>
      </c>
    </row>
    <row r="17" spans="2:38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78"/>
      <c r="T17" s="178"/>
      <c r="U17" s="178"/>
      <c r="V17" s="124"/>
      <c r="W17" s="124"/>
      <c r="X17" s="10"/>
      <c r="Y17" s="1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14"/>
      <c r="AK17" s="114"/>
      <c r="AL17" s="114"/>
    </row>
    <row r="18" spans="2:38" x14ac:dyDescent="0.2">
      <c r="B18" s="10" t="s">
        <v>228</v>
      </c>
      <c r="C18" s="118"/>
      <c r="D18" s="118"/>
      <c r="E18" s="124"/>
      <c r="F18" s="124"/>
      <c r="G18" s="124">
        <v>52</v>
      </c>
      <c r="H18" s="124">
        <v>52</v>
      </c>
      <c r="I18" s="124">
        <v>213</v>
      </c>
      <c r="J18" s="124">
        <v>213</v>
      </c>
      <c r="K18" s="124">
        <v>214</v>
      </c>
      <c r="L18" s="124">
        <v>217</v>
      </c>
      <c r="M18" s="124">
        <v>240</v>
      </c>
      <c r="N18" s="124">
        <v>245</v>
      </c>
      <c r="O18" s="124">
        <v>244</v>
      </c>
      <c r="P18" s="124">
        <v>474</v>
      </c>
      <c r="Q18" s="124"/>
      <c r="R18" s="124">
        <v>1200</v>
      </c>
      <c r="S18" s="178">
        <v>1903</v>
      </c>
      <c r="T18" s="178">
        <v>2842</v>
      </c>
      <c r="U18" s="178">
        <v>1722</v>
      </c>
      <c r="V18" s="124">
        <v>2400</v>
      </c>
      <c r="W18" s="124">
        <f>V18</f>
        <v>2400</v>
      </c>
      <c r="X18" s="101">
        <f t="shared" si="26"/>
        <v>0.27061212000545698</v>
      </c>
      <c r="Y18" s="21">
        <f t="shared" si="8"/>
        <v>0.15</v>
      </c>
      <c r="Z18" s="130">
        <f t="shared" si="1"/>
        <v>2760</v>
      </c>
      <c r="AA18" s="130">
        <f t="shared" ref="AA18:AA34" si="39">Z18*(1+$Y18)</f>
        <v>3173.9999999999995</v>
      </c>
      <c r="AB18" s="130">
        <f t="shared" ref="AB18:AB34" si="40">AA18*(1+$Y18)</f>
        <v>3650.099999999999</v>
      </c>
      <c r="AC18" s="130">
        <f t="shared" ref="AC18:AC34" si="41">AB18*(1+$Y18)</f>
        <v>4197.6149999999989</v>
      </c>
      <c r="AD18" s="130">
        <f t="shared" ref="AD18:AD54" si="42">AC18*(1+$Y18)</f>
        <v>4827.2572499999987</v>
      </c>
      <c r="AE18" s="130">
        <f t="shared" ref="AE18:AE54" si="43">AD18*(1+$Y18)</f>
        <v>5551.3458374999982</v>
      </c>
      <c r="AF18" s="130">
        <f t="shared" ref="AF18:AF54" si="44">AE18*(1+$Y18)</f>
        <v>6384.0477131249972</v>
      </c>
      <c r="AG18" s="130">
        <f t="shared" ref="AG18:AG54" si="45">AF18*(1+$Y18)</f>
        <v>7341.6548700937465</v>
      </c>
      <c r="AH18" s="130">
        <f t="shared" ref="AH18:AH54" si="46">AG18*(1+$Y18)</f>
        <v>8442.9031006078076</v>
      </c>
      <c r="AI18" s="130">
        <f t="shared" ref="AI18:AI54" si="47">AH18*(1+$Y18)</f>
        <v>9709.3385656989776</v>
      </c>
      <c r="AJ18" s="115">
        <f t="shared" si="3"/>
        <v>0.23267177554243479</v>
      </c>
      <c r="AK18" s="21">
        <f t="shared" si="18"/>
        <v>0.01</v>
      </c>
      <c r="AL18" s="123" t="e">
        <f t="shared" si="25"/>
        <v>#DIV/0!</v>
      </c>
    </row>
    <row r="19" spans="2:38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78"/>
      <c r="T19" s="178"/>
      <c r="U19" s="178"/>
      <c r="V19" s="124"/>
      <c r="W19" s="124"/>
      <c r="X19" s="10"/>
      <c r="Y19" s="1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14"/>
      <c r="AK19" s="114"/>
      <c r="AL19" s="114"/>
    </row>
    <row r="20" spans="2:38" x14ac:dyDescent="0.2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78"/>
      <c r="T20" s="178"/>
      <c r="U20" s="178"/>
      <c r="V20" s="124"/>
      <c r="W20" s="124"/>
      <c r="X20" s="101" t="e">
        <f t="shared" si="26"/>
        <v>#DIV/0!</v>
      </c>
      <c r="Y20" s="21">
        <f t="shared" si="8"/>
        <v>0.15</v>
      </c>
      <c r="Z20" s="130">
        <f t="shared" si="1"/>
        <v>0</v>
      </c>
      <c r="AA20" s="130">
        <f t="shared" ref="AA20:AA22" si="48">Z20*(1+$Y20)</f>
        <v>0</v>
      </c>
      <c r="AB20" s="130">
        <f t="shared" ref="AB20:AB22" si="49">AA20*(1+$Y20)</f>
        <v>0</v>
      </c>
      <c r="AC20" s="130">
        <f t="shared" ref="AC20:AC22" si="50">AB20*(1+$Y20)</f>
        <v>0</v>
      </c>
      <c r="AD20" s="130">
        <f t="shared" ref="AD20:AD22" si="51">AC20*(1+$Y20)</f>
        <v>0</v>
      </c>
      <c r="AE20" s="130">
        <f t="shared" ref="AE20:AE22" si="52">AD20*(1+$Y20)</f>
        <v>0</v>
      </c>
      <c r="AF20" s="130">
        <f t="shared" ref="AF20:AF22" si="53">AE20*(1+$Y20)</f>
        <v>0</v>
      </c>
      <c r="AG20" s="130">
        <f t="shared" ref="AG20:AG22" si="54">AF20*(1+$Y20)</f>
        <v>0</v>
      </c>
      <c r="AH20" s="130">
        <f t="shared" ref="AH20:AH22" si="55">AG20*(1+$Y20)</f>
        <v>0</v>
      </c>
      <c r="AI20" s="130">
        <f t="shared" ref="AI20:AI22" si="56">AH20*(1+$Y20)</f>
        <v>0</v>
      </c>
      <c r="AJ20" s="115" t="e">
        <f t="shared" si="3"/>
        <v>#DIV/0!</v>
      </c>
      <c r="AK20" s="21">
        <f t="shared" si="18"/>
        <v>0.01</v>
      </c>
      <c r="AL20" s="123" t="e">
        <f t="shared" si="25"/>
        <v>#DIV/0!</v>
      </c>
    </row>
    <row r="21" spans="2:38" x14ac:dyDescent="0.2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78"/>
      <c r="T21" s="178"/>
      <c r="U21" s="178"/>
      <c r="V21" s="124"/>
      <c r="W21" s="124"/>
      <c r="X21" s="101" t="e">
        <f t="shared" si="26"/>
        <v>#DIV/0!</v>
      </c>
      <c r="Y21" s="21">
        <f t="shared" si="8"/>
        <v>0.15</v>
      </c>
      <c r="Z21" s="130">
        <f t="shared" si="1"/>
        <v>0</v>
      </c>
      <c r="AA21" s="130">
        <f t="shared" si="48"/>
        <v>0</v>
      </c>
      <c r="AB21" s="130">
        <f t="shared" si="49"/>
        <v>0</v>
      </c>
      <c r="AC21" s="130">
        <f t="shared" si="50"/>
        <v>0</v>
      </c>
      <c r="AD21" s="130">
        <f t="shared" si="51"/>
        <v>0</v>
      </c>
      <c r="AE21" s="130">
        <f t="shared" si="52"/>
        <v>0</v>
      </c>
      <c r="AF21" s="130">
        <f t="shared" si="53"/>
        <v>0</v>
      </c>
      <c r="AG21" s="130">
        <f t="shared" si="54"/>
        <v>0</v>
      </c>
      <c r="AH21" s="130">
        <f t="shared" si="55"/>
        <v>0</v>
      </c>
      <c r="AI21" s="130">
        <f t="shared" si="56"/>
        <v>0</v>
      </c>
      <c r="AJ21" s="115" t="e">
        <f t="shared" si="3"/>
        <v>#DIV/0!</v>
      </c>
      <c r="AK21" s="21">
        <f t="shared" si="18"/>
        <v>0.01</v>
      </c>
      <c r="AL21" s="123" t="e">
        <f t="shared" si="25"/>
        <v>#DIV/0!</v>
      </c>
    </row>
    <row r="22" spans="2:38" x14ac:dyDescent="0.2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78"/>
      <c r="T22" s="178"/>
      <c r="U22" s="178"/>
      <c r="V22" s="124"/>
      <c r="W22" s="124"/>
      <c r="X22" s="101" t="e">
        <f t="shared" si="26"/>
        <v>#DIV/0!</v>
      </c>
      <c r="Y22" s="21">
        <f t="shared" si="8"/>
        <v>0.15</v>
      </c>
      <c r="Z22" s="130">
        <f t="shared" si="1"/>
        <v>0</v>
      </c>
      <c r="AA22" s="130">
        <f t="shared" si="48"/>
        <v>0</v>
      </c>
      <c r="AB22" s="130">
        <f t="shared" si="49"/>
        <v>0</v>
      </c>
      <c r="AC22" s="130">
        <f t="shared" si="50"/>
        <v>0</v>
      </c>
      <c r="AD22" s="130">
        <f t="shared" si="51"/>
        <v>0</v>
      </c>
      <c r="AE22" s="130">
        <f t="shared" si="52"/>
        <v>0</v>
      </c>
      <c r="AF22" s="130">
        <f t="shared" si="53"/>
        <v>0</v>
      </c>
      <c r="AG22" s="130">
        <f t="shared" si="54"/>
        <v>0</v>
      </c>
      <c r="AH22" s="130">
        <f t="shared" si="55"/>
        <v>0</v>
      </c>
      <c r="AI22" s="130">
        <f t="shared" si="56"/>
        <v>0</v>
      </c>
      <c r="AJ22" s="115" t="e">
        <f t="shared" si="3"/>
        <v>#DIV/0!</v>
      </c>
      <c r="AK22" s="21">
        <f t="shared" si="18"/>
        <v>0.01</v>
      </c>
      <c r="AL22" s="123" t="e">
        <f t="shared" si="25"/>
        <v>#DIV/0!</v>
      </c>
    </row>
    <row r="23" spans="2:38" x14ac:dyDescent="0.2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78"/>
      <c r="T23" s="178"/>
      <c r="U23" s="178"/>
      <c r="V23" s="124"/>
      <c r="W23" s="124"/>
      <c r="X23" s="101" t="e">
        <f t="shared" si="26"/>
        <v>#DIV/0!</v>
      </c>
      <c r="Y23" s="21">
        <f t="shared" si="8"/>
        <v>0.15</v>
      </c>
      <c r="Z23" s="130">
        <f t="shared" si="1"/>
        <v>0</v>
      </c>
      <c r="AA23" s="130">
        <f t="shared" ref="AA23" si="57">Z23*(1+$Y23)</f>
        <v>0</v>
      </c>
      <c r="AB23" s="130">
        <f t="shared" ref="AB23" si="58">AA23*(1+$Y23)</f>
        <v>0</v>
      </c>
      <c r="AC23" s="130">
        <f t="shared" ref="AC23" si="59">AB23*(1+$Y23)</f>
        <v>0</v>
      </c>
      <c r="AD23" s="130">
        <f t="shared" ref="AD23" si="60">AC23*(1+$Y23)</f>
        <v>0</v>
      </c>
      <c r="AE23" s="130">
        <f t="shared" ref="AE23" si="61">AD23*(1+$Y23)</f>
        <v>0</v>
      </c>
      <c r="AF23" s="130">
        <f t="shared" ref="AF23" si="62">AE23*(1+$Y23)</f>
        <v>0</v>
      </c>
      <c r="AG23" s="130">
        <f t="shared" ref="AG23" si="63">AF23*(1+$Y23)</f>
        <v>0</v>
      </c>
      <c r="AH23" s="130">
        <f t="shared" ref="AH23" si="64">AG23*(1+$Y23)</f>
        <v>0</v>
      </c>
      <c r="AI23" s="130">
        <f t="shared" ref="AI23" si="65">AH23*(1+$Y23)</f>
        <v>0</v>
      </c>
      <c r="AJ23" s="115" t="e">
        <f t="shared" si="3"/>
        <v>#DIV/0!</v>
      </c>
      <c r="AK23" s="21">
        <f t="shared" si="18"/>
        <v>0.01</v>
      </c>
      <c r="AL23" s="123" t="e">
        <f t="shared" si="25"/>
        <v>#DIV/0!</v>
      </c>
    </row>
    <row r="24" spans="2:38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78"/>
      <c r="T24" s="178"/>
      <c r="U24" s="178"/>
      <c r="V24" s="124"/>
      <c r="W24" s="124"/>
      <c r="X24" s="10"/>
      <c r="Y24" s="1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14"/>
      <c r="AK24" s="114"/>
      <c r="AL24" s="114"/>
    </row>
    <row r="25" spans="2:38" x14ac:dyDescent="0.2">
      <c r="B25" s="10" t="s">
        <v>68</v>
      </c>
      <c r="C25" s="118"/>
      <c r="D25" s="118"/>
      <c r="E25" s="124"/>
      <c r="F25" s="124"/>
      <c r="G25" s="124">
        <v>138</v>
      </c>
      <c r="H25" s="124">
        <v>138</v>
      </c>
      <c r="I25" s="124">
        <v>224</v>
      </c>
      <c r="J25" s="124">
        <v>298</v>
      </c>
      <c r="K25" s="124">
        <v>339</v>
      </c>
      <c r="L25" s="124">
        <v>290</v>
      </c>
      <c r="M25" s="124">
        <v>347</v>
      </c>
      <c r="N25" s="124">
        <v>347</v>
      </c>
      <c r="O25" s="124">
        <v>410</v>
      </c>
      <c r="P25" s="124">
        <v>1305</v>
      </c>
      <c r="Q25" s="124"/>
      <c r="R25" s="124">
        <v>3286</v>
      </c>
      <c r="S25" s="178">
        <v>6066</v>
      </c>
      <c r="T25" s="178">
        <v>8762</v>
      </c>
      <c r="U25" s="178">
        <v>11248</v>
      </c>
      <c r="V25" s="124">
        <v>6603</v>
      </c>
      <c r="W25" s="124">
        <f>V25</f>
        <v>6603</v>
      </c>
      <c r="X25" s="101">
        <f t="shared" si="26"/>
        <v>0.27347782840195189</v>
      </c>
      <c r="Y25" s="21">
        <f t="shared" si="8"/>
        <v>0.15</v>
      </c>
      <c r="Z25" s="130">
        <f t="shared" si="1"/>
        <v>7593.45</v>
      </c>
      <c r="AA25" s="130">
        <f t="shared" si="39"/>
        <v>8732.4674999999988</v>
      </c>
      <c r="AB25" s="130">
        <f t="shared" si="40"/>
        <v>10042.337624999998</v>
      </c>
      <c r="AC25" s="130">
        <f t="shared" si="41"/>
        <v>11548.688268749996</v>
      </c>
      <c r="AD25" s="130">
        <f t="shared" si="42"/>
        <v>13280.991509062495</v>
      </c>
      <c r="AE25" s="130">
        <f t="shared" si="43"/>
        <v>15273.140235421868</v>
      </c>
      <c r="AF25" s="130">
        <f t="shared" si="44"/>
        <v>17564.111270735146</v>
      </c>
      <c r="AG25" s="130">
        <f t="shared" si="45"/>
        <v>20198.727961345416</v>
      </c>
      <c r="AH25" s="130">
        <f t="shared" si="46"/>
        <v>23228.537155547227</v>
      </c>
      <c r="AI25" s="130">
        <f t="shared" si="47"/>
        <v>26712.817728879309</v>
      </c>
      <c r="AJ25" s="115">
        <f t="shared" si="3"/>
        <v>0.23445034267882581</v>
      </c>
      <c r="AK25" s="21">
        <f t="shared" si="18"/>
        <v>0.01</v>
      </c>
      <c r="AL25" s="123" t="e">
        <f t="shared" si="25"/>
        <v>#DIV/0!</v>
      </c>
    </row>
    <row r="26" spans="2:38" s="106" customFormat="1" x14ac:dyDescent="0.2">
      <c r="B26" s="13"/>
      <c r="C26" s="125"/>
      <c r="D26" s="125"/>
      <c r="E26" s="126"/>
      <c r="F26" s="266"/>
      <c r="G26" s="266">
        <f>(G25-F25)/G25</f>
        <v>1</v>
      </c>
      <c r="H26" s="266">
        <f>(H25-G25)/H25</f>
        <v>0</v>
      </c>
      <c r="I26" s="266">
        <f t="shared" ref="I26:R26" si="66">(I25-H25)/I25</f>
        <v>0.38392857142857145</v>
      </c>
      <c r="J26" s="266">
        <f t="shared" si="66"/>
        <v>0.24832214765100671</v>
      </c>
      <c r="K26" s="266">
        <f t="shared" si="66"/>
        <v>0.12094395280235988</v>
      </c>
      <c r="L26" s="266">
        <f t="shared" si="66"/>
        <v>-0.16896551724137931</v>
      </c>
      <c r="M26" s="266">
        <f t="shared" si="66"/>
        <v>0.16426512968299711</v>
      </c>
      <c r="N26" s="266">
        <f t="shared" si="66"/>
        <v>0</v>
      </c>
      <c r="O26" s="266">
        <f t="shared" si="66"/>
        <v>0.15365853658536585</v>
      </c>
      <c r="P26" s="266">
        <f t="shared" si="66"/>
        <v>0.68582375478927204</v>
      </c>
      <c r="Q26" s="266" t="e">
        <f t="shared" si="66"/>
        <v>#DIV/0!</v>
      </c>
      <c r="R26" s="266">
        <f t="shared" si="66"/>
        <v>1</v>
      </c>
      <c r="S26" s="127">
        <f t="shared" ref="S26:U26" si="67">(S25-R25)/R25</f>
        <v>0.84601339013998778</v>
      </c>
      <c r="T26" s="127">
        <f t="shared" si="67"/>
        <v>0.44444444444444442</v>
      </c>
      <c r="U26" s="127">
        <f t="shared" si="67"/>
        <v>0.28372517690025106</v>
      </c>
      <c r="V26" s="266">
        <f t="shared" ref="V26" si="68">(V25-U25)/V25</f>
        <v>-0.70346812055126462</v>
      </c>
      <c r="W26" s="266">
        <f t="shared" ref="W26" si="69">(W25-V25)/W25</f>
        <v>0</v>
      </c>
      <c r="X26" s="10"/>
      <c r="Y26" s="10"/>
      <c r="Z26" s="130"/>
      <c r="AA26" s="131"/>
      <c r="AB26" s="131"/>
      <c r="AC26" s="131"/>
      <c r="AD26" s="131"/>
      <c r="AE26" s="131"/>
      <c r="AF26" s="131"/>
      <c r="AG26" s="131"/>
      <c r="AH26" s="131"/>
      <c r="AI26" s="131"/>
      <c r="AJ26" s="114"/>
      <c r="AK26" s="114"/>
      <c r="AL26" s="114"/>
    </row>
    <row r="27" spans="2:38" x14ac:dyDescent="0.2">
      <c r="B27" s="10" t="s">
        <v>218</v>
      </c>
      <c r="C27" s="118"/>
      <c r="D27" s="118"/>
      <c r="E27" s="124"/>
      <c r="F27" s="124"/>
      <c r="G27" s="124">
        <v>87</v>
      </c>
      <c r="H27" s="124">
        <v>87</v>
      </c>
      <c r="I27" s="124">
        <v>148</v>
      </c>
      <c r="J27" s="124">
        <v>198</v>
      </c>
      <c r="K27" s="124">
        <v>240</v>
      </c>
      <c r="L27" s="124">
        <v>224</v>
      </c>
      <c r="M27" s="124">
        <v>237</v>
      </c>
      <c r="N27" s="124">
        <v>237</v>
      </c>
      <c r="O27" s="124">
        <v>285</v>
      </c>
      <c r="P27" s="124">
        <v>1143</v>
      </c>
      <c r="Q27" s="124"/>
      <c r="R27" s="124">
        <v>3002</v>
      </c>
      <c r="S27" s="178">
        <v>5909</v>
      </c>
      <c r="T27" s="178">
        <v>8424</v>
      </c>
      <c r="U27" s="178">
        <v>10877</v>
      </c>
      <c r="V27" s="124">
        <v>6521</v>
      </c>
      <c r="W27" s="124">
        <f>V27</f>
        <v>6521</v>
      </c>
      <c r="X27" s="101">
        <f t="shared" si="26"/>
        <v>0.30970861499649449</v>
      </c>
      <c r="Y27" s="21">
        <f t="shared" si="8"/>
        <v>0.15</v>
      </c>
      <c r="Z27" s="130">
        <f t="shared" si="1"/>
        <v>7499.15</v>
      </c>
      <c r="AA27" s="130">
        <f t="shared" si="39"/>
        <v>8624.0224999999991</v>
      </c>
      <c r="AB27" s="130">
        <f t="shared" si="40"/>
        <v>9917.6258749999979</v>
      </c>
      <c r="AC27" s="130">
        <f t="shared" si="41"/>
        <v>11405.269756249996</v>
      </c>
      <c r="AD27" s="130">
        <f t="shared" si="42"/>
        <v>13116.060219687495</v>
      </c>
      <c r="AE27" s="130">
        <f t="shared" si="43"/>
        <v>15083.469252640618</v>
      </c>
      <c r="AF27" s="130">
        <f t="shared" si="44"/>
        <v>17345.989640536711</v>
      </c>
      <c r="AG27" s="130">
        <f t="shared" si="45"/>
        <v>19947.888086617215</v>
      </c>
      <c r="AH27" s="130">
        <f t="shared" si="46"/>
        <v>22940.071299609794</v>
      </c>
      <c r="AI27" s="130">
        <f t="shared" si="47"/>
        <v>26381.081994551259</v>
      </c>
      <c r="AJ27" s="115">
        <f t="shared" si="3"/>
        <v>0.25681378081256434</v>
      </c>
      <c r="AK27" s="21">
        <f t="shared" si="18"/>
        <v>0.01</v>
      </c>
      <c r="AL27" s="123" t="e">
        <f t="shared" si="25"/>
        <v>#DIV/0!</v>
      </c>
    </row>
    <row r="28" spans="2:38" s="106" customFormat="1" x14ac:dyDescent="0.2">
      <c r="B28" s="13"/>
      <c r="C28" s="125"/>
      <c r="D28" s="125"/>
      <c r="E28" s="126"/>
      <c r="F28" s="266"/>
      <c r="G28" s="266">
        <f t="shared" ref="G28:R28" si="70">(G27-F27)/G27</f>
        <v>1</v>
      </c>
      <c r="H28" s="266">
        <f t="shared" si="70"/>
        <v>0</v>
      </c>
      <c r="I28" s="266">
        <f t="shared" si="70"/>
        <v>0.41216216216216217</v>
      </c>
      <c r="J28" s="266">
        <f t="shared" si="70"/>
        <v>0.25252525252525254</v>
      </c>
      <c r="K28" s="266">
        <f t="shared" si="70"/>
        <v>0.17499999999999999</v>
      </c>
      <c r="L28" s="266">
        <f t="shared" si="70"/>
        <v>-7.1428571428571425E-2</v>
      </c>
      <c r="M28" s="266">
        <f t="shared" si="70"/>
        <v>5.4852320675105488E-2</v>
      </c>
      <c r="N28" s="266">
        <f t="shared" si="70"/>
        <v>0</v>
      </c>
      <c r="O28" s="266">
        <f t="shared" si="70"/>
        <v>0.16842105263157894</v>
      </c>
      <c r="P28" s="266">
        <f t="shared" si="70"/>
        <v>0.75065616797900259</v>
      </c>
      <c r="Q28" s="266" t="e">
        <f t="shared" si="70"/>
        <v>#DIV/0!</v>
      </c>
      <c r="R28" s="266">
        <f t="shared" si="70"/>
        <v>1</v>
      </c>
      <c r="S28" s="127">
        <f t="shared" ref="S28:U28" si="71">(S27-R27)/R27</f>
        <v>0.96835443037974689</v>
      </c>
      <c r="T28" s="127">
        <f t="shared" si="71"/>
        <v>0.42562193264511761</v>
      </c>
      <c r="U28" s="127">
        <f t="shared" si="71"/>
        <v>0.29119183285849953</v>
      </c>
      <c r="V28" s="266">
        <f t="shared" ref="V28" si="72">(V27-U27)/V27</f>
        <v>-0.66799570618003379</v>
      </c>
      <c r="W28" s="266">
        <f t="shared" ref="W28" si="73">(W27-V27)/W27</f>
        <v>0</v>
      </c>
      <c r="X28" s="10"/>
      <c r="Y28" s="10"/>
      <c r="Z28" s="130"/>
      <c r="AA28" s="131"/>
      <c r="AB28" s="131"/>
      <c r="AC28" s="131"/>
      <c r="AD28" s="131"/>
      <c r="AE28" s="131"/>
      <c r="AF28" s="131"/>
      <c r="AG28" s="131"/>
      <c r="AH28" s="131"/>
      <c r="AI28" s="131"/>
      <c r="AJ28" s="114"/>
      <c r="AK28" s="114"/>
      <c r="AL28" s="114"/>
    </row>
    <row r="29" spans="2:38" s="106" customFormat="1" x14ac:dyDescent="0.2">
      <c r="B29" s="10" t="s">
        <v>268</v>
      </c>
      <c r="C29" s="125"/>
      <c r="D29" s="125"/>
      <c r="E29" s="126"/>
      <c r="F29" s="124"/>
      <c r="G29" s="124">
        <v>4</v>
      </c>
      <c r="H29" s="124">
        <v>4</v>
      </c>
      <c r="I29" s="124">
        <v>11</v>
      </c>
      <c r="J29" s="124">
        <v>33</v>
      </c>
      <c r="K29" s="124">
        <v>36</v>
      </c>
      <c r="L29" s="124">
        <v>20</v>
      </c>
      <c r="M29" s="124">
        <v>22</v>
      </c>
      <c r="N29" s="124">
        <v>22</v>
      </c>
      <c r="O29" s="124">
        <v>31</v>
      </c>
      <c r="P29" s="124">
        <v>42</v>
      </c>
      <c r="Q29" s="124"/>
      <c r="R29" s="124">
        <v>71</v>
      </c>
      <c r="S29" s="178">
        <v>92</v>
      </c>
      <c r="T29" s="178">
        <v>131</v>
      </c>
      <c r="U29" s="178">
        <v>131</v>
      </c>
      <c r="V29" s="124">
        <f>193.75-120.78</f>
        <v>72.97</v>
      </c>
      <c r="W29" s="124">
        <f>V29</f>
        <v>72.97</v>
      </c>
      <c r="X29" s="101">
        <f t="shared" si="26"/>
        <v>0.19899610474995177</v>
      </c>
      <c r="Y29" s="21">
        <f t="shared" si="8"/>
        <v>0.15</v>
      </c>
      <c r="Z29" s="130">
        <f t="shared" si="1"/>
        <v>83.915499999999994</v>
      </c>
      <c r="AA29" s="130">
        <f t="shared" ref="AA29" si="74">Z29*(1+$Y29)</f>
        <v>96.502824999999987</v>
      </c>
      <c r="AB29" s="130">
        <f t="shared" ref="AB29" si="75">AA29*(1+$Y29)</f>
        <v>110.97824874999998</v>
      </c>
      <c r="AC29" s="130">
        <f t="shared" ref="AC29" si="76">AB29*(1+$Y29)</f>
        <v>127.62498606249997</v>
      </c>
      <c r="AD29" s="130">
        <f t="shared" ref="AD29" si="77">AC29*(1+$Y29)</f>
        <v>146.76873397187495</v>
      </c>
      <c r="AE29" s="130">
        <f t="shared" ref="AE29" si="78">AD29*(1+$Y29)</f>
        <v>168.78404406765617</v>
      </c>
      <c r="AF29" s="130">
        <f t="shared" ref="AF29" si="79">AE29*(1+$Y29)</f>
        <v>194.10165067780457</v>
      </c>
      <c r="AG29" s="130">
        <f t="shared" ref="AG29" si="80">AF29*(1+$Y29)</f>
        <v>223.21689827947523</v>
      </c>
      <c r="AH29" s="130">
        <f t="shared" ref="AH29" si="81">AG29*(1+$Y29)</f>
        <v>256.69943302139649</v>
      </c>
      <c r="AI29" s="130">
        <f t="shared" ref="AI29" si="82">AH29*(1+$Y29)</f>
        <v>295.20434797460592</v>
      </c>
      <c r="AJ29" s="115">
        <f t="shared" si="3"/>
        <v>0.18774308414559426</v>
      </c>
      <c r="AK29" s="21">
        <f t="shared" si="18"/>
        <v>0.01</v>
      </c>
      <c r="AL29" s="123" t="e">
        <f t="shared" si="25"/>
        <v>#DIV/0!</v>
      </c>
    </row>
    <row r="30" spans="2:38" s="106" customFormat="1" x14ac:dyDescent="0.2">
      <c r="B30" s="13"/>
      <c r="C30" s="125"/>
      <c r="D30" s="125"/>
      <c r="E30" s="126"/>
      <c r="F30" s="266"/>
      <c r="G30" s="266">
        <f t="shared" ref="G30:R30" si="83">(G29-F29)/G29</f>
        <v>1</v>
      </c>
      <c r="H30" s="266">
        <f t="shared" si="83"/>
        <v>0</v>
      </c>
      <c r="I30" s="266">
        <f t="shared" si="83"/>
        <v>0.63636363636363635</v>
      </c>
      <c r="J30" s="266">
        <f t="shared" si="83"/>
        <v>0.66666666666666663</v>
      </c>
      <c r="K30" s="266">
        <f t="shared" si="83"/>
        <v>8.3333333333333329E-2</v>
      </c>
      <c r="L30" s="266">
        <f t="shared" si="83"/>
        <v>-0.8</v>
      </c>
      <c r="M30" s="266">
        <f t="shared" si="83"/>
        <v>9.0909090909090912E-2</v>
      </c>
      <c r="N30" s="266">
        <f t="shared" si="83"/>
        <v>0</v>
      </c>
      <c r="O30" s="266">
        <f t="shared" si="83"/>
        <v>0.29032258064516131</v>
      </c>
      <c r="P30" s="266">
        <f t="shared" si="83"/>
        <v>0.26190476190476192</v>
      </c>
      <c r="Q30" s="266" t="e">
        <f t="shared" si="83"/>
        <v>#DIV/0!</v>
      </c>
      <c r="R30" s="266">
        <f t="shared" si="83"/>
        <v>1</v>
      </c>
      <c r="S30" s="127">
        <f t="shared" ref="S30:U30" si="84">(S29-R29)/R29</f>
        <v>0.29577464788732394</v>
      </c>
      <c r="T30" s="127">
        <f t="shared" si="84"/>
        <v>0.42391304347826086</v>
      </c>
      <c r="U30" s="127">
        <f t="shared" si="84"/>
        <v>0</v>
      </c>
      <c r="V30" s="266">
        <f t="shared" ref="V30" si="85">(V29-U29)/V29</f>
        <v>-0.79525832533918051</v>
      </c>
      <c r="W30" s="266">
        <f t="shared" ref="W30" si="86">(W29-V29)/W29</f>
        <v>0</v>
      </c>
      <c r="X30" s="10"/>
      <c r="Y30" s="10"/>
      <c r="Z30" s="130"/>
      <c r="AA30" s="131"/>
      <c r="AB30" s="131"/>
      <c r="AC30" s="131"/>
      <c r="AD30" s="131"/>
      <c r="AE30" s="131"/>
      <c r="AF30" s="131"/>
      <c r="AG30" s="131"/>
      <c r="AH30" s="131"/>
      <c r="AI30" s="131"/>
      <c r="AJ30" s="114"/>
      <c r="AK30" s="114"/>
      <c r="AL30" s="114"/>
    </row>
    <row r="31" spans="2:38" x14ac:dyDescent="0.2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78">
        <v>0</v>
      </c>
      <c r="T31" s="178">
        <v>0</v>
      </c>
      <c r="U31" s="178">
        <v>0</v>
      </c>
      <c r="V31" s="124"/>
      <c r="W31" s="124"/>
      <c r="X31" s="101" t="e">
        <f t="shared" si="26"/>
        <v>#DIV/0!</v>
      </c>
      <c r="Y31" s="21">
        <f t="shared" si="8"/>
        <v>0.15</v>
      </c>
      <c r="Z31" s="130">
        <f t="shared" si="1"/>
        <v>0</v>
      </c>
      <c r="AA31" s="130">
        <f>Z31*(1+$Y31)</f>
        <v>0</v>
      </c>
      <c r="AB31" s="130">
        <f t="shared" ref="AB31:AI32" si="87">AA31*(1+$Y31)</f>
        <v>0</v>
      </c>
      <c r="AC31" s="130">
        <f t="shared" si="87"/>
        <v>0</v>
      </c>
      <c r="AD31" s="130">
        <f t="shared" si="87"/>
        <v>0</v>
      </c>
      <c r="AE31" s="130">
        <f t="shared" si="87"/>
        <v>0</v>
      </c>
      <c r="AF31" s="130">
        <f t="shared" si="87"/>
        <v>0</v>
      </c>
      <c r="AG31" s="130">
        <f t="shared" si="87"/>
        <v>0</v>
      </c>
      <c r="AH31" s="130">
        <f t="shared" si="87"/>
        <v>0</v>
      </c>
      <c r="AI31" s="130">
        <f t="shared" si="87"/>
        <v>0</v>
      </c>
      <c r="AJ31" s="115" t="e">
        <f t="shared" si="3"/>
        <v>#DIV/0!</v>
      </c>
      <c r="AK31" s="21">
        <f t="shared" si="18"/>
        <v>0.01</v>
      </c>
      <c r="AL31" s="123" t="e">
        <f t="shared" si="25"/>
        <v>#DIV/0!</v>
      </c>
    </row>
    <row r="32" spans="2:38" x14ac:dyDescent="0.2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78"/>
      <c r="T32" s="178"/>
      <c r="U32" s="178"/>
      <c r="V32" s="124"/>
      <c r="W32" s="124"/>
      <c r="X32" s="101" t="e">
        <f t="shared" si="26"/>
        <v>#DIV/0!</v>
      </c>
      <c r="Y32" s="21">
        <f t="shared" si="8"/>
        <v>0.15</v>
      </c>
      <c r="Z32" s="130">
        <f t="shared" si="1"/>
        <v>0</v>
      </c>
      <c r="AA32" s="130">
        <f>Z32*(1+$Y32)</f>
        <v>0</v>
      </c>
      <c r="AB32" s="130">
        <f t="shared" si="87"/>
        <v>0</v>
      </c>
      <c r="AC32" s="130">
        <f t="shared" si="87"/>
        <v>0</v>
      </c>
      <c r="AD32" s="130">
        <f t="shared" si="87"/>
        <v>0</v>
      </c>
      <c r="AE32" s="130">
        <f t="shared" si="87"/>
        <v>0</v>
      </c>
      <c r="AF32" s="130">
        <f t="shared" si="87"/>
        <v>0</v>
      </c>
      <c r="AG32" s="130">
        <f t="shared" si="87"/>
        <v>0</v>
      </c>
      <c r="AH32" s="130">
        <f t="shared" si="87"/>
        <v>0</v>
      </c>
      <c r="AI32" s="130">
        <f t="shared" si="87"/>
        <v>0</v>
      </c>
      <c r="AJ32" s="115" t="e">
        <f t="shared" si="3"/>
        <v>#DIV/0!</v>
      </c>
      <c r="AK32" s="21">
        <f t="shared" si="18"/>
        <v>0.01</v>
      </c>
      <c r="AL32" s="123" t="e">
        <f t="shared" si="25"/>
        <v>#DIV/0!</v>
      </c>
    </row>
    <row r="33" spans="1:38" x14ac:dyDescent="0.2">
      <c r="B33" s="10" t="s">
        <v>497</v>
      </c>
      <c r="C33" s="118"/>
      <c r="D33" s="118"/>
      <c r="E33" s="124"/>
      <c r="F33" s="124"/>
      <c r="G33" s="124">
        <v>32</v>
      </c>
      <c r="H33" s="124">
        <v>33</v>
      </c>
      <c r="I33" s="124">
        <v>64</v>
      </c>
      <c r="J33" s="124">
        <v>93</v>
      </c>
      <c r="K33" s="124">
        <v>115</v>
      </c>
      <c r="L33" s="124">
        <v>106</v>
      </c>
      <c r="M33" s="124">
        <v>126</v>
      </c>
      <c r="N33" s="124">
        <v>154</v>
      </c>
      <c r="O33" s="124">
        <v>175</v>
      </c>
      <c r="P33" s="124">
        <v>951</v>
      </c>
      <c r="Q33" s="124"/>
      <c r="R33" s="124">
        <v>2576</v>
      </c>
      <c r="S33" s="178">
        <v>3378</v>
      </c>
      <c r="T33" s="178">
        <v>4144</v>
      </c>
      <c r="U33" s="178">
        <v>5302</v>
      </c>
      <c r="V33" s="124">
        <v>771</v>
      </c>
      <c r="W33" s="124">
        <f>V33</f>
        <v>771</v>
      </c>
      <c r="X33" s="101">
        <f t="shared" si="26"/>
        <v>0.22002582850002561</v>
      </c>
      <c r="Y33" s="21">
        <f t="shared" si="8"/>
        <v>0.15</v>
      </c>
      <c r="Z33" s="130">
        <f t="shared" si="1"/>
        <v>886.65</v>
      </c>
      <c r="AA33" s="130">
        <f t="shared" si="39"/>
        <v>1019.6474999999999</v>
      </c>
      <c r="AB33" s="130">
        <f t="shared" si="40"/>
        <v>1172.5946249999997</v>
      </c>
      <c r="AC33" s="130">
        <f t="shared" si="41"/>
        <v>1348.4838187499995</v>
      </c>
      <c r="AD33" s="130">
        <f t="shared" si="42"/>
        <v>1550.7563915624994</v>
      </c>
      <c r="AE33" s="130">
        <f t="shared" si="43"/>
        <v>1783.3698502968741</v>
      </c>
      <c r="AF33" s="130">
        <f t="shared" si="44"/>
        <v>2050.8753278414051</v>
      </c>
      <c r="AG33" s="130">
        <f t="shared" si="45"/>
        <v>2358.5066270176158</v>
      </c>
      <c r="AH33" s="130">
        <f t="shared" si="46"/>
        <v>2712.2826210702578</v>
      </c>
      <c r="AI33" s="130">
        <f t="shared" si="47"/>
        <v>3119.1250142307963</v>
      </c>
      <c r="AJ33" s="115">
        <f t="shared" si="3"/>
        <v>0.20103402803404657</v>
      </c>
      <c r="AK33" s="21">
        <f t="shared" si="18"/>
        <v>0.01</v>
      </c>
      <c r="AL33" s="123" t="e">
        <f t="shared" si="25"/>
        <v>#DIV/0!</v>
      </c>
    </row>
    <row r="34" spans="1:38" x14ac:dyDescent="0.2">
      <c r="B34" s="10" t="s">
        <v>498</v>
      </c>
      <c r="C34" s="118"/>
      <c r="D34" s="118"/>
      <c r="E34" s="124"/>
      <c r="F34" s="124"/>
      <c r="G34" s="124">
        <v>11</v>
      </c>
      <c r="H34" s="124">
        <v>11</v>
      </c>
      <c r="I34" s="124">
        <v>20</v>
      </c>
      <c r="J34" s="124">
        <v>26</v>
      </c>
      <c r="K34" s="124">
        <v>27</v>
      </c>
      <c r="L34" s="124">
        <v>23</v>
      </c>
      <c r="M34" s="124">
        <v>28</v>
      </c>
      <c r="N34" s="124">
        <v>131</v>
      </c>
      <c r="O34" s="124">
        <v>142</v>
      </c>
      <c r="P34" s="124">
        <v>192</v>
      </c>
      <c r="Q34" s="124"/>
      <c r="R34" s="124">
        <v>426</v>
      </c>
      <c r="S34" s="124">
        <v>535</v>
      </c>
      <c r="T34" s="124">
        <v>742</v>
      </c>
      <c r="U34" s="124">
        <v>1005</v>
      </c>
      <c r="V34" s="124">
        <v>534</v>
      </c>
      <c r="W34" s="124">
        <f>V34</f>
        <v>534</v>
      </c>
      <c r="X34" s="101">
        <f t="shared" si="26"/>
        <v>0.27463043970687462</v>
      </c>
      <c r="Y34" s="21">
        <f t="shared" si="8"/>
        <v>0.15</v>
      </c>
      <c r="Z34" s="130">
        <f t="shared" si="1"/>
        <v>614.09999999999991</v>
      </c>
      <c r="AA34" s="130">
        <f t="shared" si="39"/>
        <v>706.2149999999998</v>
      </c>
      <c r="AB34" s="130">
        <f t="shared" si="40"/>
        <v>812.14724999999976</v>
      </c>
      <c r="AC34" s="130">
        <f t="shared" si="41"/>
        <v>933.9693374999996</v>
      </c>
      <c r="AD34" s="130">
        <f t="shared" si="42"/>
        <v>1074.0647381249994</v>
      </c>
      <c r="AE34" s="130">
        <f t="shared" si="43"/>
        <v>1235.1744488437491</v>
      </c>
      <c r="AF34" s="130">
        <f t="shared" si="44"/>
        <v>1420.4506161703114</v>
      </c>
      <c r="AG34" s="130">
        <f t="shared" si="45"/>
        <v>1633.5182085958579</v>
      </c>
      <c r="AH34" s="130">
        <f t="shared" si="46"/>
        <v>1878.5459398852365</v>
      </c>
      <c r="AI34" s="130">
        <f t="shared" si="47"/>
        <v>2160.3278308680219</v>
      </c>
      <c r="AJ34" s="115">
        <f t="shared" si="3"/>
        <v>0.23516529051312385</v>
      </c>
      <c r="AK34" s="21">
        <f t="shared" si="18"/>
        <v>0.01</v>
      </c>
      <c r="AL34" s="123" t="e">
        <f t="shared" si="25"/>
        <v>#DIV/0!</v>
      </c>
    </row>
    <row r="35" spans="1:38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0"/>
      <c r="Y35" s="124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14"/>
      <c r="AK35" s="114"/>
      <c r="AL35" s="114"/>
    </row>
    <row r="36" spans="1:38" x14ac:dyDescent="0.2">
      <c r="A36" s="303" t="s">
        <v>417</v>
      </c>
      <c r="B36" s="175" t="s">
        <v>411</v>
      </c>
      <c r="C36" s="118"/>
      <c r="D36" s="118"/>
      <c r="E36" s="124"/>
      <c r="F36" s="178"/>
      <c r="G36" s="178">
        <f t="shared" ref="G36:I36" si="88">H36</f>
        <v>0</v>
      </c>
      <c r="H36" s="178">
        <f t="shared" si="88"/>
        <v>0</v>
      </c>
      <c r="I36" s="178">
        <f t="shared" si="88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0</v>
      </c>
      <c r="T36" s="178">
        <v>0</v>
      </c>
      <c r="U36" s="178">
        <v>0</v>
      </c>
      <c r="V36" s="178">
        <v>5</v>
      </c>
      <c r="W36" s="178">
        <v>6</v>
      </c>
      <c r="X36" s="101" t="e">
        <f t="shared" si="26"/>
        <v>#DIV/0!</v>
      </c>
      <c r="Y36" s="21">
        <f t="shared" si="8"/>
        <v>0.15</v>
      </c>
      <c r="Z36" s="130">
        <f t="shared" si="1"/>
        <v>6.8999999999999995</v>
      </c>
      <c r="AA36" s="130">
        <f t="shared" ref="AA36:AA51" si="89">Z36*(1+$Y36)</f>
        <v>7.9349999999999987</v>
      </c>
      <c r="AB36" s="130">
        <f t="shared" ref="AB36:AB51" si="90">AA36*(1+$Y36)</f>
        <v>9.1252499999999976</v>
      </c>
      <c r="AC36" s="130">
        <f t="shared" ref="AC36:AC51" si="91">AB36*(1+$Y36)</f>
        <v>10.494037499999996</v>
      </c>
      <c r="AD36" s="130">
        <f t="shared" ref="AD36:AD51" si="92">AC36*(1+$Y36)</f>
        <v>12.068143124999994</v>
      </c>
      <c r="AE36" s="130">
        <f t="shared" ref="AE36:AE51" si="93">AD36*(1+$Y36)</f>
        <v>13.878364593749991</v>
      </c>
      <c r="AF36" s="130">
        <f t="shared" ref="AF36:AF51" si="94">AE36*(1+$Y36)</f>
        <v>15.960119282812489</v>
      </c>
      <c r="AG36" s="130">
        <f t="shared" ref="AG36:AG51" si="95">AF36*(1+$Y36)</f>
        <v>18.35413717523436</v>
      </c>
      <c r="AH36" s="130">
        <f t="shared" ref="AH36:AH51" si="96">AG36*(1+$Y36)</f>
        <v>21.107257751519512</v>
      </c>
      <c r="AI36" s="130">
        <f t="shared" ref="AI36:AI51" si="97">AH36*(1+$Y36)</f>
        <v>24.273346414247438</v>
      </c>
      <c r="AJ36" s="115" t="e">
        <f t="shared" si="3"/>
        <v>#DIV/0!</v>
      </c>
      <c r="AK36" s="21">
        <f t="shared" si="18"/>
        <v>0.01</v>
      </c>
      <c r="AL36" s="123" t="e">
        <f t="shared" si="25"/>
        <v>#DIV/0!</v>
      </c>
    </row>
    <row r="37" spans="1:38" x14ac:dyDescent="0.2">
      <c r="A37" s="303"/>
      <c r="B37" s="175"/>
      <c r="C37" s="118"/>
      <c r="D37" s="118"/>
      <c r="E37" s="124"/>
      <c r="F37" s="127"/>
      <c r="G37" s="127" t="e">
        <f t="shared" ref="G37:H37" si="98">(G36-E36)/E36</f>
        <v>#DIV/0!</v>
      </c>
      <c r="H37" s="127" t="e">
        <f t="shared" si="98"/>
        <v>#DIV/0!</v>
      </c>
      <c r="I37" s="127" t="e">
        <f t="shared" ref="I37:U37" si="99">(I36-H36)/H36</f>
        <v>#DIV/0!</v>
      </c>
      <c r="J37" s="127" t="e">
        <f t="shared" si="99"/>
        <v>#DIV/0!</v>
      </c>
      <c r="K37" s="127" t="e">
        <f t="shared" si="99"/>
        <v>#DIV/0!</v>
      </c>
      <c r="L37" s="127" t="e">
        <f t="shared" si="99"/>
        <v>#DIV/0!</v>
      </c>
      <c r="M37" s="127" t="e">
        <f t="shared" si="99"/>
        <v>#DIV/0!</v>
      </c>
      <c r="N37" s="127" t="e">
        <f t="shared" si="99"/>
        <v>#DIV/0!</v>
      </c>
      <c r="O37" s="127" t="e">
        <f t="shared" si="99"/>
        <v>#DIV/0!</v>
      </c>
      <c r="P37" s="127" t="e">
        <f t="shared" si="99"/>
        <v>#DIV/0!</v>
      </c>
      <c r="Q37" s="127" t="e">
        <f t="shared" si="99"/>
        <v>#DIV/0!</v>
      </c>
      <c r="R37" s="127" t="e">
        <f t="shared" si="99"/>
        <v>#DIV/0!</v>
      </c>
      <c r="S37" s="127" t="e">
        <f t="shared" si="99"/>
        <v>#DIV/0!</v>
      </c>
      <c r="T37" s="127" t="e">
        <f t="shared" si="99"/>
        <v>#DIV/0!</v>
      </c>
      <c r="U37" s="127" t="e">
        <f t="shared" si="99"/>
        <v>#DIV/0!</v>
      </c>
      <c r="V37" s="127" t="e">
        <f t="shared" ref="V37" si="100">(V36-U36)/U36</f>
        <v>#DIV/0!</v>
      </c>
      <c r="W37" s="127">
        <f t="shared" ref="W37" si="101">(W36-V36)/V36</f>
        <v>0.2</v>
      </c>
      <c r="X37" s="10"/>
      <c r="Y37" s="1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14"/>
      <c r="AK37" s="130"/>
      <c r="AL37" s="114"/>
    </row>
    <row r="38" spans="1:38" x14ac:dyDescent="0.2">
      <c r="A38" s="303"/>
      <c r="B38" s="175" t="s">
        <v>412</v>
      </c>
      <c r="C38" s="118"/>
      <c r="D38" s="118"/>
      <c r="E38" s="124"/>
      <c r="F38" s="178"/>
      <c r="G38" s="178">
        <f t="shared" ref="G38:I38" si="102">H38</f>
        <v>0</v>
      </c>
      <c r="H38" s="178">
        <f t="shared" si="102"/>
        <v>0</v>
      </c>
      <c r="I38" s="178">
        <f t="shared" si="102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0</v>
      </c>
      <c r="S38" s="178">
        <v>0</v>
      </c>
      <c r="T38" s="178">
        <v>0</v>
      </c>
      <c r="U38" s="178">
        <v>1</v>
      </c>
      <c r="V38" s="178">
        <v>5</v>
      </c>
      <c r="W38" s="178">
        <v>6</v>
      </c>
      <c r="X38" s="101" t="e">
        <f t="shared" si="26"/>
        <v>#DIV/0!</v>
      </c>
      <c r="Y38" s="21">
        <f t="shared" si="8"/>
        <v>0.15</v>
      </c>
      <c r="Z38" s="130">
        <f t="shared" si="1"/>
        <v>6.8999999999999995</v>
      </c>
      <c r="AA38" s="130">
        <f t="shared" si="89"/>
        <v>7.9349999999999987</v>
      </c>
      <c r="AB38" s="130">
        <f t="shared" si="90"/>
        <v>9.1252499999999976</v>
      </c>
      <c r="AC38" s="130">
        <f t="shared" si="91"/>
        <v>10.494037499999996</v>
      </c>
      <c r="AD38" s="130">
        <f t="shared" si="92"/>
        <v>12.068143124999994</v>
      </c>
      <c r="AE38" s="130">
        <f t="shared" si="93"/>
        <v>13.878364593749991</v>
      </c>
      <c r="AF38" s="130">
        <f t="shared" si="94"/>
        <v>15.960119282812489</v>
      </c>
      <c r="AG38" s="130">
        <f t="shared" si="95"/>
        <v>18.35413717523436</v>
      </c>
      <c r="AH38" s="130">
        <f t="shared" si="96"/>
        <v>21.107257751519512</v>
      </c>
      <c r="AI38" s="130">
        <f t="shared" si="97"/>
        <v>24.273346414247438</v>
      </c>
      <c r="AJ38" s="115" t="e">
        <f t="shared" si="3"/>
        <v>#DIV/0!</v>
      </c>
      <c r="AK38" s="21">
        <f t="shared" si="18"/>
        <v>0.01</v>
      </c>
      <c r="AL38" s="123" t="e">
        <f t="shared" si="25"/>
        <v>#DIV/0!</v>
      </c>
    </row>
    <row r="39" spans="1:38" x14ac:dyDescent="0.2">
      <c r="A39" s="303"/>
      <c r="B39" s="175"/>
      <c r="C39" s="118"/>
      <c r="D39" s="118"/>
      <c r="E39" s="124"/>
      <c r="F39" s="127"/>
      <c r="G39" s="127" t="e">
        <f t="shared" ref="G39:H39" si="103">(G38-E38)/E38</f>
        <v>#DIV/0!</v>
      </c>
      <c r="H39" s="127" t="e">
        <f t="shared" si="103"/>
        <v>#DIV/0!</v>
      </c>
      <c r="I39" s="127" t="e">
        <f t="shared" ref="I39:U39" si="104">(I38-H38)/H38</f>
        <v>#DIV/0!</v>
      </c>
      <c r="J39" s="127" t="e">
        <f t="shared" si="104"/>
        <v>#DIV/0!</v>
      </c>
      <c r="K39" s="127" t="e">
        <f t="shared" si="104"/>
        <v>#DIV/0!</v>
      </c>
      <c r="L39" s="127" t="e">
        <f t="shared" si="104"/>
        <v>#DIV/0!</v>
      </c>
      <c r="M39" s="127" t="e">
        <f t="shared" si="104"/>
        <v>#DIV/0!</v>
      </c>
      <c r="N39" s="127" t="e">
        <f t="shared" si="104"/>
        <v>#DIV/0!</v>
      </c>
      <c r="O39" s="127" t="e">
        <f t="shared" si="104"/>
        <v>#DIV/0!</v>
      </c>
      <c r="P39" s="127" t="e">
        <f t="shared" si="104"/>
        <v>#DIV/0!</v>
      </c>
      <c r="Q39" s="127" t="e">
        <f t="shared" si="104"/>
        <v>#DIV/0!</v>
      </c>
      <c r="R39" s="127" t="e">
        <f t="shared" si="104"/>
        <v>#DIV/0!</v>
      </c>
      <c r="S39" s="127" t="e">
        <f t="shared" si="104"/>
        <v>#DIV/0!</v>
      </c>
      <c r="T39" s="127" t="e">
        <f t="shared" si="104"/>
        <v>#DIV/0!</v>
      </c>
      <c r="U39" s="127" t="e">
        <f t="shared" si="104"/>
        <v>#DIV/0!</v>
      </c>
      <c r="V39" s="127">
        <f t="shared" ref="V39" si="105">(V38-U38)/U38</f>
        <v>4</v>
      </c>
      <c r="W39" s="127">
        <f t="shared" ref="W39" si="106">(W38-V38)/V38</f>
        <v>0.2</v>
      </c>
      <c r="X39" s="10"/>
      <c r="Y39" s="1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14"/>
      <c r="AK39" s="130"/>
      <c r="AL39" s="114"/>
    </row>
    <row r="40" spans="1:38" x14ac:dyDescent="0.2">
      <c r="A40" s="303"/>
      <c r="B40" s="175" t="s">
        <v>416</v>
      </c>
      <c r="C40" s="118"/>
      <c r="D40" s="118"/>
      <c r="E40" s="124"/>
      <c r="F40" s="178"/>
      <c r="G40" s="178">
        <f t="shared" ref="G40:I43" si="107">H40</f>
        <v>0</v>
      </c>
      <c r="H40" s="178">
        <f t="shared" si="107"/>
        <v>0</v>
      </c>
      <c r="I40" s="178">
        <f t="shared" si="107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78">
        <v>0</v>
      </c>
      <c r="X40" s="101" t="e">
        <f t="shared" si="26"/>
        <v>#DIV/0!</v>
      </c>
      <c r="Y40" s="21">
        <f t="shared" si="8"/>
        <v>0.15</v>
      </c>
      <c r="Z40" s="130">
        <f t="shared" si="1"/>
        <v>0</v>
      </c>
      <c r="AA40" s="130">
        <f t="shared" si="89"/>
        <v>0</v>
      </c>
      <c r="AB40" s="130">
        <f t="shared" si="90"/>
        <v>0</v>
      </c>
      <c r="AC40" s="130">
        <f t="shared" si="91"/>
        <v>0</v>
      </c>
      <c r="AD40" s="130">
        <f t="shared" si="92"/>
        <v>0</v>
      </c>
      <c r="AE40" s="130">
        <f t="shared" si="93"/>
        <v>0</v>
      </c>
      <c r="AF40" s="130">
        <f t="shared" si="94"/>
        <v>0</v>
      </c>
      <c r="AG40" s="130">
        <f t="shared" si="95"/>
        <v>0</v>
      </c>
      <c r="AH40" s="130">
        <f t="shared" si="96"/>
        <v>0</v>
      </c>
      <c r="AI40" s="130">
        <f t="shared" si="97"/>
        <v>0</v>
      </c>
      <c r="AJ40" s="115" t="e">
        <f t="shared" si="3"/>
        <v>#DIV/0!</v>
      </c>
      <c r="AK40" s="21">
        <f t="shared" si="18"/>
        <v>0.01</v>
      </c>
      <c r="AL40" s="123" t="e">
        <f t="shared" si="25"/>
        <v>#DIV/0!</v>
      </c>
    </row>
    <row r="41" spans="1:38" x14ac:dyDescent="0.2">
      <c r="A41" s="303"/>
      <c r="B41" s="175" t="s">
        <v>413</v>
      </c>
      <c r="C41" s="118"/>
      <c r="D41" s="118"/>
      <c r="E41" s="124"/>
      <c r="F41" s="178"/>
      <c r="G41" s="178">
        <f t="shared" si="107"/>
        <v>0</v>
      </c>
      <c r="H41" s="178">
        <f t="shared" si="107"/>
        <v>0</v>
      </c>
      <c r="I41" s="178">
        <f t="shared" si="107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78">
        <v>0</v>
      </c>
      <c r="X41" s="101" t="e">
        <f t="shared" si="26"/>
        <v>#DIV/0!</v>
      </c>
      <c r="Y41" s="21">
        <f t="shared" si="8"/>
        <v>0.15</v>
      </c>
      <c r="Z41" s="130">
        <f t="shared" si="1"/>
        <v>0</v>
      </c>
      <c r="AA41" s="130">
        <f t="shared" si="89"/>
        <v>0</v>
      </c>
      <c r="AB41" s="130">
        <f t="shared" si="90"/>
        <v>0</v>
      </c>
      <c r="AC41" s="130">
        <f t="shared" si="91"/>
        <v>0</v>
      </c>
      <c r="AD41" s="130">
        <f t="shared" si="92"/>
        <v>0</v>
      </c>
      <c r="AE41" s="130">
        <f t="shared" si="93"/>
        <v>0</v>
      </c>
      <c r="AF41" s="130">
        <f t="shared" si="94"/>
        <v>0</v>
      </c>
      <c r="AG41" s="130">
        <f t="shared" si="95"/>
        <v>0</v>
      </c>
      <c r="AH41" s="130">
        <f t="shared" si="96"/>
        <v>0</v>
      </c>
      <c r="AI41" s="130">
        <f t="shared" si="97"/>
        <v>0</v>
      </c>
      <c r="AJ41" s="115" t="e">
        <f t="shared" si="3"/>
        <v>#DIV/0!</v>
      </c>
      <c r="AK41" s="21">
        <f t="shared" si="18"/>
        <v>0.01</v>
      </c>
      <c r="AL41" s="123" t="e">
        <f t="shared" si="25"/>
        <v>#DIV/0!</v>
      </c>
    </row>
    <row r="42" spans="1:38" x14ac:dyDescent="0.2">
      <c r="A42" s="303"/>
      <c r="B42" s="175" t="s">
        <v>415</v>
      </c>
      <c r="C42" s="118"/>
      <c r="D42" s="118"/>
      <c r="E42" s="124"/>
      <c r="F42" s="178"/>
      <c r="G42" s="178">
        <f t="shared" si="107"/>
        <v>0</v>
      </c>
      <c r="H42" s="178">
        <f t="shared" si="107"/>
        <v>0</v>
      </c>
      <c r="I42" s="178">
        <f t="shared" si="107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78">
        <v>0</v>
      </c>
      <c r="X42" s="101" t="e">
        <f t="shared" si="26"/>
        <v>#DIV/0!</v>
      </c>
      <c r="Y42" s="21">
        <f t="shared" si="8"/>
        <v>0.15</v>
      </c>
      <c r="Z42" s="130">
        <f t="shared" si="1"/>
        <v>0</v>
      </c>
      <c r="AA42" s="130">
        <f t="shared" si="89"/>
        <v>0</v>
      </c>
      <c r="AB42" s="130">
        <f t="shared" si="90"/>
        <v>0</v>
      </c>
      <c r="AC42" s="130">
        <f t="shared" si="91"/>
        <v>0</v>
      </c>
      <c r="AD42" s="130">
        <f t="shared" si="92"/>
        <v>0</v>
      </c>
      <c r="AE42" s="130">
        <f t="shared" si="93"/>
        <v>0</v>
      </c>
      <c r="AF42" s="130">
        <f t="shared" si="94"/>
        <v>0</v>
      </c>
      <c r="AG42" s="130">
        <f t="shared" si="95"/>
        <v>0</v>
      </c>
      <c r="AH42" s="130">
        <f t="shared" si="96"/>
        <v>0</v>
      </c>
      <c r="AI42" s="130">
        <f t="shared" si="97"/>
        <v>0</v>
      </c>
      <c r="AJ42" s="115" t="e">
        <f t="shared" si="3"/>
        <v>#DIV/0!</v>
      </c>
      <c r="AK42" s="21">
        <f t="shared" si="18"/>
        <v>0.01</v>
      </c>
      <c r="AL42" s="123" t="e">
        <f t="shared" si="25"/>
        <v>#DIV/0!</v>
      </c>
    </row>
    <row r="43" spans="1:38" x14ac:dyDescent="0.2">
      <c r="A43" s="303"/>
      <c r="B43" s="175" t="s">
        <v>414</v>
      </c>
      <c r="C43" s="118"/>
      <c r="D43" s="118"/>
      <c r="E43" s="124"/>
      <c r="F43" s="178"/>
      <c r="G43" s="178">
        <f t="shared" si="107"/>
        <v>0</v>
      </c>
      <c r="H43" s="178">
        <f t="shared" si="107"/>
        <v>0</v>
      </c>
      <c r="I43" s="178">
        <f t="shared" si="107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01" t="e">
        <f t="shared" si="26"/>
        <v>#DIV/0!</v>
      </c>
      <c r="Y43" s="21">
        <f t="shared" si="8"/>
        <v>0.15</v>
      </c>
      <c r="Z43" s="130">
        <f t="shared" si="1"/>
        <v>0</v>
      </c>
      <c r="AA43" s="130">
        <f t="shared" si="89"/>
        <v>0</v>
      </c>
      <c r="AB43" s="130">
        <f t="shared" si="90"/>
        <v>0</v>
      </c>
      <c r="AC43" s="130">
        <f t="shared" si="91"/>
        <v>0</v>
      </c>
      <c r="AD43" s="130">
        <f t="shared" si="92"/>
        <v>0</v>
      </c>
      <c r="AE43" s="130">
        <f t="shared" si="93"/>
        <v>0</v>
      </c>
      <c r="AF43" s="130">
        <f t="shared" si="94"/>
        <v>0</v>
      </c>
      <c r="AG43" s="130">
        <f t="shared" si="95"/>
        <v>0</v>
      </c>
      <c r="AH43" s="130">
        <f t="shared" si="96"/>
        <v>0</v>
      </c>
      <c r="AI43" s="130">
        <f t="shared" si="97"/>
        <v>0</v>
      </c>
      <c r="AJ43" s="115" t="e">
        <f t="shared" si="3"/>
        <v>#DIV/0!</v>
      </c>
      <c r="AK43" s="21">
        <f t="shared" si="18"/>
        <v>0.01</v>
      </c>
      <c r="AL43" s="123" t="e">
        <f t="shared" si="25"/>
        <v>#DIV/0!</v>
      </c>
    </row>
    <row r="44" spans="1:38" x14ac:dyDescent="0.2">
      <c r="A44" s="303"/>
      <c r="B44" s="175"/>
      <c r="C44" s="118"/>
      <c r="D44" s="118"/>
      <c r="E44" s="124"/>
      <c r="F44" s="127"/>
      <c r="G44" s="127" t="e">
        <f t="shared" ref="G44:H44" si="108">(G43-E43)/E43</f>
        <v>#DIV/0!</v>
      </c>
      <c r="H44" s="127" t="e">
        <f t="shared" si="108"/>
        <v>#DIV/0!</v>
      </c>
      <c r="I44" s="127" t="e">
        <f t="shared" ref="I44:U44" si="109">(I43-H43)/H43</f>
        <v>#DIV/0!</v>
      </c>
      <c r="J44" s="127" t="e">
        <f t="shared" si="109"/>
        <v>#DIV/0!</v>
      </c>
      <c r="K44" s="127" t="e">
        <f t="shared" si="109"/>
        <v>#DIV/0!</v>
      </c>
      <c r="L44" s="127" t="e">
        <f t="shared" si="109"/>
        <v>#DIV/0!</v>
      </c>
      <c r="M44" s="127" t="e">
        <f t="shared" si="109"/>
        <v>#DIV/0!</v>
      </c>
      <c r="N44" s="127" t="e">
        <f t="shared" si="109"/>
        <v>#DIV/0!</v>
      </c>
      <c r="O44" s="127" t="e">
        <f t="shared" si="109"/>
        <v>#DIV/0!</v>
      </c>
      <c r="P44" s="127" t="e">
        <f t="shared" si="109"/>
        <v>#DIV/0!</v>
      </c>
      <c r="Q44" s="127" t="e">
        <f t="shared" si="109"/>
        <v>#DIV/0!</v>
      </c>
      <c r="R44" s="127" t="e">
        <f t="shared" si="109"/>
        <v>#DIV/0!</v>
      </c>
      <c r="S44" s="127" t="e">
        <f t="shared" si="109"/>
        <v>#DIV/0!</v>
      </c>
      <c r="T44" s="127" t="e">
        <f t="shared" si="109"/>
        <v>#DIV/0!</v>
      </c>
      <c r="U44" s="127" t="e">
        <f t="shared" si="109"/>
        <v>#DIV/0!</v>
      </c>
      <c r="V44" s="127" t="e">
        <f t="shared" ref="V44" si="110">(V43-U43)/U43</f>
        <v>#DIV/0!</v>
      </c>
      <c r="W44" s="127" t="e">
        <f t="shared" ref="W44" si="111">(W43-V43)/V43</f>
        <v>#DIV/0!</v>
      </c>
      <c r="X44" s="10"/>
      <c r="Y44" s="1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14"/>
      <c r="AK44" s="130"/>
      <c r="AL44" s="114"/>
    </row>
    <row r="45" spans="1:38" x14ac:dyDescent="0.2">
      <c r="A45" s="303"/>
      <c r="B45" s="175" t="s">
        <v>191</v>
      </c>
      <c r="C45" s="118"/>
      <c r="D45" s="118"/>
      <c r="E45" s="124"/>
      <c r="F45" s="178"/>
      <c r="G45" s="178">
        <f t="shared" ref="G45:I45" si="112">H45</f>
        <v>0</v>
      </c>
      <c r="H45" s="178">
        <f t="shared" si="112"/>
        <v>0</v>
      </c>
      <c r="I45" s="178">
        <f t="shared" si="112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0</v>
      </c>
      <c r="S45" s="178">
        <v>0</v>
      </c>
      <c r="T45" s="178">
        <v>0</v>
      </c>
      <c r="U45" s="178">
        <v>1</v>
      </c>
      <c r="V45" s="178">
        <v>5</v>
      </c>
      <c r="W45" s="178">
        <v>6</v>
      </c>
      <c r="X45" s="101" t="e">
        <f t="shared" si="26"/>
        <v>#DIV/0!</v>
      </c>
      <c r="Y45" s="21">
        <f t="shared" si="8"/>
        <v>0.15</v>
      </c>
      <c r="Z45" s="130">
        <f t="shared" si="1"/>
        <v>6.8999999999999995</v>
      </c>
      <c r="AA45" s="130">
        <f t="shared" si="89"/>
        <v>7.9349999999999987</v>
      </c>
      <c r="AB45" s="130">
        <f t="shared" si="90"/>
        <v>9.1252499999999976</v>
      </c>
      <c r="AC45" s="130">
        <f t="shared" si="91"/>
        <v>10.494037499999996</v>
      </c>
      <c r="AD45" s="130">
        <f t="shared" si="92"/>
        <v>12.068143124999994</v>
      </c>
      <c r="AE45" s="130">
        <f t="shared" si="93"/>
        <v>13.878364593749991</v>
      </c>
      <c r="AF45" s="130">
        <f t="shared" si="94"/>
        <v>15.960119282812489</v>
      </c>
      <c r="AG45" s="130">
        <f t="shared" si="95"/>
        <v>18.35413717523436</v>
      </c>
      <c r="AH45" s="130">
        <f t="shared" si="96"/>
        <v>21.107257751519512</v>
      </c>
      <c r="AI45" s="130">
        <f t="shared" si="97"/>
        <v>24.273346414247438</v>
      </c>
      <c r="AJ45" s="115" t="e">
        <f t="shared" si="3"/>
        <v>#DIV/0!</v>
      </c>
      <c r="AK45" s="21">
        <f t="shared" si="18"/>
        <v>0.01</v>
      </c>
      <c r="AL45" s="123" t="e">
        <f t="shared" si="25"/>
        <v>#DIV/0!</v>
      </c>
    </row>
    <row r="46" spans="1:38" x14ac:dyDescent="0.2">
      <c r="A46" s="176"/>
      <c r="B46" s="175"/>
      <c r="C46" s="118"/>
      <c r="D46" s="118"/>
      <c r="E46" s="124"/>
      <c r="F46" s="127"/>
      <c r="G46" s="127" t="e">
        <f t="shared" ref="G46:H46" si="113">(G45-E45)/E45</f>
        <v>#DIV/0!</v>
      </c>
      <c r="H46" s="127" t="e">
        <f t="shared" si="113"/>
        <v>#DIV/0!</v>
      </c>
      <c r="I46" s="127" t="e">
        <f t="shared" ref="I46:U46" si="114">(I45-H45)/H45</f>
        <v>#DIV/0!</v>
      </c>
      <c r="J46" s="127" t="e">
        <f t="shared" si="114"/>
        <v>#DIV/0!</v>
      </c>
      <c r="K46" s="127" t="e">
        <f t="shared" si="114"/>
        <v>#DIV/0!</v>
      </c>
      <c r="L46" s="127" t="e">
        <f t="shared" si="114"/>
        <v>#DIV/0!</v>
      </c>
      <c r="M46" s="127" t="e">
        <f t="shared" si="114"/>
        <v>#DIV/0!</v>
      </c>
      <c r="N46" s="127" t="e">
        <f t="shared" si="114"/>
        <v>#DIV/0!</v>
      </c>
      <c r="O46" s="127" t="e">
        <f t="shared" si="114"/>
        <v>#DIV/0!</v>
      </c>
      <c r="P46" s="127" t="e">
        <f t="shared" si="114"/>
        <v>#DIV/0!</v>
      </c>
      <c r="Q46" s="127" t="e">
        <f t="shared" si="114"/>
        <v>#DIV/0!</v>
      </c>
      <c r="R46" s="127" t="e">
        <f t="shared" si="114"/>
        <v>#DIV/0!</v>
      </c>
      <c r="S46" s="127" t="e">
        <f t="shared" si="114"/>
        <v>#DIV/0!</v>
      </c>
      <c r="T46" s="127" t="e">
        <f t="shared" si="114"/>
        <v>#DIV/0!</v>
      </c>
      <c r="U46" s="127" t="e">
        <f t="shared" si="114"/>
        <v>#DIV/0!</v>
      </c>
      <c r="V46" s="127">
        <f t="shared" ref="V46" si="115">(V45-U45)/U45</f>
        <v>4</v>
      </c>
      <c r="W46" s="127">
        <f t="shared" ref="W46" si="116">(W45-V45)/V45</f>
        <v>0.2</v>
      </c>
      <c r="X46" s="10"/>
      <c r="Y46" s="1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14"/>
      <c r="AK46" s="130"/>
      <c r="AL46" s="114"/>
    </row>
    <row r="47" spans="1:38" x14ac:dyDescent="0.2">
      <c r="A47" s="176"/>
      <c r="B47" s="175" t="s">
        <v>505</v>
      </c>
      <c r="C47" s="118"/>
      <c r="D47" s="118"/>
      <c r="E47" s="124"/>
      <c r="F47" s="127"/>
      <c r="G47" s="178">
        <f t="shared" ref="G47:I47" si="117">H47</f>
        <v>0</v>
      </c>
      <c r="H47" s="178">
        <f t="shared" si="117"/>
        <v>0</v>
      </c>
      <c r="I47" s="178">
        <f t="shared" si="117"/>
        <v>0</v>
      </c>
      <c r="J47" s="178">
        <f>K47</f>
        <v>0</v>
      </c>
      <c r="K47" s="178">
        <v>0</v>
      </c>
      <c r="L47" s="178">
        <v>0</v>
      </c>
      <c r="M47" s="178">
        <v>0</v>
      </c>
      <c r="N47" s="178">
        <v>0</v>
      </c>
      <c r="O47" s="178">
        <v>0</v>
      </c>
      <c r="P47" s="178">
        <v>0</v>
      </c>
      <c r="Q47" s="178">
        <v>0</v>
      </c>
      <c r="R47" s="178">
        <v>0</v>
      </c>
      <c r="S47" s="178">
        <v>0</v>
      </c>
      <c r="T47" s="178">
        <v>0</v>
      </c>
      <c r="U47" s="178">
        <v>1</v>
      </c>
      <c r="V47" s="127"/>
      <c r="W47" s="127"/>
      <c r="X47" s="101" t="e">
        <f t="shared" si="26"/>
        <v>#DIV/0!</v>
      </c>
      <c r="Y47" s="21">
        <f t="shared" si="8"/>
        <v>0.15</v>
      </c>
      <c r="Z47" s="130">
        <f t="shared" si="1"/>
        <v>0</v>
      </c>
      <c r="AA47" s="130">
        <f t="shared" ref="AA47" si="118">Z47*(1+$Y47)</f>
        <v>0</v>
      </c>
      <c r="AB47" s="130">
        <f t="shared" ref="AB47" si="119">AA47*(1+$Y47)</f>
        <v>0</v>
      </c>
      <c r="AC47" s="130">
        <f t="shared" ref="AC47" si="120">AB47*(1+$Y47)</f>
        <v>0</v>
      </c>
      <c r="AD47" s="130">
        <f t="shared" ref="AD47" si="121">AC47*(1+$Y47)</f>
        <v>0</v>
      </c>
      <c r="AE47" s="130">
        <f t="shared" ref="AE47" si="122">AD47*(1+$Y47)</f>
        <v>0</v>
      </c>
      <c r="AF47" s="130">
        <f t="shared" ref="AF47" si="123">AE47*(1+$Y47)</f>
        <v>0</v>
      </c>
      <c r="AG47" s="130">
        <f t="shared" ref="AG47" si="124">AF47*(1+$Y47)</f>
        <v>0</v>
      </c>
      <c r="AH47" s="130">
        <f t="shared" ref="AH47" si="125">AG47*(1+$Y47)</f>
        <v>0</v>
      </c>
      <c r="AI47" s="130">
        <f t="shared" ref="AI47" si="126">AH47*(1+$Y47)</f>
        <v>0</v>
      </c>
      <c r="AJ47" s="115" t="e">
        <f t="shared" si="3"/>
        <v>#DIV/0!</v>
      </c>
      <c r="AK47" s="21">
        <f t="shared" si="18"/>
        <v>0.01</v>
      </c>
      <c r="AL47" s="123" t="e">
        <f t="shared" si="25"/>
        <v>#DIV/0!</v>
      </c>
    </row>
    <row r="48" spans="1:38" x14ac:dyDescent="0.2">
      <c r="A48" s="176"/>
      <c r="B48" s="175"/>
      <c r="C48" s="118"/>
      <c r="D48" s="118"/>
      <c r="E48" s="124"/>
      <c r="F48" s="127"/>
      <c r="G48" s="127" t="e">
        <f t="shared" ref="G48:H48" si="127">(G47-E47)/E47</f>
        <v>#DIV/0!</v>
      </c>
      <c r="H48" s="127" t="e">
        <f t="shared" si="127"/>
        <v>#DIV/0!</v>
      </c>
      <c r="I48" s="127" t="e">
        <f t="shared" ref="I48:U48" si="128">(I47-H47)/H47</f>
        <v>#DIV/0!</v>
      </c>
      <c r="J48" s="127" t="e">
        <f t="shared" si="128"/>
        <v>#DIV/0!</v>
      </c>
      <c r="K48" s="127" t="e">
        <f t="shared" si="128"/>
        <v>#DIV/0!</v>
      </c>
      <c r="L48" s="127" t="e">
        <f t="shared" si="128"/>
        <v>#DIV/0!</v>
      </c>
      <c r="M48" s="127" t="e">
        <f t="shared" si="128"/>
        <v>#DIV/0!</v>
      </c>
      <c r="N48" s="127" t="e">
        <f t="shared" si="128"/>
        <v>#DIV/0!</v>
      </c>
      <c r="O48" s="127" t="e">
        <f t="shared" si="128"/>
        <v>#DIV/0!</v>
      </c>
      <c r="P48" s="127" t="e">
        <f t="shared" si="128"/>
        <v>#DIV/0!</v>
      </c>
      <c r="Q48" s="127" t="e">
        <f t="shared" si="128"/>
        <v>#DIV/0!</v>
      </c>
      <c r="R48" s="127" t="e">
        <f t="shared" si="128"/>
        <v>#DIV/0!</v>
      </c>
      <c r="S48" s="127" t="e">
        <f t="shared" si="128"/>
        <v>#DIV/0!</v>
      </c>
      <c r="T48" s="127" t="e">
        <f t="shared" si="128"/>
        <v>#DIV/0!</v>
      </c>
      <c r="U48" s="127" t="e">
        <f t="shared" si="128"/>
        <v>#DIV/0!</v>
      </c>
      <c r="V48" s="127">
        <f t="shared" ref="V48" si="129">(V47-U47)/U47</f>
        <v>-1</v>
      </c>
      <c r="W48" s="127" t="e">
        <f t="shared" ref="W48" si="130">(W47-V47)/V47</f>
        <v>#DIV/0!</v>
      </c>
      <c r="X48" s="10"/>
      <c r="Y48" s="1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14"/>
      <c r="AK48" s="130"/>
      <c r="AL48" s="114"/>
    </row>
    <row r="49" spans="1:38" x14ac:dyDescent="0.2">
      <c r="A49" s="176"/>
      <c r="B49" s="175" t="s">
        <v>427</v>
      </c>
      <c r="C49" s="118"/>
      <c r="D49" s="118"/>
      <c r="E49" s="124"/>
      <c r="F49" s="178"/>
      <c r="G49" s="178">
        <f t="shared" ref="G49:I49" si="131">H49</f>
        <v>0</v>
      </c>
      <c r="H49" s="178">
        <f t="shared" si="131"/>
        <v>0</v>
      </c>
      <c r="I49" s="178">
        <f t="shared" si="131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0</v>
      </c>
      <c r="S49" s="178">
        <v>0</v>
      </c>
      <c r="T49" s="178">
        <v>0</v>
      </c>
      <c r="U49" s="178">
        <v>1</v>
      </c>
      <c r="V49" s="178">
        <v>5</v>
      </c>
      <c r="W49" s="178">
        <v>6</v>
      </c>
      <c r="X49" s="101" t="e">
        <f t="shared" si="26"/>
        <v>#DIV/0!</v>
      </c>
      <c r="Y49" s="21">
        <f t="shared" si="8"/>
        <v>0.15</v>
      </c>
      <c r="Z49" s="130">
        <f t="shared" si="1"/>
        <v>6.8999999999999995</v>
      </c>
      <c r="AA49" s="130">
        <f t="shared" ref="AA49" si="132">Z49*(1+$Y49)</f>
        <v>7.9349999999999987</v>
      </c>
      <c r="AB49" s="130">
        <f t="shared" ref="AB49" si="133">AA49*(1+$Y49)</f>
        <v>9.1252499999999976</v>
      </c>
      <c r="AC49" s="130">
        <f t="shared" ref="AC49" si="134">AB49*(1+$Y49)</f>
        <v>10.494037499999996</v>
      </c>
      <c r="AD49" s="130">
        <f t="shared" ref="AD49" si="135">AC49*(1+$Y49)</f>
        <v>12.068143124999994</v>
      </c>
      <c r="AE49" s="130">
        <f t="shared" ref="AE49" si="136">AD49*(1+$Y49)</f>
        <v>13.878364593749991</v>
      </c>
      <c r="AF49" s="130">
        <f t="shared" ref="AF49" si="137">AE49*(1+$Y49)</f>
        <v>15.960119282812489</v>
      </c>
      <c r="AG49" s="130">
        <f t="shared" ref="AG49" si="138">AF49*(1+$Y49)</f>
        <v>18.35413717523436</v>
      </c>
      <c r="AH49" s="130">
        <f t="shared" ref="AH49" si="139">AG49*(1+$Y49)</f>
        <v>21.107257751519512</v>
      </c>
      <c r="AI49" s="130">
        <f t="shared" ref="AI49" si="140">AH49*(1+$Y49)</f>
        <v>24.273346414247438</v>
      </c>
      <c r="AJ49" s="115" t="e">
        <f t="shared" si="3"/>
        <v>#DIV/0!</v>
      </c>
      <c r="AK49" s="21">
        <f t="shared" si="18"/>
        <v>0.01</v>
      </c>
      <c r="AL49" s="123" t="e">
        <f t="shared" si="25"/>
        <v>#DIV/0!</v>
      </c>
    </row>
    <row r="50" spans="1:38" x14ac:dyDescent="0.2">
      <c r="A50" s="176"/>
      <c r="B50" s="175"/>
      <c r="C50" s="118"/>
      <c r="D50" s="118"/>
      <c r="E50" s="124"/>
      <c r="F50" s="127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7">
        <f t="shared" ref="V50" si="141">(V49-U49)/U49</f>
        <v>4</v>
      </c>
      <c r="W50" s="127">
        <f t="shared" ref="W50" si="142">(W49-V49)/V49</f>
        <v>0.2</v>
      </c>
      <c r="X50" s="10"/>
      <c r="Y50" s="1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14"/>
      <c r="AK50" s="130"/>
      <c r="AL50" s="114"/>
    </row>
    <row r="51" spans="1:38" x14ac:dyDescent="0.2">
      <c r="A51" s="176"/>
      <c r="B51" s="175" t="s">
        <v>418</v>
      </c>
      <c r="C51" s="118"/>
      <c r="D51" s="118"/>
      <c r="E51" s="124"/>
      <c r="F51" s="178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78"/>
      <c r="T51" s="178"/>
      <c r="U51" s="178"/>
      <c r="V51" s="178"/>
      <c r="W51" s="178"/>
      <c r="X51" s="101" t="e">
        <f t="shared" si="26"/>
        <v>#DIV/0!</v>
      </c>
      <c r="Y51" s="21">
        <f t="shared" si="8"/>
        <v>0.15</v>
      </c>
      <c r="Z51" s="130">
        <f t="shared" si="1"/>
        <v>0</v>
      </c>
      <c r="AA51" s="130">
        <f t="shared" si="89"/>
        <v>0</v>
      </c>
      <c r="AB51" s="130">
        <f t="shared" si="90"/>
        <v>0</v>
      </c>
      <c r="AC51" s="130">
        <f t="shared" si="91"/>
        <v>0</v>
      </c>
      <c r="AD51" s="130">
        <f t="shared" si="92"/>
        <v>0</v>
      </c>
      <c r="AE51" s="130">
        <f t="shared" si="93"/>
        <v>0</v>
      </c>
      <c r="AF51" s="130">
        <f t="shared" si="94"/>
        <v>0</v>
      </c>
      <c r="AG51" s="130">
        <f t="shared" si="95"/>
        <v>0</v>
      </c>
      <c r="AH51" s="130">
        <f t="shared" si="96"/>
        <v>0</v>
      </c>
      <c r="AI51" s="130">
        <f t="shared" si="97"/>
        <v>0</v>
      </c>
      <c r="AJ51" s="115" t="e">
        <f t="shared" si="3"/>
        <v>#DIV/0!</v>
      </c>
      <c r="AK51" s="21">
        <f t="shared" si="18"/>
        <v>0.01</v>
      </c>
      <c r="AL51" s="123" t="e">
        <f t="shared" si="25"/>
        <v>#DIV/0!</v>
      </c>
    </row>
    <row r="52" spans="1:38" x14ac:dyDescent="0.2">
      <c r="B52" s="10"/>
      <c r="C52" s="118"/>
      <c r="D52" s="118"/>
      <c r="E52" s="124"/>
      <c r="F52" s="124"/>
      <c r="G52" s="266" t="e">
        <f t="shared" ref="G52:R52" si="143">(G51-F51)/G51</f>
        <v>#DIV/0!</v>
      </c>
      <c r="H52" s="266" t="e">
        <f t="shared" si="143"/>
        <v>#DIV/0!</v>
      </c>
      <c r="I52" s="266" t="e">
        <f t="shared" si="143"/>
        <v>#DIV/0!</v>
      </c>
      <c r="J52" s="266" t="e">
        <f t="shared" si="143"/>
        <v>#DIV/0!</v>
      </c>
      <c r="K52" s="266" t="e">
        <f t="shared" si="143"/>
        <v>#DIV/0!</v>
      </c>
      <c r="L52" s="266" t="e">
        <f t="shared" si="143"/>
        <v>#DIV/0!</v>
      </c>
      <c r="M52" s="266" t="e">
        <f t="shared" si="143"/>
        <v>#DIV/0!</v>
      </c>
      <c r="N52" s="266" t="e">
        <f t="shared" si="143"/>
        <v>#DIV/0!</v>
      </c>
      <c r="O52" s="266" t="e">
        <f t="shared" si="143"/>
        <v>#DIV/0!</v>
      </c>
      <c r="P52" s="266" t="e">
        <f t="shared" si="143"/>
        <v>#DIV/0!</v>
      </c>
      <c r="Q52" s="266" t="e">
        <f t="shared" si="143"/>
        <v>#DIV/0!</v>
      </c>
      <c r="R52" s="266" t="e">
        <f t="shared" si="143"/>
        <v>#DIV/0!</v>
      </c>
      <c r="S52" s="127" t="e">
        <f t="shared" ref="S52:U52" si="144">(S51-R51)/R51</f>
        <v>#DIV/0!</v>
      </c>
      <c r="T52" s="127" t="e">
        <f t="shared" si="144"/>
        <v>#DIV/0!</v>
      </c>
      <c r="U52" s="127" t="e">
        <f t="shared" si="144"/>
        <v>#DIV/0!</v>
      </c>
      <c r="V52" s="124"/>
      <c r="W52" s="124"/>
      <c r="X52" s="10"/>
      <c r="Y52" s="10"/>
      <c r="Z52" s="130">
        <f t="shared" si="1"/>
        <v>0</v>
      </c>
      <c r="AA52" s="130"/>
      <c r="AB52" s="130"/>
      <c r="AC52" s="130"/>
      <c r="AD52" s="130"/>
      <c r="AE52" s="130"/>
      <c r="AF52" s="130"/>
      <c r="AG52" s="130"/>
      <c r="AH52" s="130"/>
      <c r="AI52" s="130"/>
      <c r="AJ52" s="114"/>
      <c r="AK52" s="114"/>
      <c r="AL52" s="114"/>
    </row>
    <row r="53" spans="1:38" x14ac:dyDescent="0.2">
      <c r="B53" s="10"/>
      <c r="C53" s="118"/>
      <c r="D53" s="118"/>
      <c r="E53" s="124"/>
      <c r="F53" s="124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127"/>
      <c r="T53" s="127"/>
      <c r="U53" s="127"/>
      <c r="V53" s="124"/>
      <c r="W53" s="124"/>
      <c r="X53" s="10"/>
      <c r="Y53" s="1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14"/>
      <c r="AK53" s="114"/>
      <c r="AL53" s="114"/>
    </row>
    <row r="54" spans="1:38" x14ac:dyDescent="0.2">
      <c r="B54" s="10" t="s">
        <v>229</v>
      </c>
      <c r="C54" s="118"/>
      <c r="D54" s="118"/>
      <c r="E54" s="124"/>
      <c r="F54" s="124"/>
      <c r="G54" s="124">
        <v>42</v>
      </c>
      <c r="H54" s="124">
        <v>40</v>
      </c>
      <c r="I54" s="124">
        <v>53</v>
      </c>
      <c r="J54" s="124">
        <v>57</v>
      </c>
      <c r="K54" s="124">
        <v>52</v>
      </c>
      <c r="L54" s="124">
        <v>34</v>
      </c>
      <c r="M54" s="124">
        <v>74</v>
      </c>
      <c r="N54" s="124">
        <v>80</v>
      </c>
      <c r="O54" s="124">
        <v>77</v>
      </c>
      <c r="P54" s="124">
        <v>102</v>
      </c>
      <c r="Q54" s="124"/>
      <c r="R54" s="124">
        <v>241</v>
      </c>
      <c r="S54" s="178">
        <v>184</v>
      </c>
      <c r="T54" s="178">
        <v>337</v>
      </c>
      <c r="U54" s="178">
        <v>371</v>
      </c>
      <c r="V54" s="124">
        <v>82</v>
      </c>
      <c r="W54" s="124">
        <f>V54</f>
        <v>82</v>
      </c>
      <c r="X54" s="101">
        <f t="shared" si="26"/>
        <v>4.2702188627401938E-2</v>
      </c>
      <c r="Y54" s="21">
        <f t="shared" si="8"/>
        <v>0.15</v>
      </c>
      <c r="Z54" s="130">
        <f t="shared" si="1"/>
        <v>94.3</v>
      </c>
      <c r="AA54" s="130">
        <f t="shared" ref="AA54" si="145">Z54*(1+$Y54)</f>
        <v>108.44499999999999</v>
      </c>
      <c r="AB54" s="130">
        <f t="shared" ref="AB54" si="146">AA54*(1+$Y54)</f>
        <v>124.71174999999998</v>
      </c>
      <c r="AC54" s="130">
        <f t="shared" ref="AC54" si="147">AB54*(1+$Y54)</f>
        <v>143.41851249999996</v>
      </c>
      <c r="AD54" s="130">
        <f t="shared" si="42"/>
        <v>164.93128937499995</v>
      </c>
      <c r="AE54" s="130">
        <f t="shared" si="43"/>
        <v>189.67098278124993</v>
      </c>
      <c r="AF54" s="130">
        <f t="shared" si="44"/>
        <v>218.1216301984374</v>
      </c>
      <c r="AG54" s="130">
        <f t="shared" si="45"/>
        <v>250.839874728203</v>
      </c>
      <c r="AH54" s="130">
        <f t="shared" si="46"/>
        <v>288.46585593743345</v>
      </c>
      <c r="AI54" s="130">
        <f t="shared" si="47"/>
        <v>331.73573432804841</v>
      </c>
      <c r="AJ54" s="115">
        <f t="shared" si="3"/>
        <v>8.6179791969969388E-2</v>
      </c>
      <c r="AK54" s="21">
        <f t="shared" si="18"/>
        <v>0.01</v>
      </c>
      <c r="AL54" s="123" t="e">
        <f t="shared" si="25"/>
        <v>#DIV/0!</v>
      </c>
    </row>
    <row r="55" spans="1:38" s="106" customFormat="1" x14ac:dyDescent="0.2">
      <c r="B55" s="13"/>
      <c r="C55" s="125"/>
      <c r="D55" s="125"/>
      <c r="E55" s="126"/>
      <c r="F55" s="266"/>
      <c r="G55" s="266">
        <f t="shared" ref="G55:R55" si="148">(G54-F54)/G54</f>
        <v>1</v>
      </c>
      <c r="H55" s="266">
        <f t="shared" si="148"/>
        <v>-0.05</v>
      </c>
      <c r="I55" s="266">
        <f t="shared" si="148"/>
        <v>0.24528301886792453</v>
      </c>
      <c r="J55" s="266">
        <f t="shared" si="148"/>
        <v>7.0175438596491224E-2</v>
      </c>
      <c r="K55" s="266">
        <f t="shared" si="148"/>
        <v>-9.6153846153846159E-2</v>
      </c>
      <c r="L55" s="266">
        <f t="shared" si="148"/>
        <v>-0.52941176470588236</v>
      </c>
      <c r="M55" s="266">
        <f t="shared" si="148"/>
        <v>0.54054054054054057</v>
      </c>
      <c r="N55" s="266">
        <f t="shared" si="148"/>
        <v>7.4999999999999997E-2</v>
      </c>
      <c r="O55" s="266">
        <f t="shared" si="148"/>
        <v>-3.896103896103896E-2</v>
      </c>
      <c r="P55" s="266">
        <f t="shared" si="148"/>
        <v>0.24509803921568626</v>
      </c>
      <c r="Q55" s="266" t="e">
        <f t="shared" si="148"/>
        <v>#DIV/0!</v>
      </c>
      <c r="R55" s="266">
        <f t="shared" si="148"/>
        <v>1</v>
      </c>
      <c r="S55" s="127">
        <f t="shared" ref="S55:U55" si="149">(S54-R54)/R54</f>
        <v>-0.23651452282157676</v>
      </c>
      <c r="T55" s="127">
        <f t="shared" si="149"/>
        <v>0.83152173913043481</v>
      </c>
      <c r="U55" s="127">
        <f t="shared" si="149"/>
        <v>0.10089020771513353</v>
      </c>
      <c r="V55" s="266">
        <f t="shared" ref="V55" si="150">(V54-U54)/V54</f>
        <v>-3.524390243902439</v>
      </c>
      <c r="W55" s="266">
        <f t="shared" ref="W55" si="151">(W54-V54)/W54</f>
        <v>0</v>
      </c>
      <c r="X55" s="10"/>
      <c r="Y55" s="10"/>
      <c r="Z55" s="130"/>
      <c r="AA55" s="131"/>
      <c r="AB55" s="131"/>
      <c r="AC55" s="131"/>
      <c r="AD55" s="131"/>
      <c r="AE55" s="131"/>
      <c r="AF55" s="131"/>
      <c r="AG55" s="131"/>
      <c r="AH55" s="131"/>
      <c r="AI55" s="131"/>
      <c r="AJ55" s="114"/>
      <c r="AK55" s="114"/>
      <c r="AL55" s="114"/>
    </row>
    <row r="56" spans="1:38" s="106" customFormat="1" x14ac:dyDescent="0.2">
      <c r="B56" s="10" t="s">
        <v>342</v>
      </c>
      <c r="C56" s="125"/>
      <c r="D56" s="125"/>
      <c r="E56" s="126"/>
      <c r="F56" s="124"/>
      <c r="G56" s="124">
        <v>28</v>
      </c>
      <c r="H56" s="124">
        <v>28</v>
      </c>
      <c r="I56" s="124">
        <v>37</v>
      </c>
      <c r="J56" s="124">
        <v>52</v>
      </c>
      <c r="K56" s="124">
        <v>37</v>
      </c>
      <c r="L56" s="124">
        <v>25</v>
      </c>
      <c r="M56" s="124">
        <v>47</v>
      </c>
      <c r="N56" s="124">
        <v>56</v>
      </c>
      <c r="O56" s="124">
        <v>50</v>
      </c>
      <c r="P56" s="124">
        <v>68</v>
      </c>
      <c r="Q56" s="124"/>
      <c r="R56" s="124">
        <v>170</v>
      </c>
      <c r="S56" s="178">
        <v>4.33</v>
      </c>
      <c r="T56" s="178">
        <v>199</v>
      </c>
      <c r="U56" s="178">
        <v>6076</v>
      </c>
      <c r="V56" s="124">
        <v>53</v>
      </c>
      <c r="W56" s="124">
        <f>V56</f>
        <v>53</v>
      </c>
      <c r="X56" s="101">
        <f t="shared" si="26"/>
        <v>4.0686365930000301E-2</v>
      </c>
      <c r="Y56" s="21">
        <f t="shared" si="8"/>
        <v>0.15</v>
      </c>
      <c r="Z56" s="130">
        <f t="shared" si="1"/>
        <v>60.949999999999996</v>
      </c>
      <c r="AA56" s="130">
        <f t="shared" ref="AA56" si="152">Z56*(1+$Y56)</f>
        <v>70.092499999999987</v>
      </c>
      <c r="AB56" s="130">
        <f t="shared" ref="AB56" si="153">AA56*(1+$Y56)</f>
        <v>80.606374999999986</v>
      </c>
      <c r="AC56" s="130">
        <f t="shared" ref="AC56" si="154">AB56*(1+$Y56)</f>
        <v>92.697331249999976</v>
      </c>
      <c r="AD56" s="130">
        <f t="shared" ref="AD56" si="155">AC56*(1+$Y56)</f>
        <v>106.60193093749996</v>
      </c>
      <c r="AE56" s="130">
        <f t="shared" ref="AE56" si="156">AD56*(1+$Y56)</f>
        <v>122.59222057812494</v>
      </c>
      <c r="AF56" s="130">
        <f t="shared" ref="AF56" si="157">AE56*(1+$Y56)</f>
        <v>140.98105366484367</v>
      </c>
      <c r="AG56" s="130">
        <f t="shared" ref="AG56" si="158">AF56*(1+$Y56)</f>
        <v>162.1282117145702</v>
      </c>
      <c r="AH56" s="130">
        <f t="shared" ref="AH56" si="159">AG56*(1+$Y56)</f>
        <v>186.44744347175572</v>
      </c>
      <c r="AI56" s="130">
        <f t="shared" ref="AI56" si="160">AH56*(1+$Y56)</f>
        <v>214.41455999251906</v>
      </c>
      <c r="AJ56" s="115">
        <f t="shared" si="3"/>
        <v>8.4835402896748846E-2</v>
      </c>
      <c r="AK56" s="21">
        <f t="shared" si="18"/>
        <v>0.01</v>
      </c>
      <c r="AL56" s="123" t="e">
        <f t="shared" si="25"/>
        <v>#DIV/0!</v>
      </c>
    </row>
    <row r="57" spans="1:38" s="106" customFormat="1" x14ac:dyDescent="0.2">
      <c r="B57" s="13"/>
      <c r="C57" s="125"/>
      <c r="D57" s="125"/>
      <c r="E57" s="126"/>
      <c r="F57" s="266"/>
      <c r="G57" s="266">
        <f>(G56-F56)/G56</f>
        <v>1</v>
      </c>
      <c r="H57" s="266">
        <f t="shared" ref="H57:R57" si="161">(H56-G56)/H56</f>
        <v>0</v>
      </c>
      <c r="I57" s="266">
        <f t="shared" si="161"/>
        <v>0.24324324324324326</v>
      </c>
      <c r="J57" s="266">
        <f t="shared" si="161"/>
        <v>0.28846153846153844</v>
      </c>
      <c r="K57" s="266">
        <f t="shared" si="161"/>
        <v>-0.40540540540540543</v>
      </c>
      <c r="L57" s="266">
        <f t="shared" si="161"/>
        <v>-0.48</v>
      </c>
      <c r="M57" s="266">
        <f t="shared" si="161"/>
        <v>0.46808510638297873</v>
      </c>
      <c r="N57" s="266">
        <f t="shared" si="161"/>
        <v>0.16071428571428573</v>
      </c>
      <c r="O57" s="266">
        <f t="shared" si="161"/>
        <v>-0.12</v>
      </c>
      <c r="P57" s="266">
        <f t="shared" si="161"/>
        <v>0.26470588235294118</v>
      </c>
      <c r="Q57" s="266" t="e">
        <f t="shared" si="161"/>
        <v>#DIV/0!</v>
      </c>
      <c r="R57" s="266">
        <f t="shared" si="161"/>
        <v>1</v>
      </c>
      <c r="S57" s="127">
        <f t="shared" ref="S57:U57" si="162">(S56-R56)/R56</f>
        <v>-0.97452941176470576</v>
      </c>
      <c r="T57" s="127">
        <f t="shared" si="162"/>
        <v>44.958429561200923</v>
      </c>
      <c r="U57" s="127">
        <f t="shared" si="162"/>
        <v>29.532663316582916</v>
      </c>
      <c r="V57" s="266">
        <f t="shared" ref="V57" si="163">(V56-U56)/V56</f>
        <v>-113.64150943396227</v>
      </c>
      <c r="W57" s="266">
        <f t="shared" ref="W57" si="164">(W56-V56)/W56</f>
        <v>0</v>
      </c>
      <c r="X57" s="10"/>
      <c r="Y57" s="10"/>
      <c r="Z57" s="130"/>
      <c r="AA57" s="131"/>
      <c r="AB57" s="131"/>
      <c r="AC57" s="131"/>
      <c r="AD57" s="131"/>
      <c r="AE57" s="131"/>
      <c r="AF57" s="131"/>
      <c r="AG57" s="131"/>
      <c r="AH57" s="131"/>
      <c r="AI57" s="131"/>
      <c r="AJ57" s="114"/>
      <c r="AK57" s="114"/>
      <c r="AL57" s="114"/>
    </row>
    <row r="58" spans="1:38" s="106" customFormat="1" x14ac:dyDescent="0.2">
      <c r="B58" s="10" t="s">
        <v>504</v>
      </c>
      <c r="C58" s="125"/>
      <c r="D58" s="125"/>
      <c r="E58" s="126"/>
      <c r="F58" s="266"/>
      <c r="G58" s="268">
        <v>1.45</v>
      </c>
      <c r="H58" s="268">
        <v>1.45</v>
      </c>
      <c r="I58" s="268">
        <v>1.45</v>
      </c>
      <c r="J58" s="268">
        <v>16.07</v>
      </c>
      <c r="K58" s="268">
        <v>16.07</v>
      </c>
      <c r="L58" s="268">
        <v>21.14</v>
      </c>
      <c r="M58" s="268">
        <v>21.18</v>
      </c>
      <c r="N58" s="268">
        <v>21.2</v>
      </c>
      <c r="O58" s="268">
        <v>21.31</v>
      </c>
      <c r="P58" s="268">
        <v>24.76</v>
      </c>
      <c r="Q58" s="122"/>
      <c r="R58" s="122">
        <v>41</v>
      </c>
      <c r="S58" s="122">
        <v>60</v>
      </c>
      <c r="T58" s="122">
        <v>91</v>
      </c>
      <c r="U58" s="122">
        <v>136</v>
      </c>
      <c r="V58" s="124">
        <v>67</v>
      </c>
      <c r="W58" s="124">
        <f>V58</f>
        <v>67</v>
      </c>
      <c r="X58" s="101">
        <f t="shared" si="26"/>
        <v>0.27070335046743477</v>
      </c>
      <c r="Y58" s="21">
        <f t="shared" si="8"/>
        <v>0.15</v>
      </c>
      <c r="Z58" s="130">
        <f t="shared" si="1"/>
        <v>77.05</v>
      </c>
      <c r="AA58" s="130">
        <f t="shared" ref="AA58" si="165">Z58*(1+$Y58)</f>
        <v>88.607499999999987</v>
      </c>
      <c r="AB58" s="130">
        <f t="shared" ref="AB58" si="166">AA58*(1+$Y58)</f>
        <v>101.89862499999998</v>
      </c>
      <c r="AC58" s="130">
        <f t="shared" ref="AC58" si="167">AB58*(1+$Y58)</f>
        <v>117.18341874999997</v>
      </c>
      <c r="AD58" s="130">
        <f t="shared" ref="AD58" si="168">AC58*(1+$Y58)</f>
        <v>134.76093156249996</v>
      </c>
      <c r="AE58" s="130">
        <f t="shared" ref="AE58" si="169">AD58*(1+$Y58)</f>
        <v>154.97507129687494</v>
      </c>
      <c r="AF58" s="130">
        <f t="shared" ref="AF58" si="170">AE58*(1+$Y58)</f>
        <v>178.22133199140617</v>
      </c>
      <c r="AG58" s="130">
        <f t="shared" ref="AG58" si="171">AF58*(1+$Y58)</f>
        <v>204.95453179011707</v>
      </c>
      <c r="AH58" s="130">
        <f t="shared" ref="AH58" si="172">AG58*(1+$Y58)</f>
        <v>235.69771155863461</v>
      </c>
      <c r="AI58" s="130">
        <f t="shared" ref="AI58" si="173">AH58*(1+$Y58)</f>
        <v>271.05236829242978</v>
      </c>
      <c r="AJ58" s="115">
        <f t="shared" si="3"/>
        <v>0.23272841886156392</v>
      </c>
      <c r="AK58" s="21">
        <f t="shared" si="18"/>
        <v>0.01</v>
      </c>
      <c r="AL58" s="123" t="e">
        <f t="shared" si="25"/>
        <v>#DIV/0!</v>
      </c>
    </row>
    <row r="59" spans="1:38" s="106" customFormat="1" x14ac:dyDescent="0.2">
      <c r="B59" s="13"/>
      <c r="C59" s="125"/>
      <c r="D59" s="125"/>
      <c r="E59" s="126"/>
      <c r="F59" s="266"/>
      <c r="G59" s="266">
        <f t="shared" ref="G59" si="174">(G58-E58)/G58</f>
        <v>1</v>
      </c>
      <c r="H59" s="266">
        <f>(H58-F58)/H58</f>
        <v>1</v>
      </c>
      <c r="I59" s="266">
        <f t="shared" ref="I59:R59" si="175">(I58-H58)/I58</f>
        <v>0</v>
      </c>
      <c r="J59" s="266">
        <f t="shared" si="175"/>
        <v>0.90976975731176113</v>
      </c>
      <c r="K59" s="266">
        <f t="shared" si="175"/>
        <v>0</v>
      </c>
      <c r="L59" s="266">
        <f t="shared" si="175"/>
        <v>0.23982970671712395</v>
      </c>
      <c r="M59" s="266">
        <f t="shared" si="175"/>
        <v>1.8885741265344262E-3</v>
      </c>
      <c r="N59" s="266">
        <f t="shared" si="175"/>
        <v>9.4339622641507429E-4</v>
      </c>
      <c r="O59" s="266">
        <f t="shared" si="175"/>
        <v>5.1618958235569888E-3</v>
      </c>
      <c r="P59" s="266">
        <f t="shared" si="175"/>
        <v>0.13933764135702756</v>
      </c>
      <c r="Q59" s="266" t="e">
        <f t="shared" si="175"/>
        <v>#DIV/0!</v>
      </c>
      <c r="R59" s="266">
        <f t="shared" si="175"/>
        <v>1</v>
      </c>
      <c r="S59" s="127">
        <f t="shared" ref="S59:U59" si="176">(S58-R58)/R58</f>
        <v>0.46341463414634149</v>
      </c>
      <c r="T59" s="127">
        <f t="shared" si="176"/>
        <v>0.51666666666666672</v>
      </c>
      <c r="U59" s="127">
        <f t="shared" si="176"/>
        <v>0.49450549450549453</v>
      </c>
      <c r="V59" s="266">
        <f t="shared" ref="V59" si="177">(V58-U58)/V58</f>
        <v>-1.0298507462686568</v>
      </c>
      <c r="W59" s="266">
        <f t="shared" ref="W59" si="178">(W58-V58)/W58</f>
        <v>0</v>
      </c>
      <c r="X59" s="10"/>
      <c r="Y59" s="10"/>
      <c r="Z59" s="130"/>
      <c r="AA59" s="131"/>
      <c r="AB59" s="131"/>
      <c r="AC59" s="131"/>
      <c r="AD59" s="131"/>
      <c r="AE59" s="131"/>
      <c r="AF59" s="131"/>
      <c r="AG59" s="131"/>
      <c r="AH59" s="131"/>
      <c r="AI59" s="131"/>
      <c r="AJ59" s="114"/>
      <c r="AK59" s="114"/>
      <c r="AL59" s="114"/>
    </row>
    <row r="60" spans="1:38" x14ac:dyDescent="0.2">
      <c r="B60" s="10" t="s">
        <v>343</v>
      </c>
      <c r="C60" s="118"/>
      <c r="D60" s="118"/>
      <c r="E60" s="124"/>
      <c r="F60" s="124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124"/>
      <c r="R60" s="124">
        <v>112</v>
      </c>
      <c r="S60" s="178">
        <v>-58</v>
      </c>
      <c r="T60" s="178">
        <v>43</v>
      </c>
      <c r="U60" s="178">
        <v>5951</v>
      </c>
      <c r="V60" s="124">
        <v>31</v>
      </c>
      <c r="W60" s="124">
        <f>V60</f>
        <v>31</v>
      </c>
      <c r="X60" s="101" t="e">
        <f t="shared" si="26"/>
        <v>#DIV/0!</v>
      </c>
      <c r="Y60" s="21">
        <f t="shared" si="8"/>
        <v>0.15</v>
      </c>
      <c r="Z60" s="130">
        <f t="shared" si="1"/>
        <v>35.65</v>
      </c>
      <c r="AA60" s="130">
        <f t="shared" ref="AA60:AI60" si="179">Z60*(1+$Y60)</f>
        <v>40.997499999999995</v>
      </c>
      <c r="AB60" s="130">
        <f t="shared" si="179"/>
        <v>47.147124999999988</v>
      </c>
      <c r="AC60" s="130">
        <f t="shared" si="179"/>
        <v>54.219193749999981</v>
      </c>
      <c r="AD60" s="130">
        <f t="shared" si="179"/>
        <v>62.352072812499976</v>
      </c>
      <c r="AE60" s="130">
        <f t="shared" si="179"/>
        <v>71.704883734374974</v>
      </c>
      <c r="AF60" s="130">
        <f t="shared" si="179"/>
        <v>82.460616294531221</v>
      </c>
      <c r="AG60" s="130">
        <f t="shared" si="179"/>
        <v>94.829708738710892</v>
      </c>
      <c r="AH60" s="130">
        <f t="shared" si="179"/>
        <v>109.05416504951752</v>
      </c>
      <c r="AI60" s="130">
        <f t="shared" si="179"/>
        <v>125.41228980694514</v>
      </c>
      <c r="AJ60" s="115" t="e">
        <f t="shared" si="3"/>
        <v>#DIV/0!</v>
      </c>
      <c r="AK60" s="21">
        <f t="shared" si="18"/>
        <v>0.01</v>
      </c>
      <c r="AL60" s="123" t="e">
        <f t="shared" si="25"/>
        <v>#DIV/0!</v>
      </c>
    </row>
    <row r="61" spans="1:38" s="106" customFormat="1" x14ac:dyDescent="0.2">
      <c r="B61" s="13"/>
      <c r="C61" s="125"/>
      <c r="D61" s="125"/>
      <c r="E61" s="126"/>
      <c r="F61" s="266"/>
      <c r="G61" s="127" t="e">
        <f t="shared" ref="G61:H61" si="180">(G60-E60)/E60</f>
        <v>#DIV/0!</v>
      </c>
      <c r="H61" s="127" t="e">
        <f t="shared" si="180"/>
        <v>#DIV/0!</v>
      </c>
      <c r="I61" s="127" t="e">
        <f t="shared" ref="I61:U61" si="181">(I60-H60)/H60</f>
        <v>#DIV/0!</v>
      </c>
      <c r="J61" s="127" t="e">
        <f t="shared" si="181"/>
        <v>#DIV/0!</v>
      </c>
      <c r="K61" s="127" t="e">
        <f t="shared" si="181"/>
        <v>#DIV/0!</v>
      </c>
      <c r="L61" s="127" t="e">
        <f t="shared" si="181"/>
        <v>#DIV/0!</v>
      </c>
      <c r="M61" s="127" t="e">
        <f t="shared" si="181"/>
        <v>#DIV/0!</v>
      </c>
      <c r="N61" s="127" t="e">
        <f t="shared" si="181"/>
        <v>#DIV/0!</v>
      </c>
      <c r="O61" s="127" t="e">
        <f t="shared" si="181"/>
        <v>#DIV/0!</v>
      </c>
      <c r="P61" s="127" t="e">
        <f t="shared" si="181"/>
        <v>#DIV/0!</v>
      </c>
      <c r="Q61" s="127" t="e">
        <f t="shared" si="181"/>
        <v>#DIV/0!</v>
      </c>
      <c r="R61" s="127" t="e">
        <f t="shared" si="181"/>
        <v>#DIV/0!</v>
      </c>
      <c r="S61" s="127">
        <f t="shared" si="181"/>
        <v>-1.5178571428571428</v>
      </c>
      <c r="T61" s="127">
        <f t="shared" si="181"/>
        <v>-1.7413793103448276</v>
      </c>
      <c r="U61" s="127">
        <f t="shared" si="181"/>
        <v>137.3953488372093</v>
      </c>
      <c r="V61" s="266">
        <f t="shared" ref="V61" si="182">(V60-U60)/V60</f>
        <v>-190.96774193548387</v>
      </c>
      <c r="W61" s="266">
        <f t="shared" ref="W61" si="183">(W60-V60)/W60</f>
        <v>0</v>
      </c>
      <c r="X61" s="10"/>
      <c r="Y61" s="10"/>
      <c r="Z61" s="130"/>
      <c r="AA61" s="131"/>
      <c r="AB61" s="131"/>
      <c r="AC61" s="131"/>
      <c r="AD61" s="131"/>
      <c r="AE61" s="131"/>
      <c r="AF61" s="131"/>
      <c r="AG61" s="131"/>
      <c r="AH61" s="131"/>
      <c r="AI61" s="131"/>
      <c r="AJ61" s="114"/>
      <c r="AK61" s="114"/>
      <c r="AL61" s="114"/>
    </row>
    <row r="62" spans="1:38" x14ac:dyDescent="0.2">
      <c r="B62" s="10" t="s">
        <v>197</v>
      </c>
      <c r="C62" s="119"/>
      <c r="D62" s="119"/>
      <c r="E62" s="122"/>
      <c r="F62" s="124"/>
      <c r="G62" s="124">
        <v>0</v>
      </c>
      <c r="H62" s="124">
        <v>0</v>
      </c>
      <c r="I62" s="124">
        <v>0</v>
      </c>
      <c r="J62" s="124" t="s">
        <v>511</v>
      </c>
      <c r="K62" s="124">
        <v>0</v>
      </c>
      <c r="L62" s="124">
        <v>0</v>
      </c>
      <c r="M62" s="124">
        <v>0</v>
      </c>
      <c r="N62" s="124">
        <v>0</v>
      </c>
      <c r="O62" s="124">
        <v>0</v>
      </c>
      <c r="P62" s="124">
        <v>0</v>
      </c>
      <c r="Q62" s="124">
        <v>0</v>
      </c>
      <c r="R62" s="124">
        <v>0</v>
      </c>
      <c r="S62" s="124">
        <v>0</v>
      </c>
      <c r="T62" s="124">
        <v>0</v>
      </c>
      <c r="U62" s="124">
        <v>0</v>
      </c>
      <c r="V62" s="122"/>
      <c r="W62" s="122">
        <v>37.83</v>
      </c>
      <c r="X62" s="101" t="e">
        <f t="shared" si="26"/>
        <v>#DIV/0!</v>
      </c>
      <c r="Y62" s="21">
        <v>0.02</v>
      </c>
      <c r="Z62" s="130">
        <f t="shared" si="1"/>
        <v>38.586599999999997</v>
      </c>
      <c r="AA62" s="130">
        <f>Z62*(1+$Y62)</f>
        <v>39.358331999999997</v>
      </c>
      <c r="AB62" s="130">
        <f t="shared" ref="AB62:AI62" si="184">AA62*(1+$Y62)</f>
        <v>40.14549864</v>
      </c>
      <c r="AC62" s="130">
        <f t="shared" si="184"/>
        <v>40.948408612800002</v>
      </c>
      <c r="AD62" s="130">
        <f t="shared" si="184"/>
        <v>41.767376785056001</v>
      </c>
      <c r="AE62" s="130">
        <f t="shared" si="184"/>
        <v>42.602724320757119</v>
      </c>
      <c r="AF62" s="130">
        <f t="shared" si="184"/>
        <v>43.454778807172261</v>
      </c>
      <c r="AG62" s="130">
        <f t="shared" si="184"/>
        <v>44.323874383315705</v>
      </c>
      <c r="AH62" s="130">
        <f t="shared" si="184"/>
        <v>45.210351870982016</v>
      </c>
      <c r="AI62" s="130">
        <f t="shared" si="184"/>
        <v>46.114558908401655</v>
      </c>
      <c r="AJ62" s="115" t="e">
        <f t="shared" si="3"/>
        <v>#DIV/0!</v>
      </c>
      <c r="AK62" s="21">
        <f t="shared" si="18"/>
        <v>0.01</v>
      </c>
      <c r="AL62" s="123" t="e">
        <f t="shared" si="25"/>
        <v>#DIV/0!</v>
      </c>
    </row>
    <row r="63" spans="1:38" x14ac:dyDescent="0.2">
      <c r="B63" s="10"/>
      <c r="C63" s="119"/>
      <c r="D63" s="119"/>
      <c r="E63" s="120"/>
      <c r="F63" s="266"/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124">
        <v>0</v>
      </c>
      <c r="O63" s="124">
        <v>0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266" t="e">
        <f t="shared" ref="V63" si="185">(V62-U62)/V62</f>
        <v>#DIV/0!</v>
      </c>
      <c r="W63" s="266">
        <f t="shared" ref="W63" si="186">(W62-V62)/W62</f>
        <v>1</v>
      </c>
      <c r="X63" s="10"/>
      <c r="Y63" s="1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14"/>
      <c r="AK63" s="114"/>
      <c r="AL63" s="114"/>
    </row>
    <row r="64" spans="1:38" x14ac:dyDescent="0.2">
      <c r="B64" s="10" t="s">
        <v>232</v>
      </c>
      <c r="C64" s="122"/>
      <c r="D64" s="122"/>
      <c r="E64" s="122"/>
      <c r="F64" s="124"/>
      <c r="G64" s="124">
        <v>0</v>
      </c>
      <c r="H64" s="124">
        <v>0</v>
      </c>
      <c r="I64" s="124">
        <v>0</v>
      </c>
      <c r="J64" s="124">
        <v>0</v>
      </c>
      <c r="K64" s="124">
        <v>0</v>
      </c>
      <c r="L64" s="124" t="s">
        <v>512</v>
      </c>
      <c r="M64" s="124">
        <v>0</v>
      </c>
      <c r="N64" s="124">
        <v>0</v>
      </c>
      <c r="O64" s="124">
        <v>0</v>
      </c>
      <c r="P64" s="124">
        <v>0</v>
      </c>
      <c r="Q64" s="124">
        <v>0</v>
      </c>
      <c r="R64" s="124">
        <v>0</v>
      </c>
      <c r="S64" s="124">
        <v>0</v>
      </c>
      <c r="T64" s="124">
        <v>0</v>
      </c>
      <c r="U64" s="124">
        <v>0</v>
      </c>
      <c r="V64" s="124">
        <v>0</v>
      </c>
      <c r="W64" s="124">
        <v>0</v>
      </c>
      <c r="X64" s="101" t="e">
        <f t="shared" si="26"/>
        <v>#DIV/0!</v>
      </c>
      <c r="Y64" s="21">
        <v>0.02</v>
      </c>
      <c r="Z64" s="130">
        <f t="shared" si="1"/>
        <v>0</v>
      </c>
      <c r="AA64" s="130">
        <f t="shared" ref="AA64" si="187">Z64*(1+$Y64)</f>
        <v>0</v>
      </c>
      <c r="AB64" s="130">
        <f t="shared" ref="AB64" si="188">AA64*(1+$Y64)</f>
        <v>0</v>
      </c>
      <c r="AC64" s="130">
        <f t="shared" ref="AC64" si="189">AB64*(1+$Y64)</f>
        <v>0</v>
      </c>
      <c r="AD64" s="130">
        <f t="shared" ref="AD64" si="190">AC64*(1+$Y64)</f>
        <v>0</v>
      </c>
      <c r="AE64" s="130">
        <f t="shared" ref="AE64" si="191">AD64*(1+$Y64)</f>
        <v>0</v>
      </c>
      <c r="AF64" s="130">
        <f t="shared" ref="AF64" si="192">AE64*(1+$Y64)</f>
        <v>0</v>
      </c>
      <c r="AG64" s="130">
        <f t="shared" ref="AG64" si="193">AF64*(1+$Y64)</f>
        <v>0</v>
      </c>
      <c r="AH64" s="130">
        <f t="shared" ref="AH64" si="194">AG64*(1+$Y64)</f>
        <v>0</v>
      </c>
      <c r="AI64" s="130">
        <f t="shared" ref="AI64" si="195">AH64*(1+$Y64)</f>
        <v>0</v>
      </c>
      <c r="AJ64" s="115" t="e">
        <f t="shared" si="3"/>
        <v>#DIV/0!</v>
      </c>
      <c r="AK64" s="21">
        <f t="shared" si="18"/>
        <v>0.01</v>
      </c>
      <c r="AL64" s="123" t="e">
        <f t="shared" si="25"/>
        <v>#DIV/0!</v>
      </c>
    </row>
    <row r="65" spans="2:38" x14ac:dyDescent="0.2">
      <c r="B65" s="10"/>
      <c r="C65" s="122"/>
      <c r="D65" s="122"/>
      <c r="E65" s="122"/>
      <c r="F65" s="127"/>
      <c r="G65" s="127" t="e">
        <f t="shared" ref="G65" si="196">(G64-E64)/E64</f>
        <v>#DIV/0!</v>
      </c>
      <c r="H65" s="127" t="e">
        <f t="shared" ref="H65" si="197">(H64-F64)/F64</f>
        <v>#DIV/0!</v>
      </c>
      <c r="I65" s="127" t="e">
        <f t="shared" ref="I65" si="198">(I64-H64)/H64</f>
        <v>#DIV/0!</v>
      </c>
      <c r="J65" s="127" t="e">
        <f t="shared" ref="J65:Q65" si="199">(J64-I64)/I64</f>
        <v>#DIV/0!</v>
      </c>
      <c r="K65" s="127" t="e">
        <f t="shared" si="199"/>
        <v>#DIV/0!</v>
      </c>
      <c r="L65" s="127" t="e">
        <f t="shared" si="199"/>
        <v>#VALUE!</v>
      </c>
      <c r="M65" s="127" t="e">
        <f t="shared" si="199"/>
        <v>#VALUE!</v>
      </c>
      <c r="N65" s="127" t="e">
        <f t="shared" si="199"/>
        <v>#DIV/0!</v>
      </c>
      <c r="O65" s="127" t="e">
        <f t="shared" si="199"/>
        <v>#DIV/0!</v>
      </c>
      <c r="P65" s="127" t="e">
        <f t="shared" si="199"/>
        <v>#DIV/0!</v>
      </c>
      <c r="Q65" s="127" t="e">
        <f t="shared" si="199"/>
        <v>#DIV/0!</v>
      </c>
      <c r="R65" s="127" t="e">
        <f t="shared" ref="R65" si="200">(R64-Q64)/Q64</f>
        <v>#DIV/0!</v>
      </c>
      <c r="S65" s="127" t="e">
        <f t="shared" ref="S65" si="201">(S64-R64)/R64</f>
        <v>#DIV/0!</v>
      </c>
      <c r="T65" s="127" t="e">
        <f t="shared" ref="T65" si="202">(T64-S64)/S64</f>
        <v>#DIV/0!</v>
      </c>
      <c r="U65" s="127" t="e">
        <f t="shared" ref="U65" si="203">(U64-T64)/T64</f>
        <v>#DIV/0!</v>
      </c>
      <c r="V65" s="127" t="e">
        <f t="shared" ref="V65" si="204">(V64-U64)/U64</f>
        <v>#DIV/0!</v>
      </c>
      <c r="W65" s="127" t="e">
        <f t="shared" ref="W65" si="205">(W64-V64)/V64</f>
        <v>#DIV/0!</v>
      </c>
      <c r="X65" s="10"/>
      <c r="Y65" s="1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16"/>
      <c r="AK65" s="114"/>
      <c r="AL65" s="123"/>
    </row>
    <row r="66" spans="2:38" x14ac:dyDescent="0.2">
      <c r="B66" s="10" t="s">
        <v>368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>
        <v>0</v>
      </c>
      <c r="W66" s="124">
        <v>0</v>
      </c>
      <c r="X66" s="101" t="e">
        <f t="shared" si="26"/>
        <v>#DIV/0!</v>
      </c>
      <c r="Y66" s="109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16"/>
      <c r="AK66" s="114"/>
      <c r="AL66" s="123"/>
    </row>
    <row r="67" spans="2:38" x14ac:dyDescent="0.2">
      <c r="B67" s="10" t="s">
        <v>366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>
        <v>0</v>
      </c>
      <c r="W67" s="124">
        <v>0</v>
      </c>
      <c r="X67" s="101" t="e">
        <f t="shared" si="26"/>
        <v>#DIV/0!</v>
      </c>
      <c r="Y67" s="109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16"/>
      <c r="AK67" s="114"/>
      <c r="AL67" s="123"/>
    </row>
    <row r="68" spans="2:38" x14ac:dyDescent="0.2">
      <c r="B68" s="10" t="s">
        <v>367</v>
      </c>
      <c r="C68" s="10"/>
      <c r="D68" s="10"/>
      <c r="E68" s="108"/>
      <c r="F68" s="124"/>
      <c r="G68" s="124">
        <v>0</v>
      </c>
      <c r="H68" s="124">
        <v>0</v>
      </c>
      <c r="I68" s="124">
        <v>0</v>
      </c>
      <c r="J68" s="124">
        <v>0</v>
      </c>
      <c r="K68" s="124">
        <v>0</v>
      </c>
      <c r="L68" s="124">
        <v>0</v>
      </c>
      <c r="M68" s="124">
        <v>0</v>
      </c>
      <c r="N68" s="124">
        <v>0</v>
      </c>
      <c r="O68" s="124">
        <v>0</v>
      </c>
      <c r="P68" s="124">
        <v>0</v>
      </c>
      <c r="Q68" s="124">
        <v>0</v>
      </c>
      <c r="R68" s="124">
        <v>0</v>
      </c>
      <c r="S68" s="124">
        <v>0</v>
      </c>
      <c r="T68" s="124">
        <v>0</v>
      </c>
      <c r="U68" s="124">
        <v>0</v>
      </c>
      <c r="V68" s="124">
        <v>0</v>
      </c>
      <c r="W68" s="124">
        <v>0</v>
      </c>
      <c r="X68" s="101" t="e">
        <f t="shared" si="26"/>
        <v>#DIV/0!</v>
      </c>
      <c r="Y68" s="109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16"/>
      <c r="AK68" s="114"/>
      <c r="AL68" s="123"/>
    </row>
    <row r="69" spans="2:38" x14ac:dyDescent="0.2">
      <c r="B69" s="10"/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16"/>
      <c r="AK69" s="114"/>
      <c r="AL69" s="123"/>
    </row>
    <row r="70" spans="2:38" x14ac:dyDescent="0.2">
      <c r="B70" s="93" t="s">
        <v>200</v>
      </c>
      <c r="C70" s="10"/>
      <c r="D70" s="10"/>
      <c r="E70" s="108"/>
      <c r="F70" s="108"/>
      <c r="G70" s="108"/>
      <c r="H70" s="108"/>
      <c r="I70" s="108"/>
      <c r="J70" s="108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16"/>
      <c r="AK70" s="114"/>
      <c r="AL70" s="123"/>
    </row>
    <row r="71" spans="2:38" x14ac:dyDescent="0.2">
      <c r="B71" s="10" t="s">
        <v>252</v>
      </c>
      <c r="C71" s="111"/>
      <c r="D71" s="111"/>
      <c r="E71" s="111"/>
      <c r="F71" s="111"/>
      <c r="G71" s="111" t="e">
        <f t="shared" ref="G71" si="206">G25/G62</f>
        <v>#DIV/0!</v>
      </c>
      <c r="H71" s="111" t="e">
        <f t="shared" ref="H71:I71" si="207">H25/H62</f>
        <v>#DIV/0!</v>
      </c>
      <c r="I71" s="111" t="e">
        <f t="shared" si="207"/>
        <v>#DIV/0!</v>
      </c>
      <c r="J71" s="111" t="e">
        <f t="shared" ref="J71:Q71" si="208">J25/J62</f>
        <v>#VALUE!</v>
      </c>
      <c r="K71" s="111" t="e">
        <f t="shared" si="208"/>
        <v>#DIV/0!</v>
      </c>
      <c r="L71" s="111" t="e">
        <f t="shared" si="208"/>
        <v>#DIV/0!</v>
      </c>
      <c r="M71" s="111" t="e">
        <f t="shared" si="208"/>
        <v>#DIV/0!</v>
      </c>
      <c r="N71" s="111" t="e">
        <f t="shared" si="208"/>
        <v>#DIV/0!</v>
      </c>
      <c r="O71" s="111" t="e">
        <f t="shared" si="208"/>
        <v>#DIV/0!</v>
      </c>
      <c r="P71" s="111" t="e">
        <f t="shared" si="208"/>
        <v>#DIV/0!</v>
      </c>
      <c r="Q71" s="111" t="e">
        <f t="shared" si="208"/>
        <v>#DIV/0!</v>
      </c>
      <c r="R71" s="111" t="e">
        <f t="shared" ref="R71:W71" si="209">R25/R62</f>
        <v>#DIV/0!</v>
      </c>
      <c r="S71" s="111" t="e">
        <f t="shared" si="209"/>
        <v>#DIV/0!</v>
      </c>
      <c r="T71" s="111" t="e">
        <f t="shared" si="209"/>
        <v>#DIV/0!</v>
      </c>
      <c r="U71" s="111" t="e">
        <f t="shared" si="209"/>
        <v>#DIV/0!</v>
      </c>
      <c r="V71" s="111" t="e">
        <f t="shared" si="209"/>
        <v>#DIV/0!</v>
      </c>
      <c r="W71" s="111">
        <f t="shared" si="209"/>
        <v>174.5440126883426</v>
      </c>
      <c r="X71" s="101" t="e">
        <f t="shared" ref="X71:X134" si="210">((W71/G71)^(1/($K$2-$K$1) ))-1</f>
        <v>#DIV/0!</v>
      </c>
      <c r="Y71" s="109"/>
      <c r="Z71" s="133">
        <f t="shared" ref="Z71:AI71" si="211">Z25/Z62</f>
        <v>196.78981822705293</v>
      </c>
      <c r="AA71" s="133">
        <f t="shared" si="211"/>
        <v>221.87087349128512</v>
      </c>
      <c r="AB71" s="133">
        <f t="shared" si="211"/>
        <v>250.14853383821361</v>
      </c>
      <c r="AC71" s="133">
        <f t="shared" si="211"/>
        <v>282.03020971955453</v>
      </c>
      <c r="AD71" s="133">
        <f t="shared" si="211"/>
        <v>317.97523644851731</v>
      </c>
      <c r="AE71" s="133">
        <f t="shared" si="211"/>
        <v>358.50149207430871</v>
      </c>
      <c r="AF71" s="133">
        <f t="shared" si="211"/>
        <v>404.19285871123037</v>
      </c>
      <c r="AG71" s="133">
        <f t="shared" si="211"/>
        <v>455.70763482148521</v>
      </c>
      <c r="AH71" s="133">
        <f t="shared" si="211"/>
        <v>513.78801965167452</v>
      </c>
      <c r="AI71" s="133">
        <f t="shared" si="211"/>
        <v>579.27080647002515</v>
      </c>
      <c r="AJ71" s="115" t="e">
        <f t="shared" ref="AJ71" si="212">((AI71/J71)^(1/($AI$3-$K$1) ))-1</f>
        <v>#VALUE!</v>
      </c>
      <c r="AK71" s="21">
        <f t="shared" si="18"/>
        <v>0.01</v>
      </c>
      <c r="AL71" s="123" t="e">
        <f t="shared" si="25"/>
        <v>#DIV/0!</v>
      </c>
    </row>
    <row r="72" spans="2:38" x14ac:dyDescent="0.2">
      <c r="B72" s="10" t="s">
        <v>253</v>
      </c>
      <c r="C72" s="111"/>
      <c r="D72" s="111"/>
      <c r="E72" s="111"/>
      <c r="F72" s="111"/>
      <c r="G72" s="111" t="e">
        <f t="shared" ref="G72" si="213">G27/G62</f>
        <v>#DIV/0!</v>
      </c>
      <c r="H72" s="111" t="e">
        <f t="shared" ref="H72:I72" si="214">H27/H62</f>
        <v>#DIV/0!</v>
      </c>
      <c r="I72" s="111" t="e">
        <f t="shared" si="214"/>
        <v>#DIV/0!</v>
      </c>
      <c r="J72" s="111" t="e">
        <f t="shared" ref="J72:Q72" si="215">J27/J62</f>
        <v>#VALUE!</v>
      </c>
      <c r="K72" s="111" t="e">
        <f t="shared" si="215"/>
        <v>#DIV/0!</v>
      </c>
      <c r="L72" s="111" t="e">
        <f t="shared" si="215"/>
        <v>#DIV/0!</v>
      </c>
      <c r="M72" s="111" t="e">
        <f t="shared" si="215"/>
        <v>#DIV/0!</v>
      </c>
      <c r="N72" s="111" t="e">
        <f t="shared" si="215"/>
        <v>#DIV/0!</v>
      </c>
      <c r="O72" s="111" t="e">
        <f t="shared" si="215"/>
        <v>#DIV/0!</v>
      </c>
      <c r="P72" s="111" t="e">
        <f t="shared" si="215"/>
        <v>#DIV/0!</v>
      </c>
      <c r="Q72" s="111" t="e">
        <f t="shared" si="215"/>
        <v>#DIV/0!</v>
      </c>
      <c r="R72" s="111" t="e">
        <f t="shared" ref="R72:W72" si="216">R27/R62</f>
        <v>#DIV/0!</v>
      </c>
      <c r="S72" s="111" t="e">
        <f t="shared" si="216"/>
        <v>#DIV/0!</v>
      </c>
      <c r="T72" s="111" t="e">
        <f t="shared" si="216"/>
        <v>#DIV/0!</v>
      </c>
      <c r="U72" s="111" t="e">
        <f t="shared" si="216"/>
        <v>#DIV/0!</v>
      </c>
      <c r="V72" s="111" t="e">
        <f t="shared" si="216"/>
        <v>#DIV/0!</v>
      </c>
      <c r="W72" s="111">
        <f t="shared" si="216"/>
        <v>172.37642083002908</v>
      </c>
      <c r="X72" s="101" t="e">
        <f t="shared" si="210"/>
        <v>#DIV/0!</v>
      </c>
      <c r="Y72" s="109"/>
      <c r="Z72" s="133">
        <f t="shared" ref="Z72:AI72" si="217">Z27/Z62</f>
        <v>194.34596466130731</v>
      </c>
      <c r="AA72" s="133">
        <f t="shared" si="217"/>
        <v>219.11554839265037</v>
      </c>
      <c r="AB72" s="133">
        <f t="shared" si="217"/>
        <v>247.04203985445872</v>
      </c>
      <c r="AC72" s="133">
        <f t="shared" si="217"/>
        <v>278.52779003198771</v>
      </c>
      <c r="AD72" s="133">
        <f t="shared" si="217"/>
        <v>314.02642993802533</v>
      </c>
      <c r="AE72" s="133">
        <f t="shared" si="217"/>
        <v>354.04940630267561</v>
      </c>
      <c r="AF72" s="133">
        <f t="shared" si="217"/>
        <v>399.17335024321272</v>
      </c>
      <c r="AG72" s="133">
        <f t="shared" si="217"/>
        <v>450.04838507813196</v>
      </c>
      <c r="AH72" s="133">
        <f t="shared" si="217"/>
        <v>507.40749298024679</v>
      </c>
      <c r="AI72" s="133">
        <f t="shared" si="217"/>
        <v>572.07707541890557</v>
      </c>
      <c r="AJ72" s="115" t="e">
        <f t="shared" ref="AJ72" si="218">((AI72/J72)^(1/($AI$3-$K$1) ))-1</f>
        <v>#VALUE!</v>
      </c>
      <c r="AK72" s="21">
        <f t="shared" si="18"/>
        <v>0.01</v>
      </c>
      <c r="AL72" s="123" t="e">
        <f t="shared" si="25"/>
        <v>#DIV/0!</v>
      </c>
    </row>
    <row r="73" spans="2:38" x14ac:dyDescent="0.2">
      <c r="B73" s="10" t="s">
        <v>369</v>
      </c>
      <c r="C73" s="111"/>
      <c r="D73" s="111"/>
      <c r="E73" s="111"/>
      <c r="F73" s="111"/>
      <c r="G73" s="111">
        <f t="shared" ref="G73" si="219">G56-G60</f>
        <v>28</v>
      </c>
      <c r="H73" s="111">
        <f t="shared" ref="H73:I73" si="220">H56-H60</f>
        <v>28</v>
      </c>
      <c r="I73" s="111">
        <f t="shared" si="220"/>
        <v>37</v>
      </c>
      <c r="J73" s="111">
        <f>J56-J60</f>
        <v>52</v>
      </c>
      <c r="K73" s="111">
        <f t="shared" ref="K73:Q73" si="221">K56-K60</f>
        <v>37</v>
      </c>
      <c r="L73" s="111">
        <f t="shared" si="221"/>
        <v>25</v>
      </c>
      <c r="M73" s="111">
        <f t="shared" si="221"/>
        <v>47</v>
      </c>
      <c r="N73" s="111">
        <f t="shared" si="221"/>
        <v>56</v>
      </c>
      <c r="O73" s="111">
        <f t="shared" si="221"/>
        <v>50</v>
      </c>
      <c r="P73" s="111">
        <f t="shared" si="221"/>
        <v>68</v>
      </c>
      <c r="Q73" s="111">
        <f t="shared" si="221"/>
        <v>0</v>
      </c>
      <c r="R73" s="111">
        <f t="shared" ref="R73:W73" si="222">R56-R60</f>
        <v>58</v>
      </c>
      <c r="S73" s="111">
        <f t="shared" si="222"/>
        <v>62.33</v>
      </c>
      <c r="T73" s="111">
        <f t="shared" si="222"/>
        <v>156</v>
      </c>
      <c r="U73" s="111">
        <f t="shared" si="222"/>
        <v>125</v>
      </c>
      <c r="V73" s="111">
        <f t="shared" si="222"/>
        <v>22</v>
      </c>
      <c r="W73" s="111">
        <f t="shared" si="222"/>
        <v>22</v>
      </c>
      <c r="X73" s="101">
        <f t="shared" si="210"/>
        <v>-1.4959605051614422E-2</v>
      </c>
      <c r="Y73" s="109"/>
      <c r="Z73" s="111">
        <f t="shared" ref="Z73:AI73" si="223">Z56-Z60</f>
        <v>25.299999999999997</v>
      </c>
      <c r="AA73" s="111">
        <f t="shared" si="223"/>
        <v>29.094999999999992</v>
      </c>
      <c r="AB73" s="111">
        <f t="shared" si="223"/>
        <v>33.459249999999997</v>
      </c>
      <c r="AC73" s="111">
        <f t="shared" si="223"/>
        <v>38.478137499999995</v>
      </c>
      <c r="AD73" s="111">
        <f t="shared" si="223"/>
        <v>44.249858124999982</v>
      </c>
      <c r="AE73" s="111">
        <f t="shared" si="223"/>
        <v>50.887336843749964</v>
      </c>
      <c r="AF73" s="111">
        <f t="shared" si="223"/>
        <v>58.52043737031245</v>
      </c>
      <c r="AG73" s="111">
        <f t="shared" si="223"/>
        <v>67.298502975859307</v>
      </c>
      <c r="AH73" s="111">
        <f t="shared" si="223"/>
        <v>77.393278422238197</v>
      </c>
      <c r="AI73" s="111">
        <f t="shared" si="223"/>
        <v>89.00227018557392</v>
      </c>
      <c r="AJ73" s="115">
        <f t="shared" ref="AJ73" si="224">((AI73/J73)^(1/($AI$3-$K$1) ))-1</f>
        <v>2.1729445538254177E-2</v>
      </c>
      <c r="AK73" s="21">
        <f t="shared" si="18"/>
        <v>0.01</v>
      </c>
      <c r="AL73" s="123" t="e">
        <f t="shared" si="25"/>
        <v>#DIV/0!</v>
      </c>
    </row>
    <row r="74" spans="2:38" x14ac:dyDescent="0.2">
      <c r="B74" s="10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01" t="e">
        <f t="shared" si="210"/>
        <v>#DIV/0!</v>
      </c>
      <c r="Y74" s="10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02"/>
      <c r="AK74" s="114"/>
      <c r="AL74" s="123"/>
    </row>
    <row r="75" spans="2:38" x14ac:dyDescent="0.2">
      <c r="B75" s="10" t="s">
        <v>401</v>
      </c>
      <c r="C75" s="111"/>
      <c r="D75" s="111"/>
      <c r="E75" s="111"/>
      <c r="F75" s="15"/>
      <c r="G75" s="15" t="e">
        <f t="shared" ref="G75" si="225">G54/G62</f>
        <v>#DIV/0!</v>
      </c>
      <c r="H75" s="15" t="e">
        <f t="shared" ref="H75:I75" si="226">H54/H62</f>
        <v>#DIV/0!</v>
      </c>
      <c r="I75" s="15" t="e">
        <f t="shared" si="226"/>
        <v>#DIV/0!</v>
      </c>
      <c r="J75" s="15" t="e">
        <f t="shared" ref="J75:Q75" si="227">J54/J62</f>
        <v>#VALUE!</v>
      </c>
      <c r="K75" s="15" t="e">
        <f t="shared" si="227"/>
        <v>#DIV/0!</v>
      </c>
      <c r="L75" s="15" t="e">
        <f t="shared" si="227"/>
        <v>#DIV/0!</v>
      </c>
      <c r="M75" s="15" t="e">
        <f t="shared" si="227"/>
        <v>#DIV/0!</v>
      </c>
      <c r="N75" s="15" t="e">
        <f t="shared" si="227"/>
        <v>#DIV/0!</v>
      </c>
      <c r="O75" s="15" t="e">
        <f t="shared" si="227"/>
        <v>#DIV/0!</v>
      </c>
      <c r="P75" s="15" t="e">
        <f t="shared" si="227"/>
        <v>#DIV/0!</v>
      </c>
      <c r="Q75" s="15" t="e">
        <f t="shared" si="227"/>
        <v>#DIV/0!</v>
      </c>
      <c r="R75" s="15" t="e">
        <f t="shared" ref="R75:W75" si="228">R54/R62</f>
        <v>#DIV/0!</v>
      </c>
      <c r="S75" s="15" t="e">
        <f t="shared" si="228"/>
        <v>#DIV/0!</v>
      </c>
      <c r="T75" s="15" t="e">
        <f t="shared" si="228"/>
        <v>#DIV/0!</v>
      </c>
      <c r="U75" s="15" t="e">
        <f t="shared" si="228"/>
        <v>#DIV/0!</v>
      </c>
      <c r="V75" s="15" t="e">
        <f t="shared" si="228"/>
        <v>#DIV/0!</v>
      </c>
      <c r="W75" s="15">
        <f t="shared" si="228"/>
        <v>2.1675918583135081</v>
      </c>
      <c r="X75" s="101" t="e">
        <f t="shared" si="210"/>
        <v>#DIV/0!</v>
      </c>
      <c r="Y75" s="109"/>
      <c r="Z75" s="96">
        <f>Z54/Z62</f>
        <v>2.4438535657456217</v>
      </c>
      <c r="AA75" s="96">
        <f t="shared" ref="AA75:AI75" si="229">AA54/AA62</f>
        <v>2.7553250986347693</v>
      </c>
      <c r="AB75" s="96">
        <f t="shared" si="229"/>
        <v>3.1064939837548864</v>
      </c>
      <c r="AC75" s="96">
        <f t="shared" si="229"/>
        <v>3.5024196875667832</v>
      </c>
      <c r="AD75" s="96">
        <f t="shared" si="229"/>
        <v>3.9488065104919614</v>
      </c>
      <c r="AE75" s="96">
        <f t="shared" si="229"/>
        <v>4.4520857716330937</v>
      </c>
      <c r="AF75" s="96">
        <f t="shared" si="229"/>
        <v>5.0195084680177038</v>
      </c>
      <c r="AG75" s="96">
        <f t="shared" si="229"/>
        <v>5.6592497433532927</v>
      </c>
      <c r="AH75" s="96">
        <f t="shared" si="229"/>
        <v>6.3805266714277327</v>
      </c>
      <c r="AI75" s="96">
        <f t="shared" si="229"/>
        <v>7.1937310511195012</v>
      </c>
      <c r="AJ75" s="115" t="e">
        <f t="shared" ref="AJ75:AJ76" si="230">((AI75/J75)^(1/($AI$3-$K$1) ))-1</f>
        <v>#VALUE!</v>
      </c>
      <c r="AK75" s="21">
        <f t="shared" si="18"/>
        <v>0.01</v>
      </c>
      <c r="AL75" s="123" t="e">
        <f t="shared" si="25"/>
        <v>#DIV/0!</v>
      </c>
    </row>
    <row r="76" spans="2:38" x14ac:dyDescent="0.2">
      <c r="B76" s="10" t="s">
        <v>402</v>
      </c>
      <c r="C76" s="111"/>
      <c r="D76" s="111"/>
      <c r="E76" s="111"/>
      <c r="F76" s="15"/>
      <c r="G76" s="15" t="e">
        <f t="shared" ref="G76" si="231">G56/G62</f>
        <v>#DIV/0!</v>
      </c>
      <c r="H76" s="15" t="e">
        <f t="shared" ref="H76:I76" si="232">H56/H62</f>
        <v>#DIV/0!</v>
      </c>
      <c r="I76" s="15" t="e">
        <f t="shared" si="232"/>
        <v>#DIV/0!</v>
      </c>
      <c r="J76" s="15" t="e">
        <f t="shared" ref="J76:Q76" si="233">J56/J62</f>
        <v>#VALUE!</v>
      </c>
      <c r="K76" s="15" t="e">
        <f t="shared" si="233"/>
        <v>#DIV/0!</v>
      </c>
      <c r="L76" s="15" t="e">
        <f t="shared" si="233"/>
        <v>#DIV/0!</v>
      </c>
      <c r="M76" s="15" t="e">
        <f t="shared" si="233"/>
        <v>#DIV/0!</v>
      </c>
      <c r="N76" s="15" t="e">
        <f t="shared" si="233"/>
        <v>#DIV/0!</v>
      </c>
      <c r="O76" s="15" t="e">
        <f t="shared" si="233"/>
        <v>#DIV/0!</v>
      </c>
      <c r="P76" s="15" t="e">
        <f t="shared" si="233"/>
        <v>#DIV/0!</v>
      </c>
      <c r="Q76" s="15" t="e">
        <f t="shared" si="233"/>
        <v>#DIV/0!</v>
      </c>
      <c r="R76" s="15" t="e">
        <f t="shared" ref="R76:W76" si="234">R56/R62</f>
        <v>#DIV/0!</v>
      </c>
      <c r="S76" s="15" t="e">
        <f t="shared" si="234"/>
        <v>#DIV/0!</v>
      </c>
      <c r="T76" s="15" t="e">
        <f t="shared" si="234"/>
        <v>#DIV/0!</v>
      </c>
      <c r="U76" s="15" t="e">
        <f t="shared" si="234"/>
        <v>#DIV/0!</v>
      </c>
      <c r="V76" s="15" t="e">
        <f t="shared" si="234"/>
        <v>#DIV/0!</v>
      </c>
      <c r="W76" s="15">
        <f t="shared" si="234"/>
        <v>1.4010044937879991</v>
      </c>
      <c r="X76" s="101" t="e">
        <f t="shared" si="210"/>
        <v>#DIV/0!</v>
      </c>
      <c r="Y76" s="109"/>
      <c r="Z76" s="96">
        <f>Z56/Z62</f>
        <v>1.5795638900550968</v>
      </c>
      <c r="AA76" s="96">
        <f t="shared" ref="AA76:AI76" si="235">AA56/AA62</f>
        <v>1.7808808564346679</v>
      </c>
      <c r="AB76" s="96">
        <f t="shared" si="235"/>
        <v>2.0078558675488902</v>
      </c>
      <c r="AC76" s="96">
        <f t="shared" si="235"/>
        <v>2.2637590663541407</v>
      </c>
      <c r="AD76" s="96">
        <f t="shared" si="235"/>
        <v>2.552277378732609</v>
      </c>
      <c r="AE76" s="96">
        <f t="shared" si="235"/>
        <v>2.8775676328848041</v>
      </c>
      <c r="AF76" s="96">
        <f t="shared" si="235"/>
        <v>3.2443164488407104</v>
      </c>
      <c r="AG76" s="96">
        <f t="shared" si="235"/>
        <v>3.6578077609478594</v>
      </c>
      <c r="AH76" s="96">
        <f t="shared" si="235"/>
        <v>4.1239989461667044</v>
      </c>
      <c r="AI76" s="96">
        <f t="shared" si="235"/>
        <v>4.6496066549918718</v>
      </c>
      <c r="AJ76" s="115" t="e">
        <f t="shared" si="230"/>
        <v>#VALUE!</v>
      </c>
      <c r="AK76" s="21">
        <f t="shared" si="18"/>
        <v>0.01</v>
      </c>
      <c r="AL76" s="123" t="e">
        <f t="shared" ref="AL76:AL139" si="236">(AI76*(1+AK76))/($O$1-AK76)</f>
        <v>#DIV/0!</v>
      </c>
    </row>
    <row r="77" spans="2:38" x14ac:dyDescent="0.2">
      <c r="B77" s="10" t="s">
        <v>214</v>
      </c>
      <c r="C77" s="15"/>
      <c r="D77" s="15"/>
      <c r="E77" s="15"/>
      <c r="F77" s="111"/>
      <c r="G77" s="111" t="e">
        <f t="shared" ref="G77" si="237">G60/G62</f>
        <v>#DIV/0!</v>
      </c>
      <c r="H77" s="111" t="e">
        <f t="shared" ref="H77:I77" si="238">H60/H62</f>
        <v>#DIV/0!</v>
      </c>
      <c r="I77" s="111" t="e">
        <f t="shared" si="238"/>
        <v>#DIV/0!</v>
      </c>
      <c r="J77" s="111" t="e">
        <f t="shared" ref="J77:Q77" si="239">J60/J62</f>
        <v>#VALUE!</v>
      </c>
      <c r="K77" s="111" t="e">
        <f t="shared" si="239"/>
        <v>#DIV/0!</v>
      </c>
      <c r="L77" s="111" t="e">
        <f t="shared" si="239"/>
        <v>#DIV/0!</v>
      </c>
      <c r="M77" s="111" t="e">
        <f t="shared" si="239"/>
        <v>#DIV/0!</v>
      </c>
      <c r="N77" s="111" t="e">
        <f t="shared" si="239"/>
        <v>#DIV/0!</v>
      </c>
      <c r="O77" s="111" t="e">
        <f t="shared" si="239"/>
        <v>#DIV/0!</v>
      </c>
      <c r="P77" s="111" t="e">
        <f t="shared" si="239"/>
        <v>#DIV/0!</v>
      </c>
      <c r="Q77" s="111" t="e">
        <f t="shared" si="239"/>
        <v>#DIV/0!</v>
      </c>
      <c r="R77" s="111" t="e">
        <f t="shared" ref="R77:W77" si="240">R60/R62</f>
        <v>#DIV/0!</v>
      </c>
      <c r="S77" s="111" t="e">
        <f t="shared" si="240"/>
        <v>#DIV/0!</v>
      </c>
      <c r="T77" s="111" t="e">
        <f t="shared" si="240"/>
        <v>#DIV/0!</v>
      </c>
      <c r="U77" s="111" t="e">
        <f t="shared" si="240"/>
        <v>#DIV/0!</v>
      </c>
      <c r="V77" s="111" t="e">
        <f t="shared" si="240"/>
        <v>#DIV/0!</v>
      </c>
      <c r="W77" s="111">
        <f t="shared" si="240"/>
        <v>0.81945545863071645</v>
      </c>
      <c r="X77" s="101" t="e">
        <f t="shared" si="210"/>
        <v>#DIV/0!</v>
      </c>
      <c r="Y77" s="109"/>
      <c r="Z77" s="133">
        <f t="shared" ref="Z77:AI77" si="241">Z60/Z62</f>
        <v>0.92389586022090575</v>
      </c>
      <c r="AA77" s="133">
        <f t="shared" si="241"/>
        <v>1.0416472933863152</v>
      </c>
      <c r="AB77" s="133">
        <f t="shared" si="241"/>
        <v>1.1744062621512374</v>
      </c>
      <c r="AC77" s="133">
        <f t="shared" si="241"/>
        <v>1.3240854916411009</v>
      </c>
      <c r="AD77" s="133">
        <f t="shared" si="241"/>
        <v>1.4928414856737902</v>
      </c>
      <c r="AE77" s="133">
        <f t="shared" si="241"/>
        <v>1.6831055965929989</v>
      </c>
      <c r="AF77" s="133">
        <f t="shared" si="241"/>
        <v>1.8976190549823027</v>
      </c>
      <c r="AG77" s="133">
        <f t="shared" si="241"/>
        <v>2.1394724639506353</v>
      </c>
      <c r="AH77" s="133">
        <f t="shared" si="241"/>
        <v>2.4121503270031672</v>
      </c>
      <c r="AI77" s="133">
        <f t="shared" si="241"/>
        <v>2.7195812510329826</v>
      </c>
      <c r="AJ77" s="115" t="e">
        <f t="shared" ref="AJ77:AJ91" si="242">((AI77/J77)^(1/($AI$3-$K$1) ))-1</f>
        <v>#VALUE!</v>
      </c>
      <c r="AK77" s="21">
        <f t="shared" si="18"/>
        <v>0.01</v>
      </c>
      <c r="AL77" s="123" t="e">
        <f t="shared" si="236"/>
        <v>#DIV/0!</v>
      </c>
    </row>
    <row r="78" spans="2:38" x14ac:dyDescent="0.2">
      <c r="B78" s="10" t="s">
        <v>330</v>
      </c>
      <c r="C78" s="111"/>
      <c r="D78" s="111"/>
      <c r="E78" s="111"/>
      <c r="F78" s="111"/>
      <c r="G78" s="111" t="e">
        <f t="shared" ref="G78" si="243">G20/G62</f>
        <v>#DIV/0!</v>
      </c>
      <c r="H78" s="111" t="e">
        <f t="shared" ref="H78:I78" si="244">H20/H62</f>
        <v>#DIV/0!</v>
      </c>
      <c r="I78" s="111" t="e">
        <f t="shared" si="244"/>
        <v>#DIV/0!</v>
      </c>
      <c r="J78" s="111" t="e">
        <f>J20/J62</f>
        <v>#VALUE!</v>
      </c>
      <c r="K78" s="111" t="e">
        <f t="shared" ref="K78:Q78" si="245">K20/K62</f>
        <v>#DIV/0!</v>
      </c>
      <c r="L78" s="111" t="e">
        <f t="shared" si="245"/>
        <v>#DIV/0!</v>
      </c>
      <c r="M78" s="111" t="e">
        <f t="shared" si="245"/>
        <v>#DIV/0!</v>
      </c>
      <c r="N78" s="111" t="e">
        <f t="shared" si="245"/>
        <v>#DIV/0!</v>
      </c>
      <c r="O78" s="111" t="e">
        <f t="shared" si="245"/>
        <v>#DIV/0!</v>
      </c>
      <c r="P78" s="111" t="e">
        <f t="shared" si="245"/>
        <v>#DIV/0!</v>
      </c>
      <c r="Q78" s="111" t="e">
        <f t="shared" si="245"/>
        <v>#DIV/0!</v>
      </c>
      <c r="R78" s="111" t="e">
        <f t="shared" ref="R78:W78" si="246">R20/R62</f>
        <v>#DIV/0!</v>
      </c>
      <c r="S78" s="111" t="e">
        <f t="shared" si="246"/>
        <v>#DIV/0!</v>
      </c>
      <c r="T78" s="111" t="e">
        <f t="shared" si="246"/>
        <v>#DIV/0!</v>
      </c>
      <c r="U78" s="111" t="e">
        <f t="shared" si="246"/>
        <v>#DIV/0!</v>
      </c>
      <c r="V78" s="111" t="e">
        <f t="shared" si="246"/>
        <v>#DIV/0!</v>
      </c>
      <c r="W78" s="111">
        <f t="shared" si="246"/>
        <v>0</v>
      </c>
      <c r="X78" s="101" t="e">
        <f t="shared" si="210"/>
        <v>#DIV/0!</v>
      </c>
      <c r="Y78" s="109"/>
      <c r="Z78" s="111">
        <f t="shared" ref="Z78:AI78" si="247">Z20/Z62</f>
        <v>0</v>
      </c>
      <c r="AA78" s="111">
        <f t="shared" si="247"/>
        <v>0</v>
      </c>
      <c r="AB78" s="111">
        <f t="shared" si="247"/>
        <v>0</v>
      </c>
      <c r="AC78" s="111">
        <f t="shared" si="247"/>
        <v>0</v>
      </c>
      <c r="AD78" s="111">
        <f t="shared" si="247"/>
        <v>0</v>
      </c>
      <c r="AE78" s="111">
        <f t="shared" si="247"/>
        <v>0</v>
      </c>
      <c r="AF78" s="111">
        <f t="shared" si="247"/>
        <v>0</v>
      </c>
      <c r="AG78" s="111">
        <f t="shared" si="247"/>
        <v>0</v>
      </c>
      <c r="AH78" s="111">
        <f t="shared" si="247"/>
        <v>0</v>
      </c>
      <c r="AI78" s="111">
        <f t="shared" si="247"/>
        <v>0</v>
      </c>
      <c r="AJ78" s="115" t="e">
        <f t="shared" ref="AJ78" si="248">((AI78/J78)^(1/($AI$3-$K$1) ))-1</f>
        <v>#VALUE!</v>
      </c>
      <c r="AK78" s="21">
        <f t="shared" si="18"/>
        <v>0.01</v>
      </c>
      <c r="AL78" s="123" t="e">
        <f t="shared" si="236"/>
        <v>#DIV/0!</v>
      </c>
    </row>
    <row r="79" spans="2:38" x14ac:dyDescent="0.2">
      <c r="B79" s="10" t="s">
        <v>202</v>
      </c>
      <c r="C79" s="15"/>
      <c r="D79" s="15"/>
      <c r="E79" s="15"/>
      <c r="F79" s="111"/>
      <c r="G79" s="111" t="e">
        <f t="shared" ref="G79" si="249">G7/G62</f>
        <v>#DIV/0!</v>
      </c>
      <c r="H79" s="111" t="e">
        <f t="shared" ref="H79:I79" si="250">H7/H62</f>
        <v>#DIV/0!</v>
      </c>
      <c r="I79" s="111" t="e">
        <f t="shared" si="250"/>
        <v>#DIV/0!</v>
      </c>
      <c r="J79" s="111" t="e">
        <f t="shared" ref="J79:Q79" si="251">J7/J62</f>
        <v>#VALUE!</v>
      </c>
      <c r="K79" s="111" t="e">
        <f t="shared" si="251"/>
        <v>#DIV/0!</v>
      </c>
      <c r="L79" s="111" t="e">
        <f t="shared" si="251"/>
        <v>#DIV/0!</v>
      </c>
      <c r="M79" s="111" t="e">
        <f t="shared" si="251"/>
        <v>#DIV/0!</v>
      </c>
      <c r="N79" s="111" t="e">
        <f t="shared" si="251"/>
        <v>#DIV/0!</v>
      </c>
      <c r="O79" s="111" t="e">
        <f t="shared" si="251"/>
        <v>#DIV/0!</v>
      </c>
      <c r="P79" s="111" t="e">
        <f t="shared" si="251"/>
        <v>#DIV/0!</v>
      </c>
      <c r="Q79" s="111" t="e">
        <f t="shared" si="251"/>
        <v>#DIV/0!</v>
      </c>
      <c r="R79" s="111" t="e">
        <f t="shared" ref="R79:W79" si="252">R7/R62</f>
        <v>#DIV/0!</v>
      </c>
      <c r="S79" s="111" t="e">
        <f t="shared" si="252"/>
        <v>#DIV/0!</v>
      </c>
      <c r="T79" s="111" t="e">
        <f t="shared" si="252"/>
        <v>#DIV/0!</v>
      </c>
      <c r="U79" s="111" t="e">
        <f t="shared" si="252"/>
        <v>#DIV/0!</v>
      </c>
      <c r="V79" s="111" t="e">
        <f t="shared" si="252"/>
        <v>#DIV/0!</v>
      </c>
      <c r="W79" s="111">
        <f t="shared" si="252"/>
        <v>235.07798043880518</v>
      </c>
      <c r="X79" s="101" t="e">
        <f t="shared" si="210"/>
        <v>#DIV/0!</v>
      </c>
      <c r="Y79" s="109"/>
      <c r="Z79" s="133">
        <f t="shared" ref="Z79:AI79" si="253">Z7/Z62</f>
        <v>265.03889951433916</v>
      </c>
      <c r="AA79" s="133">
        <f t="shared" si="253"/>
        <v>298.81836709950005</v>
      </c>
      <c r="AB79" s="133">
        <f t="shared" si="253"/>
        <v>336.90306094551471</v>
      </c>
      <c r="AC79" s="133">
        <f t="shared" si="253"/>
        <v>379.84168636013908</v>
      </c>
      <c r="AD79" s="133">
        <f t="shared" si="253"/>
        <v>428.25288168054897</v>
      </c>
      <c r="AE79" s="133">
        <f t="shared" si="253"/>
        <v>482.83413130650121</v>
      </c>
      <c r="AF79" s="133">
        <f t="shared" si="253"/>
        <v>544.37181470831013</v>
      </c>
      <c r="AG79" s="133">
        <f t="shared" si="253"/>
        <v>613.75253619074181</v>
      </c>
      <c r="AH79" s="133">
        <f t="shared" si="253"/>
        <v>691.97589864642453</v>
      </c>
      <c r="AI79" s="133">
        <f t="shared" si="253"/>
        <v>780.16890533665503</v>
      </c>
      <c r="AJ79" s="115" t="e">
        <f t="shared" si="242"/>
        <v>#VALUE!</v>
      </c>
      <c r="AK79" s="21">
        <f t="shared" si="18"/>
        <v>0.01</v>
      </c>
      <c r="AL79" s="123" t="e">
        <f t="shared" si="236"/>
        <v>#DIV/0!</v>
      </c>
    </row>
    <row r="80" spans="2:38" x14ac:dyDescent="0.2">
      <c r="B80" s="10" t="s">
        <v>203</v>
      </c>
      <c r="C80" s="108"/>
      <c r="D80" s="108"/>
      <c r="E80" s="108"/>
      <c r="F80" s="121"/>
      <c r="G80" s="121" t="e">
        <f t="shared" ref="G80" si="254">G6/G62</f>
        <v>#DIV/0!</v>
      </c>
      <c r="H80" s="121" t="e">
        <f t="shared" ref="H80:I80" si="255">H6/H62</f>
        <v>#DIV/0!</v>
      </c>
      <c r="I80" s="121" t="e">
        <f t="shared" si="255"/>
        <v>#DIV/0!</v>
      </c>
      <c r="J80" s="121" t="e">
        <f t="shared" ref="J80:Q80" si="256">J6/J62</f>
        <v>#VALUE!</v>
      </c>
      <c r="K80" s="121" t="e">
        <f t="shared" si="256"/>
        <v>#DIV/0!</v>
      </c>
      <c r="L80" s="121" t="e">
        <f t="shared" si="256"/>
        <v>#DIV/0!</v>
      </c>
      <c r="M80" s="121" t="e">
        <f t="shared" si="256"/>
        <v>#DIV/0!</v>
      </c>
      <c r="N80" s="121" t="e">
        <f t="shared" si="256"/>
        <v>#DIV/0!</v>
      </c>
      <c r="O80" s="121" t="e">
        <f t="shared" si="256"/>
        <v>#DIV/0!</v>
      </c>
      <c r="P80" s="121" t="e">
        <f t="shared" si="256"/>
        <v>#DIV/0!</v>
      </c>
      <c r="Q80" s="121" t="e">
        <f t="shared" si="256"/>
        <v>#DIV/0!</v>
      </c>
      <c r="R80" s="121" t="e">
        <f t="shared" ref="R80:W80" si="257">R6/R62</f>
        <v>#DIV/0!</v>
      </c>
      <c r="S80" s="121" t="e">
        <f t="shared" si="257"/>
        <v>#DIV/0!</v>
      </c>
      <c r="T80" s="121" t="e">
        <f t="shared" si="257"/>
        <v>#DIV/0!</v>
      </c>
      <c r="U80" s="121" t="e">
        <f t="shared" si="257"/>
        <v>#DIV/0!</v>
      </c>
      <c r="V80" s="121" t="e">
        <f t="shared" si="257"/>
        <v>#DIV/0!</v>
      </c>
      <c r="W80" s="121">
        <f t="shared" si="257"/>
        <v>234.09992069785886</v>
      </c>
      <c r="X80" s="101" t="e">
        <f t="shared" si="210"/>
        <v>#DIV/0!</v>
      </c>
      <c r="Y80" s="109"/>
      <c r="Z80" s="132">
        <f t="shared" ref="Z80:AI80" si="258">Z6/Z62</f>
        <v>263.93618510052715</v>
      </c>
      <c r="AA80" s="132">
        <f t="shared" si="258"/>
        <v>297.57511065255511</v>
      </c>
      <c r="AB80" s="132">
        <f t="shared" si="258"/>
        <v>335.50135024552776</v>
      </c>
      <c r="AC80" s="132">
        <f t="shared" si="258"/>
        <v>378.26132625721266</v>
      </c>
      <c r="AD80" s="132">
        <f t="shared" si="258"/>
        <v>426.47110313313186</v>
      </c>
      <c r="AE80" s="132">
        <f t="shared" si="258"/>
        <v>480.82526333637412</v>
      </c>
      <c r="AF80" s="132">
        <f t="shared" si="258"/>
        <v>542.10691454591199</v>
      </c>
      <c r="AG80" s="132">
        <f t="shared" si="258"/>
        <v>611.19897228215564</v>
      </c>
      <c r="AH80" s="132">
        <f t="shared" si="258"/>
        <v>689.09688051419505</v>
      </c>
      <c r="AI80" s="132">
        <f t="shared" si="258"/>
        <v>776.92295352090616</v>
      </c>
      <c r="AJ80" s="115" t="e">
        <f t="shared" si="242"/>
        <v>#VALUE!</v>
      </c>
      <c r="AK80" s="21">
        <f t="shared" si="18"/>
        <v>0.01</v>
      </c>
      <c r="AL80" s="123" t="e">
        <f t="shared" si="236"/>
        <v>#DIV/0!</v>
      </c>
    </row>
    <row r="81" spans="2:38" x14ac:dyDescent="0.2">
      <c r="B81" s="10" t="s">
        <v>204</v>
      </c>
      <c r="C81" s="108"/>
      <c r="D81" s="108"/>
      <c r="E81" s="108"/>
      <c r="F81" s="121"/>
      <c r="G81" s="121" t="e">
        <f t="shared" ref="G81" si="259">G10/G62</f>
        <v>#DIV/0!</v>
      </c>
      <c r="H81" s="121" t="e">
        <f t="shared" ref="H81:I81" si="260">H10/H62</f>
        <v>#DIV/0!</v>
      </c>
      <c r="I81" s="121" t="e">
        <f t="shared" si="260"/>
        <v>#DIV/0!</v>
      </c>
      <c r="J81" s="121" t="e">
        <f t="shared" ref="J81:Q81" si="261">J10/J62</f>
        <v>#VALUE!</v>
      </c>
      <c r="K81" s="121" t="e">
        <f t="shared" si="261"/>
        <v>#DIV/0!</v>
      </c>
      <c r="L81" s="121" t="e">
        <f t="shared" si="261"/>
        <v>#DIV/0!</v>
      </c>
      <c r="M81" s="121" t="e">
        <f t="shared" si="261"/>
        <v>#DIV/0!</v>
      </c>
      <c r="N81" s="121" t="e">
        <f t="shared" si="261"/>
        <v>#DIV/0!</v>
      </c>
      <c r="O81" s="121" t="e">
        <f t="shared" si="261"/>
        <v>#DIV/0!</v>
      </c>
      <c r="P81" s="121" t="e">
        <f t="shared" si="261"/>
        <v>#DIV/0!</v>
      </c>
      <c r="Q81" s="121" t="e">
        <f t="shared" si="261"/>
        <v>#DIV/0!</v>
      </c>
      <c r="R81" s="121" t="e">
        <f t="shared" ref="R81:W81" si="262">R10/R62</f>
        <v>#DIV/0!</v>
      </c>
      <c r="S81" s="121" t="e">
        <f t="shared" si="262"/>
        <v>#DIV/0!</v>
      </c>
      <c r="T81" s="121" t="e">
        <f t="shared" si="262"/>
        <v>#DIV/0!</v>
      </c>
      <c r="U81" s="121" t="e">
        <f t="shared" si="262"/>
        <v>#DIV/0!</v>
      </c>
      <c r="V81" s="121" t="e">
        <f t="shared" si="262"/>
        <v>#DIV/0!</v>
      </c>
      <c r="W81" s="121">
        <f t="shared" si="262"/>
        <v>7.8509119746233154</v>
      </c>
      <c r="X81" s="101" t="e">
        <f t="shared" si="210"/>
        <v>#DIV/0!</v>
      </c>
      <c r="Y81" s="109"/>
      <c r="Z81" s="132">
        <f t="shared" ref="Z81:AI81" si="263">Z10/Z62</f>
        <v>8.8515184027615792</v>
      </c>
      <c r="AA81" s="132">
        <f t="shared" si="263"/>
        <v>9.9796531011527616</v>
      </c>
      <c r="AB81" s="132">
        <f t="shared" si="263"/>
        <v>11.251569672868307</v>
      </c>
      <c r="AC81" s="132">
        <f t="shared" si="263"/>
        <v>12.685593258626032</v>
      </c>
      <c r="AD81" s="132">
        <f t="shared" si="263"/>
        <v>14.302384556294054</v>
      </c>
      <c r="AE81" s="132">
        <f t="shared" si="263"/>
        <v>16.125237489939373</v>
      </c>
      <c r="AF81" s="132">
        <f t="shared" si="263"/>
        <v>18.180414817088508</v>
      </c>
      <c r="AG81" s="132">
        <f t="shared" si="263"/>
        <v>20.497526509462531</v>
      </c>
      <c r="AH81" s="132">
        <f t="shared" si="263"/>
        <v>23.109956358707755</v>
      </c>
      <c r="AI81" s="132">
        <f t="shared" si="263"/>
        <v>26.055342953445017</v>
      </c>
      <c r="AJ81" s="115" t="e">
        <f t="shared" si="242"/>
        <v>#VALUE!</v>
      </c>
      <c r="AK81" s="21">
        <f t="shared" si="18"/>
        <v>0.01</v>
      </c>
      <c r="AL81" s="123" t="e">
        <f t="shared" si="236"/>
        <v>#DIV/0!</v>
      </c>
    </row>
    <row r="82" spans="2:38" x14ac:dyDescent="0.2">
      <c r="B82" s="10"/>
      <c r="C82" s="108"/>
      <c r="D82" s="108"/>
      <c r="E82" s="108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01" t="e">
        <f t="shared" si="210"/>
        <v>#DIV/0!</v>
      </c>
      <c r="Y82" s="10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16"/>
      <c r="AK82" s="114"/>
      <c r="AL82" s="123"/>
    </row>
    <row r="83" spans="2:38" x14ac:dyDescent="0.2">
      <c r="B83" s="10" t="s">
        <v>221</v>
      </c>
      <c r="C83" s="108"/>
      <c r="D83" s="108"/>
      <c r="E83" s="108"/>
      <c r="F83" s="121"/>
      <c r="G83" s="121" t="e">
        <f t="shared" ref="G83" si="264">(G7-G10)/G62</f>
        <v>#DIV/0!</v>
      </c>
      <c r="H83" s="121" t="e">
        <f t="shared" ref="H83:I83" si="265">(H7-H10)/H62</f>
        <v>#DIV/0!</v>
      </c>
      <c r="I83" s="121" t="e">
        <f t="shared" si="265"/>
        <v>#DIV/0!</v>
      </c>
      <c r="J83" s="121" t="e">
        <f t="shared" ref="J83:Q83" si="266">(J7-J10)/J62</f>
        <v>#VALUE!</v>
      </c>
      <c r="K83" s="121" t="e">
        <f t="shared" si="266"/>
        <v>#DIV/0!</v>
      </c>
      <c r="L83" s="121" t="e">
        <f t="shared" si="266"/>
        <v>#DIV/0!</v>
      </c>
      <c r="M83" s="121" t="e">
        <f t="shared" si="266"/>
        <v>#DIV/0!</v>
      </c>
      <c r="N83" s="121" t="e">
        <f t="shared" si="266"/>
        <v>#DIV/0!</v>
      </c>
      <c r="O83" s="121" t="e">
        <f t="shared" si="266"/>
        <v>#DIV/0!</v>
      </c>
      <c r="P83" s="121" t="e">
        <f t="shared" si="266"/>
        <v>#DIV/0!</v>
      </c>
      <c r="Q83" s="121" t="e">
        <f t="shared" si="266"/>
        <v>#DIV/0!</v>
      </c>
      <c r="R83" s="121" t="e">
        <f t="shared" ref="R83:W83" si="267">(R7-R10)/R62</f>
        <v>#DIV/0!</v>
      </c>
      <c r="S83" s="121" t="e">
        <f t="shared" si="267"/>
        <v>#DIV/0!</v>
      </c>
      <c r="T83" s="121" t="e">
        <f t="shared" si="267"/>
        <v>#DIV/0!</v>
      </c>
      <c r="U83" s="121" t="e">
        <f t="shared" si="267"/>
        <v>#DIV/0!</v>
      </c>
      <c r="V83" s="121" t="e">
        <f t="shared" si="267"/>
        <v>#DIV/0!</v>
      </c>
      <c r="W83" s="121">
        <f t="shared" si="267"/>
        <v>227.22706846418188</v>
      </c>
      <c r="X83" s="101" t="e">
        <f t="shared" si="210"/>
        <v>#DIV/0!</v>
      </c>
      <c r="Y83" s="109"/>
      <c r="Z83" s="132">
        <f t="shared" ref="Z83:AI83" si="268">(Z7-Z10)/Z62</f>
        <v>256.18738111157762</v>
      </c>
      <c r="AA83" s="132">
        <f t="shared" si="268"/>
        <v>288.83871399834726</v>
      </c>
      <c r="AB83" s="132">
        <f t="shared" si="268"/>
        <v>325.65149127264641</v>
      </c>
      <c r="AC83" s="132">
        <f t="shared" si="268"/>
        <v>367.15609310151302</v>
      </c>
      <c r="AD83" s="132">
        <f t="shared" si="268"/>
        <v>413.95049712425487</v>
      </c>
      <c r="AE83" s="132">
        <f t="shared" si="268"/>
        <v>466.70889381656184</v>
      </c>
      <c r="AF83" s="132">
        <f t="shared" si="268"/>
        <v>526.19139989122152</v>
      </c>
      <c r="AG83" s="132">
        <f t="shared" si="268"/>
        <v>593.25500968127926</v>
      </c>
      <c r="AH83" s="132">
        <f t="shared" si="268"/>
        <v>668.86594228771673</v>
      </c>
      <c r="AI83" s="132">
        <f t="shared" si="268"/>
        <v>754.11356238321002</v>
      </c>
      <c r="AJ83" s="115" t="e">
        <f t="shared" si="242"/>
        <v>#VALUE!</v>
      </c>
      <c r="AK83" s="21">
        <f t="shared" si="18"/>
        <v>0.01</v>
      </c>
      <c r="AL83" s="123" t="e">
        <f t="shared" si="236"/>
        <v>#DIV/0!</v>
      </c>
    </row>
    <row r="84" spans="2:38" x14ac:dyDescent="0.2">
      <c r="B84" s="10" t="s">
        <v>222</v>
      </c>
      <c r="C84" s="108"/>
      <c r="D84" s="108"/>
      <c r="E84" s="108"/>
      <c r="F84" s="121"/>
      <c r="G84" s="121" t="e">
        <f t="shared" ref="G84" si="269">(G7-G10-G9)/G62</f>
        <v>#DIV/0!</v>
      </c>
      <c r="H84" s="121" t="e">
        <f t="shared" ref="H84:I84" si="270">(H7-H10-H9)/H62</f>
        <v>#DIV/0!</v>
      </c>
      <c r="I84" s="121" t="e">
        <f t="shared" si="270"/>
        <v>#DIV/0!</v>
      </c>
      <c r="J84" s="121" t="e">
        <f t="shared" ref="J84:Q84" si="271">(J7-J10-J9)/J62</f>
        <v>#VALUE!</v>
      </c>
      <c r="K84" s="121" t="e">
        <f t="shared" si="271"/>
        <v>#DIV/0!</v>
      </c>
      <c r="L84" s="121" t="e">
        <f t="shared" si="271"/>
        <v>#DIV/0!</v>
      </c>
      <c r="M84" s="121" t="e">
        <f t="shared" si="271"/>
        <v>#DIV/0!</v>
      </c>
      <c r="N84" s="121" t="e">
        <f t="shared" si="271"/>
        <v>#DIV/0!</v>
      </c>
      <c r="O84" s="121" t="e">
        <f t="shared" si="271"/>
        <v>#DIV/0!</v>
      </c>
      <c r="P84" s="121" t="e">
        <f t="shared" si="271"/>
        <v>#DIV/0!</v>
      </c>
      <c r="Q84" s="121" t="e">
        <f t="shared" si="271"/>
        <v>#DIV/0!</v>
      </c>
      <c r="R84" s="121" t="e">
        <f t="shared" ref="R84:W84" si="272">(R7-R10-R9)/R62</f>
        <v>#DIV/0!</v>
      </c>
      <c r="S84" s="121" t="e">
        <f t="shared" si="272"/>
        <v>#DIV/0!</v>
      </c>
      <c r="T84" s="121" t="e">
        <f t="shared" si="272"/>
        <v>#DIV/0!</v>
      </c>
      <c r="U84" s="121" t="e">
        <f t="shared" si="272"/>
        <v>#DIV/0!</v>
      </c>
      <c r="V84" s="121" t="e">
        <f t="shared" si="272"/>
        <v>#DIV/0!</v>
      </c>
      <c r="W84" s="121">
        <f t="shared" si="272"/>
        <v>125.37668517049961</v>
      </c>
      <c r="X84" s="101" t="e">
        <f t="shared" si="210"/>
        <v>#DIV/0!</v>
      </c>
      <c r="Y84" s="109"/>
      <c r="Z84" s="132">
        <f t="shared" ref="Z84:AI84" si="273">(Z7-Z10-Z9)/Z62</f>
        <v>141.35606661379859</v>
      </c>
      <c r="AA84" s="132">
        <f t="shared" si="273"/>
        <v>159.37203588810624</v>
      </c>
      <c r="AB84" s="132">
        <f t="shared" si="273"/>
        <v>179.68415810913933</v>
      </c>
      <c r="AC84" s="132">
        <f t="shared" si="273"/>
        <v>202.58508022108842</v>
      </c>
      <c r="AD84" s="132">
        <f t="shared" si="273"/>
        <v>228.40474730808987</v>
      </c>
      <c r="AE84" s="132">
        <f t="shared" si="273"/>
        <v>257.51515627872874</v>
      </c>
      <c r="AF84" s="132">
        <f t="shared" si="273"/>
        <v>290.33571541229213</v>
      </c>
      <c r="AG84" s="132">
        <f t="shared" si="273"/>
        <v>327.33928698444709</v>
      </c>
      <c r="AH84" s="132">
        <f t="shared" si="273"/>
        <v>369.05900003148435</v>
      </c>
      <c r="AI84" s="132">
        <f t="shared" si="273"/>
        <v>416.095931408046</v>
      </c>
      <c r="AJ84" s="115" t="e">
        <f t="shared" si="242"/>
        <v>#VALUE!</v>
      </c>
      <c r="AK84" s="21">
        <f t="shared" si="18"/>
        <v>0.01</v>
      </c>
      <c r="AL84" s="123" t="e">
        <f t="shared" si="236"/>
        <v>#DIV/0!</v>
      </c>
    </row>
    <row r="85" spans="2:38" x14ac:dyDescent="0.2">
      <c r="B85" s="10" t="s">
        <v>227</v>
      </c>
      <c r="C85" s="108"/>
      <c r="D85" s="108"/>
      <c r="E85" s="108"/>
      <c r="F85" s="121"/>
      <c r="G85" s="121" t="e">
        <f t="shared" ref="G85" si="274">(G7+G15-G10-G9)/G62</f>
        <v>#DIV/0!</v>
      </c>
      <c r="H85" s="121" t="e">
        <f t="shared" ref="H85:I85" si="275">(H7+H15-H10-H9)/H62</f>
        <v>#DIV/0!</v>
      </c>
      <c r="I85" s="121" t="e">
        <f t="shared" si="275"/>
        <v>#DIV/0!</v>
      </c>
      <c r="J85" s="121" t="e">
        <f t="shared" ref="J85:Q85" si="276">(J7+J15-J10-J9)/J62</f>
        <v>#VALUE!</v>
      </c>
      <c r="K85" s="121" t="e">
        <f t="shared" si="276"/>
        <v>#DIV/0!</v>
      </c>
      <c r="L85" s="121" t="e">
        <f t="shared" si="276"/>
        <v>#DIV/0!</v>
      </c>
      <c r="M85" s="121" t="e">
        <f t="shared" si="276"/>
        <v>#DIV/0!</v>
      </c>
      <c r="N85" s="121" t="e">
        <f t="shared" si="276"/>
        <v>#DIV/0!</v>
      </c>
      <c r="O85" s="121" t="e">
        <f t="shared" si="276"/>
        <v>#DIV/0!</v>
      </c>
      <c r="P85" s="121" t="e">
        <f t="shared" si="276"/>
        <v>#DIV/0!</v>
      </c>
      <c r="Q85" s="121" t="e">
        <f t="shared" si="276"/>
        <v>#DIV/0!</v>
      </c>
      <c r="R85" s="121" t="e">
        <f t="shared" ref="R85:W85" si="277">(R7+R15-R10-R9)/R62</f>
        <v>#DIV/0!</v>
      </c>
      <c r="S85" s="121" t="e">
        <f t="shared" si="277"/>
        <v>#DIV/0!</v>
      </c>
      <c r="T85" s="121" t="e">
        <f t="shared" si="277"/>
        <v>#DIV/0!</v>
      </c>
      <c r="U85" s="121" t="e">
        <f t="shared" si="277"/>
        <v>#DIV/0!</v>
      </c>
      <c r="V85" s="121" t="e">
        <f t="shared" si="277"/>
        <v>#DIV/0!</v>
      </c>
      <c r="W85" s="121">
        <f t="shared" si="277"/>
        <v>175.01982553528947</v>
      </c>
      <c r="X85" s="101" t="e">
        <f t="shared" si="210"/>
        <v>#DIV/0!</v>
      </c>
      <c r="Y85" s="109"/>
      <c r="Z85" s="132">
        <f t="shared" ref="Z85:AI85" si="278">(Z7+Z15-Z10-Z9)/Z62</f>
        <v>197.32627388782632</v>
      </c>
      <c r="AA85" s="132">
        <f t="shared" si="278"/>
        <v>222.47570095196107</v>
      </c>
      <c r="AB85" s="132">
        <f t="shared" si="278"/>
        <v>250.83044715172082</v>
      </c>
      <c r="AC85" s="132">
        <f t="shared" si="278"/>
        <v>282.79903355341065</v>
      </c>
      <c r="AD85" s="132">
        <f t="shared" si="278"/>
        <v>318.84204763374726</v>
      </c>
      <c r="AE85" s="132">
        <f t="shared" si="278"/>
        <v>359.47877919491106</v>
      </c>
      <c r="AF85" s="132">
        <f t="shared" si="278"/>
        <v>405.29470203347807</v>
      </c>
      <c r="AG85" s="132">
        <f t="shared" si="278"/>
        <v>456.94990915539205</v>
      </c>
      <c r="AH85" s="132">
        <f t="shared" si="278"/>
        <v>515.18862306735366</v>
      </c>
      <c r="AI85" s="132">
        <f t="shared" si="278"/>
        <v>580.84991816417312</v>
      </c>
      <c r="AJ85" s="115" t="e">
        <f t="shared" si="242"/>
        <v>#VALUE!</v>
      </c>
      <c r="AK85" s="21">
        <f t="shared" si="18"/>
        <v>0.01</v>
      </c>
      <c r="AL85" s="123" t="e">
        <f t="shared" si="236"/>
        <v>#DIV/0!</v>
      </c>
    </row>
    <row r="86" spans="2:38" x14ac:dyDescent="0.2">
      <c r="B86" s="10"/>
      <c r="C86" s="108"/>
      <c r="D86" s="108"/>
      <c r="E86" s="108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01" t="e">
        <f t="shared" si="210"/>
        <v>#DIV/0!</v>
      </c>
      <c r="Y86" s="1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16"/>
      <c r="AK86" s="114"/>
      <c r="AL86" s="123"/>
    </row>
    <row r="87" spans="2:38" x14ac:dyDescent="0.2">
      <c r="B87" s="10" t="s">
        <v>205</v>
      </c>
      <c r="C87" s="108"/>
      <c r="D87" s="108"/>
      <c r="E87" s="108"/>
      <c r="F87" s="121"/>
      <c r="G87" s="121" t="e">
        <f t="shared" ref="G87" si="279">G12/G62</f>
        <v>#DIV/0!</v>
      </c>
      <c r="H87" s="121" t="e">
        <f t="shared" ref="H87:I87" si="280">H12/H62</f>
        <v>#DIV/0!</v>
      </c>
      <c r="I87" s="121" t="e">
        <f t="shared" si="280"/>
        <v>#DIV/0!</v>
      </c>
      <c r="J87" s="121" t="e">
        <f t="shared" ref="J87:Q87" si="281">J12/J62</f>
        <v>#VALUE!</v>
      </c>
      <c r="K87" s="121" t="e">
        <f t="shared" si="281"/>
        <v>#DIV/0!</v>
      </c>
      <c r="L87" s="121" t="e">
        <f t="shared" si="281"/>
        <v>#DIV/0!</v>
      </c>
      <c r="M87" s="121" t="e">
        <f t="shared" si="281"/>
        <v>#DIV/0!</v>
      </c>
      <c r="N87" s="121" t="e">
        <f t="shared" si="281"/>
        <v>#DIV/0!</v>
      </c>
      <c r="O87" s="121" t="e">
        <f t="shared" si="281"/>
        <v>#DIV/0!</v>
      </c>
      <c r="P87" s="121" t="e">
        <f t="shared" si="281"/>
        <v>#DIV/0!</v>
      </c>
      <c r="Q87" s="121" t="e">
        <f t="shared" si="281"/>
        <v>#DIV/0!</v>
      </c>
      <c r="R87" s="121" t="e">
        <f t="shared" ref="R87:W87" si="282">R12/R62</f>
        <v>#DIV/0!</v>
      </c>
      <c r="S87" s="121" t="e">
        <f t="shared" si="282"/>
        <v>#DIV/0!</v>
      </c>
      <c r="T87" s="121" t="e">
        <f t="shared" si="282"/>
        <v>#DIV/0!</v>
      </c>
      <c r="U87" s="121" t="e">
        <f t="shared" si="282"/>
        <v>#DIV/0!</v>
      </c>
      <c r="V87" s="121" t="e">
        <f t="shared" si="282"/>
        <v>#DIV/0!</v>
      </c>
      <c r="W87" s="121">
        <f t="shared" si="282"/>
        <v>27.332804652392284</v>
      </c>
      <c r="X87" s="101" t="e">
        <f t="shared" si="210"/>
        <v>#DIV/0!</v>
      </c>
      <c r="Y87" s="109"/>
      <c r="Z87" s="132">
        <f t="shared" ref="Z87:AI87" si="283">Z12/Z62</f>
        <v>30.816397402206984</v>
      </c>
      <c r="AA87" s="132">
        <f t="shared" si="283"/>
        <v>34.743977463272572</v>
      </c>
      <c r="AB87" s="132">
        <f t="shared" si="283"/>
        <v>39.172131453689659</v>
      </c>
      <c r="AC87" s="132">
        <f t="shared" si="283"/>
        <v>44.164658011512849</v>
      </c>
      <c r="AD87" s="132">
        <f t="shared" si="283"/>
        <v>49.79348697376448</v>
      </c>
      <c r="AE87" s="132">
        <f t="shared" si="283"/>
        <v>56.139715705714856</v>
      </c>
      <c r="AF87" s="132">
        <f t="shared" si="283"/>
        <v>63.294777511345174</v>
      </c>
      <c r="AG87" s="132">
        <f t="shared" si="283"/>
        <v>71.361758958869558</v>
      </c>
      <c r="AH87" s="132">
        <f t="shared" si="283"/>
        <v>80.456885100686264</v>
      </c>
      <c r="AI87" s="132">
        <f t="shared" si="283"/>
        <v>90.71119398606784</v>
      </c>
      <c r="AJ87" s="115" t="e">
        <f t="shared" si="242"/>
        <v>#VALUE!</v>
      </c>
      <c r="AK87" s="21">
        <f t="shared" si="18"/>
        <v>0.01</v>
      </c>
      <c r="AL87" s="123" t="e">
        <f t="shared" si="236"/>
        <v>#DIV/0!</v>
      </c>
    </row>
    <row r="88" spans="2:38" x14ac:dyDescent="0.2">
      <c r="B88" s="10" t="s">
        <v>212</v>
      </c>
      <c r="C88" s="108"/>
      <c r="D88" s="108"/>
      <c r="E88" s="108"/>
      <c r="F88" s="121"/>
      <c r="G88" s="121" t="e">
        <f t="shared" ref="G88" si="284">G13/G62</f>
        <v>#DIV/0!</v>
      </c>
      <c r="H88" s="121" t="e">
        <f t="shared" ref="H88:I88" si="285">H13/H62</f>
        <v>#DIV/0!</v>
      </c>
      <c r="I88" s="121" t="e">
        <f t="shared" si="285"/>
        <v>#DIV/0!</v>
      </c>
      <c r="J88" s="121" t="e">
        <f t="shared" ref="J88:Q88" si="286">J13/J62</f>
        <v>#VALUE!</v>
      </c>
      <c r="K88" s="121" t="e">
        <f t="shared" si="286"/>
        <v>#DIV/0!</v>
      </c>
      <c r="L88" s="121" t="e">
        <f t="shared" si="286"/>
        <v>#DIV/0!</v>
      </c>
      <c r="M88" s="121" t="e">
        <f t="shared" si="286"/>
        <v>#DIV/0!</v>
      </c>
      <c r="N88" s="121" t="e">
        <f t="shared" si="286"/>
        <v>#DIV/0!</v>
      </c>
      <c r="O88" s="121" t="e">
        <f t="shared" si="286"/>
        <v>#DIV/0!</v>
      </c>
      <c r="P88" s="121" t="e">
        <f t="shared" si="286"/>
        <v>#DIV/0!</v>
      </c>
      <c r="Q88" s="121" t="e">
        <f t="shared" si="286"/>
        <v>#DIV/0!</v>
      </c>
      <c r="R88" s="121" t="e">
        <f t="shared" ref="R88:W88" si="287">R13/R62</f>
        <v>#DIV/0!</v>
      </c>
      <c r="S88" s="121" t="e">
        <f t="shared" si="287"/>
        <v>#DIV/0!</v>
      </c>
      <c r="T88" s="121" t="e">
        <f t="shared" si="287"/>
        <v>#DIV/0!</v>
      </c>
      <c r="U88" s="121" t="e">
        <f t="shared" si="287"/>
        <v>#DIV/0!</v>
      </c>
      <c r="V88" s="121" t="e">
        <f t="shared" si="287"/>
        <v>#DIV/0!</v>
      </c>
      <c r="W88" s="121">
        <f t="shared" si="287"/>
        <v>196.03489294210945</v>
      </c>
      <c r="X88" s="101" t="e">
        <f t="shared" si="210"/>
        <v>#DIV/0!</v>
      </c>
      <c r="Y88" s="109"/>
      <c r="Z88" s="132">
        <f t="shared" ref="Z88:AI88" si="288">Z13/Z62</f>
        <v>221.01973223865281</v>
      </c>
      <c r="AA88" s="132">
        <f t="shared" si="288"/>
        <v>249.18891379848105</v>
      </c>
      <c r="AB88" s="132">
        <f t="shared" si="288"/>
        <v>280.94828516495414</v>
      </c>
      <c r="AC88" s="132">
        <f t="shared" si="288"/>
        <v>316.75541954872273</v>
      </c>
      <c r="AD88" s="132">
        <f t="shared" si="288"/>
        <v>357.1262083147364</v>
      </c>
      <c r="AE88" s="132">
        <f t="shared" si="288"/>
        <v>402.6422936881832</v>
      </c>
      <c r="AF88" s="132">
        <f t="shared" si="288"/>
        <v>453.95944876608883</v>
      </c>
      <c r="AG88" s="132">
        <f t="shared" si="288"/>
        <v>511.81702556960994</v>
      </c>
      <c r="AH88" s="132">
        <f t="shared" si="288"/>
        <v>577.04860725985429</v>
      </c>
      <c r="AI88" s="132">
        <f t="shared" si="288"/>
        <v>650.59401798905139</v>
      </c>
      <c r="AJ88" s="115" t="e">
        <f t="shared" si="242"/>
        <v>#VALUE!</v>
      </c>
      <c r="AK88" s="21">
        <f t="shared" si="18"/>
        <v>0.01</v>
      </c>
      <c r="AL88" s="123" t="e">
        <f t="shared" si="236"/>
        <v>#DIV/0!</v>
      </c>
    </row>
    <row r="89" spans="2:38" x14ac:dyDescent="0.2">
      <c r="B89" s="10" t="s">
        <v>213</v>
      </c>
      <c r="C89" s="108"/>
      <c r="D89" s="108"/>
      <c r="E89" s="108"/>
      <c r="F89" s="121"/>
      <c r="G89" s="121" t="e">
        <f t="shared" ref="G89" si="289">(G87+G88)</f>
        <v>#DIV/0!</v>
      </c>
      <c r="H89" s="121" t="e">
        <f t="shared" ref="H89:I89" si="290">(H87+H88)</f>
        <v>#DIV/0!</v>
      </c>
      <c r="I89" s="121" t="e">
        <f t="shared" si="290"/>
        <v>#DIV/0!</v>
      </c>
      <c r="J89" s="121" t="e">
        <f t="shared" ref="J89:Q89" si="291">(J87+J88)</f>
        <v>#VALUE!</v>
      </c>
      <c r="K89" s="121" t="e">
        <f t="shared" si="291"/>
        <v>#DIV/0!</v>
      </c>
      <c r="L89" s="121" t="e">
        <f t="shared" si="291"/>
        <v>#DIV/0!</v>
      </c>
      <c r="M89" s="121" t="e">
        <f t="shared" si="291"/>
        <v>#DIV/0!</v>
      </c>
      <c r="N89" s="121" t="e">
        <f t="shared" si="291"/>
        <v>#DIV/0!</v>
      </c>
      <c r="O89" s="121" t="e">
        <f t="shared" si="291"/>
        <v>#DIV/0!</v>
      </c>
      <c r="P89" s="121" t="e">
        <f t="shared" si="291"/>
        <v>#DIV/0!</v>
      </c>
      <c r="Q89" s="121" t="e">
        <f t="shared" si="291"/>
        <v>#DIV/0!</v>
      </c>
      <c r="R89" s="121" t="e">
        <f t="shared" ref="R89:W89" si="292">(R87+R88)</f>
        <v>#DIV/0!</v>
      </c>
      <c r="S89" s="121" t="e">
        <f t="shared" si="292"/>
        <v>#DIV/0!</v>
      </c>
      <c r="T89" s="121" t="e">
        <f t="shared" si="292"/>
        <v>#DIV/0!</v>
      </c>
      <c r="U89" s="121" t="e">
        <f t="shared" si="292"/>
        <v>#DIV/0!</v>
      </c>
      <c r="V89" s="121" t="e">
        <f t="shared" si="292"/>
        <v>#DIV/0!</v>
      </c>
      <c r="W89" s="121">
        <f t="shared" si="292"/>
        <v>223.36769759450175</v>
      </c>
      <c r="X89" s="101" t="e">
        <f t="shared" si="210"/>
        <v>#DIV/0!</v>
      </c>
      <c r="Y89" s="109"/>
      <c r="Z89" s="132">
        <f t="shared" ref="Z89:AI89" si="293">(Z87+Z88)</f>
        <v>251.83612964085978</v>
      </c>
      <c r="AA89" s="132">
        <f t="shared" si="293"/>
        <v>283.93289126175364</v>
      </c>
      <c r="AB89" s="132">
        <f t="shared" si="293"/>
        <v>320.12041661864379</v>
      </c>
      <c r="AC89" s="132">
        <f t="shared" si="293"/>
        <v>360.9200775602356</v>
      </c>
      <c r="AD89" s="132">
        <f t="shared" si="293"/>
        <v>406.91969528850086</v>
      </c>
      <c r="AE89" s="132">
        <f t="shared" si="293"/>
        <v>458.78200939389808</v>
      </c>
      <c r="AF89" s="132">
        <f t="shared" si="293"/>
        <v>517.25422627743399</v>
      </c>
      <c r="AG89" s="132">
        <f t="shared" si="293"/>
        <v>583.17878452847947</v>
      </c>
      <c r="AH89" s="132">
        <f t="shared" si="293"/>
        <v>657.50549236054053</v>
      </c>
      <c r="AI89" s="132">
        <f t="shared" si="293"/>
        <v>741.30521197511928</v>
      </c>
      <c r="AJ89" s="115" t="e">
        <f t="shared" si="242"/>
        <v>#VALUE!</v>
      </c>
      <c r="AK89" s="21">
        <f t="shared" si="18"/>
        <v>0.01</v>
      </c>
      <c r="AL89" s="123" t="e">
        <f t="shared" si="236"/>
        <v>#DIV/0!</v>
      </c>
    </row>
    <row r="90" spans="2:38" x14ac:dyDescent="0.2">
      <c r="B90" s="10" t="s">
        <v>206</v>
      </c>
      <c r="C90" s="108"/>
      <c r="D90" s="108"/>
      <c r="E90" s="108"/>
      <c r="F90" s="121"/>
      <c r="G90" s="121" t="e">
        <f t="shared" ref="G90" si="294">G15/G62</f>
        <v>#DIV/0!</v>
      </c>
      <c r="H90" s="121" t="e">
        <f t="shared" ref="H90:I90" si="295">H15/H62</f>
        <v>#DIV/0!</v>
      </c>
      <c r="I90" s="121" t="e">
        <f t="shared" si="295"/>
        <v>#DIV/0!</v>
      </c>
      <c r="J90" s="121" t="e">
        <f t="shared" ref="J90:Q90" si="296">J15/J62</f>
        <v>#VALUE!</v>
      </c>
      <c r="K90" s="121" t="e">
        <f t="shared" si="296"/>
        <v>#DIV/0!</v>
      </c>
      <c r="L90" s="121" t="e">
        <f t="shared" si="296"/>
        <v>#DIV/0!</v>
      </c>
      <c r="M90" s="121" t="e">
        <f t="shared" si="296"/>
        <v>#DIV/0!</v>
      </c>
      <c r="N90" s="121" t="e">
        <f t="shared" si="296"/>
        <v>#DIV/0!</v>
      </c>
      <c r="O90" s="121" t="e">
        <f t="shared" si="296"/>
        <v>#DIV/0!</v>
      </c>
      <c r="P90" s="121" t="e">
        <f t="shared" si="296"/>
        <v>#DIV/0!</v>
      </c>
      <c r="Q90" s="121" t="e">
        <f t="shared" si="296"/>
        <v>#DIV/0!</v>
      </c>
      <c r="R90" s="121" t="e">
        <f t="shared" ref="R90:W90" si="297">R15/R62</f>
        <v>#DIV/0!</v>
      </c>
      <c r="S90" s="121" t="e">
        <f t="shared" si="297"/>
        <v>#DIV/0!</v>
      </c>
      <c r="T90" s="121" t="e">
        <f t="shared" si="297"/>
        <v>#DIV/0!</v>
      </c>
      <c r="U90" s="121" t="e">
        <f t="shared" si="297"/>
        <v>#DIV/0!</v>
      </c>
      <c r="V90" s="121" t="e">
        <f t="shared" si="297"/>
        <v>#DIV/0!</v>
      </c>
      <c r="W90" s="121">
        <f t="shared" si="297"/>
        <v>49.643140364789851</v>
      </c>
      <c r="X90" s="101" t="e">
        <f t="shared" si="210"/>
        <v>#DIV/0!</v>
      </c>
      <c r="Y90" s="109"/>
      <c r="Z90" s="132">
        <f t="shared" ref="Z90:AI90" si="298">Z15/Z62</f>
        <v>55.970207274027771</v>
      </c>
      <c r="AA90" s="132">
        <f t="shared" si="298"/>
        <v>63.103665063854841</v>
      </c>
      <c r="AB90" s="132">
        <f t="shared" si="298"/>
        <v>71.146289042581429</v>
      </c>
      <c r="AC90" s="132">
        <f t="shared" si="298"/>
        <v>80.213953332322191</v>
      </c>
      <c r="AD90" s="132">
        <f t="shared" si="298"/>
        <v>90.437300325657375</v>
      </c>
      <c r="AE90" s="132">
        <f t="shared" si="298"/>
        <v>101.96362291618233</v>
      </c>
      <c r="AF90" s="132">
        <f t="shared" si="298"/>
        <v>114.95898662118594</v>
      </c>
      <c r="AG90" s="132">
        <f t="shared" si="298"/>
        <v>129.61062217094494</v>
      </c>
      <c r="AH90" s="132">
        <f t="shared" si="298"/>
        <v>146.12962303586929</v>
      </c>
      <c r="AI90" s="132">
        <f t="shared" si="298"/>
        <v>164.75398675612712</v>
      </c>
      <c r="AJ90" s="115" t="e">
        <f t="shared" si="242"/>
        <v>#VALUE!</v>
      </c>
      <c r="AK90" s="21">
        <f t="shared" si="18"/>
        <v>0.01</v>
      </c>
      <c r="AL90" s="123" t="e">
        <f t="shared" si="236"/>
        <v>#DIV/0!</v>
      </c>
    </row>
    <row r="91" spans="2:38" x14ac:dyDescent="0.2">
      <c r="B91" s="10" t="s">
        <v>207</v>
      </c>
      <c r="C91" s="108"/>
      <c r="D91" s="108"/>
      <c r="E91" s="108"/>
      <c r="F91" s="121"/>
      <c r="G91" s="121" t="e">
        <f t="shared" ref="G91" si="299">G16/G62</f>
        <v>#DIV/0!</v>
      </c>
      <c r="H91" s="121" t="e">
        <f t="shared" ref="H91:I91" si="300">H16/H62</f>
        <v>#DIV/0!</v>
      </c>
      <c r="I91" s="121" t="e">
        <f t="shared" si="300"/>
        <v>#DIV/0!</v>
      </c>
      <c r="J91" s="121" t="e">
        <f t="shared" ref="J91:Q91" si="301">J16/J62</f>
        <v>#VALUE!</v>
      </c>
      <c r="K91" s="121" t="e">
        <f t="shared" si="301"/>
        <v>#DIV/0!</v>
      </c>
      <c r="L91" s="121" t="e">
        <f t="shared" si="301"/>
        <v>#DIV/0!</v>
      </c>
      <c r="M91" s="121" t="e">
        <f t="shared" si="301"/>
        <v>#DIV/0!</v>
      </c>
      <c r="N91" s="121" t="e">
        <f t="shared" si="301"/>
        <v>#DIV/0!</v>
      </c>
      <c r="O91" s="121" t="e">
        <f t="shared" si="301"/>
        <v>#DIV/0!</v>
      </c>
      <c r="P91" s="121" t="e">
        <f t="shared" si="301"/>
        <v>#DIV/0!</v>
      </c>
      <c r="Q91" s="121" t="e">
        <f t="shared" si="301"/>
        <v>#DIV/0!</v>
      </c>
      <c r="R91" s="121" t="e">
        <f t="shared" ref="R91:W91" si="302">R16/R62</f>
        <v>#DIV/0!</v>
      </c>
      <c r="S91" s="121" t="e">
        <f t="shared" si="302"/>
        <v>#DIV/0!</v>
      </c>
      <c r="T91" s="121" t="e">
        <f t="shared" si="302"/>
        <v>#DIV/0!</v>
      </c>
      <c r="U91" s="121" t="e">
        <f t="shared" si="302"/>
        <v>#DIV/0!</v>
      </c>
      <c r="V91" s="121" t="e">
        <f t="shared" si="302"/>
        <v>#DIV/0!</v>
      </c>
      <c r="W91" s="121">
        <f t="shared" si="302"/>
        <v>-15.27887919640497</v>
      </c>
      <c r="X91" s="101" t="e">
        <f t="shared" si="210"/>
        <v>#DIV/0!</v>
      </c>
      <c r="Y91" s="109"/>
      <c r="Z91" s="132">
        <f t="shared" ref="Z91:AI91" si="303">Z16/Z62</f>
        <v>-17.226187329280112</v>
      </c>
      <c r="AA91" s="132">
        <f t="shared" si="303"/>
        <v>-19.421681792815811</v>
      </c>
      <c r="AB91" s="132">
        <f t="shared" si="303"/>
        <v>-21.896994178174687</v>
      </c>
      <c r="AC91" s="132">
        <f t="shared" si="303"/>
        <v>-24.687787553824396</v>
      </c>
      <c r="AD91" s="132">
        <f t="shared" si="303"/>
        <v>-27.834270281272605</v>
      </c>
      <c r="AE91" s="132">
        <f t="shared" si="303"/>
        <v>-31.381775317121072</v>
      </c>
      <c r="AF91" s="132">
        <f t="shared" si="303"/>
        <v>-35.381413347734537</v>
      </c>
      <c r="AG91" s="132">
        <f t="shared" si="303"/>
        <v>-39.89080916656345</v>
      </c>
      <c r="AH91" s="132">
        <f t="shared" si="303"/>
        <v>-44.974931903478399</v>
      </c>
      <c r="AI91" s="132">
        <f t="shared" si="303"/>
        <v>-50.707031067647215</v>
      </c>
      <c r="AJ91" s="115" t="e">
        <f t="shared" si="242"/>
        <v>#VALUE!</v>
      </c>
      <c r="AK91" s="21">
        <f t="shared" si="18"/>
        <v>0.01</v>
      </c>
      <c r="AL91" s="123" t="e">
        <f t="shared" si="236"/>
        <v>#DIV/0!</v>
      </c>
    </row>
    <row r="92" spans="2:38" x14ac:dyDescent="0.2">
      <c r="B92" s="10"/>
      <c r="C92" s="108"/>
      <c r="D92" s="108"/>
      <c r="E92" s="108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01" t="e">
        <f t="shared" si="210"/>
        <v>#DIV/0!</v>
      </c>
      <c r="Y92" s="1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16"/>
      <c r="AK92" s="116"/>
      <c r="AL92" s="116"/>
    </row>
    <row r="93" spans="2:38" x14ac:dyDescent="0.2">
      <c r="B93" s="10" t="s">
        <v>232</v>
      </c>
      <c r="C93" s="134"/>
      <c r="D93" s="134"/>
      <c r="E93" s="134"/>
      <c r="F93" s="134"/>
      <c r="G93" s="134">
        <f t="shared" ref="G93" si="304">G64</f>
        <v>0</v>
      </c>
      <c r="H93" s="134">
        <f t="shared" ref="H93:I93" si="305">H64</f>
        <v>0</v>
      </c>
      <c r="I93" s="134">
        <f t="shared" si="305"/>
        <v>0</v>
      </c>
      <c r="J93" s="134">
        <f t="shared" ref="J93:Q93" si="306">J64</f>
        <v>0</v>
      </c>
      <c r="K93" s="134">
        <f t="shared" si="306"/>
        <v>0</v>
      </c>
      <c r="L93" s="134" t="str">
        <f t="shared" si="306"/>
        <v>35x100</v>
      </c>
      <c r="M93" s="134">
        <f t="shared" si="306"/>
        <v>0</v>
      </c>
      <c r="N93" s="134">
        <f t="shared" si="306"/>
        <v>0</v>
      </c>
      <c r="O93" s="134">
        <f t="shared" si="306"/>
        <v>0</v>
      </c>
      <c r="P93" s="134">
        <f t="shared" si="306"/>
        <v>0</v>
      </c>
      <c r="Q93" s="134">
        <f t="shared" si="306"/>
        <v>0</v>
      </c>
      <c r="R93" s="134">
        <f t="shared" ref="R93:W93" si="307">R64</f>
        <v>0</v>
      </c>
      <c r="S93" s="134">
        <f t="shared" si="307"/>
        <v>0</v>
      </c>
      <c r="T93" s="134">
        <f t="shared" si="307"/>
        <v>0</v>
      </c>
      <c r="U93" s="134">
        <f t="shared" si="307"/>
        <v>0</v>
      </c>
      <c r="V93" s="134">
        <f t="shared" si="307"/>
        <v>0</v>
      </c>
      <c r="W93" s="134">
        <f t="shared" si="307"/>
        <v>0</v>
      </c>
      <c r="X93" s="101" t="e">
        <f t="shared" si="210"/>
        <v>#DIV/0!</v>
      </c>
      <c r="Y93" s="109"/>
      <c r="Z93" s="134">
        <f t="shared" ref="Z93:AI93" si="308">Z64</f>
        <v>0</v>
      </c>
      <c r="AA93" s="134">
        <f t="shared" si="308"/>
        <v>0</v>
      </c>
      <c r="AB93" s="134">
        <f t="shared" si="308"/>
        <v>0</v>
      </c>
      <c r="AC93" s="134">
        <f t="shared" si="308"/>
        <v>0</v>
      </c>
      <c r="AD93" s="134">
        <f t="shared" si="308"/>
        <v>0</v>
      </c>
      <c r="AE93" s="134">
        <f t="shared" si="308"/>
        <v>0</v>
      </c>
      <c r="AF93" s="134">
        <f t="shared" si="308"/>
        <v>0</v>
      </c>
      <c r="AG93" s="134">
        <f t="shared" si="308"/>
        <v>0</v>
      </c>
      <c r="AH93" s="134">
        <f t="shared" si="308"/>
        <v>0</v>
      </c>
      <c r="AI93" s="134">
        <f t="shared" si="308"/>
        <v>0</v>
      </c>
      <c r="AJ93" s="115" t="e">
        <f t="shared" ref="AJ93" si="309">((AI93/J93)^(1/($AI$3-$K$1) ))-1</f>
        <v>#DIV/0!</v>
      </c>
      <c r="AK93" s="21">
        <f t="shared" si="18"/>
        <v>0.01</v>
      </c>
      <c r="AL93" s="123" t="e">
        <f t="shared" si="236"/>
        <v>#DIV/0!</v>
      </c>
    </row>
    <row r="94" spans="2:38" x14ac:dyDescent="0.2">
      <c r="B94" s="10"/>
      <c r="C94" s="108"/>
      <c r="D94" s="108"/>
      <c r="E94" s="108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01" t="e">
        <f t="shared" si="210"/>
        <v>#DIV/0!</v>
      </c>
      <c r="Y94" s="1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16"/>
      <c r="AK94" s="114"/>
      <c r="AL94" s="116"/>
    </row>
    <row r="95" spans="2:38" x14ac:dyDescent="0.2">
      <c r="B95" s="10" t="s">
        <v>262</v>
      </c>
      <c r="C95" s="108"/>
      <c r="D95" s="108"/>
      <c r="E95" s="108"/>
      <c r="F95" s="121"/>
      <c r="G95" s="121">
        <f t="shared" ref="G95" si="310">G20+G21</f>
        <v>0</v>
      </c>
      <c r="H95" s="121">
        <f t="shared" ref="H95:I95" si="311">H20+H21</f>
        <v>0</v>
      </c>
      <c r="I95" s="121">
        <f t="shared" si="311"/>
        <v>0</v>
      </c>
      <c r="J95" s="121">
        <f t="shared" ref="J95:Q95" si="312">J20+J21</f>
        <v>0</v>
      </c>
      <c r="K95" s="121">
        <f t="shared" si="312"/>
        <v>0</v>
      </c>
      <c r="L95" s="121">
        <f t="shared" si="312"/>
        <v>0</v>
      </c>
      <c r="M95" s="121">
        <f t="shared" si="312"/>
        <v>0</v>
      </c>
      <c r="N95" s="121">
        <f t="shared" si="312"/>
        <v>0</v>
      </c>
      <c r="O95" s="121">
        <f t="shared" si="312"/>
        <v>0</v>
      </c>
      <c r="P95" s="121">
        <f t="shared" si="312"/>
        <v>0</v>
      </c>
      <c r="Q95" s="121">
        <f t="shared" si="312"/>
        <v>0</v>
      </c>
      <c r="R95" s="121">
        <f t="shared" ref="R95:W95" si="313">R20+R21</f>
        <v>0</v>
      </c>
      <c r="S95" s="121">
        <f t="shared" si="313"/>
        <v>0</v>
      </c>
      <c r="T95" s="121">
        <f t="shared" si="313"/>
        <v>0</v>
      </c>
      <c r="U95" s="121">
        <f t="shared" si="313"/>
        <v>0</v>
      </c>
      <c r="V95" s="121">
        <f t="shared" si="313"/>
        <v>0</v>
      </c>
      <c r="W95" s="121">
        <f t="shared" si="313"/>
        <v>0</v>
      </c>
      <c r="X95" s="101" t="e">
        <f t="shared" si="210"/>
        <v>#DIV/0!</v>
      </c>
      <c r="Y95" s="109"/>
      <c r="Z95" s="121">
        <f t="shared" ref="Z95:AI95" si="314">Z20+Z21</f>
        <v>0</v>
      </c>
      <c r="AA95" s="121">
        <f t="shared" si="314"/>
        <v>0</v>
      </c>
      <c r="AB95" s="121">
        <f t="shared" si="314"/>
        <v>0</v>
      </c>
      <c r="AC95" s="121">
        <f t="shared" si="314"/>
        <v>0</v>
      </c>
      <c r="AD95" s="121">
        <f t="shared" si="314"/>
        <v>0</v>
      </c>
      <c r="AE95" s="121">
        <f t="shared" si="314"/>
        <v>0</v>
      </c>
      <c r="AF95" s="121">
        <f t="shared" si="314"/>
        <v>0</v>
      </c>
      <c r="AG95" s="121">
        <f t="shared" si="314"/>
        <v>0</v>
      </c>
      <c r="AH95" s="121">
        <f t="shared" si="314"/>
        <v>0</v>
      </c>
      <c r="AI95" s="121">
        <f t="shared" si="314"/>
        <v>0</v>
      </c>
      <c r="AJ95" s="115" t="e">
        <f t="shared" ref="AJ95:AJ100" si="315">((AI95/J95)^(1/($AI$3-$K$1) ))-1</f>
        <v>#DIV/0!</v>
      </c>
      <c r="AK95" s="21">
        <f t="shared" si="18"/>
        <v>0.01</v>
      </c>
      <c r="AL95" s="123" t="e">
        <f t="shared" si="236"/>
        <v>#DIV/0!</v>
      </c>
    </row>
    <row r="96" spans="2:38" x14ac:dyDescent="0.2">
      <c r="B96" s="10"/>
      <c r="C96" s="108"/>
      <c r="D96" s="108"/>
      <c r="E96" s="108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01" t="e">
        <f t="shared" si="210"/>
        <v>#DIV/0!</v>
      </c>
      <c r="Y96" s="10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16"/>
      <c r="AK96" s="114"/>
      <c r="AL96" s="116"/>
    </row>
    <row r="97" spans="2:38" x14ac:dyDescent="0.2">
      <c r="B97" s="10" t="s">
        <v>263</v>
      </c>
      <c r="C97" s="108"/>
      <c r="D97" s="108"/>
      <c r="E97" s="108"/>
      <c r="F97" s="121"/>
      <c r="G97" s="121" t="e">
        <f t="shared" ref="G97" si="316">G95/G62</f>
        <v>#DIV/0!</v>
      </c>
      <c r="H97" s="121" t="e">
        <f t="shared" ref="H97:I97" si="317">H95/H62</f>
        <v>#DIV/0!</v>
      </c>
      <c r="I97" s="121" t="e">
        <f t="shared" si="317"/>
        <v>#DIV/0!</v>
      </c>
      <c r="J97" s="121" t="e">
        <f t="shared" ref="J97:Q97" si="318">J95/J62</f>
        <v>#VALUE!</v>
      </c>
      <c r="K97" s="121" t="e">
        <f t="shared" si="318"/>
        <v>#DIV/0!</v>
      </c>
      <c r="L97" s="121" t="e">
        <f t="shared" si="318"/>
        <v>#DIV/0!</v>
      </c>
      <c r="M97" s="121" t="e">
        <f t="shared" si="318"/>
        <v>#DIV/0!</v>
      </c>
      <c r="N97" s="121" t="e">
        <f t="shared" si="318"/>
        <v>#DIV/0!</v>
      </c>
      <c r="O97" s="121" t="e">
        <f t="shared" si="318"/>
        <v>#DIV/0!</v>
      </c>
      <c r="P97" s="121" t="e">
        <f t="shared" si="318"/>
        <v>#DIV/0!</v>
      </c>
      <c r="Q97" s="121" t="e">
        <f t="shared" si="318"/>
        <v>#DIV/0!</v>
      </c>
      <c r="R97" s="121" t="e">
        <f t="shared" ref="R97:W97" si="319">R95/R62</f>
        <v>#DIV/0!</v>
      </c>
      <c r="S97" s="121" t="e">
        <f t="shared" si="319"/>
        <v>#DIV/0!</v>
      </c>
      <c r="T97" s="121" t="e">
        <f t="shared" si="319"/>
        <v>#DIV/0!</v>
      </c>
      <c r="U97" s="121" t="e">
        <f t="shared" si="319"/>
        <v>#DIV/0!</v>
      </c>
      <c r="V97" s="121" t="e">
        <f t="shared" si="319"/>
        <v>#DIV/0!</v>
      </c>
      <c r="W97" s="121">
        <f t="shared" si="319"/>
        <v>0</v>
      </c>
      <c r="X97" s="101" t="e">
        <f t="shared" si="210"/>
        <v>#DIV/0!</v>
      </c>
      <c r="Y97" s="109"/>
      <c r="Z97" s="123">
        <f t="shared" ref="Z97:AI97" si="320">Z95/Z62</f>
        <v>0</v>
      </c>
      <c r="AA97" s="123">
        <f t="shared" si="320"/>
        <v>0</v>
      </c>
      <c r="AB97" s="123">
        <f t="shared" si="320"/>
        <v>0</v>
      </c>
      <c r="AC97" s="123">
        <f t="shared" si="320"/>
        <v>0</v>
      </c>
      <c r="AD97" s="123">
        <f t="shared" si="320"/>
        <v>0</v>
      </c>
      <c r="AE97" s="123">
        <f t="shared" si="320"/>
        <v>0</v>
      </c>
      <c r="AF97" s="123">
        <f t="shared" si="320"/>
        <v>0</v>
      </c>
      <c r="AG97" s="123">
        <f t="shared" si="320"/>
        <v>0</v>
      </c>
      <c r="AH97" s="123">
        <f t="shared" si="320"/>
        <v>0</v>
      </c>
      <c r="AI97" s="123">
        <f t="shared" si="320"/>
        <v>0</v>
      </c>
      <c r="AJ97" s="115" t="e">
        <f t="shared" si="315"/>
        <v>#VALUE!</v>
      </c>
      <c r="AK97" s="21">
        <f t="shared" si="18"/>
        <v>0.01</v>
      </c>
      <c r="AL97" s="123" t="e">
        <f t="shared" si="236"/>
        <v>#DIV/0!</v>
      </c>
    </row>
    <row r="98" spans="2:38" x14ac:dyDescent="0.2">
      <c r="B98" s="10" t="s">
        <v>236</v>
      </c>
      <c r="C98" s="108"/>
      <c r="D98" s="108"/>
      <c r="E98" s="108"/>
      <c r="F98" s="121"/>
      <c r="G98" s="121" t="e">
        <f t="shared" ref="G98" si="321">G20/G62</f>
        <v>#DIV/0!</v>
      </c>
      <c r="H98" s="121" t="e">
        <f t="shared" ref="H98:I98" si="322">H20/H62</f>
        <v>#DIV/0!</v>
      </c>
      <c r="I98" s="121" t="e">
        <f t="shared" si="322"/>
        <v>#DIV/0!</v>
      </c>
      <c r="J98" s="121" t="e">
        <f t="shared" ref="J98:Q98" si="323">J20/J62</f>
        <v>#VALUE!</v>
      </c>
      <c r="K98" s="121" t="e">
        <f t="shared" si="323"/>
        <v>#DIV/0!</v>
      </c>
      <c r="L98" s="121" t="e">
        <f t="shared" si="323"/>
        <v>#DIV/0!</v>
      </c>
      <c r="M98" s="121" t="e">
        <f t="shared" si="323"/>
        <v>#DIV/0!</v>
      </c>
      <c r="N98" s="121" t="e">
        <f t="shared" si="323"/>
        <v>#DIV/0!</v>
      </c>
      <c r="O98" s="121" t="e">
        <f t="shared" si="323"/>
        <v>#DIV/0!</v>
      </c>
      <c r="P98" s="121" t="e">
        <f t="shared" si="323"/>
        <v>#DIV/0!</v>
      </c>
      <c r="Q98" s="121" t="e">
        <f t="shared" si="323"/>
        <v>#DIV/0!</v>
      </c>
      <c r="R98" s="121" t="e">
        <f t="shared" ref="R98:W98" si="324">R20/R62</f>
        <v>#DIV/0!</v>
      </c>
      <c r="S98" s="121" t="e">
        <f t="shared" si="324"/>
        <v>#DIV/0!</v>
      </c>
      <c r="T98" s="121" t="e">
        <f t="shared" si="324"/>
        <v>#DIV/0!</v>
      </c>
      <c r="U98" s="121" t="e">
        <f t="shared" si="324"/>
        <v>#DIV/0!</v>
      </c>
      <c r="V98" s="121" t="e">
        <f t="shared" si="324"/>
        <v>#DIV/0!</v>
      </c>
      <c r="W98" s="121">
        <f t="shared" si="324"/>
        <v>0</v>
      </c>
      <c r="X98" s="101" t="e">
        <f t="shared" si="210"/>
        <v>#DIV/0!</v>
      </c>
      <c r="Y98" s="109"/>
      <c r="Z98" s="123">
        <f t="shared" ref="Z98:AI98" si="325">Z20/Z62</f>
        <v>0</v>
      </c>
      <c r="AA98" s="123">
        <f t="shared" si="325"/>
        <v>0</v>
      </c>
      <c r="AB98" s="123">
        <f t="shared" si="325"/>
        <v>0</v>
      </c>
      <c r="AC98" s="123">
        <f t="shared" si="325"/>
        <v>0</v>
      </c>
      <c r="AD98" s="123">
        <f t="shared" si="325"/>
        <v>0</v>
      </c>
      <c r="AE98" s="123">
        <f t="shared" si="325"/>
        <v>0</v>
      </c>
      <c r="AF98" s="123">
        <f t="shared" si="325"/>
        <v>0</v>
      </c>
      <c r="AG98" s="123">
        <f t="shared" si="325"/>
        <v>0</v>
      </c>
      <c r="AH98" s="123">
        <f t="shared" si="325"/>
        <v>0</v>
      </c>
      <c r="AI98" s="123">
        <f t="shared" si="325"/>
        <v>0</v>
      </c>
      <c r="AJ98" s="115" t="e">
        <f t="shared" si="315"/>
        <v>#VALUE!</v>
      </c>
      <c r="AK98" s="21">
        <f t="shared" si="18"/>
        <v>0.01</v>
      </c>
      <c r="AL98" s="123" t="e">
        <f t="shared" si="236"/>
        <v>#DIV/0!</v>
      </c>
    </row>
    <row r="99" spans="2:38" x14ac:dyDescent="0.2">
      <c r="B99" s="10" t="s">
        <v>237</v>
      </c>
      <c r="C99" s="108"/>
      <c r="D99" s="108"/>
      <c r="E99" s="108"/>
      <c r="F99" s="121"/>
      <c r="G99" s="121" t="e">
        <f t="shared" ref="G99" si="326">G21/G62</f>
        <v>#DIV/0!</v>
      </c>
      <c r="H99" s="121" t="e">
        <f t="shared" ref="H99:I99" si="327">H21/H62</f>
        <v>#DIV/0!</v>
      </c>
      <c r="I99" s="121" t="e">
        <f t="shared" si="327"/>
        <v>#DIV/0!</v>
      </c>
      <c r="J99" s="121" t="e">
        <f t="shared" ref="J99:Q99" si="328">J21/J62</f>
        <v>#VALUE!</v>
      </c>
      <c r="K99" s="121" t="e">
        <f t="shared" si="328"/>
        <v>#DIV/0!</v>
      </c>
      <c r="L99" s="121" t="e">
        <f t="shared" si="328"/>
        <v>#DIV/0!</v>
      </c>
      <c r="M99" s="121" t="e">
        <f t="shared" si="328"/>
        <v>#DIV/0!</v>
      </c>
      <c r="N99" s="121" t="e">
        <f t="shared" si="328"/>
        <v>#DIV/0!</v>
      </c>
      <c r="O99" s="121" t="e">
        <f t="shared" si="328"/>
        <v>#DIV/0!</v>
      </c>
      <c r="P99" s="121" t="e">
        <f t="shared" si="328"/>
        <v>#DIV/0!</v>
      </c>
      <c r="Q99" s="121" t="e">
        <f t="shared" si="328"/>
        <v>#DIV/0!</v>
      </c>
      <c r="R99" s="121" t="e">
        <f t="shared" ref="R99:W99" si="329">R21/R62</f>
        <v>#DIV/0!</v>
      </c>
      <c r="S99" s="121" t="e">
        <f t="shared" si="329"/>
        <v>#DIV/0!</v>
      </c>
      <c r="T99" s="121" t="e">
        <f t="shared" si="329"/>
        <v>#DIV/0!</v>
      </c>
      <c r="U99" s="121" t="e">
        <f t="shared" si="329"/>
        <v>#DIV/0!</v>
      </c>
      <c r="V99" s="121" t="e">
        <f t="shared" si="329"/>
        <v>#DIV/0!</v>
      </c>
      <c r="W99" s="121">
        <f t="shared" si="329"/>
        <v>0</v>
      </c>
      <c r="X99" s="101" t="e">
        <f t="shared" si="210"/>
        <v>#DIV/0!</v>
      </c>
      <c r="Y99" s="109"/>
      <c r="Z99" s="123">
        <f t="shared" ref="Z99:AI99" si="330">Z21/Z62</f>
        <v>0</v>
      </c>
      <c r="AA99" s="123">
        <f t="shared" si="330"/>
        <v>0</v>
      </c>
      <c r="AB99" s="123">
        <f t="shared" si="330"/>
        <v>0</v>
      </c>
      <c r="AC99" s="123">
        <f t="shared" si="330"/>
        <v>0</v>
      </c>
      <c r="AD99" s="123">
        <f t="shared" si="330"/>
        <v>0</v>
      </c>
      <c r="AE99" s="123">
        <f t="shared" si="330"/>
        <v>0</v>
      </c>
      <c r="AF99" s="123">
        <f t="shared" si="330"/>
        <v>0</v>
      </c>
      <c r="AG99" s="123">
        <f t="shared" si="330"/>
        <v>0</v>
      </c>
      <c r="AH99" s="123">
        <f t="shared" si="330"/>
        <v>0</v>
      </c>
      <c r="AI99" s="123">
        <f t="shared" si="330"/>
        <v>0</v>
      </c>
      <c r="AJ99" s="115" t="e">
        <f t="shared" si="315"/>
        <v>#VALUE!</v>
      </c>
      <c r="AK99" s="21">
        <f t="shared" si="18"/>
        <v>0.01</v>
      </c>
      <c r="AL99" s="123" t="e">
        <f t="shared" si="236"/>
        <v>#DIV/0!</v>
      </c>
    </row>
    <row r="100" spans="2:38" x14ac:dyDescent="0.2">
      <c r="B100" s="10" t="s">
        <v>238</v>
      </c>
      <c r="C100" s="108"/>
      <c r="D100" s="108"/>
      <c r="E100" s="108"/>
      <c r="F100" s="121"/>
      <c r="G100" s="121" t="e">
        <f t="shared" ref="G100" si="331">G22/G62</f>
        <v>#DIV/0!</v>
      </c>
      <c r="H100" s="121" t="e">
        <f t="shared" ref="H100:I100" si="332">H22/H62</f>
        <v>#DIV/0!</v>
      </c>
      <c r="I100" s="121" t="e">
        <f t="shared" si="332"/>
        <v>#DIV/0!</v>
      </c>
      <c r="J100" s="121" t="e">
        <f t="shared" ref="J100:Q100" si="333">J22/J62</f>
        <v>#VALUE!</v>
      </c>
      <c r="K100" s="121" t="e">
        <f t="shared" si="333"/>
        <v>#DIV/0!</v>
      </c>
      <c r="L100" s="121" t="e">
        <f t="shared" si="333"/>
        <v>#DIV/0!</v>
      </c>
      <c r="M100" s="121" t="e">
        <f t="shared" si="333"/>
        <v>#DIV/0!</v>
      </c>
      <c r="N100" s="121" t="e">
        <f t="shared" si="333"/>
        <v>#DIV/0!</v>
      </c>
      <c r="O100" s="121" t="e">
        <f t="shared" si="333"/>
        <v>#DIV/0!</v>
      </c>
      <c r="P100" s="121" t="e">
        <f t="shared" si="333"/>
        <v>#DIV/0!</v>
      </c>
      <c r="Q100" s="121" t="e">
        <f t="shared" si="333"/>
        <v>#DIV/0!</v>
      </c>
      <c r="R100" s="121" t="e">
        <f t="shared" ref="R100:W100" si="334">R22/R62</f>
        <v>#DIV/0!</v>
      </c>
      <c r="S100" s="121" t="e">
        <f t="shared" si="334"/>
        <v>#DIV/0!</v>
      </c>
      <c r="T100" s="121" t="e">
        <f t="shared" si="334"/>
        <v>#DIV/0!</v>
      </c>
      <c r="U100" s="121" t="e">
        <f t="shared" si="334"/>
        <v>#DIV/0!</v>
      </c>
      <c r="V100" s="121" t="e">
        <f t="shared" si="334"/>
        <v>#DIV/0!</v>
      </c>
      <c r="W100" s="121">
        <f t="shared" si="334"/>
        <v>0</v>
      </c>
      <c r="X100" s="101" t="e">
        <f t="shared" si="210"/>
        <v>#DIV/0!</v>
      </c>
      <c r="Y100" s="109"/>
      <c r="Z100" s="123">
        <f t="shared" ref="Z100:AI100" si="335">Z22/Z62</f>
        <v>0</v>
      </c>
      <c r="AA100" s="123">
        <f t="shared" si="335"/>
        <v>0</v>
      </c>
      <c r="AB100" s="123">
        <f t="shared" si="335"/>
        <v>0</v>
      </c>
      <c r="AC100" s="123">
        <f t="shared" si="335"/>
        <v>0</v>
      </c>
      <c r="AD100" s="123">
        <f t="shared" si="335"/>
        <v>0</v>
      </c>
      <c r="AE100" s="123">
        <f t="shared" si="335"/>
        <v>0</v>
      </c>
      <c r="AF100" s="123">
        <f t="shared" si="335"/>
        <v>0</v>
      </c>
      <c r="AG100" s="123">
        <f t="shared" si="335"/>
        <v>0</v>
      </c>
      <c r="AH100" s="123">
        <f t="shared" si="335"/>
        <v>0</v>
      </c>
      <c r="AI100" s="123">
        <f t="shared" si="335"/>
        <v>0</v>
      </c>
      <c r="AJ100" s="115" t="e">
        <f t="shared" si="315"/>
        <v>#VALUE!</v>
      </c>
      <c r="AK100" s="21">
        <f t="shared" si="18"/>
        <v>0.01</v>
      </c>
      <c r="AL100" s="123" t="e">
        <f t="shared" si="236"/>
        <v>#DIV/0!</v>
      </c>
    </row>
    <row r="101" spans="2:38" x14ac:dyDescent="0.2">
      <c r="B101" s="10" t="s">
        <v>245</v>
      </c>
      <c r="C101" s="108"/>
      <c r="D101" s="108"/>
      <c r="E101" s="108"/>
      <c r="F101" s="121"/>
      <c r="G101" s="121" t="e">
        <f t="shared" ref="G101" si="336">G23/G62</f>
        <v>#DIV/0!</v>
      </c>
      <c r="H101" s="121" t="e">
        <f t="shared" ref="H101:I101" si="337">H23/H62</f>
        <v>#DIV/0!</v>
      </c>
      <c r="I101" s="121" t="e">
        <f t="shared" si="337"/>
        <v>#DIV/0!</v>
      </c>
      <c r="J101" s="121" t="e">
        <f t="shared" ref="J101:Q101" si="338">J23/J62</f>
        <v>#VALUE!</v>
      </c>
      <c r="K101" s="121" t="e">
        <f t="shared" si="338"/>
        <v>#DIV/0!</v>
      </c>
      <c r="L101" s="121" t="e">
        <f t="shared" si="338"/>
        <v>#DIV/0!</v>
      </c>
      <c r="M101" s="121" t="e">
        <f t="shared" si="338"/>
        <v>#DIV/0!</v>
      </c>
      <c r="N101" s="121" t="e">
        <f t="shared" si="338"/>
        <v>#DIV/0!</v>
      </c>
      <c r="O101" s="121" t="e">
        <f t="shared" si="338"/>
        <v>#DIV/0!</v>
      </c>
      <c r="P101" s="121" t="e">
        <f t="shared" si="338"/>
        <v>#DIV/0!</v>
      </c>
      <c r="Q101" s="121" t="e">
        <f t="shared" si="338"/>
        <v>#DIV/0!</v>
      </c>
      <c r="R101" s="121" t="e">
        <f t="shared" ref="R101:W101" si="339">R23/R62</f>
        <v>#DIV/0!</v>
      </c>
      <c r="S101" s="121" t="e">
        <f t="shared" si="339"/>
        <v>#DIV/0!</v>
      </c>
      <c r="T101" s="121" t="e">
        <f t="shared" si="339"/>
        <v>#DIV/0!</v>
      </c>
      <c r="U101" s="121" t="e">
        <f t="shared" si="339"/>
        <v>#DIV/0!</v>
      </c>
      <c r="V101" s="121" t="e">
        <f t="shared" si="339"/>
        <v>#DIV/0!</v>
      </c>
      <c r="W101" s="121">
        <f t="shared" si="339"/>
        <v>0</v>
      </c>
      <c r="X101" s="101" t="e">
        <f t="shared" si="210"/>
        <v>#DIV/0!</v>
      </c>
      <c r="Y101" s="109"/>
      <c r="Z101" s="123">
        <f t="shared" ref="Z101:AI101" si="340">Z23/Z62</f>
        <v>0</v>
      </c>
      <c r="AA101" s="123">
        <f t="shared" si="340"/>
        <v>0</v>
      </c>
      <c r="AB101" s="123">
        <f t="shared" si="340"/>
        <v>0</v>
      </c>
      <c r="AC101" s="123">
        <f t="shared" si="340"/>
        <v>0</v>
      </c>
      <c r="AD101" s="123">
        <f t="shared" si="340"/>
        <v>0</v>
      </c>
      <c r="AE101" s="123">
        <f t="shared" si="340"/>
        <v>0</v>
      </c>
      <c r="AF101" s="123">
        <f t="shared" si="340"/>
        <v>0</v>
      </c>
      <c r="AG101" s="123">
        <f t="shared" si="340"/>
        <v>0</v>
      </c>
      <c r="AH101" s="123">
        <f t="shared" si="340"/>
        <v>0</v>
      </c>
      <c r="AI101" s="123">
        <f t="shared" si="340"/>
        <v>0</v>
      </c>
      <c r="AJ101" s="115" t="e">
        <f t="shared" ref="AJ101" si="341">((AI101/J101)^(1/($AI$3-$K$1) ))-1</f>
        <v>#VALUE!</v>
      </c>
      <c r="AK101" s="21">
        <f t="shared" si="18"/>
        <v>0.01</v>
      </c>
      <c r="AL101" s="123" t="e">
        <f t="shared" si="236"/>
        <v>#DIV/0!</v>
      </c>
    </row>
    <row r="102" spans="2:38" x14ac:dyDescent="0.2">
      <c r="B102" s="10"/>
      <c r="C102" s="108"/>
      <c r="D102" s="108"/>
      <c r="E102" s="108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01" t="e">
        <f t="shared" si="210"/>
        <v>#DIV/0!</v>
      </c>
      <c r="Y102" s="10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16"/>
      <c r="AK102" s="114"/>
      <c r="AL102" s="116"/>
    </row>
    <row r="103" spans="2:38" x14ac:dyDescent="0.2">
      <c r="B103" s="10" t="s">
        <v>429</v>
      </c>
      <c r="C103" s="121"/>
      <c r="D103" s="121"/>
      <c r="E103" s="121"/>
      <c r="F103" s="121"/>
      <c r="G103" s="121" t="e">
        <f t="shared" ref="G103" si="342">G54/G62</f>
        <v>#DIV/0!</v>
      </c>
      <c r="H103" s="121" t="e">
        <f t="shared" ref="H103:I103" si="343">H54/H62</f>
        <v>#DIV/0!</v>
      </c>
      <c r="I103" s="121" t="e">
        <f t="shared" si="343"/>
        <v>#DIV/0!</v>
      </c>
      <c r="J103" s="121" t="e">
        <f t="shared" ref="J103:Q103" si="344">J54/J62</f>
        <v>#VALUE!</v>
      </c>
      <c r="K103" s="121" t="e">
        <f t="shared" si="344"/>
        <v>#DIV/0!</v>
      </c>
      <c r="L103" s="121" t="e">
        <f t="shared" si="344"/>
        <v>#DIV/0!</v>
      </c>
      <c r="M103" s="121" t="e">
        <f t="shared" si="344"/>
        <v>#DIV/0!</v>
      </c>
      <c r="N103" s="121" t="e">
        <f t="shared" si="344"/>
        <v>#DIV/0!</v>
      </c>
      <c r="O103" s="121" t="e">
        <f t="shared" si="344"/>
        <v>#DIV/0!</v>
      </c>
      <c r="P103" s="121" t="e">
        <f t="shared" si="344"/>
        <v>#DIV/0!</v>
      </c>
      <c r="Q103" s="121" t="e">
        <f t="shared" si="344"/>
        <v>#DIV/0!</v>
      </c>
      <c r="R103" s="121" t="e">
        <f t="shared" ref="R103:W103" si="345">R54/R62</f>
        <v>#DIV/0!</v>
      </c>
      <c r="S103" s="121" t="e">
        <f t="shared" si="345"/>
        <v>#DIV/0!</v>
      </c>
      <c r="T103" s="121" t="e">
        <f t="shared" si="345"/>
        <v>#DIV/0!</v>
      </c>
      <c r="U103" s="121" t="e">
        <f t="shared" si="345"/>
        <v>#DIV/0!</v>
      </c>
      <c r="V103" s="121" t="e">
        <f t="shared" si="345"/>
        <v>#DIV/0!</v>
      </c>
      <c r="W103" s="121">
        <f t="shared" si="345"/>
        <v>2.1675918583135081</v>
      </c>
      <c r="X103" s="101" t="e">
        <f t="shared" si="210"/>
        <v>#DIV/0!</v>
      </c>
      <c r="Y103" s="109"/>
      <c r="Z103" s="121">
        <f t="shared" ref="Z103:AI103" si="346">Z54/Z62</f>
        <v>2.4438535657456217</v>
      </c>
      <c r="AA103" s="121">
        <f t="shared" si="346"/>
        <v>2.7553250986347693</v>
      </c>
      <c r="AB103" s="121">
        <f t="shared" si="346"/>
        <v>3.1064939837548864</v>
      </c>
      <c r="AC103" s="121">
        <f t="shared" si="346"/>
        <v>3.5024196875667832</v>
      </c>
      <c r="AD103" s="121">
        <f t="shared" si="346"/>
        <v>3.9488065104919614</v>
      </c>
      <c r="AE103" s="121">
        <f t="shared" si="346"/>
        <v>4.4520857716330937</v>
      </c>
      <c r="AF103" s="121">
        <f t="shared" si="346"/>
        <v>5.0195084680177038</v>
      </c>
      <c r="AG103" s="121">
        <f t="shared" si="346"/>
        <v>5.6592497433532927</v>
      </c>
      <c r="AH103" s="121">
        <f t="shared" si="346"/>
        <v>6.3805266714277327</v>
      </c>
      <c r="AI103" s="121">
        <f t="shared" si="346"/>
        <v>7.1937310511195012</v>
      </c>
      <c r="AJ103" s="115" t="e">
        <f t="shared" ref="AJ103:AJ105" si="347">((AI103/J103)^(1/($AI$3-$K$1) ))-1</f>
        <v>#VALUE!</v>
      </c>
      <c r="AK103" s="21">
        <f t="shared" si="18"/>
        <v>0.01</v>
      </c>
      <c r="AL103" s="123" t="e">
        <f t="shared" si="236"/>
        <v>#DIV/0!</v>
      </c>
    </row>
    <row r="104" spans="2:38" x14ac:dyDescent="0.2">
      <c r="B104" s="10" t="s">
        <v>430</v>
      </c>
      <c r="C104" s="121"/>
      <c r="D104" s="121"/>
      <c r="E104" s="121"/>
      <c r="F104" s="121"/>
      <c r="G104" s="121" t="e">
        <f t="shared" ref="G104" si="348">G60/G62</f>
        <v>#DIV/0!</v>
      </c>
      <c r="H104" s="121" t="e">
        <f t="shared" ref="H104:I104" si="349">H60/H62</f>
        <v>#DIV/0!</v>
      </c>
      <c r="I104" s="121" t="e">
        <f t="shared" si="349"/>
        <v>#DIV/0!</v>
      </c>
      <c r="J104" s="121" t="e">
        <f t="shared" ref="J104:Q104" si="350">J60/J62</f>
        <v>#VALUE!</v>
      </c>
      <c r="K104" s="121" t="e">
        <f t="shared" si="350"/>
        <v>#DIV/0!</v>
      </c>
      <c r="L104" s="121" t="e">
        <f t="shared" si="350"/>
        <v>#DIV/0!</v>
      </c>
      <c r="M104" s="121" t="e">
        <f t="shared" si="350"/>
        <v>#DIV/0!</v>
      </c>
      <c r="N104" s="121" t="e">
        <f t="shared" si="350"/>
        <v>#DIV/0!</v>
      </c>
      <c r="O104" s="121" t="e">
        <f t="shared" si="350"/>
        <v>#DIV/0!</v>
      </c>
      <c r="P104" s="121" t="e">
        <f t="shared" si="350"/>
        <v>#DIV/0!</v>
      </c>
      <c r="Q104" s="121" t="e">
        <f t="shared" si="350"/>
        <v>#DIV/0!</v>
      </c>
      <c r="R104" s="121" t="e">
        <f t="shared" ref="R104:W104" si="351">R60/R62</f>
        <v>#DIV/0!</v>
      </c>
      <c r="S104" s="121" t="e">
        <f t="shared" si="351"/>
        <v>#DIV/0!</v>
      </c>
      <c r="T104" s="121" t="e">
        <f t="shared" si="351"/>
        <v>#DIV/0!</v>
      </c>
      <c r="U104" s="121" t="e">
        <f t="shared" si="351"/>
        <v>#DIV/0!</v>
      </c>
      <c r="V104" s="121" t="e">
        <f t="shared" si="351"/>
        <v>#DIV/0!</v>
      </c>
      <c r="W104" s="121">
        <f t="shared" si="351"/>
        <v>0.81945545863071645</v>
      </c>
      <c r="X104" s="101" t="e">
        <f t="shared" si="210"/>
        <v>#DIV/0!</v>
      </c>
      <c r="Y104" s="109"/>
      <c r="Z104" s="121">
        <f t="shared" ref="Z104:AI104" si="352">Z60/Z62</f>
        <v>0.92389586022090575</v>
      </c>
      <c r="AA104" s="121">
        <f t="shared" si="352"/>
        <v>1.0416472933863152</v>
      </c>
      <c r="AB104" s="121">
        <f t="shared" si="352"/>
        <v>1.1744062621512374</v>
      </c>
      <c r="AC104" s="121">
        <f t="shared" si="352"/>
        <v>1.3240854916411009</v>
      </c>
      <c r="AD104" s="121">
        <f t="shared" si="352"/>
        <v>1.4928414856737902</v>
      </c>
      <c r="AE104" s="121">
        <f t="shared" si="352"/>
        <v>1.6831055965929989</v>
      </c>
      <c r="AF104" s="121">
        <f t="shared" si="352"/>
        <v>1.8976190549823027</v>
      </c>
      <c r="AG104" s="121">
        <f t="shared" si="352"/>
        <v>2.1394724639506353</v>
      </c>
      <c r="AH104" s="121">
        <f t="shared" si="352"/>
        <v>2.4121503270031672</v>
      </c>
      <c r="AI104" s="121">
        <f t="shared" si="352"/>
        <v>2.7195812510329826</v>
      </c>
      <c r="AJ104" s="115" t="e">
        <f t="shared" si="347"/>
        <v>#VALUE!</v>
      </c>
      <c r="AK104" s="21">
        <f t="shared" si="18"/>
        <v>0.01</v>
      </c>
      <c r="AL104" s="123" t="e">
        <f t="shared" si="236"/>
        <v>#DIV/0!</v>
      </c>
    </row>
    <row r="105" spans="2:38" x14ac:dyDescent="0.2">
      <c r="B105" s="10" t="s">
        <v>259</v>
      </c>
      <c r="C105" s="121"/>
      <c r="D105" s="121"/>
      <c r="E105" s="121"/>
      <c r="F105" s="121"/>
      <c r="G105" s="121" t="e">
        <f t="shared" ref="G105" si="353">G6/G62</f>
        <v>#DIV/0!</v>
      </c>
      <c r="H105" s="121" t="e">
        <f t="shared" ref="H105:I105" si="354">H6/H62</f>
        <v>#DIV/0!</v>
      </c>
      <c r="I105" s="121" t="e">
        <f t="shared" si="354"/>
        <v>#DIV/0!</v>
      </c>
      <c r="J105" s="121" t="e">
        <f t="shared" ref="J105:Q105" si="355">J6/J62</f>
        <v>#VALUE!</v>
      </c>
      <c r="K105" s="121" t="e">
        <f t="shared" si="355"/>
        <v>#DIV/0!</v>
      </c>
      <c r="L105" s="121" t="e">
        <f t="shared" si="355"/>
        <v>#DIV/0!</v>
      </c>
      <c r="M105" s="121" t="e">
        <f t="shared" si="355"/>
        <v>#DIV/0!</v>
      </c>
      <c r="N105" s="121" t="e">
        <f t="shared" si="355"/>
        <v>#DIV/0!</v>
      </c>
      <c r="O105" s="121" t="e">
        <f t="shared" si="355"/>
        <v>#DIV/0!</v>
      </c>
      <c r="P105" s="121" t="e">
        <f t="shared" si="355"/>
        <v>#DIV/0!</v>
      </c>
      <c r="Q105" s="121" t="e">
        <f t="shared" si="355"/>
        <v>#DIV/0!</v>
      </c>
      <c r="R105" s="121" t="e">
        <f t="shared" ref="R105:W105" si="356">R6/R62</f>
        <v>#DIV/0!</v>
      </c>
      <c r="S105" s="121" t="e">
        <f t="shared" si="356"/>
        <v>#DIV/0!</v>
      </c>
      <c r="T105" s="121" t="e">
        <f t="shared" si="356"/>
        <v>#DIV/0!</v>
      </c>
      <c r="U105" s="121" t="e">
        <f t="shared" si="356"/>
        <v>#DIV/0!</v>
      </c>
      <c r="V105" s="121" t="e">
        <f t="shared" si="356"/>
        <v>#DIV/0!</v>
      </c>
      <c r="W105" s="121">
        <f t="shared" si="356"/>
        <v>234.09992069785886</v>
      </c>
      <c r="X105" s="101" t="e">
        <f t="shared" si="210"/>
        <v>#DIV/0!</v>
      </c>
      <c r="Y105" s="109"/>
      <c r="Z105" s="121">
        <f t="shared" ref="Z105:AI105" si="357">Z6/Z62</f>
        <v>263.93618510052715</v>
      </c>
      <c r="AA105" s="121">
        <f t="shared" si="357"/>
        <v>297.57511065255511</v>
      </c>
      <c r="AB105" s="121">
        <f t="shared" si="357"/>
        <v>335.50135024552776</v>
      </c>
      <c r="AC105" s="121">
        <f t="shared" si="357"/>
        <v>378.26132625721266</v>
      </c>
      <c r="AD105" s="121">
        <f t="shared" si="357"/>
        <v>426.47110313313186</v>
      </c>
      <c r="AE105" s="121">
        <f t="shared" si="357"/>
        <v>480.82526333637412</v>
      </c>
      <c r="AF105" s="121">
        <f t="shared" si="357"/>
        <v>542.10691454591199</v>
      </c>
      <c r="AG105" s="121">
        <f t="shared" si="357"/>
        <v>611.19897228215564</v>
      </c>
      <c r="AH105" s="121">
        <f t="shared" si="357"/>
        <v>689.09688051419505</v>
      </c>
      <c r="AI105" s="121">
        <f t="shared" si="357"/>
        <v>776.92295352090616</v>
      </c>
      <c r="AJ105" s="115" t="e">
        <f t="shared" si="347"/>
        <v>#VALUE!</v>
      </c>
      <c r="AK105" s="21">
        <f t="shared" ref="AK105:AK107" si="358">$O$1</f>
        <v>0.01</v>
      </c>
      <c r="AL105" s="123" t="e">
        <f t="shared" si="236"/>
        <v>#DIV/0!</v>
      </c>
    </row>
    <row r="106" spans="2:38" x14ac:dyDescent="0.2">
      <c r="B106" s="10"/>
      <c r="C106" s="108"/>
      <c r="D106" s="108"/>
      <c r="E106" s="108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01" t="e">
        <f t="shared" si="210"/>
        <v>#DIV/0!</v>
      </c>
      <c r="Y106" s="10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16"/>
      <c r="AK106" s="10"/>
      <c r="AL106" s="116"/>
    </row>
    <row r="107" spans="2:38" x14ac:dyDescent="0.2">
      <c r="B107" s="10" t="s">
        <v>406</v>
      </c>
      <c r="C107" s="108"/>
      <c r="D107" s="108"/>
      <c r="E107" s="108"/>
      <c r="F107" s="121"/>
      <c r="G107" s="121">
        <f t="shared" ref="G107:Q107" si="359">G60/$W$62</f>
        <v>0</v>
      </c>
      <c r="H107" s="121">
        <f t="shared" si="359"/>
        <v>0</v>
      </c>
      <c r="I107" s="121">
        <f t="shared" si="359"/>
        <v>0</v>
      </c>
      <c r="J107" s="121">
        <f t="shared" si="359"/>
        <v>0</v>
      </c>
      <c r="K107" s="121">
        <f t="shared" si="359"/>
        <v>0</v>
      </c>
      <c r="L107" s="121">
        <f t="shared" si="359"/>
        <v>0</v>
      </c>
      <c r="M107" s="121">
        <f t="shared" si="359"/>
        <v>0</v>
      </c>
      <c r="N107" s="121">
        <f t="shared" si="359"/>
        <v>0</v>
      </c>
      <c r="O107" s="121">
        <f t="shared" si="359"/>
        <v>0</v>
      </c>
      <c r="P107" s="121">
        <f t="shared" si="359"/>
        <v>0</v>
      </c>
      <c r="Q107" s="121">
        <f t="shared" si="359"/>
        <v>0</v>
      </c>
      <c r="R107" s="121">
        <f t="shared" ref="R107:W107" si="360">R60/$W$62</f>
        <v>2.9606132698916205</v>
      </c>
      <c r="S107" s="121">
        <f t="shared" si="360"/>
        <v>-1.5331747290510178</v>
      </c>
      <c r="T107" s="121">
        <f t="shared" si="360"/>
        <v>1.1366640232619614</v>
      </c>
      <c r="U107" s="121">
        <f t="shared" si="360"/>
        <v>157.30901401004493</v>
      </c>
      <c r="V107" s="121">
        <f t="shared" si="360"/>
        <v>0.81945545863071645</v>
      </c>
      <c r="W107" s="121">
        <f t="shared" si="360"/>
        <v>0.81945545863071645</v>
      </c>
      <c r="X107" s="101" t="e">
        <f t="shared" si="210"/>
        <v>#DIV/0!</v>
      </c>
      <c r="Y107" s="109"/>
      <c r="Z107" s="121">
        <f t="shared" ref="Z107:AI107" si="361">Z60/Z62</f>
        <v>0.92389586022090575</v>
      </c>
      <c r="AA107" s="121">
        <f t="shared" si="361"/>
        <v>1.0416472933863152</v>
      </c>
      <c r="AB107" s="121">
        <f t="shared" si="361"/>
        <v>1.1744062621512374</v>
      </c>
      <c r="AC107" s="121">
        <f t="shared" si="361"/>
        <v>1.3240854916411009</v>
      </c>
      <c r="AD107" s="121">
        <f t="shared" si="361"/>
        <v>1.4928414856737902</v>
      </c>
      <c r="AE107" s="121">
        <f t="shared" si="361"/>
        <v>1.6831055965929989</v>
      </c>
      <c r="AF107" s="121">
        <f t="shared" si="361"/>
        <v>1.8976190549823027</v>
      </c>
      <c r="AG107" s="121">
        <f t="shared" si="361"/>
        <v>2.1394724639506353</v>
      </c>
      <c r="AH107" s="121">
        <f t="shared" si="361"/>
        <v>2.4121503270031672</v>
      </c>
      <c r="AI107" s="121">
        <f t="shared" si="361"/>
        <v>2.7195812510329826</v>
      </c>
      <c r="AJ107" s="115" t="e">
        <f t="shared" ref="AJ107" si="362">((AI107/J107)^(1/($AI$3-$K$1) ))-1</f>
        <v>#DIV/0!</v>
      </c>
      <c r="AK107" s="21">
        <f t="shared" si="358"/>
        <v>0.01</v>
      </c>
      <c r="AL107" s="123" t="e">
        <f t="shared" si="236"/>
        <v>#DIV/0!</v>
      </c>
    </row>
    <row r="108" spans="2:38" x14ac:dyDescent="0.2">
      <c r="B108" s="10"/>
      <c r="C108" s="108"/>
      <c r="D108" s="108"/>
      <c r="E108" s="108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01" t="e">
        <f t="shared" si="210"/>
        <v>#DIV/0!</v>
      </c>
      <c r="Y108" s="10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16"/>
      <c r="AK108" s="10"/>
      <c r="AL108" s="116"/>
    </row>
    <row r="109" spans="2:38" x14ac:dyDescent="0.2">
      <c r="B109" s="93" t="s">
        <v>258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1" t="e">
        <f t="shared" si="210"/>
        <v>#DIV/0!</v>
      </c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16"/>
    </row>
    <row r="110" spans="2:38" x14ac:dyDescent="0.2">
      <c r="B110" s="10" t="s">
        <v>257</v>
      </c>
      <c r="C110" s="128"/>
      <c r="D110" s="128"/>
      <c r="E110" s="128"/>
      <c r="F110" s="128"/>
      <c r="G110" s="128">
        <f t="shared" ref="G110" si="363">G54/G25</f>
        <v>0.30434782608695654</v>
      </c>
      <c r="H110" s="128">
        <f t="shared" ref="H110:I110" si="364">H54/H25</f>
        <v>0.28985507246376813</v>
      </c>
      <c r="I110" s="128">
        <f t="shared" si="364"/>
        <v>0.23660714285714285</v>
      </c>
      <c r="J110" s="128">
        <f t="shared" ref="J110:Q110" si="365">J54/J25</f>
        <v>0.1912751677852349</v>
      </c>
      <c r="K110" s="128">
        <f t="shared" si="365"/>
        <v>0.15339233038348082</v>
      </c>
      <c r="L110" s="128">
        <f t="shared" si="365"/>
        <v>0.11724137931034483</v>
      </c>
      <c r="M110" s="128">
        <f t="shared" si="365"/>
        <v>0.2132564841498559</v>
      </c>
      <c r="N110" s="128">
        <f t="shared" si="365"/>
        <v>0.23054755043227665</v>
      </c>
      <c r="O110" s="128">
        <f t="shared" si="365"/>
        <v>0.18780487804878049</v>
      </c>
      <c r="P110" s="128">
        <f t="shared" si="365"/>
        <v>7.8160919540229884E-2</v>
      </c>
      <c r="Q110" s="128" t="e">
        <f t="shared" si="365"/>
        <v>#DIV/0!</v>
      </c>
      <c r="R110" s="128">
        <f t="shared" ref="R110:W110" si="366">R54/R25</f>
        <v>7.3341448569689591E-2</v>
      </c>
      <c r="S110" s="128">
        <f t="shared" si="366"/>
        <v>3.0333003626772173E-2</v>
      </c>
      <c r="T110" s="128">
        <f t="shared" si="366"/>
        <v>3.8461538461538464E-2</v>
      </c>
      <c r="U110" s="128">
        <f t="shared" si="366"/>
        <v>3.2983641536273117E-2</v>
      </c>
      <c r="V110" s="128">
        <f t="shared" si="366"/>
        <v>1.2418597607148266E-2</v>
      </c>
      <c r="W110" s="128">
        <f t="shared" si="366"/>
        <v>1.2418597607148266E-2</v>
      </c>
      <c r="X110" s="101">
        <f t="shared" si="210"/>
        <v>-0.18121684934565629</v>
      </c>
      <c r="Y110" s="128"/>
      <c r="Z110" s="128">
        <f t="shared" ref="Z110:AI110" si="367">Z54/Z25</f>
        <v>1.2418597607148266E-2</v>
      </c>
      <c r="AA110" s="128">
        <f t="shared" si="367"/>
        <v>1.2418597607148267E-2</v>
      </c>
      <c r="AB110" s="128">
        <f t="shared" si="367"/>
        <v>1.2418597607148266E-2</v>
      </c>
      <c r="AC110" s="128">
        <f t="shared" si="367"/>
        <v>1.2418597607148266E-2</v>
      </c>
      <c r="AD110" s="128">
        <f t="shared" si="367"/>
        <v>1.2418597607148267E-2</v>
      </c>
      <c r="AE110" s="128">
        <f t="shared" si="367"/>
        <v>1.2418597607148267E-2</v>
      </c>
      <c r="AF110" s="128">
        <f t="shared" si="367"/>
        <v>1.2418597607148267E-2</v>
      </c>
      <c r="AG110" s="128">
        <f t="shared" si="367"/>
        <v>1.2418597607148269E-2</v>
      </c>
      <c r="AH110" s="128">
        <f t="shared" si="367"/>
        <v>1.2418597607148269E-2</v>
      </c>
      <c r="AI110" s="128">
        <f t="shared" si="367"/>
        <v>1.2418597607148267E-2</v>
      </c>
      <c r="AJ110" s="115">
        <f t="shared" ref="AJ110:AJ159" si="368">((AI110/J110)^(1/($AI$3-$K$1) ))-1</f>
        <v>-0.10361091729221639</v>
      </c>
      <c r="AK110" s="21">
        <f t="shared" ref="AK110:AK172" si="369">$O$1</f>
        <v>0.01</v>
      </c>
      <c r="AL110" s="123" t="e">
        <f t="shared" si="236"/>
        <v>#DIV/0!</v>
      </c>
    </row>
    <row r="111" spans="2:38" x14ac:dyDescent="0.2">
      <c r="B111" s="10" t="s">
        <v>219</v>
      </c>
      <c r="C111" s="128"/>
      <c r="D111" s="128"/>
      <c r="E111" s="128"/>
      <c r="F111" s="128"/>
      <c r="G111" s="128">
        <f t="shared" ref="G111" si="370">G60/G25</f>
        <v>0</v>
      </c>
      <c r="H111" s="128">
        <f t="shared" ref="H111:I111" si="371">H60/H25</f>
        <v>0</v>
      </c>
      <c r="I111" s="128">
        <f t="shared" si="371"/>
        <v>0</v>
      </c>
      <c r="J111" s="128">
        <f t="shared" ref="J111:Q111" si="372">J60/J25</f>
        <v>0</v>
      </c>
      <c r="K111" s="128">
        <f t="shared" si="372"/>
        <v>0</v>
      </c>
      <c r="L111" s="128">
        <f t="shared" si="372"/>
        <v>0</v>
      </c>
      <c r="M111" s="128">
        <f t="shared" si="372"/>
        <v>0</v>
      </c>
      <c r="N111" s="128">
        <f t="shared" si="372"/>
        <v>0</v>
      </c>
      <c r="O111" s="128">
        <f t="shared" si="372"/>
        <v>0</v>
      </c>
      <c r="P111" s="128">
        <f t="shared" si="372"/>
        <v>0</v>
      </c>
      <c r="Q111" s="128" t="e">
        <f t="shared" si="372"/>
        <v>#DIV/0!</v>
      </c>
      <c r="R111" s="128">
        <f t="shared" ref="R111:W111" si="373">R60/R25</f>
        <v>3.4083992696287278E-2</v>
      </c>
      <c r="S111" s="128">
        <f t="shared" si="373"/>
        <v>-9.5614902736564453E-3</v>
      </c>
      <c r="T111" s="128">
        <f t="shared" si="373"/>
        <v>4.9075553526592101E-3</v>
      </c>
      <c r="U111" s="128">
        <f t="shared" si="373"/>
        <v>0.52907183499288768</v>
      </c>
      <c r="V111" s="128">
        <f t="shared" si="373"/>
        <v>4.6948356807511738E-3</v>
      </c>
      <c r="W111" s="128">
        <f t="shared" si="373"/>
        <v>4.6948356807511738E-3</v>
      </c>
      <c r="X111" s="101" t="e">
        <f t="shared" si="210"/>
        <v>#DIV/0!</v>
      </c>
      <c r="Y111" s="128"/>
      <c r="Z111" s="128">
        <f t="shared" ref="Z111:AI111" si="374">Z60/Z25</f>
        <v>4.6948356807511738E-3</v>
      </c>
      <c r="AA111" s="128">
        <f t="shared" si="374"/>
        <v>4.6948356807511738E-3</v>
      </c>
      <c r="AB111" s="128">
        <f t="shared" si="374"/>
        <v>4.6948356807511729E-3</v>
      </c>
      <c r="AC111" s="128">
        <f t="shared" si="374"/>
        <v>4.6948356807511738E-3</v>
      </c>
      <c r="AD111" s="128">
        <f t="shared" si="374"/>
        <v>4.6948356807511738E-3</v>
      </c>
      <c r="AE111" s="128">
        <f t="shared" si="374"/>
        <v>4.6948356807511738E-3</v>
      </c>
      <c r="AF111" s="128">
        <f t="shared" si="374"/>
        <v>4.6948356807511747E-3</v>
      </c>
      <c r="AG111" s="128">
        <f t="shared" si="374"/>
        <v>4.6948356807511747E-3</v>
      </c>
      <c r="AH111" s="128">
        <f t="shared" si="374"/>
        <v>4.6948356807511747E-3</v>
      </c>
      <c r="AI111" s="128">
        <f t="shared" si="374"/>
        <v>4.6948356807511747E-3</v>
      </c>
      <c r="AJ111" s="115" t="e">
        <f t="shared" si="368"/>
        <v>#DIV/0!</v>
      </c>
      <c r="AK111" s="21">
        <f t="shared" si="369"/>
        <v>0.01</v>
      </c>
      <c r="AL111" s="123" t="e">
        <f t="shared" si="236"/>
        <v>#DIV/0!</v>
      </c>
    </row>
    <row r="112" spans="2:38" x14ac:dyDescent="0.2">
      <c r="B112" s="10" t="s">
        <v>301</v>
      </c>
      <c r="C112" s="128"/>
      <c r="D112" s="128"/>
      <c r="E112" s="128"/>
      <c r="F112" s="128"/>
      <c r="G112" s="128">
        <f t="shared" ref="G112" si="375">G60/G7</f>
        <v>0</v>
      </c>
      <c r="H112" s="128">
        <f t="shared" ref="H112:I112" si="376">H60/H7</f>
        <v>0</v>
      </c>
      <c r="I112" s="128">
        <f t="shared" si="376"/>
        <v>0</v>
      </c>
      <c r="J112" s="128">
        <f>J60/J7</f>
        <v>0</v>
      </c>
      <c r="K112" s="128">
        <f t="shared" ref="K112:Q112" si="377">K60/K7</f>
        <v>0</v>
      </c>
      <c r="L112" s="128">
        <f t="shared" si="377"/>
        <v>0</v>
      </c>
      <c r="M112" s="128">
        <f t="shared" si="377"/>
        <v>0</v>
      </c>
      <c r="N112" s="128">
        <f t="shared" si="377"/>
        <v>0</v>
      </c>
      <c r="O112" s="128">
        <f t="shared" si="377"/>
        <v>0</v>
      </c>
      <c r="P112" s="128">
        <f t="shared" si="377"/>
        <v>0</v>
      </c>
      <c r="Q112" s="128" t="e">
        <f t="shared" si="377"/>
        <v>#DIV/0!</v>
      </c>
      <c r="R112" s="128">
        <f t="shared" ref="R112:W112" si="378">R60/R7</f>
        <v>8.4021005251312827E-2</v>
      </c>
      <c r="S112" s="128">
        <f t="shared" si="378"/>
        <v>-4.2274052478134108E-2</v>
      </c>
      <c r="T112" s="128">
        <f t="shared" si="378"/>
        <v>2.0369493131217432E-2</v>
      </c>
      <c r="U112" s="128">
        <f t="shared" si="378"/>
        <v>0.68631069080844198</v>
      </c>
      <c r="V112" s="128">
        <f t="shared" si="378"/>
        <v>3.4858877769031824E-3</v>
      </c>
      <c r="W112" s="128">
        <f t="shared" si="378"/>
        <v>3.4858877769031824E-3</v>
      </c>
      <c r="X112" s="101" t="e">
        <f t="shared" si="210"/>
        <v>#DIV/0!</v>
      </c>
      <c r="Y112" s="10"/>
      <c r="Z112" s="128">
        <f t="shared" ref="Z112" si="379">Z60/Z7</f>
        <v>3.4858877769031824E-3</v>
      </c>
      <c r="AA112" s="128">
        <f t="shared" ref="AA112:AI112" si="380">AA60/AA7</f>
        <v>3.4858877769031824E-3</v>
      </c>
      <c r="AB112" s="128">
        <f t="shared" si="380"/>
        <v>3.485887776903182E-3</v>
      </c>
      <c r="AC112" s="128">
        <f t="shared" si="380"/>
        <v>3.485887776903182E-3</v>
      </c>
      <c r="AD112" s="128">
        <f t="shared" si="380"/>
        <v>3.485887776903182E-3</v>
      </c>
      <c r="AE112" s="128">
        <f t="shared" si="380"/>
        <v>3.4858877769031829E-3</v>
      </c>
      <c r="AF112" s="128">
        <f t="shared" si="380"/>
        <v>3.4858877769031833E-3</v>
      </c>
      <c r="AG112" s="128">
        <f t="shared" si="380"/>
        <v>3.4858877769031829E-3</v>
      </c>
      <c r="AH112" s="128">
        <f t="shared" si="380"/>
        <v>3.4858877769031833E-3</v>
      </c>
      <c r="AI112" s="128">
        <f t="shared" si="380"/>
        <v>3.4858877769031833E-3</v>
      </c>
      <c r="AJ112" s="115" t="e">
        <f t="shared" si="368"/>
        <v>#DIV/0!</v>
      </c>
      <c r="AK112" s="21">
        <f t="shared" si="369"/>
        <v>0.01</v>
      </c>
      <c r="AL112" s="123" t="e">
        <f t="shared" si="236"/>
        <v>#DIV/0!</v>
      </c>
    </row>
    <row r="113" spans="2:38" x14ac:dyDescent="0.2">
      <c r="B113" s="10" t="s">
        <v>302</v>
      </c>
      <c r="C113" s="128"/>
      <c r="D113" s="128"/>
      <c r="E113" s="128"/>
      <c r="F113" s="128"/>
      <c r="G113" s="128">
        <f t="shared" ref="G113" si="381">(G60)/(G7+G10)</f>
        <v>0</v>
      </c>
      <c r="H113" s="128">
        <f t="shared" ref="H113:I113" si="382">(H60)/(H7+H10)</f>
        <v>0</v>
      </c>
      <c r="I113" s="128">
        <f t="shared" si="382"/>
        <v>0</v>
      </c>
      <c r="J113" s="128">
        <f>(J60)/(J7+J10)</f>
        <v>0</v>
      </c>
      <c r="K113" s="128">
        <f t="shared" ref="K113:Q113" si="383">(K60)/(K7+K10)</f>
        <v>0</v>
      </c>
      <c r="L113" s="128">
        <f t="shared" si="383"/>
        <v>0</v>
      </c>
      <c r="M113" s="128">
        <f t="shared" si="383"/>
        <v>0</v>
      </c>
      <c r="N113" s="128">
        <f t="shared" si="383"/>
        <v>0</v>
      </c>
      <c r="O113" s="128">
        <f t="shared" si="383"/>
        <v>0</v>
      </c>
      <c r="P113" s="128">
        <f t="shared" si="383"/>
        <v>0</v>
      </c>
      <c r="Q113" s="128" t="e">
        <f t="shared" si="383"/>
        <v>#DIV/0!</v>
      </c>
      <c r="R113" s="128">
        <f t="shared" ref="R113:W113" si="384">(R60)/(R7+R10)</f>
        <v>6.5727699530516437E-2</v>
      </c>
      <c r="S113" s="128">
        <f t="shared" si="384"/>
        <v>-2.6532479414455627E-2</v>
      </c>
      <c r="T113" s="128">
        <f t="shared" si="384"/>
        <v>1.3058001822046765E-2</v>
      </c>
      <c r="U113" s="128">
        <f t="shared" si="384"/>
        <v>0.6635816235504014</v>
      </c>
      <c r="V113" s="128">
        <f t="shared" si="384"/>
        <v>3.3732317736670293E-3</v>
      </c>
      <c r="W113" s="128">
        <f t="shared" si="384"/>
        <v>3.3732317736670293E-3</v>
      </c>
      <c r="X113" s="101" t="e">
        <f t="shared" si="210"/>
        <v>#DIV/0!</v>
      </c>
      <c r="Y113" s="10"/>
      <c r="Z113" s="128">
        <f t="shared" ref="Z113:AI113" si="385">(Z60)/(Z7+Z10)</f>
        <v>3.3732317736670297E-3</v>
      </c>
      <c r="AA113" s="128">
        <f t="shared" si="385"/>
        <v>3.3732317736670297E-3</v>
      </c>
      <c r="AB113" s="128">
        <f t="shared" si="385"/>
        <v>3.3732317736670293E-3</v>
      </c>
      <c r="AC113" s="128">
        <f t="shared" si="385"/>
        <v>3.3732317736670293E-3</v>
      </c>
      <c r="AD113" s="128">
        <f t="shared" si="385"/>
        <v>3.3732317736670289E-3</v>
      </c>
      <c r="AE113" s="128">
        <f t="shared" si="385"/>
        <v>3.3732317736670297E-3</v>
      </c>
      <c r="AF113" s="128">
        <f t="shared" si="385"/>
        <v>3.3732317736670302E-3</v>
      </c>
      <c r="AG113" s="128">
        <f t="shared" si="385"/>
        <v>3.3732317736670302E-3</v>
      </c>
      <c r="AH113" s="128">
        <f t="shared" si="385"/>
        <v>3.3732317736670302E-3</v>
      </c>
      <c r="AI113" s="128">
        <f t="shared" si="385"/>
        <v>3.3732317736670302E-3</v>
      </c>
      <c r="AJ113" s="115" t="e">
        <f t="shared" si="368"/>
        <v>#DIV/0!</v>
      </c>
      <c r="AK113" s="21">
        <f t="shared" si="369"/>
        <v>0.01</v>
      </c>
      <c r="AL113" s="123" t="e">
        <f t="shared" si="236"/>
        <v>#DIV/0!</v>
      </c>
    </row>
    <row r="114" spans="2:38" x14ac:dyDescent="0.2">
      <c r="B114" s="10" t="s">
        <v>318</v>
      </c>
      <c r="C114" s="128"/>
      <c r="D114" s="128"/>
      <c r="E114" s="128"/>
      <c r="F114" s="128"/>
      <c r="G114" s="128">
        <f t="shared" ref="G114" si="386">G20/G25</f>
        <v>0</v>
      </c>
      <c r="H114" s="128">
        <f t="shared" ref="H114:I114" si="387">H20/H25</f>
        <v>0</v>
      </c>
      <c r="I114" s="128">
        <f t="shared" si="387"/>
        <v>0</v>
      </c>
      <c r="J114" s="128">
        <f>J20/J25</f>
        <v>0</v>
      </c>
      <c r="K114" s="128">
        <f t="shared" ref="K114:Q114" si="388">K20/K25</f>
        <v>0</v>
      </c>
      <c r="L114" s="128">
        <f t="shared" si="388"/>
        <v>0</v>
      </c>
      <c r="M114" s="128">
        <f t="shared" si="388"/>
        <v>0</v>
      </c>
      <c r="N114" s="128">
        <f t="shared" si="388"/>
        <v>0</v>
      </c>
      <c r="O114" s="128">
        <f t="shared" si="388"/>
        <v>0</v>
      </c>
      <c r="P114" s="128">
        <f t="shared" si="388"/>
        <v>0</v>
      </c>
      <c r="Q114" s="128" t="e">
        <f t="shared" si="388"/>
        <v>#DIV/0!</v>
      </c>
      <c r="R114" s="128">
        <f t="shared" ref="R114:W114" si="389">R20/R25</f>
        <v>0</v>
      </c>
      <c r="S114" s="128">
        <f t="shared" si="389"/>
        <v>0</v>
      </c>
      <c r="T114" s="128">
        <f t="shared" si="389"/>
        <v>0</v>
      </c>
      <c r="U114" s="128">
        <f t="shared" si="389"/>
        <v>0</v>
      </c>
      <c r="V114" s="128">
        <f t="shared" si="389"/>
        <v>0</v>
      </c>
      <c r="W114" s="128">
        <f t="shared" si="389"/>
        <v>0</v>
      </c>
      <c r="X114" s="101" t="e">
        <f t="shared" si="210"/>
        <v>#DIV/0!</v>
      </c>
      <c r="Y114" s="10"/>
      <c r="Z114" s="128">
        <f t="shared" ref="Z114:AI114" si="390">Z20/Z25</f>
        <v>0</v>
      </c>
      <c r="AA114" s="128">
        <f t="shared" si="390"/>
        <v>0</v>
      </c>
      <c r="AB114" s="128">
        <f t="shared" si="390"/>
        <v>0</v>
      </c>
      <c r="AC114" s="128">
        <f t="shared" si="390"/>
        <v>0</v>
      </c>
      <c r="AD114" s="128">
        <f t="shared" si="390"/>
        <v>0</v>
      </c>
      <c r="AE114" s="128">
        <f t="shared" si="390"/>
        <v>0</v>
      </c>
      <c r="AF114" s="128">
        <f t="shared" si="390"/>
        <v>0</v>
      </c>
      <c r="AG114" s="128">
        <f t="shared" si="390"/>
        <v>0</v>
      </c>
      <c r="AH114" s="128">
        <f t="shared" si="390"/>
        <v>0</v>
      </c>
      <c r="AI114" s="128">
        <f t="shared" si="390"/>
        <v>0</v>
      </c>
      <c r="AJ114" s="115" t="e">
        <f t="shared" si="368"/>
        <v>#DIV/0!</v>
      </c>
      <c r="AK114" s="21">
        <f t="shared" si="369"/>
        <v>0.01</v>
      </c>
      <c r="AL114" s="123" t="e">
        <f t="shared" si="236"/>
        <v>#DIV/0!</v>
      </c>
    </row>
    <row r="115" spans="2:38" x14ac:dyDescent="0.2">
      <c r="B115" s="10" t="s">
        <v>370</v>
      </c>
      <c r="C115" s="128"/>
      <c r="D115" s="128"/>
      <c r="E115" s="128"/>
      <c r="F115" s="128"/>
      <c r="G115" s="128">
        <f t="shared" ref="G115" si="391">G73/G25</f>
        <v>0.20289855072463769</v>
      </c>
      <c r="H115" s="128">
        <f t="shared" ref="H115:I115" si="392">H73/H25</f>
        <v>0.20289855072463769</v>
      </c>
      <c r="I115" s="128">
        <f t="shared" si="392"/>
        <v>0.16517857142857142</v>
      </c>
      <c r="J115" s="128">
        <f>J73/J25</f>
        <v>0.17449664429530201</v>
      </c>
      <c r="K115" s="128">
        <f t="shared" ref="K115:Q115" si="393">K73/K25</f>
        <v>0.10914454277286136</v>
      </c>
      <c r="L115" s="128">
        <f t="shared" si="393"/>
        <v>8.6206896551724144E-2</v>
      </c>
      <c r="M115" s="128">
        <f t="shared" si="393"/>
        <v>0.13544668587896252</v>
      </c>
      <c r="N115" s="128">
        <f t="shared" si="393"/>
        <v>0.16138328530259366</v>
      </c>
      <c r="O115" s="128">
        <f t="shared" si="393"/>
        <v>0.12195121951219512</v>
      </c>
      <c r="P115" s="128">
        <f t="shared" si="393"/>
        <v>5.2107279693486587E-2</v>
      </c>
      <c r="Q115" s="128" t="e">
        <f t="shared" si="393"/>
        <v>#DIV/0!</v>
      </c>
      <c r="R115" s="128">
        <f t="shared" ref="R115:W115" si="394">R73/R25</f>
        <v>1.7650639074863056E-2</v>
      </c>
      <c r="S115" s="128">
        <f t="shared" si="394"/>
        <v>1.0275304978569074E-2</v>
      </c>
      <c r="T115" s="128">
        <f t="shared" si="394"/>
        <v>1.7804154302670624E-2</v>
      </c>
      <c r="U115" s="128">
        <f t="shared" si="394"/>
        <v>1.1113086770981507E-2</v>
      </c>
      <c r="V115" s="128">
        <f t="shared" si="394"/>
        <v>3.3318188702105103E-3</v>
      </c>
      <c r="W115" s="128">
        <f t="shared" si="394"/>
        <v>3.3318188702105103E-3</v>
      </c>
      <c r="X115" s="101">
        <f t="shared" si="210"/>
        <v>-0.22649584234655862</v>
      </c>
      <c r="Y115" s="10"/>
      <c r="Z115" s="128">
        <f t="shared" ref="Z115:AI115" si="395">Z73/Z25</f>
        <v>3.3318188702105103E-3</v>
      </c>
      <c r="AA115" s="128">
        <f t="shared" si="395"/>
        <v>3.3318188702105098E-3</v>
      </c>
      <c r="AB115" s="128">
        <f t="shared" si="395"/>
        <v>3.3318188702105107E-3</v>
      </c>
      <c r="AC115" s="128">
        <f t="shared" si="395"/>
        <v>3.3318188702105111E-3</v>
      </c>
      <c r="AD115" s="128">
        <f t="shared" si="395"/>
        <v>3.3318188702105103E-3</v>
      </c>
      <c r="AE115" s="128">
        <f t="shared" si="395"/>
        <v>3.3318188702105094E-3</v>
      </c>
      <c r="AF115" s="128">
        <f t="shared" si="395"/>
        <v>3.3318188702105094E-3</v>
      </c>
      <c r="AG115" s="128">
        <f t="shared" si="395"/>
        <v>3.3318188702105094E-3</v>
      </c>
      <c r="AH115" s="128">
        <f t="shared" si="395"/>
        <v>3.3318188702105094E-3</v>
      </c>
      <c r="AI115" s="128">
        <f t="shared" si="395"/>
        <v>3.3318188702105094E-3</v>
      </c>
      <c r="AJ115" s="115">
        <f t="shared" si="368"/>
        <v>-0.14643662459694518</v>
      </c>
      <c r="AK115" s="21">
        <f t="shared" si="369"/>
        <v>0.01</v>
      </c>
      <c r="AL115" s="123" t="e">
        <f t="shared" si="236"/>
        <v>#DIV/0!</v>
      </c>
    </row>
    <row r="116" spans="2:38" x14ac:dyDescent="0.2">
      <c r="B116" s="10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01" t="e">
        <f t="shared" si="210"/>
        <v>#DIV/0!</v>
      </c>
      <c r="Y116" s="10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3"/>
      <c r="AK116" s="123"/>
      <c r="AL116" s="123"/>
    </row>
    <row r="117" spans="2:38" x14ac:dyDescent="0.2">
      <c r="B117" s="10" t="s">
        <v>267</v>
      </c>
      <c r="C117" s="128"/>
      <c r="D117" s="128"/>
      <c r="E117" s="128"/>
      <c r="F117" s="128"/>
      <c r="G117" s="128">
        <f t="shared" ref="G117" si="396">G29/G25</f>
        <v>2.8985507246376812E-2</v>
      </c>
      <c r="H117" s="128">
        <f t="shared" ref="H117:I117" si="397">H29/H25</f>
        <v>2.8985507246376812E-2</v>
      </c>
      <c r="I117" s="128">
        <f t="shared" si="397"/>
        <v>4.9107142857142856E-2</v>
      </c>
      <c r="J117" s="128">
        <f>J29/J25</f>
        <v>0.11073825503355705</v>
      </c>
      <c r="K117" s="128">
        <f t="shared" ref="K117:Q117" si="398">K29/K25</f>
        <v>0.10619469026548672</v>
      </c>
      <c r="L117" s="128">
        <f t="shared" si="398"/>
        <v>6.8965517241379309E-2</v>
      </c>
      <c r="M117" s="128">
        <f t="shared" si="398"/>
        <v>6.3400576368876083E-2</v>
      </c>
      <c r="N117" s="128">
        <f t="shared" si="398"/>
        <v>6.3400576368876083E-2</v>
      </c>
      <c r="O117" s="128">
        <f t="shared" si="398"/>
        <v>7.5609756097560973E-2</v>
      </c>
      <c r="P117" s="128">
        <f t="shared" si="398"/>
        <v>3.2183908045977011E-2</v>
      </c>
      <c r="Q117" s="128" t="e">
        <f t="shared" si="398"/>
        <v>#DIV/0!</v>
      </c>
      <c r="R117" s="128">
        <f t="shared" ref="R117:W117" si="399">R29/R25</f>
        <v>2.1606816798539256E-2</v>
      </c>
      <c r="S117" s="128">
        <f t="shared" si="399"/>
        <v>1.5166501813386087E-2</v>
      </c>
      <c r="T117" s="128">
        <f t="shared" si="399"/>
        <v>1.4950924446473408E-2</v>
      </c>
      <c r="U117" s="128">
        <f t="shared" si="399"/>
        <v>1.164651493598862E-2</v>
      </c>
      <c r="V117" s="128">
        <f t="shared" si="399"/>
        <v>1.1051037407239133E-2</v>
      </c>
      <c r="W117" s="128">
        <f t="shared" si="399"/>
        <v>1.1051037407239133E-2</v>
      </c>
      <c r="X117" s="101">
        <f t="shared" si="210"/>
        <v>-5.8486863289536006E-2</v>
      </c>
      <c r="Y117" s="10"/>
      <c r="Z117" s="128">
        <f t="shared" ref="Z117:AI117" si="400">Z29/Z25</f>
        <v>1.1051037407239133E-2</v>
      </c>
      <c r="AA117" s="128">
        <f t="shared" si="400"/>
        <v>1.1051037407239134E-2</v>
      </c>
      <c r="AB117" s="128">
        <f t="shared" si="400"/>
        <v>1.1051037407239133E-2</v>
      </c>
      <c r="AC117" s="128">
        <f t="shared" si="400"/>
        <v>1.1051037407239134E-2</v>
      </c>
      <c r="AD117" s="128">
        <f t="shared" si="400"/>
        <v>1.1051037407239134E-2</v>
      </c>
      <c r="AE117" s="128">
        <f t="shared" si="400"/>
        <v>1.1051037407239133E-2</v>
      </c>
      <c r="AF117" s="128">
        <f t="shared" si="400"/>
        <v>1.1051037407239134E-2</v>
      </c>
      <c r="AG117" s="128">
        <f t="shared" si="400"/>
        <v>1.1051037407239133E-2</v>
      </c>
      <c r="AH117" s="128">
        <f t="shared" si="400"/>
        <v>1.1051037407239133E-2</v>
      </c>
      <c r="AI117" s="128">
        <f t="shared" si="400"/>
        <v>1.1051037407239133E-2</v>
      </c>
      <c r="AJ117" s="115">
        <f t="shared" si="368"/>
        <v>-8.8064305577219226E-2</v>
      </c>
      <c r="AK117" s="21">
        <f t="shared" si="369"/>
        <v>0.01</v>
      </c>
      <c r="AL117" s="123" t="e">
        <f t="shared" si="236"/>
        <v>#DIV/0!</v>
      </c>
    </row>
    <row r="118" spans="2:38" x14ac:dyDescent="0.2">
      <c r="B118" s="10" t="s">
        <v>311</v>
      </c>
      <c r="C118" s="128"/>
      <c r="D118" s="128"/>
      <c r="E118" s="128"/>
      <c r="F118" s="128"/>
      <c r="G118" s="128">
        <f t="shared" ref="G118" si="401">G29/G54</f>
        <v>9.5238095238095233E-2</v>
      </c>
      <c r="H118" s="128">
        <f t="shared" ref="H118:I118" si="402">H29/H54</f>
        <v>0.1</v>
      </c>
      <c r="I118" s="128">
        <f t="shared" si="402"/>
        <v>0.20754716981132076</v>
      </c>
      <c r="J118" s="128">
        <f>J29/J54</f>
        <v>0.57894736842105265</v>
      </c>
      <c r="K118" s="128">
        <f t="shared" ref="K118:Q118" si="403">K29/K54</f>
        <v>0.69230769230769229</v>
      </c>
      <c r="L118" s="128">
        <f t="shared" si="403"/>
        <v>0.58823529411764708</v>
      </c>
      <c r="M118" s="128">
        <f t="shared" si="403"/>
        <v>0.29729729729729731</v>
      </c>
      <c r="N118" s="128">
        <f t="shared" si="403"/>
        <v>0.27500000000000002</v>
      </c>
      <c r="O118" s="128">
        <f t="shared" si="403"/>
        <v>0.40259740259740262</v>
      </c>
      <c r="P118" s="128">
        <f t="shared" si="403"/>
        <v>0.41176470588235292</v>
      </c>
      <c r="Q118" s="128" t="e">
        <f t="shared" si="403"/>
        <v>#DIV/0!</v>
      </c>
      <c r="R118" s="128">
        <f t="shared" ref="R118:W118" si="404">R29/R54</f>
        <v>0.29460580912863071</v>
      </c>
      <c r="S118" s="128">
        <f t="shared" si="404"/>
        <v>0.5</v>
      </c>
      <c r="T118" s="128">
        <f t="shared" si="404"/>
        <v>0.38872403560830859</v>
      </c>
      <c r="U118" s="128">
        <f t="shared" si="404"/>
        <v>0.35309973045822102</v>
      </c>
      <c r="V118" s="128">
        <f t="shared" si="404"/>
        <v>0.88987804878048782</v>
      </c>
      <c r="W118" s="128">
        <f t="shared" si="404"/>
        <v>0.88987804878048782</v>
      </c>
      <c r="X118" s="101">
        <f t="shared" si="210"/>
        <v>0.14989315053447139</v>
      </c>
      <c r="Y118" s="10"/>
      <c r="Z118" s="128">
        <f t="shared" ref="Z118:AI118" si="405">Z29/Z54</f>
        <v>0.88987804878048782</v>
      </c>
      <c r="AA118" s="128">
        <f t="shared" si="405"/>
        <v>0.88987804878048771</v>
      </c>
      <c r="AB118" s="128">
        <f t="shared" si="405"/>
        <v>0.88987804878048771</v>
      </c>
      <c r="AC118" s="128">
        <f t="shared" si="405"/>
        <v>0.88987804878048782</v>
      </c>
      <c r="AD118" s="128">
        <f t="shared" si="405"/>
        <v>0.88987804878048782</v>
      </c>
      <c r="AE118" s="128">
        <f t="shared" si="405"/>
        <v>0.88987804878048771</v>
      </c>
      <c r="AF118" s="128">
        <f t="shared" si="405"/>
        <v>0.88987804878048771</v>
      </c>
      <c r="AG118" s="128">
        <f t="shared" si="405"/>
        <v>0.8898780487804876</v>
      </c>
      <c r="AH118" s="128">
        <f t="shared" si="405"/>
        <v>0.88987804878048749</v>
      </c>
      <c r="AI118" s="128">
        <f t="shared" si="405"/>
        <v>0.8898780487804876</v>
      </c>
      <c r="AJ118" s="115">
        <f t="shared" ref="AJ118" si="406">((AI118/J118)^(1/($AI$3-$K$1) ))-1</f>
        <v>1.7343597791301235E-2</v>
      </c>
      <c r="AK118" s="21">
        <f t="shared" si="369"/>
        <v>0.01</v>
      </c>
      <c r="AL118" s="123" t="e">
        <f t="shared" si="236"/>
        <v>#DIV/0!</v>
      </c>
    </row>
    <row r="119" spans="2:38" ht="12" customHeight="1" x14ac:dyDescent="0.2">
      <c r="B119" s="10" t="s">
        <v>310</v>
      </c>
      <c r="C119" s="128"/>
      <c r="D119" s="128"/>
      <c r="E119" s="128"/>
      <c r="F119" s="144"/>
      <c r="G119" s="144" t="e">
        <f t="shared" ref="G119" si="407">G29/G60</f>
        <v>#DIV/0!</v>
      </c>
      <c r="H119" s="144" t="e">
        <f t="shared" ref="H119:I119" si="408">H29/H60</f>
        <v>#DIV/0!</v>
      </c>
      <c r="I119" s="144" t="e">
        <f t="shared" si="408"/>
        <v>#DIV/0!</v>
      </c>
      <c r="J119" s="144" t="e">
        <f t="shared" ref="J119:Q119" si="409">J29/J60</f>
        <v>#DIV/0!</v>
      </c>
      <c r="K119" s="144" t="e">
        <f t="shared" si="409"/>
        <v>#DIV/0!</v>
      </c>
      <c r="L119" s="144" t="e">
        <f t="shared" si="409"/>
        <v>#DIV/0!</v>
      </c>
      <c r="M119" s="144" t="e">
        <f t="shared" si="409"/>
        <v>#DIV/0!</v>
      </c>
      <c r="N119" s="144" t="e">
        <f t="shared" si="409"/>
        <v>#DIV/0!</v>
      </c>
      <c r="O119" s="144" t="e">
        <f t="shared" si="409"/>
        <v>#DIV/0!</v>
      </c>
      <c r="P119" s="144" t="e">
        <f t="shared" si="409"/>
        <v>#DIV/0!</v>
      </c>
      <c r="Q119" s="144" t="e">
        <f t="shared" si="409"/>
        <v>#DIV/0!</v>
      </c>
      <c r="R119" s="144">
        <f t="shared" ref="R119:W119" si="410">R29/R60</f>
        <v>0.6339285714285714</v>
      </c>
      <c r="S119" s="144">
        <f t="shared" si="410"/>
        <v>-1.5862068965517242</v>
      </c>
      <c r="T119" s="144">
        <f t="shared" si="410"/>
        <v>3.0465116279069768</v>
      </c>
      <c r="U119" s="144">
        <f t="shared" si="410"/>
        <v>2.2013107040833473E-2</v>
      </c>
      <c r="V119" s="144">
        <f t="shared" si="410"/>
        <v>2.3538709677419356</v>
      </c>
      <c r="W119" s="144">
        <f t="shared" si="410"/>
        <v>2.3538709677419356</v>
      </c>
      <c r="X119" s="101" t="e">
        <f t="shared" si="210"/>
        <v>#DIV/0!</v>
      </c>
      <c r="Y119" s="10"/>
      <c r="Z119" s="144">
        <f t="shared" ref="Z119:AI119" si="411">Z29/Z60</f>
        <v>2.3538709677419356</v>
      </c>
      <c r="AA119" s="144">
        <f t="shared" si="411"/>
        <v>2.3538709677419356</v>
      </c>
      <c r="AB119" s="144">
        <f t="shared" si="411"/>
        <v>2.3538709677419356</v>
      </c>
      <c r="AC119" s="144">
        <f t="shared" si="411"/>
        <v>2.3538709677419356</v>
      </c>
      <c r="AD119" s="144">
        <f t="shared" si="411"/>
        <v>2.3538709677419356</v>
      </c>
      <c r="AE119" s="144">
        <f t="shared" si="411"/>
        <v>2.3538709677419352</v>
      </c>
      <c r="AF119" s="144">
        <f t="shared" si="411"/>
        <v>2.3538709677419347</v>
      </c>
      <c r="AG119" s="144">
        <f t="shared" si="411"/>
        <v>2.3538709677419347</v>
      </c>
      <c r="AH119" s="144">
        <f t="shared" si="411"/>
        <v>2.3538709677419347</v>
      </c>
      <c r="AI119" s="144">
        <f t="shared" si="411"/>
        <v>2.3538709677419347</v>
      </c>
      <c r="AJ119" s="115" t="e">
        <f t="shared" ref="AJ119" si="412">((AI119/J119)^(1/($AI$3-$K$1) ))-1</f>
        <v>#DIV/0!</v>
      </c>
      <c r="AK119" s="21">
        <f t="shared" si="369"/>
        <v>0.01</v>
      </c>
      <c r="AL119" s="123" t="e">
        <f t="shared" si="236"/>
        <v>#DIV/0!</v>
      </c>
    </row>
    <row r="120" spans="2:38" ht="12" customHeight="1" x14ac:dyDescent="0.2">
      <c r="B120" s="10" t="s">
        <v>269</v>
      </c>
      <c r="C120" s="128"/>
      <c r="D120" s="128"/>
      <c r="E120" s="128"/>
      <c r="F120" s="144"/>
      <c r="G120" s="144">
        <f t="shared" ref="G120" si="413">G29/G12</f>
        <v>4.2105263157894736E-2</v>
      </c>
      <c r="H120" s="144">
        <f t="shared" ref="H120:I120" si="414">H29/H12</f>
        <v>4.7058823529411764E-2</v>
      </c>
      <c r="I120" s="144">
        <f t="shared" si="414"/>
        <v>6.1111111111111109E-2</v>
      </c>
      <c r="J120" s="144">
        <f t="shared" ref="J120:Q120" si="415">J29/J12</f>
        <v>0.19642857142857142</v>
      </c>
      <c r="K120" s="144">
        <f t="shared" si="415"/>
        <v>0.22784810126582278</v>
      </c>
      <c r="L120" s="144">
        <f t="shared" si="415"/>
        <v>0.1388888888888889</v>
      </c>
      <c r="M120" s="144">
        <f t="shared" si="415"/>
        <v>0.16176470588235295</v>
      </c>
      <c r="N120" s="144">
        <f t="shared" si="415"/>
        <v>8.0882352941176475E-2</v>
      </c>
      <c r="O120" s="144">
        <f t="shared" si="415"/>
        <v>0.14903846153846154</v>
      </c>
      <c r="P120" s="144">
        <f t="shared" si="415"/>
        <v>0.12727272727272726</v>
      </c>
      <c r="Q120" s="144" t="e">
        <f t="shared" si="415"/>
        <v>#DIV/0!</v>
      </c>
      <c r="R120" s="144">
        <f t="shared" ref="R120:W120" si="416">R29/R12</f>
        <v>0.2563176895306859</v>
      </c>
      <c r="S120" s="144">
        <f t="shared" si="416"/>
        <v>9.3591047812817907E-2</v>
      </c>
      <c r="T120" s="144">
        <f t="shared" si="416"/>
        <v>9.4996374184191448E-2</v>
      </c>
      <c r="U120" s="144">
        <f t="shared" si="416"/>
        <v>0.11996336996336997</v>
      </c>
      <c r="V120" s="144">
        <f t="shared" si="416"/>
        <v>7.0570599613152804E-2</v>
      </c>
      <c r="W120" s="144">
        <f t="shared" si="416"/>
        <v>7.0570599613152804E-2</v>
      </c>
      <c r="X120" s="101">
        <f t="shared" si="210"/>
        <v>3.2804125036294263E-2</v>
      </c>
      <c r="Y120" s="10"/>
      <c r="Z120" s="128">
        <f t="shared" ref="Z120:AI120" si="417">Z29/Z12</f>
        <v>7.0570599613152804E-2</v>
      </c>
      <c r="AA120" s="128">
        <f t="shared" si="417"/>
        <v>7.0570599613152818E-2</v>
      </c>
      <c r="AB120" s="128">
        <f t="shared" si="417"/>
        <v>7.0570599613152818E-2</v>
      </c>
      <c r="AC120" s="128">
        <f t="shared" si="417"/>
        <v>7.0570599613152818E-2</v>
      </c>
      <c r="AD120" s="128">
        <f t="shared" si="417"/>
        <v>7.0570599613152818E-2</v>
      </c>
      <c r="AE120" s="128">
        <f t="shared" si="417"/>
        <v>7.0570599613152804E-2</v>
      </c>
      <c r="AF120" s="128">
        <f t="shared" si="417"/>
        <v>7.0570599613152818E-2</v>
      </c>
      <c r="AG120" s="128">
        <f t="shared" si="417"/>
        <v>7.0570599613152804E-2</v>
      </c>
      <c r="AH120" s="128">
        <f t="shared" si="417"/>
        <v>7.0570599613152804E-2</v>
      </c>
      <c r="AI120" s="128">
        <f t="shared" si="417"/>
        <v>7.057059961315279E-2</v>
      </c>
      <c r="AJ120" s="115">
        <f t="shared" si="368"/>
        <v>-4.0120390902177672E-2</v>
      </c>
      <c r="AK120" s="21">
        <f t="shared" si="369"/>
        <v>0.01</v>
      </c>
      <c r="AL120" s="123" t="e">
        <f t="shared" si="236"/>
        <v>#DIV/0!</v>
      </c>
    </row>
    <row r="121" spans="2:38" ht="12" customHeight="1" x14ac:dyDescent="0.2">
      <c r="B121" s="10" t="s">
        <v>312</v>
      </c>
      <c r="C121" s="128"/>
      <c r="D121" s="128"/>
      <c r="E121" s="128"/>
      <c r="F121" s="144"/>
      <c r="G121" s="144" t="e">
        <f t="shared" ref="G121" si="418">G29/G23</f>
        <v>#DIV/0!</v>
      </c>
      <c r="H121" s="144" t="e">
        <f t="shared" ref="H121:I121" si="419">H29/H23</f>
        <v>#DIV/0!</v>
      </c>
      <c r="I121" s="144" t="e">
        <f t="shared" si="419"/>
        <v>#DIV/0!</v>
      </c>
      <c r="J121" s="144" t="e">
        <f>J29/J23</f>
        <v>#DIV/0!</v>
      </c>
      <c r="K121" s="144" t="e">
        <f t="shared" ref="K121:Q121" si="420">K29/K23</f>
        <v>#DIV/0!</v>
      </c>
      <c r="L121" s="144" t="e">
        <f t="shared" si="420"/>
        <v>#DIV/0!</v>
      </c>
      <c r="M121" s="144" t="e">
        <f t="shared" si="420"/>
        <v>#DIV/0!</v>
      </c>
      <c r="N121" s="144" t="e">
        <f t="shared" si="420"/>
        <v>#DIV/0!</v>
      </c>
      <c r="O121" s="144" t="e">
        <f t="shared" si="420"/>
        <v>#DIV/0!</v>
      </c>
      <c r="P121" s="144" t="e">
        <f t="shared" si="420"/>
        <v>#DIV/0!</v>
      </c>
      <c r="Q121" s="144" t="e">
        <f t="shared" si="420"/>
        <v>#DIV/0!</v>
      </c>
      <c r="R121" s="144" t="e">
        <f t="shared" ref="R121:W121" si="421">R29/R23</f>
        <v>#DIV/0!</v>
      </c>
      <c r="S121" s="144" t="e">
        <f t="shared" si="421"/>
        <v>#DIV/0!</v>
      </c>
      <c r="T121" s="144" t="e">
        <f t="shared" si="421"/>
        <v>#DIV/0!</v>
      </c>
      <c r="U121" s="144" t="e">
        <f t="shared" si="421"/>
        <v>#DIV/0!</v>
      </c>
      <c r="V121" s="144" t="e">
        <f t="shared" si="421"/>
        <v>#DIV/0!</v>
      </c>
      <c r="W121" s="144" t="e">
        <f t="shared" si="421"/>
        <v>#DIV/0!</v>
      </c>
      <c r="X121" s="101" t="e">
        <f t="shared" si="210"/>
        <v>#DIV/0!</v>
      </c>
      <c r="Y121" s="10"/>
      <c r="Z121" s="144" t="e">
        <f t="shared" ref="Z121:AI121" si="422">Z29/Z23</f>
        <v>#DIV/0!</v>
      </c>
      <c r="AA121" s="144" t="e">
        <f t="shared" si="422"/>
        <v>#DIV/0!</v>
      </c>
      <c r="AB121" s="144" t="e">
        <f t="shared" si="422"/>
        <v>#DIV/0!</v>
      </c>
      <c r="AC121" s="144" t="e">
        <f t="shared" si="422"/>
        <v>#DIV/0!</v>
      </c>
      <c r="AD121" s="144" t="e">
        <f t="shared" si="422"/>
        <v>#DIV/0!</v>
      </c>
      <c r="AE121" s="144" t="e">
        <f t="shared" si="422"/>
        <v>#DIV/0!</v>
      </c>
      <c r="AF121" s="144" t="e">
        <f t="shared" si="422"/>
        <v>#DIV/0!</v>
      </c>
      <c r="AG121" s="144" t="e">
        <f t="shared" si="422"/>
        <v>#DIV/0!</v>
      </c>
      <c r="AH121" s="144" t="e">
        <f t="shared" si="422"/>
        <v>#DIV/0!</v>
      </c>
      <c r="AI121" s="144" t="e">
        <f t="shared" si="422"/>
        <v>#DIV/0!</v>
      </c>
      <c r="AJ121" s="115" t="e">
        <f t="shared" ref="AJ121" si="423">((AI121/J121)^(1/($AI$3-$K$1) ))-1</f>
        <v>#DIV/0!</v>
      </c>
      <c r="AK121" s="21">
        <f t="shared" si="369"/>
        <v>0.01</v>
      </c>
      <c r="AL121" s="123" t="e">
        <f t="shared" si="236"/>
        <v>#DIV/0!</v>
      </c>
    </row>
    <row r="122" spans="2:38" ht="12" customHeight="1" x14ac:dyDescent="0.2">
      <c r="B122" s="10"/>
      <c r="C122" s="128"/>
      <c r="D122" s="128"/>
      <c r="E122" s="128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01" t="e">
        <f t="shared" si="210"/>
        <v>#DIV/0!</v>
      </c>
      <c r="Y122" s="10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3"/>
      <c r="AL122" s="123"/>
    </row>
    <row r="123" spans="2:38" ht="12" customHeight="1" x14ac:dyDescent="0.2">
      <c r="B123" s="10" t="s">
        <v>344</v>
      </c>
      <c r="C123" s="128"/>
      <c r="D123" s="128"/>
      <c r="E123" s="128"/>
      <c r="F123" s="108"/>
      <c r="G123" s="108">
        <f t="shared" ref="G123" si="424">1/G117</f>
        <v>34.5</v>
      </c>
      <c r="H123" s="108">
        <f t="shared" ref="H123:I123" si="425">1/H117</f>
        <v>34.5</v>
      </c>
      <c r="I123" s="108">
        <f t="shared" si="425"/>
        <v>20.363636363636363</v>
      </c>
      <c r="J123" s="108">
        <f>1/J117</f>
        <v>9.0303030303030294</v>
      </c>
      <c r="K123" s="108">
        <f t="shared" ref="K123:Q123" si="426">1/K117</f>
        <v>9.4166666666666661</v>
      </c>
      <c r="L123" s="108">
        <f t="shared" si="426"/>
        <v>14.5</v>
      </c>
      <c r="M123" s="108">
        <f t="shared" si="426"/>
        <v>15.772727272727272</v>
      </c>
      <c r="N123" s="108">
        <f t="shared" si="426"/>
        <v>15.772727272727272</v>
      </c>
      <c r="O123" s="108">
        <f t="shared" si="426"/>
        <v>13.225806451612904</v>
      </c>
      <c r="P123" s="108">
        <f t="shared" si="426"/>
        <v>31.071428571428573</v>
      </c>
      <c r="Q123" s="108" t="e">
        <f t="shared" si="426"/>
        <v>#DIV/0!</v>
      </c>
      <c r="R123" s="108">
        <f t="shared" ref="R123:W123" si="427">1/R117</f>
        <v>46.281690140845072</v>
      </c>
      <c r="S123" s="108">
        <f t="shared" si="427"/>
        <v>65.934782608695656</v>
      </c>
      <c r="T123" s="108">
        <f t="shared" si="427"/>
        <v>66.885496183206101</v>
      </c>
      <c r="U123" s="108">
        <f t="shared" si="427"/>
        <v>85.862595419847324</v>
      </c>
      <c r="V123" s="108">
        <f t="shared" si="427"/>
        <v>90.489242154310006</v>
      </c>
      <c r="W123" s="108">
        <f t="shared" si="427"/>
        <v>90.489242154310006</v>
      </c>
      <c r="X123" s="101">
        <f t="shared" si="210"/>
        <v>6.2120071413854339E-2</v>
      </c>
      <c r="Y123" s="10"/>
      <c r="Z123" s="108">
        <f t="shared" ref="Z123:AI123" si="428">1/Z117</f>
        <v>90.489242154310006</v>
      </c>
      <c r="AA123" s="108">
        <f t="shared" si="428"/>
        <v>90.489242154309991</v>
      </c>
      <c r="AB123" s="108">
        <f t="shared" si="428"/>
        <v>90.489242154310006</v>
      </c>
      <c r="AC123" s="108">
        <f t="shared" si="428"/>
        <v>90.489242154309991</v>
      </c>
      <c r="AD123" s="108">
        <f t="shared" si="428"/>
        <v>90.489242154309991</v>
      </c>
      <c r="AE123" s="108">
        <f t="shared" si="428"/>
        <v>90.489242154310006</v>
      </c>
      <c r="AF123" s="108">
        <f t="shared" si="428"/>
        <v>90.489242154309991</v>
      </c>
      <c r="AG123" s="108">
        <f t="shared" si="428"/>
        <v>90.489242154310006</v>
      </c>
      <c r="AH123" s="108">
        <f t="shared" si="428"/>
        <v>90.489242154310006</v>
      </c>
      <c r="AI123" s="108">
        <f t="shared" si="428"/>
        <v>90.489242154310006</v>
      </c>
      <c r="AJ123" s="115">
        <f t="shared" si="368"/>
        <v>9.6568547668221649E-2</v>
      </c>
      <c r="AK123" s="21">
        <f t="shared" si="369"/>
        <v>0.01</v>
      </c>
      <c r="AL123" s="123" t="e">
        <f t="shared" si="236"/>
        <v>#DIV/0!</v>
      </c>
    </row>
    <row r="124" spans="2:38" ht="12" customHeight="1" x14ac:dyDescent="0.2">
      <c r="B124" s="10" t="s">
        <v>345</v>
      </c>
      <c r="C124" s="128"/>
      <c r="D124" s="128"/>
      <c r="E124" s="128"/>
      <c r="F124" s="108"/>
      <c r="G124" s="108">
        <f t="shared" ref="G124" si="429">1/G118</f>
        <v>10.5</v>
      </c>
      <c r="H124" s="108">
        <f t="shared" ref="H124:I124" si="430">1/H118</f>
        <v>10</v>
      </c>
      <c r="I124" s="108">
        <f t="shared" si="430"/>
        <v>4.8181818181818183</v>
      </c>
      <c r="J124" s="108">
        <f t="shared" ref="J124:Q127" si="431">1/J118</f>
        <v>1.7272727272727273</v>
      </c>
      <c r="K124" s="108">
        <f t="shared" si="431"/>
        <v>1.4444444444444444</v>
      </c>
      <c r="L124" s="108">
        <f t="shared" si="431"/>
        <v>1.7</v>
      </c>
      <c r="M124" s="108">
        <f t="shared" si="431"/>
        <v>3.3636363636363633</v>
      </c>
      <c r="N124" s="108">
        <f t="shared" si="431"/>
        <v>3.6363636363636362</v>
      </c>
      <c r="O124" s="108">
        <f t="shared" si="431"/>
        <v>2.4838709677419355</v>
      </c>
      <c r="P124" s="108">
        <f t="shared" si="431"/>
        <v>2.4285714285714288</v>
      </c>
      <c r="Q124" s="108" t="e">
        <f t="shared" si="431"/>
        <v>#DIV/0!</v>
      </c>
      <c r="R124" s="108">
        <f t="shared" ref="R124:W124" si="432">1/R118</f>
        <v>3.3943661971830985</v>
      </c>
      <c r="S124" s="108">
        <f t="shared" si="432"/>
        <v>2</v>
      </c>
      <c r="T124" s="108">
        <f t="shared" si="432"/>
        <v>2.5725190839694658</v>
      </c>
      <c r="U124" s="108">
        <f t="shared" si="432"/>
        <v>2.83206106870229</v>
      </c>
      <c r="V124" s="108">
        <f t="shared" si="432"/>
        <v>1.123749486090174</v>
      </c>
      <c r="W124" s="108">
        <f t="shared" si="432"/>
        <v>1.123749486090174</v>
      </c>
      <c r="X124" s="101">
        <f t="shared" si="210"/>
        <v>-0.1303539815545478</v>
      </c>
      <c r="Y124" s="10"/>
      <c r="Z124" s="108">
        <f t="shared" ref="Z124:AI124" si="433">1/Z118</f>
        <v>1.123749486090174</v>
      </c>
      <c r="AA124" s="108">
        <f t="shared" si="433"/>
        <v>1.1237494860901742</v>
      </c>
      <c r="AB124" s="108">
        <f t="shared" si="433"/>
        <v>1.1237494860901742</v>
      </c>
      <c r="AC124" s="108">
        <f t="shared" si="433"/>
        <v>1.123749486090174</v>
      </c>
      <c r="AD124" s="108">
        <f t="shared" si="433"/>
        <v>1.123749486090174</v>
      </c>
      <c r="AE124" s="108">
        <f t="shared" si="433"/>
        <v>1.1237494860901742</v>
      </c>
      <c r="AF124" s="108">
        <f t="shared" si="433"/>
        <v>1.1237494860901742</v>
      </c>
      <c r="AG124" s="108">
        <f t="shared" si="433"/>
        <v>1.1237494860901742</v>
      </c>
      <c r="AH124" s="108">
        <f t="shared" si="433"/>
        <v>1.1237494860901744</v>
      </c>
      <c r="AI124" s="108">
        <f t="shared" si="433"/>
        <v>1.1237494860901742</v>
      </c>
      <c r="AJ124" s="115">
        <f t="shared" si="368"/>
        <v>-1.7047925429476307E-2</v>
      </c>
      <c r="AK124" s="21">
        <f t="shared" si="369"/>
        <v>0.01</v>
      </c>
      <c r="AL124" s="123" t="e">
        <f t="shared" si="236"/>
        <v>#DIV/0!</v>
      </c>
    </row>
    <row r="125" spans="2:38" ht="12" customHeight="1" x14ac:dyDescent="0.2">
      <c r="B125" s="10" t="s">
        <v>346</v>
      </c>
      <c r="C125" s="128"/>
      <c r="D125" s="128"/>
      <c r="E125" s="128"/>
      <c r="F125" s="108"/>
      <c r="G125" s="108" t="e">
        <f t="shared" ref="G125" si="434">1/G119</f>
        <v>#DIV/0!</v>
      </c>
      <c r="H125" s="108" t="e">
        <f t="shared" ref="H125:I125" si="435">1/H119</f>
        <v>#DIV/0!</v>
      </c>
      <c r="I125" s="108" t="e">
        <f t="shared" si="435"/>
        <v>#DIV/0!</v>
      </c>
      <c r="J125" s="108" t="e">
        <f t="shared" si="431"/>
        <v>#DIV/0!</v>
      </c>
      <c r="K125" s="108" t="e">
        <f t="shared" si="431"/>
        <v>#DIV/0!</v>
      </c>
      <c r="L125" s="108" t="e">
        <f t="shared" si="431"/>
        <v>#DIV/0!</v>
      </c>
      <c r="M125" s="108" t="e">
        <f t="shared" si="431"/>
        <v>#DIV/0!</v>
      </c>
      <c r="N125" s="108" t="e">
        <f t="shared" si="431"/>
        <v>#DIV/0!</v>
      </c>
      <c r="O125" s="108" t="e">
        <f t="shared" si="431"/>
        <v>#DIV/0!</v>
      </c>
      <c r="P125" s="108" t="e">
        <f t="shared" si="431"/>
        <v>#DIV/0!</v>
      </c>
      <c r="Q125" s="108" t="e">
        <f t="shared" si="431"/>
        <v>#DIV/0!</v>
      </c>
      <c r="R125" s="108">
        <f t="shared" ref="R125:W125" si="436">1/R119</f>
        <v>1.5774647887323945</v>
      </c>
      <c r="S125" s="108">
        <f t="shared" si="436"/>
        <v>-0.63043478260869568</v>
      </c>
      <c r="T125" s="108">
        <f t="shared" si="436"/>
        <v>0.3282442748091603</v>
      </c>
      <c r="U125" s="108">
        <f t="shared" si="436"/>
        <v>45.42748091603054</v>
      </c>
      <c r="V125" s="108">
        <f t="shared" si="436"/>
        <v>0.42483212279018773</v>
      </c>
      <c r="W125" s="108">
        <f t="shared" si="436"/>
        <v>0.42483212279018773</v>
      </c>
      <c r="X125" s="101" t="e">
        <f t="shared" si="210"/>
        <v>#DIV/0!</v>
      </c>
      <c r="Y125" s="10"/>
      <c r="Z125" s="108">
        <f t="shared" ref="Z125:AI125" si="437">1/Z119</f>
        <v>0.42483212279018773</v>
      </c>
      <c r="AA125" s="108">
        <f t="shared" si="437"/>
        <v>0.42483212279018773</v>
      </c>
      <c r="AB125" s="108">
        <f t="shared" si="437"/>
        <v>0.42483212279018773</v>
      </c>
      <c r="AC125" s="108">
        <f t="shared" si="437"/>
        <v>0.42483212279018773</v>
      </c>
      <c r="AD125" s="108">
        <f t="shared" si="437"/>
        <v>0.42483212279018773</v>
      </c>
      <c r="AE125" s="108">
        <f t="shared" si="437"/>
        <v>0.42483212279018778</v>
      </c>
      <c r="AF125" s="108">
        <f t="shared" si="437"/>
        <v>0.42483212279018789</v>
      </c>
      <c r="AG125" s="108">
        <f t="shared" si="437"/>
        <v>0.42483212279018789</v>
      </c>
      <c r="AH125" s="108">
        <f t="shared" si="437"/>
        <v>0.42483212279018789</v>
      </c>
      <c r="AI125" s="108">
        <f t="shared" si="437"/>
        <v>0.42483212279018789</v>
      </c>
      <c r="AJ125" s="115" t="e">
        <f t="shared" si="368"/>
        <v>#DIV/0!</v>
      </c>
      <c r="AK125" s="21">
        <f t="shared" si="369"/>
        <v>0.01</v>
      </c>
      <c r="AL125" s="123" t="e">
        <f t="shared" si="236"/>
        <v>#DIV/0!</v>
      </c>
    </row>
    <row r="126" spans="2:38" ht="12" customHeight="1" x14ac:dyDescent="0.2">
      <c r="B126" s="10" t="s">
        <v>347</v>
      </c>
      <c r="C126" s="128"/>
      <c r="D126" s="128"/>
      <c r="E126" s="128"/>
      <c r="F126" s="108"/>
      <c r="G126" s="108">
        <f t="shared" ref="G126" si="438">1/G120</f>
        <v>23.75</v>
      </c>
      <c r="H126" s="108">
        <f t="shared" ref="H126:I126" si="439">1/H120</f>
        <v>21.25</v>
      </c>
      <c r="I126" s="108">
        <f t="shared" si="439"/>
        <v>16.363636363636363</v>
      </c>
      <c r="J126" s="108">
        <f t="shared" si="431"/>
        <v>5.0909090909090908</v>
      </c>
      <c r="K126" s="108">
        <f t="shared" si="431"/>
        <v>4.3888888888888893</v>
      </c>
      <c r="L126" s="108">
        <f t="shared" si="431"/>
        <v>7.1999999999999993</v>
      </c>
      <c r="M126" s="108">
        <f t="shared" si="431"/>
        <v>6.1818181818181817</v>
      </c>
      <c r="N126" s="108">
        <f t="shared" si="431"/>
        <v>12.363636363636363</v>
      </c>
      <c r="O126" s="108">
        <f t="shared" si="431"/>
        <v>6.709677419354839</v>
      </c>
      <c r="P126" s="108">
        <f t="shared" si="431"/>
        <v>7.8571428571428577</v>
      </c>
      <c r="Q126" s="108" t="e">
        <f t="shared" si="431"/>
        <v>#DIV/0!</v>
      </c>
      <c r="R126" s="108">
        <f t="shared" ref="R126:W126" si="440">1/R120</f>
        <v>3.9014084507042255</v>
      </c>
      <c r="S126" s="108">
        <f t="shared" si="440"/>
        <v>10.684782608695652</v>
      </c>
      <c r="T126" s="108">
        <f t="shared" si="440"/>
        <v>10.526717557251908</v>
      </c>
      <c r="U126" s="108">
        <f t="shared" si="440"/>
        <v>8.3358778625954191</v>
      </c>
      <c r="V126" s="108">
        <f t="shared" si="440"/>
        <v>14.170206934356585</v>
      </c>
      <c r="W126" s="108">
        <f t="shared" si="440"/>
        <v>14.170206934356585</v>
      </c>
      <c r="X126" s="101">
        <f t="shared" si="210"/>
        <v>-3.1762194051211279E-2</v>
      </c>
      <c r="Y126" s="10"/>
      <c r="Z126" s="108">
        <f t="shared" ref="Z126:AI126" si="441">1/Z120</f>
        <v>14.170206934356585</v>
      </c>
      <c r="AA126" s="108">
        <f t="shared" si="441"/>
        <v>14.170206934356582</v>
      </c>
      <c r="AB126" s="108">
        <f t="shared" si="441"/>
        <v>14.170206934356582</v>
      </c>
      <c r="AC126" s="108">
        <f t="shared" si="441"/>
        <v>14.170206934356582</v>
      </c>
      <c r="AD126" s="108">
        <f t="shared" si="441"/>
        <v>14.170206934356582</v>
      </c>
      <c r="AE126" s="108">
        <f t="shared" si="441"/>
        <v>14.170206934356585</v>
      </c>
      <c r="AF126" s="108">
        <f t="shared" si="441"/>
        <v>14.170206934356582</v>
      </c>
      <c r="AG126" s="108">
        <f t="shared" si="441"/>
        <v>14.170206934356585</v>
      </c>
      <c r="AH126" s="108">
        <f t="shared" si="441"/>
        <v>14.170206934356585</v>
      </c>
      <c r="AI126" s="108">
        <f t="shared" si="441"/>
        <v>14.170206934356587</v>
      </c>
      <c r="AJ126" s="115">
        <f t="shared" si="368"/>
        <v>4.1797315540316848E-2</v>
      </c>
      <c r="AK126" s="21">
        <f t="shared" si="369"/>
        <v>0.01</v>
      </c>
      <c r="AL126" s="123" t="e">
        <f t="shared" si="236"/>
        <v>#DIV/0!</v>
      </c>
    </row>
    <row r="127" spans="2:38" ht="12" customHeight="1" x14ac:dyDescent="0.2">
      <c r="B127" s="10" t="s">
        <v>348</v>
      </c>
      <c r="C127" s="128"/>
      <c r="D127" s="128"/>
      <c r="E127" s="128"/>
      <c r="F127" s="108"/>
      <c r="G127" s="108" t="e">
        <f t="shared" ref="G127" si="442">1/G121</f>
        <v>#DIV/0!</v>
      </c>
      <c r="H127" s="108" t="e">
        <f t="shared" ref="H127:I127" si="443">1/H121</f>
        <v>#DIV/0!</v>
      </c>
      <c r="I127" s="108" t="e">
        <f t="shared" si="443"/>
        <v>#DIV/0!</v>
      </c>
      <c r="J127" s="108" t="e">
        <f t="shared" si="431"/>
        <v>#DIV/0!</v>
      </c>
      <c r="K127" s="108" t="e">
        <f t="shared" si="431"/>
        <v>#DIV/0!</v>
      </c>
      <c r="L127" s="108" t="e">
        <f t="shared" si="431"/>
        <v>#DIV/0!</v>
      </c>
      <c r="M127" s="108" t="e">
        <f t="shared" si="431"/>
        <v>#DIV/0!</v>
      </c>
      <c r="N127" s="108" t="e">
        <f t="shared" si="431"/>
        <v>#DIV/0!</v>
      </c>
      <c r="O127" s="108" t="e">
        <f t="shared" si="431"/>
        <v>#DIV/0!</v>
      </c>
      <c r="P127" s="108" t="e">
        <f t="shared" si="431"/>
        <v>#DIV/0!</v>
      </c>
      <c r="Q127" s="108" t="e">
        <f t="shared" si="431"/>
        <v>#DIV/0!</v>
      </c>
      <c r="R127" s="108" t="e">
        <f t="shared" ref="R127:W127" si="444">1/R121</f>
        <v>#DIV/0!</v>
      </c>
      <c r="S127" s="108" t="e">
        <f t="shared" si="444"/>
        <v>#DIV/0!</v>
      </c>
      <c r="T127" s="108" t="e">
        <f t="shared" si="444"/>
        <v>#DIV/0!</v>
      </c>
      <c r="U127" s="108" t="e">
        <f t="shared" si="444"/>
        <v>#DIV/0!</v>
      </c>
      <c r="V127" s="108" t="e">
        <f t="shared" si="444"/>
        <v>#DIV/0!</v>
      </c>
      <c r="W127" s="108" t="e">
        <f t="shared" si="444"/>
        <v>#DIV/0!</v>
      </c>
      <c r="X127" s="101" t="e">
        <f t="shared" si="210"/>
        <v>#DIV/0!</v>
      </c>
      <c r="Y127" s="10"/>
      <c r="Z127" s="108" t="e">
        <f t="shared" ref="Z127:AI127" si="445">1/Z121</f>
        <v>#DIV/0!</v>
      </c>
      <c r="AA127" s="108" t="e">
        <f t="shared" si="445"/>
        <v>#DIV/0!</v>
      </c>
      <c r="AB127" s="108" t="e">
        <f t="shared" si="445"/>
        <v>#DIV/0!</v>
      </c>
      <c r="AC127" s="108" t="e">
        <f t="shared" si="445"/>
        <v>#DIV/0!</v>
      </c>
      <c r="AD127" s="108" t="e">
        <f t="shared" si="445"/>
        <v>#DIV/0!</v>
      </c>
      <c r="AE127" s="108" t="e">
        <f t="shared" si="445"/>
        <v>#DIV/0!</v>
      </c>
      <c r="AF127" s="108" t="e">
        <f t="shared" si="445"/>
        <v>#DIV/0!</v>
      </c>
      <c r="AG127" s="108" t="e">
        <f t="shared" si="445"/>
        <v>#DIV/0!</v>
      </c>
      <c r="AH127" s="108" t="e">
        <f t="shared" si="445"/>
        <v>#DIV/0!</v>
      </c>
      <c r="AI127" s="108" t="e">
        <f t="shared" si="445"/>
        <v>#DIV/0!</v>
      </c>
      <c r="AJ127" s="115" t="e">
        <f t="shared" si="368"/>
        <v>#DIV/0!</v>
      </c>
      <c r="AK127" s="21">
        <f t="shared" si="369"/>
        <v>0.01</v>
      </c>
      <c r="AL127" s="123" t="e">
        <f t="shared" si="236"/>
        <v>#DIV/0!</v>
      </c>
    </row>
    <row r="128" spans="2:38" ht="12" customHeight="1" x14ac:dyDescent="0.2">
      <c r="B128" s="10"/>
      <c r="C128" s="128"/>
      <c r="D128" s="128"/>
      <c r="E128" s="128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01" t="e">
        <f t="shared" si="210"/>
        <v>#DIV/0!</v>
      </c>
      <c r="Y128" s="10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3"/>
      <c r="AL128" s="123"/>
    </row>
    <row r="129" spans="1:38" ht="12" customHeight="1" x14ac:dyDescent="0.2">
      <c r="A129" s="303" t="s">
        <v>417</v>
      </c>
      <c r="B129" s="175" t="s">
        <v>424</v>
      </c>
      <c r="C129" s="128"/>
      <c r="D129" s="128"/>
      <c r="E129" s="128"/>
      <c r="F129" s="144"/>
      <c r="G129" s="144" t="e">
        <f t="shared" ref="G129" si="446">G25/(G36+G38)</f>
        <v>#DIV/0!</v>
      </c>
      <c r="H129" s="144" t="e">
        <f t="shared" ref="H129:I129" si="447">H25/(H36+H38)</f>
        <v>#DIV/0!</v>
      </c>
      <c r="I129" s="144" t="e">
        <f t="shared" si="447"/>
        <v>#DIV/0!</v>
      </c>
      <c r="J129" s="144" t="e">
        <f t="shared" ref="J129:Q129" si="448">J25/(J36+J38)</f>
        <v>#DIV/0!</v>
      </c>
      <c r="K129" s="144" t="e">
        <f t="shared" si="448"/>
        <v>#DIV/0!</v>
      </c>
      <c r="L129" s="144" t="e">
        <f t="shared" si="448"/>
        <v>#DIV/0!</v>
      </c>
      <c r="M129" s="144" t="e">
        <f t="shared" si="448"/>
        <v>#DIV/0!</v>
      </c>
      <c r="N129" s="144" t="e">
        <f t="shared" si="448"/>
        <v>#DIV/0!</v>
      </c>
      <c r="O129" s="144" t="e">
        <f t="shared" si="448"/>
        <v>#DIV/0!</v>
      </c>
      <c r="P129" s="144" t="e">
        <f t="shared" si="448"/>
        <v>#DIV/0!</v>
      </c>
      <c r="Q129" s="144" t="e">
        <f t="shared" si="448"/>
        <v>#DIV/0!</v>
      </c>
      <c r="R129" s="144" t="e">
        <f t="shared" ref="R129:W129" si="449">R25/(R36+R38)</f>
        <v>#DIV/0!</v>
      </c>
      <c r="S129" s="144" t="e">
        <f t="shared" si="449"/>
        <v>#DIV/0!</v>
      </c>
      <c r="T129" s="144" t="e">
        <f t="shared" si="449"/>
        <v>#DIV/0!</v>
      </c>
      <c r="U129" s="144">
        <f t="shared" si="449"/>
        <v>11248</v>
      </c>
      <c r="V129" s="144">
        <f t="shared" si="449"/>
        <v>660.3</v>
      </c>
      <c r="W129" s="144">
        <f t="shared" si="449"/>
        <v>550.25</v>
      </c>
      <c r="X129" s="101" t="e">
        <f t="shared" si="210"/>
        <v>#DIV/0!</v>
      </c>
      <c r="Y129" s="10"/>
      <c r="Z129" s="144">
        <f t="shared" ref="Z129:AI129" si="450">Z25/(Z36+Z38)</f>
        <v>550.25</v>
      </c>
      <c r="AA129" s="144">
        <f t="shared" si="450"/>
        <v>550.25</v>
      </c>
      <c r="AB129" s="144">
        <f t="shared" si="450"/>
        <v>550.25</v>
      </c>
      <c r="AC129" s="144">
        <f t="shared" si="450"/>
        <v>550.25000000000011</v>
      </c>
      <c r="AD129" s="144">
        <f t="shared" si="450"/>
        <v>550.25000000000011</v>
      </c>
      <c r="AE129" s="144">
        <f t="shared" si="450"/>
        <v>550.25000000000011</v>
      </c>
      <c r="AF129" s="144">
        <f t="shared" si="450"/>
        <v>550.25000000000011</v>
      </c>
      <c r="AG129" s="144">
        <f t="shared" si="450"/>
        <v>550.25000000000011</v>
      </c>
      <c r="AH129" s="144">
        <f t="shared" si="450"/>
        <v>550.25000000000011</v>
      </c>
      <c r="AI129" s="144">
        <f t="shared" si="450"/>
        <v>550.25000000000011</v>
      </c>
      <c r="AJ129" s="115" t="e">
        <f t="shared" ref="AJ129:AJ137" si="451">((AI129/J129)^(1/($AI$3-$K$1) ))-1</f>
        <v>#DIV/0!</v>
      </c>
      <c r="AK129" s="21">
        <f t="shared" si="369"/>
        <v>0.01</v>
      </c>
      <c r="AL129" s="123" t="e">
        <f t="shared" si="236"/>
        <v>#DIV/0!</v>
      </c>
    </row>
    <row r="130" spans="1:38" ht="12" customHeight="1" x14ac:dyDescent="0.2">
      <c r="A130" s="303"/>
      <c r="B130" s="175" t="s">
        <v>419</v>
      </c>
      <c r="C130" s="128"/>
      <c r="D130" s="128"/>
      <c r="E130" s="128"/>
      <c r="F130" s="144"/>
      <c r="G130" s="144" t="e">
        <f t="shared" ref="G130" si="452">G25/G43</f>
        <v>#DIV/0!</v>
      </c>
      <c r="H130" s="144" t="e">
        <f t="shared" ref="H130:I130" si="453">H25/H43</f>
        <v>#DIV/0!</v>
      </c>
      <c r="I130" s="144" t="e">
        <f t="shared" si="453"/>
        <v>#DIV/0!</v>
      </c>
      <c r="J130" s="144" t="e">
        <f t="shared" ref="J130:Q130" si="454">J25/J43</f>
        <v>#DIV/0!</v>
      </c>
      <c r="K130" s="144" t="e">
        <f t="shared" si="454"/>
        <v>#DIV/0!</v>
      </c>
      <c r="L130" s="144" t="e">
        <f t="shared" si="454"/>
        <v>#DIV/0!</v>
      </c>
      <c r="M130" s="144" t="e">
        <f t="shared" si="454"/>
        <v>#DIV/0!</v>
      </c>
      <c r="N130" s="144" t="e">
        <f t="shared" si="454"/>
        <v>#DIV/0!</v>
      </c>
      <c r="O130" s="144" t="e">
        <f t="shared" si="454"/>
        <v>#DIV/0!</v>
      </c>
      <c r="P130" s="144" t="e">
        <f t="shared" si="454"/>
        <v>#DIV/0!</v>
      </c>
      <c r="Q130" s="144" t="e">
        <f t="shared" si="454"/>
        <v>#DIV/0!</v>
      </c>
      <c r="R130" s="144" t="e">
        <f t="shared" ref="R130:W130" si="455">R25/R43</f>
        <v>#DIV/0!</v>
      </c>
      <c r="S130" s="144" t="e">
        <f t="shared" si="455"/>
        <v>#DIV/0!</v>
      </c>
      <c r="T130" s="144" t="e">
        <f t="shared" si="455"/>
        <v>#DIV/0!</v>
      </c>
      <c r="U130" s="144" t="e">
        <f t="shared" si="455"/>
        <v>#DIV/0!</v>
      </c>
      <c r="V130" s="144" t="e">
        <f t="shared" si="455"/>
        <v>#DIV/0!</v>
      </c>
      <c r="W130" s="144" t="e">
        <f t="shared" si="455"/>
        <v>#DIV/0!</v>
      </c>
      <c r="X130" s="101" t="e">
        <f t="shared" si="210"/>
        <v>#DIV/0!</v>
      </c>
      <c r="Y130" s="10"/>
      <c r="Z130" s="144" t="e">
        <f t="shared" ref="Z130:AI130" si="456">Z25/Z43</f>
        <v>#DIV/0!</v>
      </c>
      <c r="AA130" s="144" t="e">
        <f t="shared" si="456"/>
        <v>#DIV/0!</v>
      </c>
      <c r="AB130" s="144" t="e">
        <f t="shared" si="456"/>
        <v>#DIV/0!</v>
      </c>
      <c r="AC130" s="144" t="e">
        <f t="shared" si="456"/>
        <v>#DIV/0!</v>
      </c>
      <c r="AD130" s="144" t="e">
        <f t="shared" si="456"/>
        <v>#DIV/0!</v>
      </c>
      <c r="AE130" s="144" t="e">
        <f t="shared" si="456"/>
        <v>#DIV/0!</v>
      </c>
      <c r="AF130" s="144" t="e">
        <f t="shared" si="456"/>
        <v>#DIV/0!</v>
      </c>
      <c r="AG130" s="144" t="e">
        <f t="shared" si="456"/>
        <v>#DIV/0!</v>
      </c>
      <c r="AH130" s="144" t="e">
        <f t="shared" si="456"/>
        <v>#DIV/0!</v>
      </c>
      <c r="AI130" s="144" t="e">
        <f t="shared" si="456"/>
        <v>#DIV/0!</v>
      </c>
      <c r="AJ130" s="115" t="e">
        <f t="shared" si="451"/>
        <v>#DIV/0!</v>
      </c>
      <c r="AK130" s="21">
        <f t="shared" si="369"/>
        <v>0.01</v>
      </c>
      <c r="AL130" s="123" t="e">
        <f t="shared" si="236"/>
        <v>#DIV/0!</v>
      </c>
    </row>
    <row r="131" spans="1:38" ht="12" customHeight="1" x14ac:dyDescent="0.2">
      <c r="A131" s="303"/>
      <c r="B131" s="175" t="s">
        <v>425</v>
      </c>
      <c r="C131" s="128"/>
      <c r="D131" s="128"/>
      <c r="E131" s="128"/>
      <c r="F131" s="144"/>
      <c r="G131" s="144" t="e">
        <f t="shared" ref="G131" si="457">G43/(G36)</f>
        <v>#DIV/0!</v>
      </c>
      <c r="H131" s="144" t="e">
        <f t="shared" ref="H131:I131" si="458">H43/(H36)</f>
        <v>#DIV/0!</v>
      </c>
      <c r="I131" s="144" t="e">
        <f t="shared" si="458"/>
        <v>#DIV/0!</v>
      </c>
      <c r="J131" s="144" t="e">
        <f t="shared" ref="J131:Q131" si="459">J43/(J36)</f>
        <v>#DIV/0!</v>
      </c>
      <c r="K131" s="144" t="e">
        <f t="shared" si="459"/>
        <v>#DIV/0!</v>
      </c>
      <c r="L131" s="144" t="e">
        <f t="shared" si="459"/>
        <v>#DIV/0!</v>
      </c>
      <c r="M131" s="144" t="e">
        <f t="shared" si="459"/>
        <v>#DIV/0!</v>
      </c>
      <c r="N131" s="144" t="e">
        <f t="shared" si="459"/>
        <v>#DIV/0!</v>
      </c>
      <c r="O131" s="144" t="e">
        <f t="shared" si="459"/>
        <v>#DIV/0!</v>
      </c>
      <c r="P131" s="144" t="e">
        <f t="shared" si="459"/>
        <v>#DIV/0!</v>
      </c>
      <c r="Q131" s="144" t="e">
        <f t="shared" si="459"/>
        <v>#DIV/0!</v>
      </c>
      <c r="R131" s="144" t="e">
        <f t="shared" ref="R131:W131" si="460">R43/(R36)</f>
        <v>#DIV/0!</v>
      </c>
      <c r="S131" s="144" t="e">
        <f t="shared" si="460"/>
        <v>#DIV/0!</v>
      </c>
      <c r="T131" s="144" t="e">
        <f t="shared" si="460"/>
        <v>#DIV/0!</v>
      </c>
      <c r="U131" s="144" t="e">
        <f t="shared" si="460"/>
        <v>#DIV/0!</v>
      </c>
      <c r="V131" s="144">
        <f t="shared" si="460"/>
        <v>0</v>
      </c>
      <c r="W131" s="144">
        <f t="shared" si="460"/>
        <v>0</v>
      </c>
      <c r="X131" s="101" t="e">
        <f t="shared" si="210"/>
        <v>#DIV/0!</v>
      </c>
      <c r="Y131" s="10"/>
      <c r="Z131" s="144">
        <f t="shared" ref="Z131:AI131" si="461">Z43/(Z36+Z38)</f>
        <v>0</v>
      </c>
      <c r="AA131" s="144">
        <f t="shared" si="461"/>
        <v>0</v>
      </c>
      <c r="AB131" s="144">
        <f t="shared" si="461"/>
        <v>0</v>
      </c>
      <c r="AC131" s="144">
        <f t="shared" si="461"/>
        <v>0</v>
      </c>
      <c r="AD131" s="144">
        <f t="shared" si="461"/>
        <v>0</v>
      </c>
      <c r="AE131" s="144">
        <f t="shared" si="461"/>
        <v>0</v>
      </c>
      <c r="AF131" s="144">
        <f t="shared" si="461"/>
        <v>0</v>
      </c>
      <c r="AG131" s="144">
        <f t="shared" si="461"/>
        <v>0</v>
      </c>
      <c r="AH131" s="144">
        <f t="shared" si="461"/>
        <v>0</v>
      </c>
      <c r="AI131" s="144">
        <f t="shared" si="461"/>
        <v>0</v>
      </c>
      <c r="AJ131" s="115" t="e">
        <f t="shared" si="451"/>
        <v>#DIV/0!</v>
      </c>
      <c r="AK131" s="21">
        <f t="shared" si="369"/>
        <v>0.01</v>
      </c>
      <c r="AL131" s="123" t="e">
        <f t="shared" si="236"/>
        <v>#DIV/0!</v>
      </c>
    </row>
    <row r="132" spans="1:38" ht="12" customHeight="1" x14ac:dyDescent="0.2">
      <c r="A132" s="303"/>
      <c r="B132" s="175" t="s">
        <v>423</v>
      </c>
      <c r="C132" s="128"/>
      <c r="D132" s="128"/>
      <c r="E132" s="128"/>
      <c r="F132" s="144"/>
      <c r="G132" s="144" t="e">
        <f t="shared" ref="G132" si="462">G43/G38</f>
        <v>#DIV/0!</v>
      </c>
      <c r="H132" s="144" t="e">
        <f t="shared" ref="H132:I132" si="463">H43/H38</f>
        <v>#DIV/0!</v>
      </c>
      <c r="I132" s="144" t="e">
        <f t="shared" si="463"/>
        <v>#DIV/0!</v>
      </c>
      <c r="J132" s="144" t="e">
        <f t="shared" ref="J132:Q132" si="464">J43/J38</f>
        <v>#DIV/0!</v>
      </c>
      <c r="K132" s="144" t="e">
        <f t="shared" si="464"/>
        <v>#DIV/0!</v>
      </c>
      <c r="L132" s="144" t="e">
        <f t="shared" si="464"/>
        <v>#DIV/0!</v>
      </c>
      <c r="M132" s="144" t="e">
        <f t="shared" si="464"/>
        <v>#DIV/0!</v>
      </c>
      <c r="N132" s="144" t="e">
        <f t="shared" si="464"/>
        <v>#DIV/0!</v>
      </c>
      <c r="O132" s="144" t="e">
        <f t="shared" si="464"/>
        <v>#DIV/0!</v>
      </c>
      <c r="P132" s="144" t="e">
        <f t="shared" si="464"/>
        <v>#DIV/0!</v>
      </c>
      <c r="Q132" s="144" t="e">
        <f t="shared" si="464"/>
        <v>#DIV/0!</v>
      </c>
      <c r="R132" s="144" t="e">
        <f t="shared" ref="R132:W132" si="465">R43/R38</f>
        <v>#DIV/0!</v>
      </c>
      <c r="S132" s="144" t="e">
        <f t="shared" si="465"/>
        <v>#DIV/0!</v>
      </c>
      <c r="T132" s="144" t="e">
        <f t="shared" si="465"/>
        <v>#DIV/0!</v>
      </c>
      <c r="U132" s="144">
        <f t="shared" si="465"/>
        <v>0</v>
      </c>
      <c r="V132" s="144">
        <f t="shared" si="465"/>
        <v>0</v>
      </c>
      <c r="W132" s="144">
        <f t="shared" si="465"/>
        <v>0</v>
      </c>
      <c r="X132" s="101" t="e">
        <f t="shared" si="210"/>
        <v>#DIV/0!</v>
      </c>
      <c r="Y132" s="10"/>
      <c r="Z132" s="144">
        <f t="shared" ref="Z132:AI132" si="466">Z43/Z38</f>
        <v>0</v>
      </c>
      <c r="AA132" s="144">
        <f t="shared" si="466"/>
        <v>0</v>
      </c>
      <c r="AB132" s="144">
        <f t="shared" si="466"/>
        <v>0</v>
      </c>
      <c r="AC132" s="144">
        <f t="shared" si="466"/>
        <v>0</v>
      </c>
      <c r="AD132" s="144">
        <f t="shared" si="466"/>
        <v>0</v>
      </c>
      <c r="AE132" s="144">
        <f t="shared" si="466"/>
        <v>0</v>
      </c>
      <c r="AF132" s="144">
        <f t="shared" si="466"/>
        <v>0</v>
      </c>
      <c r="AG132" s="144">
        <f t="shared" si="466"/>
        <v>0</v>
      </c>
      <c r="AH132" s="144">
        <f t="shared" si="466"/>
        <v>0</v>
      </c>
      <c r="AI132" s="144">
        <f t="shared" si="466"/>
        <v>0</v>
      </c>
      <c r="AJ132" s="115" t="e">
        <f t="shared" si="451"/>
        <v>#DIV/0!</v>
      </c>
      <c r="AK132" s="21">
        <f t="shared" si="369"/>
        <v>0.01</v>
      </c>
      <c r="AL132" s="123" t="e">
        <f t="shared" si="236"/>
        <v>#DIV/0!</v>
      </c>
    </row>
    <row r="133" spans="1:38" ht="12" customHeight="1" x14ac:dyDescent="0.2">
      <c r="A133" s="303"/>
      <c r="B133" s="175" t="s">
        <v>422</v>
      </c>
      <c r="C133" s="128"/>
      <c r="D133" s="128"/>
      <c r="E133" s="128"/>
      <c r="F133" s="144"/>
      <c r="G133" s="144" t="e">
        <f t="shared" ref="G133" si="467">G43/(G36+G38)</f>
        <v>#DIV/0!</v>
      </c>
      <c r="H133" s="144" t="e">
        <f t="shared" ref="H133:I133" si="468">H43/(H36+H38)</f>
        <v>#DIV/0!</v>
      </c>
      <c r="I133" s="144" t="e">
        <f t="shared" si="468"/>
        <v>#DIV/0!</v>
      </c>
      <c r="J133" s="144" t="e">
        <f t="shared" ref="J133:Q133" si="469">J43/(J36+J38)</f>
        <v>#DIV/0!</v>
      </c>
      <c r="K133" s="144" t="e">
        <f t="shared" si="469"/>
        <v>#DIV/0!</v>
      </c>
      <c r="L133" s="144" t="e">
        <f t="shared" si="469"/>
        <v>#DIV/0!</v>
      </c>
      <c r="M133" s="144" t="e">
        <f t="shared" si="469"/>
        <v>#DIV/0!</v>
      </c>
      <c r="N133" s="144" t="e">
        <f t="shared" si="469"/>
        <v>#DIV/0!</v>
      </c>
      <c r="O133" s="144" t="e">
        <f t="shared" si="469"/>
        <v>#DIV/0!</v>
      </c>
      <c r="P133" s="144" t="e">
        <f t="shared" si="469"/>
        <v>#DIV/0!</v>
      </c>
      <c r="Q133" s="144" t="e">
        <f t="shared" si="469"/>
        <v>#DIV/0!</v>
      </c>
      <c r="R133" s="144" t="e">
        <f t="shared" ref="R133:W133" si="470">R43/(R36+R38)</f>
        <v>#DIV/0!</v>
      </c>
      <c r="S133" s="144" t="e">
        <f t="shared" si="470"/>
        <v>#DIV/0!</v>
      </c>
      <c r="T133" s="144" t="e">
        <f t="shared" si="470"/>
        <v>#DIV/0!</v>
      </c>
      <c r="U133" s="144">
        <f t="shared" si="470"/>
        <v>0</v>
      </c>
      <c r="V133" s="144">
        <f t="shared" si="470"/>
        <v>0</v>
      </c>
      <c r="W133" s="144">
        <f t="shared" si="470"/>
        <v>0</v>
      </c>
      <c r="X133" s="101" t="e">
        <f t="shared" si="210"/>
        <v>#DIV/0!</v>
      </c>
      <c r="Y133" s="10"/>
      <c r="Z133" s="144">
        <f t="shared" ref="Z133:AI133" si="471">Z43/(Z36+Z38)</f>
        <v>0</v>
      </c>
      <c r="AA133" s="144">
        <f t="shared" si="471"/>
        <v>0</v>
      </c>
      <c r="AB133" s="144">
        <f t="shared" si="471"/>
        <v>0</v>
      </c>
      <c r="AC133" s="144">
        <f t="shared" si="471"/>
        <v>0</v>
      </c>
      <c r="AD133" s="144">
        <f t="shared" si="471"/>
        <v>0</v>
      </c>
      <c r="AE133" s="144">
        <f t="shared" si="471"/>
        <v>0</v>
      </c>
      <c r="AF133" s="144">
        <f t="shared" si="471"/>
        <v>0</v>
      </c>
      <c r="AG133" s="144">
        <f t="shared" si="471"/>
        <v>0</v>
      </c>
      <c r="AH133" s="144">
        <f t="shared" si="471"/>
        <v>0</v>
      </c>
      <c r="AI133" s="144">
        <f t="shared" si="471"/>
        <v>0</v>
      </c>
      <c r="AJ133" s="115" t="e">
        <f>((AI133/J133)^(1/($AI$3-$K$1) ))-1</f>
        <v>#DIV/0!</v>
      </c>
      <c r="AK133" s="21">
        <f t="shared" si="369"/>
        <v>0.01</v>
      </c>
      <c r="AL133" s="123" t="e">
        <f t="shared" si="236"/>
        <v>#DIV/0!</v>
      </c>
    </row>
    <row r="134" spans="1:38" ht="12" customHeight="1" x14ac:dyDescent="0.2">
      <c r="A134" s="303"/>
      <c r="B134" s="175" t="s">
        <v>428</v>
      </c>
      <c r="C134" s="128"/>
      <c r="D134" s="128"/>
      <c r="E134" s="128"/>
      <c r="F134" s="144"/>
      <c r="G134" s="144">
        <f t="shared" ref="G134" si="472">G49/G25</f>
        <v>0</v>
      </c>
      <c r="H134" s="144">
        <f t="shared" ref="H134:I134" si="473">H49/H25</f>
        <v>0</v>
      </c>
      <c r="I134" s="144">
        <f t="shared" si="473"/>
        <v>0</v>
      </c>
      <c r="J134" s="144">
        <f t="shared" ref="J134:Q134" si="474">J49/J25</f>
        <v>0</v>
      </c>
      <c r="K134" s="144">
        <f t="shared" si="474"/>
        <v>0</v>
      </c>
      <c r="L134" s="144">
        <f t="shared" si="474"/>
        <v>0</v>
      </c>
      <c r="M134" s="144">
        <f t="shared" si="474"/>
        <v>0</v>
      </c>
      <c r="N134" s="144">
        <f t="shared" si="474"/>
        <v>0</v>
      </c>
      <c r="O134" s="144">
        <f t="shared" si="474"/>
        <v>0</v>
      </c>
      <c r="P134" s="144">
        <f t="shared" si="474"/>
        <v>0</v>
      </c>
      <c r="Q134" s="144" t="e">
        <f t="shared" si="474"/>
        <v>#DIV/0!</v>
      </c>
      <c r="R134" s="144">
        <f t="shared" ref="R134:W134" si="475">R49/R25</f>
        <v>0</v>
      </c>
      <c r="S134" s="144">
        <f t="shared" si="475"/>
        <v>0</v>
      </c>
      <c r="T134" s="144">
        <f t="shared" si="475"/>
        <v>0</v>
      </c>
      <c r="U134" s="144">
        <f t="shared" si="475"/>
        <v>8.8904694167852067E-5</v>
      </c>
      <c r="V134" s="144">
        <f t="shared" si="475"/>
        <v>7.5723156141147962E-4</v>
      </c>
      <c r="W134" s="144">
        <f t="shared" si="475"/>
        <v>9.0867787369377552E-4</v>
      </c>
      <c r="X134" s="101" t="e">
        <f t="shared" si="210"/>
        <v>#DIV/0!</v>
      </c>
      <c r="Y134" s="10"/>
      <c r="Z134" s="144">
        <f t="shared" ref="Z134:AI134" si="476">Z49/Z25</f>
        <v>9.0867787369377552E-4</v>
      </c>
      <c r="AA134" s="144">
        <f t="shared" si="476"/>
        <v>9.0867787369377552E-4</v>
      </c>
      <c r="AB134" s="144">
        <f t="shared" si="476"/>
        <v>9.0867787369377552E-4</v>
      </c>
      <c r="AC134" s="144">
        <f t="shared" si="476"/>
        <v>9.0867787369377541E-4</v>
      </c>
      <c r="AD134" s="144">
        <f t="shared" si="476"/>
        <v>9.0867787369377541E-4</v>
      </c>
      <c r="AE134" s="144">
        <f t="shared" si="476"/>
        <v>9.0867787369377541E-4</v>
      </c>
      <c r="AF134" s="144">
        <f t="shared" si="476"/>
        <v>9.0867787369377541E-4</v>
      </c>
      <c r="AG134" s="144">
        <f t="shared" si="476"/>
        <v>9.0867787369377541E-4</v>
      </c>
      <c r="AH134" s="144">
        <f t="shared" si="476"/>
        <v>9.0867787369377541E-4</v>
      </c>
      <c r="AI134" s="144">
        <f t="shared" si="476"/>
        <v>9.0867787369377541E-4</v>
      </c>
      <c r="AJ134" s="115" t="e">
        <f>((AI134/J134)^(1/($AI$3-$K$1) ))-1</f>
        <v>#DIV/0!</v>
      </c>
      <c r="AK134" s="21">
        <f t="shared" si="369"/>
        <v>0.01</v>
      </c>
      <c r="AL134" s="123" t="e">
        <f t="shared" si="236"/>
        <v>#DIV/0!</v>
      </c>
    </row>
    <row r="135" spans="1:38" ht="12" customHeight="1" x14ac:dyDescent="0.2">
      <c r="A135" s="303"/>
      <c r="B135" s="175" t="s">
        <v>426</v>
      </c>
      <c r="C135" s="128"/>
      <c r="D135" s="128"/>
      <c r="E135" s="128"/>
      <c r="F135" s="179"/>
      <c r="G135" s="179" t="e">
        <f t="shared" ref="G135" si="477">G60/G51</f>
        <v>#DIV/0!</v>
      </c>
      <c r="H135" s="179" t="e">
        <f t="shared" ref="H135:I135" si="478">H60/H51</f>
        <v>#DIV/0!</v>
      </c>
      <c r="I135" s="179" t="e">
        <f t="shared" si="478"/>
        <v>#DIV/0!</v>
      </c>
      <c r="J135" s="179" t="e">
        <f t="shared" ref="J135:Q135" si="479">J60/J51</f>
        <v>#DIV/0!</v>
      </c>
      <c r="K135" s="179" t="e">
        <f t="shared" si="479"/>
        <v>#DIV/0!</v>
      </c>
      <c r="L135" s="179" t="e">
        <f t="shared" si="479"/>
        <v>#DIV/0!</v>
      </c>
      <c r="M135" s="179" t="e">
        <f t="shared" si="479"/>
        <v>#DIV/0!</v>
      </c>
      <c r="N135" s="179" t="e">
        <f t="shared" si="479"/>
        <v>#DIV/0!</v>
      </c>
      <c r="O135" s="179" t="e">
        <f t="shared" si="479"/>
        <v>#DIV/0!</v>
      </c>
      <c r="P135" s="179" t="e">
        <f t="shared" si="479"/>
        <v>#DIV/0!</v>
      </c>
      <c r="Q135" s="179" t="e">
        <f t="shared" si="479"/>
        <v>#DIV/0!</v>
      </c>
      <c r="R135" s="179" t="e">
        <f t="shared" ref="R135:W135" si="480">R60/R51</f>
        <v>#DIV/0!</v>
      </c>
      <c r="S135" s="179" t="e">
        <f t="shared" si="480"/>
        <v>#DIV/0!</v>
      </c>
      <c r="T135" s="179" t="e">
        <f t="shared" si="480"/>
        <v>#DIV/0!</v>
      </c>
      <c r="U135" s="179" t="e">
        <f t="shared" si="480"/>
        <v>#DIV/0!</v>
      </c>
      <c r="V135" s="179" t="e">
        <f t="shared" si="480"/>
        <v>#DIV/0!</v>
      </c>
      <c r="W135" s="179" t="e">
        <f t="shared" si="480"/>
        <v>#DIV/0!</v>
      </c>
      <c r="X135" s="101" t="e">
        <f t="shared" ref="X135:X172" si="481">((W135/G135)^(1/($K$2-$K$1) ))-1</f>
        <v>#DIV/0!</v>
      </c>
      <c r="Y135" s="10"/>
      <c r="Z135" s="179" t="e">
        <f t="shared" ref="Z135:AI135" si="482">Z60/Z51</f>
        <v>#DIV/0!</v>
      </c>
      <c r="AA135" s="179" t="e">
        <f t="shared" si="482"/>
        <v>#DIV/0!</v>
      </c>
      <c r="AB135" s="179" t="e">
        <f t="shared" si="482"/>
        <v>#DIV/0!</v>
      </c>
      <c r="AC135" s="179" t="e">
        <f t="shared" si="482"/>
        <v>#DIV/0!</v>
      </c>
      <c r="AD135" s="179" t="e">
        <f t="shared" si="482"/>
        <v>#DIV/0!</v>
      </c>
      <c r="AE135" s="179" t="e">
        <f t="shared" si="482"/>
        <v>#DIV/0!</v>
      </c>
      <c r="AF135" s="179" t="e">
        <f t="shared" si="482"/>
        <v>#DIV/0!</v>
      </c>
      <c r="AG135" s="179" t="e">
        <f t="shared" si="482"/>
        <v>#DIV/0!</v>
      </c>
      <c r="AH135" s="179" t="e">
        <f t="shared" si="482"/>
        <v>#DIV/0!</v>
      </c>
      <c r="AI135" s="179" t="e">
        <f t="shared" si="482"/>
        <v>#DIV/0!</v>
      </c>
      <c r="AJ135" s="115" t="e">
        <f>((AI135/J135)^(1/($AI$3-$K$1) ))-1</f>
        <v>#DIV/0!</v>
      </c>
      <c r="AK135" s="21">
        <f t="shared" si="369"/>
        <v>0.01</v>
      </c>
      <c r="AL135" s="123" t="e">
        <f t="shared" si="236"/>
        <v>#DIV/0!</v>
      </c>
    </row>
    <row r="136" spans="1:38" ht="12" customHeight="1" x14ac:dyDescent="0.2">
      <c r="A136" s="303"/>
      <c r="B136" s="175" t="s">
        <v>420</v>
      </c>
      <c r="C136" s="128"/>
      <c r="D136" s="128"/>
      <c r="E136" s="128"/>
      <c r="F136" s="144"/>
      <c r="G136" s="144" t="e">
        <f t="shared" ref="G136" si="483">G60/G43</f>
        <v>#DIV/0!</v>
      </c>
      <c r="H136" s="144" t="e">
        <f t="shared" ref="H136:I136" si="484">H60/H43</f>
        <v>#DIV/0!</v>
      </c>
      <c r="I136" s="144" t="e">
        <f t="shared" si="484"/>
        <v>#DIV/0!</v>
      </c>
      <c r="J136" s="144" t="e">
        <f t="shared" ref="J136:Q136" si="485">J60/J43</f>
        <v>#DIV/0!</v>
      </c>
      <c r="K136" s="144" t="e">
        <f t="shared" si="485"/>
        <v>#DIV/0!</v>
      </c>
      <c r="L136" s="144" t="e">
        <f t="shared" si="485"/>
        <v>#DIV/0!</v>
      </c>
      <c r="M136" s="144" t="e">
        <f t="shared" si="485"/>
        <v>#DIV/0!</v>
      </c>
      <c r="N136" s="144" t="e">
        <f t="shared" si="485"/>
        <v>#DIV/0!</v>
      </c>
      <c r="O136" s="144" t="e">
        <f t="shared" si="485"/>
        <v>#DIV/0!</v>
      </c>
      <c r="P136" s="144" t="e">
        <f t="shared" si="485"/>
        <v>#DIV/0!</v>
      </c>
      <c r="Q136" s="144" t="e">
        <f t="shared" si="485"/>
        <v>#DIV/0!</v>
      </c>
      <c r="R136" s="144" t="e">
        <f t="shared" ref="R136:W136" si="486">R60/R43</f>
        <v>#DIV/0!</v>
      </c>
      <c r="S136" s="144" t="e">
        <f t="shared" si="486"/>
        <v>#DIV/0!</v>
      </c>
      <c r="T136" s="144" t="e">
        <f t="shared" si="486"/>
        <v>#DIV/0!</v>
      </c>
      <c r="U136" s="144" t="e">
        <f t="shared" si="486"/>
        <v>#DIV/0!</v>
      </c>
      <c r="V136" s="144" t="e">
        <f t="shared" si="486"/>
        <v>#DIV/0!</v>
      </c>
      <c r="W136" s="144" t="e">
        <f t="shared" si="486"/>
        <v>#DIV/0!</v>
      </c>
      <c r="X136" s="101" t="e">
        <f t="shared" si="481"/>
        <v>#DIV/0!</v>
      </c>
      <c r="Y136" s="10"/>
      <c r="Z136" s="144" t="e">
        <f t="shared" ref="Z136:AI136" si="487">Z60/Z43</f>
        <v>#DIV/0!</v>
      </c>
      <c r="AA136" s="144" t="e">
        <f t="shared" si="487"/>
        <v>#DIV/0!</v>
      </c>
      <c r="AB136" s="144" t="e">
        <f t="shared" si="487"/>
        <v>#DIV/0!</v>
      </c>
      <c r="AC136" s="144" t="e">
        <f t="shared" si="487"/>
        <v>#DIV/0!</v>
      </c>
      <c r="AD136" s="144" t="e">
        <f t="shared" si="487"/>
        <v>#DIV/0!</v>
      </c>
      <c r="AE136" s="144" t="e">
        <f t="shared" si="487"/>
        <v>#DIV/0!</v>
      </c>
      <c r="AF136" s="144" t="e">
        <f t="shared" si="487"/>
        <v>#DIV/0!</v>
      </c>
      <c r="AG136" s="144" t="e">
        <f t="shared" si="487"/>
        <v>#DIV/0!</v>
      </c>
      <c r="AH136" s="144" t="e">
        <f t="shared" si="487"/>
        <v>#DIV/0!</v>
      </c>
      <c r="AI136" s="144" t="e">
        <f t="shared" si="487"/>
        <v>#DIV/0!</v>
      </c>
      <c r="AJ136" s="115" t="e">
        <f t="shared" si="451"/>
        <v>#DIV/0!</v>
      </c>
      <c r="AK136" s="21">
        <f t="shared" si="369"/>
        <v>0.01</v>
      </c>
      <c r="AL136" s="123" t="e">
        <f t="shared" si="236"/>
        <v>#DIV/0!</v>
      </c>
    </row>
    <row r="137" spans="1:38" ht="12" customHeight="1" x14ac:dyDescent="0.2">
      <c r="A137" s="303"/>
      <c r="B137" s="175" t="s">
        <v>421</v>
      </c>
      <c r="C137" s="128"/>
      <c r="D137" s="128"/>
      <c r="E137" s="128"/>
      <c r="F137" s="144"/>
      <c r="G137" s="144" t="e">
        <f t="shared" ref="G137" si="488">G60/(G36+G38)</f>
        <v>#DIV/0!</v>
      </c>
      <c r="H137" s="144" t="e">
        <f t="shared" ref="H137:I137" si="489">H60/(H36+H38)</f>
        <v>#DIV/0!</v>
      </c>
      <c r="I137" s="144" t="e">
        <f t="shared" si="489"/>
        <v>#DIV/0!</v>
      </c>
      <c r="J137" s="144" t="e">
        <f t="shared" ref="J137:Q137" si="490">J60/(J36+J38)</f>
        <v>#DIV/0!</v>
      </c>
      <c r="K137" s="144" t="e">
        <f t="shared" si="490"/>
        <v>#DIV/0!</v>
      </c>
      <c r="L137" s="144" t="e">
        <f t="shared" si="490"/>
        <v>#DIV/0!</v>
      </c>
      <c r="M137" s="144" t="e">
        <f t="shared" si="490"/>
        <v>#DIV/0!</v>
      </c>
      <c r="N137" s="144" t="e">
        <f t="shared" si="490"/>
        <v>#DIV/0!</v>
      </c>
      <c r="O137" s="144" t="e">
        <f t="shared" si="490"/>
        <v>#DIV/0!</v>
      </c>
      <c r="P137" s="144" t="e">
        <f t="shared" si="490"/>
        <v>#DIV/0!</v>
      </c>
      <c r="Q137" s="144" t="e">
        <f t="shared" si="490"/>
        <v>#DIV/0!</v>
      </c>
      <c r="R137" s="144" t="e">
        <f t="shared" ref="R137:W137" si="491">R60/(R36+R38)</f>
        <v>#DIV/0!</v>
      </c>
      <c r="S137" s="144" t="e">
        <f t="shared" si="491"/>
        <v>#DIV/0!</v>
      </c>
      <c r="T137" s="144" t="e">
        <f t="shared" si="491"/>
        <v>#DIV/0!</v>
      </c>
      <c r="U137" s="144">
        <f t="shared" si="491"/>
        <v>5951</v>
      </c>
      <c r="V137" s="144">
        <f t="shared" si="491"/>
        <v>3.1</v>
      </c>
      <c r="W137" s="144">
        <f t="shared" si="491"/>
        <v>2.5833333333333335</v>
      </c>
      <c r="X137" s="101" t="e">
        <f t="shared" si="481"/>
        <v>#DIV/0!</v>
      </c>
      <c r="Y137" s="10"/>
      <c r="Z137" s="144">
        <f t="shared" ref="Z137:AI137" si="492">Z60/(Z36+Z38)</f>
        <v>2.5833333333333335</v>
      </c>
      <c r="AA137" s="144">
        <f t="shared" si="492"/>
        <v>2.5833333333333335</v>
      </c>
      <c r="AB137" s="144">
        <f t="shared" si="492"/>
        <v>2.5833333333333335</v>
      </c>
      <c r="AC137" s="144">
        <f t="shared" si="492"/>
        <v>2.5833333333333335</v>
      </c>
      <c r="AD137" s="144">
        <f t="shared" si="492"/>
        <v>2.5833333333333339</v>
      </c>
      <c r="AE137" s="144">
        <f t="shared" si="492"/>
        <v>2.5833333333333339</v>
      </c>
      <c r="AF137" s="144">
        <f t="shared" si="492"/>
        <v>2.5833333333333344</v>
      </c>
      <c r="AG137" s="144">
        <f t="shared" si="492"/>
        <v>2.5833333333333344</v>
      </c>
      <c r="AH137" s="144">
        <f t="shared" si="492"/>
        <v>2.5833333333333344</v>
      </c>
      <c r="AI137" s="144">
        <f t="shared" si="492"/>
        <v>2.5833333333333344</v>
      </c>
      <c r="AJ137" s="115" t="e">
        <f t="shared" si="451"/>
        <v>#DIV/0!</v>
      </c>
      <c r="AK137" s="21">
        <f t="shared" si="369"/>
        <v>0.01</v>
      </c>
      <c r="AL137" s="123" t="e">
        <f t="shared" si="236"/>
        <v>#DIV/0!</v>
      </c>
    </row>
    <row r="138" spans="1:38" ht="12" customHeight="1" x14ac:dyDescent="0.2">
      <c r="B138" s="10"/>
      <c r="C138" s="128"/>
      <c r="D138" s="128"/>
      <c r="E138" s="128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01" t="e">
        <f t="shared" si="481"/>
        <v>#DIV/0!</v>
      </c>
      <c r="Y138" s="10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77"/>
      <c r="AK138" s="123"/>
      <c r="AL138" s="123"/>
    </row>
    <row r="139" spans="1:38" x14ac:dyDescent="0.2">
      <c r="B139" s="10" t="s">
        <v>270</v>
      </c>
      <c r="C139" s="128"/>
      <c r="D139" s="128"/>
      <c r="E139" s="128"/>
      <c r="F139" s="136"/>
      <c r="G139" s="136">
        <f t="shared" ref="G139" si="493">G10-(G12+G13)</f>
        <v>-80.61</v>
      </c>
      <c r="H139" s="136">
        <f t="shared" ref="H139:I139" si="494">H10-(H12+H13)</f>
        <v>-98.8</v>
      </c>
      <c r="I139" s="136">
        <f t="shared" si="494"/>
        <v>60</v>
      </c>
      <c r="J139" s="136">
        <f t="shared" ref="J139:Q139" si="495">J10-(J12+J13)</f>
        <v>117.30000000000001</v>
      </c>
      <c r="K139" s="136">
        <f t="shared" si="495"/>
        <v>101.78</v>
      </c>
      <c r="L139" s="136">
        <f t="shared" si="495"/>
        <v>-9</v>
      </c>
      <c r="M139" s="136">
        <f t="shared" si="495"/>
        <v>49</v>
      </c>
      <c r="N139" s="136">
        <f t="shared" si="495"/>
        <v>-85</v>
      </c>
      <c r="O139" s="136">
        <f t="shared" si="495"/>
        <v>-131</v>
      </c>
      <c r="P139" s="136">
        <f t="shared" si="495"/>
        <v>-358</v>
      </c>
      <c r="Q139" s="136">
        <f t="shared" si="495"/>
        <v>0</v>
      </c>
      <c r="R139" s="136">
        <f t="shared" ref="R139:W139" si="496">R10-(R12+R13)</f>
        <v>-245</v>
      </c>
      <c r="S139" s="136">
        <f t="shared" si="496"/>
        <v>-302</v>
      </c>
      <c r="T139" s="136">
        <f t="shared" si="496"/>
        <v>-416</v>
      </c>
      <c r="U139" s="136">
        <f t="shared" si="496"/>
        <v>-8193</v>
      </c>
      <c r="V139" s="136">
        <f t="shared" si="496"/>
        <v>-8153</v>
      </c>
      <c r="W139" s="136">
        <f t="shared" si="496"/>
        <v>-8153</v>
      </c>
      <c r="X139" s="101">
        <f t="shared" si="481"/>
        <v>0.33446759602841492</v>
      </c>
      <c r="Y139" s="10"/>
      <c r="Z139" s="136">
        <f t="shared" ref="Z139:AI139" si="497">Z10-(Z12+Z13)</f>
        <v>-9375.9500000000007</v>
      </c>
      <c r="AA139" s="136">
        <f t="shared" si="497"/>
        <v>-10782.342499999999</v>
      </c>
      <c r="AB139" s="136">
        <f t="shared" si="497"/>
        <v>-12399.693874999997</v>
      </c>
      <c r="AC139" s="136">
        <f t="shared" si="497"/>
        <v>-14259.647956249995</v>
      </c>
      <c r="AD139" s="136">
        <f t="shared" si="497"/>
        <v>-16398.595149687495</v>
      </c>
      <c r="AE139" s="136">
        <f t="shared" si="497"/>
        <v>-18858.384422140618</v>
      </c>
      <c r="AF139" s="136">
        <f t="shared" si="497"/>
        <v>-21687.142085461706</v>
      </c>
      <c r="AG139" s="136">
        <f t="shared" si="497"/>
        <v>-24940.213398280961</v>
      </c>
      <c r="AH139" s="136">
        <f t="shared" si="497"/>
        <v>-28681.2454080231</v>
      </c>
      <c r="AI139" s="136">
        <f t="shared" si="497"/>
        <v>-32983.432219226561</v>
      </c>
      <c r="AJ139" s="115">
        <f t="shared" si="368"/>
        <v>-2.2530255116858795</v>
      </c>
      <c r="AK139" s="21">
        <f t="shared" si="369"/>
        <v>0.01</v>
      </c>
      <c r="AL139" s="123" t="e">
        <f t="shared" si="236"/>
        <v>#DIV/0!</v>
      </c>
    </row>
    <row r="140" spans="1:38" ht="12" customHeight="1" x14ac:dyDescent="0.2">
      <c r="B140" s="10" t="s">
        <v>265</v>
      </c>
      <c r="C140" s="10"/>
      <c r="D140" s="10"/>
      <c r="E140" s="10"/>
      <c r="F140" s="128"/>
      <c r="G140" s="128">
        <f t="shared" ref="G140" si="498">G60/G18</f>
        <v>0</v>
      </c>
      <c r="H140" s="128">
        <f t="shared" ref="H140:I140" si="499">H60/H18</f>
        <v>0</v>
      </c>
      <c r="I140" s="128">
        <f t="shared" si="499"/>
        <v>0</v>
      </c>
      <c r="J140" s="128">
        <f t="shared" ref="J140:Q140" si="500">J60/J18</f>
        <v>0</v>
      </c>
      <c r="K140" s="128">
        <f t="shared" si="500"/>
        <v>0</v>
      </c>
      <c r="L140" s="128">
        <f t="shared" si="500"/>
        <v>0</v>
      </c>
      <c r="M140" s="128">
        <f t="shared" si="500"/>
        <v>0</v>
      </c>
      <c r="N140" s="128">
        <f t="shared" si="500"/>
        <v>0</v>
      </c>
      <c r="O140" s="128">
        <f t="shared" si="500"/>
        <v>0</v>
      </c>
      <c r="P140" s="128">
        <f t="shared" si="500"/>
        <v>0</v>
      </c>
      <c r="Q140" s="128" t="e">
        <f t="shared" si="500"/>
        <v>#DIV/0!</v>
      </c>
      <c r="R140" s="128">
        <f t="shared" ref="R140:W140" si="501">R60/R18</f>
        <v>9.3333333333333338E-2</v>
      </c>
      <c r="S140" s="128">
        <f t="shared" si="501"/>
        <v>-3.047819232790331E-2</v>
      </c>
      <c r="T140" s="128">
        <f t="shared" si="501"/>
        <v>1.5130190007037298E-2</v>
      </c>
      <c r="U140" s="128">
        <f t="shared" si="501"/>
        <v>3.4558652729384436</v>
      </c>
      <c r="V140" s="128">
        <f t="shared" si="501"/>
        <v>1.2916666666666667E-2</v>
      </c>
      <c r="W140" s="128">
        <f t="shared" si="501"/>
        <v>1.2916666666666667E-2</v>
      </c>
      <c r="X140" s="101" t="e">
        <f t="shared" si="481"/>
        <v>#DIV/0!</v>
      </c>
      <c r="Y140" s="10"/>
      <c r="Z140" s="128">
        <f t="shared" ref="Z140:AI140" si="502">Z60/Z18</f>
        <v>1.2916666666666667E-2</v>
      </c>
      <c r="AA140" s="128">
        <f t="shared" si="502"/>
        <v>1.2916666666666667E-2</v>
      </c>
      <c r="AB140" s="128">
        <f t="shared" si="502"/>
        <v>1.2916666666666667E-2</v>
      </c>
      <c r="AC140" s="128">
        <f t="shared" si="502"/>
        <v>1.2916666666666665E-2</v>
      </c>
      <c r="AD140" s="128">
        <f t="shared" si="502"/>
        <v>1.2916666666666665E-2</v>
      </c>
      <c r="AE140" s="128">
        <f t="shared" si="502"/>
        <v>1.2916666666666667E-2</v>
      </c>
      <c r="AF140" s="128">
        <f t="shared" si="502"/>
        <v>1.2916666666666668E-2</v>
      </c>
      <c r="AG140" s="128">
        <f t="shared" si="502"/>
        <v>1.2916666666666667E-2</v>
      </c>
      <c r="AH140" s="128">
        <f t="shared" si="502"/>
        <v>1.2916666666666668E-2</v>
      </c>
      <c r="AI140" s="128">
        <f t="shared" si="502"/>
        <v>1.2916666666666668E-2</v>
      </c>
      <c r="AJ140" s="115" t="e">
        <f t="shared" si="368"/>
        <v>#DIV/0!</v>
      </c>
      <c r="AK140" s="21">
        <f t="shared" si="369"/>
        <v>0.01</v>
      </c>
      <c r="AL140" s="123" t="e">
        <f t="shared" ref="AL140:AL172" si="503">(AI140*(1+AK140))/($O$1-AK140)</f>
        <v>#DIV/0!</v>
      </c>
    </row>
    <row r="141" spans="1:38" x14ac:dyDescent="0.2">
      <c r="B141" s="10" t="s">
        <v>266</v>
      </c>
      <c r="C141" s="10"/>
      <c r="D141" s="10"/>
      <c r="E141" s="10"/>
      <c r="F141" s="128"/>
      <c r="G141" s="128">
        <f t="shared" ref="G141" si="504">G60/G25</f>
        <v>0</v>
      </c>
      <c r="H141" s="128">
        <f t="shared" ref="H141:I141" si="505">H60/H25</f>
        <v>0</v>
      </c>
      <c r="I141" s="128">
        <f t="shared" si="505"/>
        <v>0</v>
      </c>
      <c r="J141" s="128">
        <f t="shared" ref="J141:Q141" si="506">J60/J25</f>
        <v>0</v>
      </c>
      <c r="K141" s="128">
        <f t="shared" si="506"/>
        <v>0</v>
      </c>
      <c r="L141" s="128">
        <f t="shared" si="506"/>
        <v>0</v>
      </c>
      <c r="M141" s="128">
        <f t="shared" si="506"/>
        <v>0</v>
      </c>
      <c r="N141" s="128">
        <f t="shared" si="506"/>
        <v>0</v>
      </c>
      <c r="O141" s="128">
        <f t="shared" si="506"/>
        <v>0</v>
      </c>
      <c r="P141" s="128">
        <f t="shared" si="506"/>
        <v>0</v>
      </c>
      <c r="Q141" s="128" t="e">
        <f t="shared" si="506"/>
        <v>#DIV/0!</v>
      </c>
      <c r="R141" s="128">
        <f t="shared" ref="R141:W141" si="507">R60/R25</f>
        <v>3.4083992696287278E-2</v>
      </c>
      <c r="S141" s="128">
        <f t="shared" si="507"/>
        <v>-9.5614902736564453E-3</v>
      </c>
      <c r="T141" s="128">
        <f t="shared" si="507"/>
        <v>4.9075553526592101E-3</v>
      </c>
      <c r="U141" s="128">
        <f t="shared" si="507"/>
        <v>0.52907183499288768</v>
      </c>
      <c r="V141" s="128">
        <f t="shared" si="507"/>
        <v>4.6948356807511738E-3</v>
      </c>
      <c r="W141" s="128">
        <f t="shared" si="507"/>
        <v>4.6948356807511738E-3</v>
      </c>
      <c r="X141" s="101" t="e">
        <f t="shared" si="481"/>
        <v>#DIV/0!</v>
      </c>
      <c r="Y141" s="10"/>
      <c r="Z141" s="128">
        <f t="shared" ref="Z141:AI141" si="508">Z60/Z25</f>
        <v>4.6948356807511738E-3</v>
      </c>
      <c r="AA141" s="128">
        <f t="shared" si="508"/>
        <v>4.6948356807511738E-3</v>
      </c>
      <c r="AB141" s="128">
        <f t="shared" si="508"/>
        <v>4.6948356807511729E-3</v>
      </c>
      <c r="AC141" s="128">
        <f t="shared" si="508"/>
        <v>4.6948356807511738E-3</v>
      </c>
      <c r="AD141" s="128">
        <f t="shared" si="508"/>
        <v>4.6948356807511738E-3</v>
      </c>
      <c r="AE141" s="128">
        <f t="shared" si="508"/>
        <v>4.6948356807511738E-3</v>
      </c>
      <c r="AF141" s="128">
        <f t="shared" si="508"/>
        <v>4.6948356807511747E-3</v>
      </c>
      <c r="AG141" s="128">
        <f t="shared" si="508"/>
        <v>4.6948356807511747E-3</v>
      </c>
      <c r="AH141" s="128">
        <f t="shared" si="508"/>
        <v>4.6948356807511747E-3</v>
      </c>
      <c r="AI141" s="128">
        <f t="shared" si="508"/>
        <v>4.6948356807511747E-3</v>
      </c>
      <c r="AJ141" s="115" t="e">
        <f t="shared" si="368"/>
        <v>#DIV/0!</v>
      </c>
      <c r="AK141" s="21">
        <f t="shared" si="369"/>
        <v>0.01</v>
      </c>
      <c r="AL141" s="123" t="e">
        <f t="shared" si="503"/>
        <v>#DIV/0!</v>
      </c>
    </row>
    <row r="142" spans="1:38" x14ac:dyDescent="0.2">
      <c r="B142" s="10" t="s">
        <v>290</v>
      </c>
      <c r="C142" s="10"/>
      <c r="D142" s="10"/>
      <c r="E142" s="128"/>
      <c r="F142" s="128"/>
      <c r="G142" s="128">
        <f t="shared" ref="G142" si="509">G25/G18</f>
        <v>2.6538461538461537</v>
      </c>
      <c r="H142" s="128">
        <f t="shared" ref="H142:I142" si="510">H25/H18</f>
        <v>2.6538461538461537</v>
      </c>
      <c r="I142" s="128">
        <f t="shared" si="510"/>
        <v>1.051643192488263</v>
      </c>
      <c r="J142" s="128">
        <f t="shared" ref="J142:Q142" si="511">J25/J18</f>
        <v>1.3990610328638498</v>
      </c>
      <c r="K142" s="128">
        <f t="shared" si="511"/>
        <v>1.5841121495327102</v>
      </c>
      <c r="L142" s="128">
        <f t="shared" si="511"/>
        <v>1.336405529953917</v>
      </c>
      <c r="M142" s="128">
        <f t="shared" si="511"/>
        <v>1.4458333333333333</v>
      </c>
      <c r="N142" s="128">
        <f t="shared" si="511"/>
        <v>1.416326530612245</v>
      </c>
      <c r="O142" s="128">
        <f t="shared" si="511"/>
        <v>1.680327868852459</v>
      </c>
      <c r="P142" s="128">
        <f t="shared" si="511"/>
        <v>2.7531645569620253</v>
      </c>
      <c r="Q142" s="128" t="e">
        <f t="shared" si="511"/>
        <v>#DIV/0!</v>
      </c>
      <c r="R142" s="128">
        <f t="shared" ref="R142:W142" si="512">R25/R18</f>
        <v>2.7383333333333333</v>
      </c>
      <c r="S142" s="128">
        <f t="shared" si="512"/>
        <v>3.1875985286389912</v>
      </c>
      <c r="T142" s="128">
        <f t="shared" si="512"/>
        <v>3.083040112596763</v>
      </c>
      <c r="U142" s="128">
        <f t="shared" si="512"/>
        <v>6.5319396051103364</v>
      </c>
      <c r="V142" s="128">
        <f t="shared" si="512"/>
        <v>2.7512500000000002</v>
      </c>
      <c r="W142" s="128">
        <f t="shared" si="512"/>
        <v>2.7512500000000002</v>
      </c>
      <c r="X142" s="101">
        <f t="shared" si="481"/>
        <v>2.2553762484831541E-3</v>
      </c>
      <c r="Y142" s="10"/>
      <c r="Z142" s="128">
        <f t="shared" ref="Z142:AI142" si="513">Z25/Z18</f>
        <v>2.7512499999999998</v>
      </c>
      <c r="AA142" s="128">
        <f t="shared" si="513"/>
        <v>2.7512500000000002</v>
      </c>
      <c r="AB142" s="128">
        <f t="shared" si="513"/>
        <v>2.7512500000000002</v>
      </c>
      <c r="AC142" s="128">
        <f t="shared" si="513"/>
        <v>2.7512499999999998</v>
      </c>
      <c r="AD142" s="128">
        <f t="shared" si="513"/>
        <v>2.7512499999999998</v>
      </c>
      <c r="AE142" s="128">
        <f t="shared" si="513"/>
        <v>2.7512499999999998</v>
      </c>
      <c r="AF142" s="128">
        <f t="shared" si="513"/>
        <v>2.7512499999999998</v>
      </c>
      <c r="AG142" s="128">
        <f t="shared" si="513"/>
        <v>2.7512499999999993</v>
      </c>
      <c r="AH142" s="128">
        <f t="shared" si="513"/>
        <v>2.7512499999999993</v>
      </c>
      <c r="AI142" s="128">
        <f t="shared" si="513"/>
        <v>2.7512499999999998</v>
      </c>
      <c r="AJ142" s="115">
        <f t="shared" si="368"/>
        <v>2.741933818370379E-2</v>
      </c>
      <c r="AK142" s="21">
        <f t="shared" si="369"/>
        <v>0.01</v>
      </c>
      <c r="AL142" s="123" t="e">
        <f t="shared" si="503"/>
        <v>#DIV/0!</v>
      </c>
    </row>
    <row r="143" spans="1:38" x14ac:dyDescent="0.2">
      <c r="B143" s="10"/>
      <c r="C143" s="10"/>
      <c r="D143" s="10"/>
      <c r="E143" s="10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01" t="e">
        <f t="shared" si="481"/>
        <v>#DIV/0!</v>
      </c>
      <c r="Y143" s="10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09"/>
      <c r="AK143" s="123"/>
      <c r="AL143" s="123"/>
    </row>
    <row r="144" spans="1:38" x14ac:dyDescent="0.2">
      <c r="B144" s="10" t="s">
        <v>278</v>
      </c>
      <c r="C144" s="10"/>
      <c r="D144" s="10"/>
      <c r="E144" s="138"/>
      <c r="F144" s="138"/>
      <c r="G144" s="138">
        <f t="shared" ref="G144" si="514">G93*G62</f>
        <v>0</v>
      </c>
      <c r="H144" s="138">
        <f t="shared" ref="H144:I144" si="515">H93*H62</f>
        <v>0</v>
      </c>
      <c r="I144" s="138">
        <f t="shared" si="515"/>
        <v>0</v>
      </c>
      <c r="J144" s="138" t="e">
        <f t="shared" ref="J144:Q144" si="516">J93*J62</f>
        <v>#VALUE!</v>
      </c>
      <c r="K144" s="138">
        <f t="shared" si="516"/>
        <v>0</v>
      </c>
      <c r="L144" s="138" t="e">
        <f t="shared" si="516"/>
        <v>#VALUE!</v>
      </c>
      <c r="M144" s="138">
        <f t="shared" si="516"/>
        <v>0</v>
      </c>
      <c r="N144" s="138">
        <f t="shared" si="516"/>
        <v>0</v>
      </c>
      <c r="O144" s="138">
        <f t="shared" si="516"/>
        <v>0</v>
      </c>
      <c r="P144" s="138">
        <f t="shared" si="516"/>
        <v>0</v>
      </c>
      <c r="Q144" s="138">
        <f t="shared" si="516"/>
        <v>0</v>
      </c>
      <c r="R144" s="138">
        <f t="shared" ref="R144:W144" si="517">R93*R62</f>
        <v>0</v>
      </c>
      <c r="S144" s="138">
        <f t="shared" si="517"/>
        <v>0</v>
      </c>
      <c r="T144" s="138">
        <f t="shared" si="517"/>
        <v>0</v>
      </c>
      <c r="U144" s="138">
        <f t="shared" si="517"/>
        <v>0</v>
      </c>
      <c r="V144" s="138">
        <f t="shared" si="517"/>
        <v>0</v>
      </c>
      <c r="W144" s="138">
        <f t="shared" si="517"/>
        <v>0</v>
      </c>
      <c r="X144" s="101" t="e">
        <f t="shared" si="481"/>
        <v>#DIV/0!</v>
      </c>
      <c r="Y144" s="10"/>
      <c r="Z144" s="138">
        <f t="shared" ref="Z144:AI144" si="518">Z93*Z62</f>
        <v>0</v>
      </c>
      <c r="AA144" s="138">
        <f t="shared" si="518"/>
        <v>0</v>
      </c>
      <c r="AB144" s="138">
        <f t="shared" si="518"/>
        <v>0</v>
      </c>
      <c r="AC144" s="138">
        <f t="shared" si="518"/>
        <v>0</v>
      </c>
      <c r="AD144" s="138">
        <f t="shared" si="518"/>
        <v>0</v>
      </c>
      <c r="AE144" s="138">
        <f t="shared" si="518"/>
        <v>0</v>
      </c>
      <c r="AF144" s="138">
        <f t="shared" si="518"/>
        <v>0</v>
      </c>
      <c r="AG144" s="138">
        <f t="shared" si="518"/>
        <v>0</v>
      </c>
      <c r="AH144" s="138">
        <f t="shared" si="518"/>
        <v>0</v>
      </c>
      <c r="AI144" s="138">
        <f t="shared" si="518"/>
        <v>0</v>
      </c>
      <c r="AJ144" s="115" t="e">
        <f t="shared" si="368"/>
        <v>#VALUE!</v>
      </c>
      <c r="AK144" s="21">
        <f t="shared" si="369"/>
        <v>0.01</v>
      </c>
      <c r="AL144" s="123" t="e">
        <f t="shared" si="503"/>
        <v>#DIV/0!</v>
      </c>
    </row>
    <row r="145" spans="2:38" x14ac:dyDescent="0.2">
      <c r="B145" s="10" t="s">
        <v>279</v>
      </c>
      <c r="C145" s="10"/>
      <c r="D145" s="10"/>
      <c r="E145" s="138"/>
      <c r="F145" s="138"/>
      <c r="G145" s="138">
        <f t="shared" ref="G145" si="519">(G144*0.17)+G144</f>
        <v>0</v>
      </c>
      <c r="H145" s="138">
        <f t="shared" ref="H145:I145" si="520">(H144*0.17)+H144</f>
        <v>0</v>
      </c>
      <c r="I145" s="138">
        <f t="shared" si="520"/>
        <v>0</v>
      </c>
      <c r="J145" s="138" t="e">
        <f t="shared" ref="J145:Q145" si="521">(J144*0.17)+J144</f>
        <v>#VALUE!</v>
      </c>
      <c r="K145" s="138">
        <f t="shared" si="521"/>
        <v>0</v>
      </c>
      <c r="L145" s="138" t="e">
        <f t="shared" si="521"/>
        <v>#VALUE!</v>
      </c>
      <c r="M145" s="138">
        <f t="shared" si="521"/>
        <v>0</v>
      </c>
      <c r="N145" s="138">
        <f t="shared" si="521"/>
        <v>0</v>
      </c>
      <c r="O145" s="138">
        <f t="shared" si="521"/>
        <v>0</v>
      </c>
      <c r="P145" s="138">
        <f t="shared" si="521"/>
        <v>0</v>
      </c>
      <c r="Q145" s="138">
        <f t="shared" si="521"/>
        <v>0</v>
      </c>
      <c r="R145" s="138">
        <f t="shared" ref="R145:W145" si="522">(R144*0.17)+R144</f>
        <v>0</v>
      </c>
      <c r="S145" s="138">
        <f t="shared" si="522"/>
        <v>0</v>
      </c>
      <c r="T145" s="138">
        <f t="shared" si="522"/>
        <v>0</v>
      </c>
      <c r="U145" s="138">
        <f t="shared" si="522"/>
        <v>0</v>
      </c>
      <c r="V145" s="138">
        <f t="shared" si="522"/>
        <v>0</v>
      </c>
      <c r="W145" s="138">
        <f t="shared" si="522"/>
        <v>0</v>
      </c>
      <c r="X145" s="101" t="e">
        <f t="shared" si="481"/>
        <v>#DIV/0!</v>
      </c>
      <c r="Y145" s="10"/>
      <c r="Z145" s="138">
        <f t="shared" ref="Z145:AI145" si="523">(Z144*0.17)+Z144</f>
        <v>0</v>
      </c>
      <c r="AA145" s="138">
        <f t="shared" si="523"/>
        <v>0</v>
      </c>
      <c r="AB145" s="138">
        <f t="shared" si="523"/>
        <v>0</v>
      </c>
      <c r="AC145" s="138">
        <f t="shared" si="523"/>
        <v>0</v>
      </c>
      <c r="AD145" s="138">
        <f t="shared" si="523"/>
        <v>0</v>
      </c>
      <c r="AE145" s="138">
        <f t="shared" si="523"/>
        <v>0</v>
      </c>
      <c r="AF145" s="138">
        <f t="shared" si="523"/>
        <v>0</v>
      </c>
      <c r="AG145" s="138">
        <f t="shared" si="523"/>
        <v>0</v>
      </c>
      <c r="AH145" s="138">
        <f t="shared" si="523"/>
        <v>0</v>
      </c>
      <c r="AI145" s="138">
        <f t="shared" si="523"/>
        <v>0</v>
      </c>
      <c r="AJ145" s="115" t="e">
        <f t="shared" si="368"/>
        <v>#VALUE!</v>
      </c>
      <c r="AK145" s="21">
        <f t="shared" si="369"/>
        <v>0.01</v>
      </c>
      <c r="AL145" s="123" t="e">
        <f t="shared" si="503"/>
        <v>#DIV/0!</v>
      </c>
    </row>
    <row r="146" spans="2:38" x14ac:dyDescent="0.2">
      <c r="B146" s="10" t="s">
        <v>280</v>
      </c>
      <c r="C146" s="10"/>
      <c r="D146" s="10"/>
      <c r="E146" s="10"/>
      <c r="F146" s="128"/>
      <c r="G146" s="128" t="e">
        <f t="shared" ref="G146" si="524">G145/G60</f>
        <v>#DIV/0!</v>
      </c>
      <c r="H146" s="128" t="e">
        <f t="shared" ref="H146:I146" si="525">H145/H60</f>
        <v>#DIV/0!</v>
      </c>
      <c r="I146" s="128" t="e">
        <f t="shared" si="525"/>
        <v>#DIV/0!</v>
      </c>
      <c r="J146" s="128" t="e">
        <f t="shared" ref="J146:Q146" si="526">J145/J60</f>
        <v>#VALUE!</v>
      </c>
      <c r="K146" s="128" t="e">
        <f t="shared" si="526"/>
        <v>#DIV/0!</v>
      </c>
      <c r="L146" s="128" t="e">
        <f t="shared" si="526"/>
        <v>#VALUE!</v>
      </c>
      <c r="M146" s="128" t="e">
        <f t="shared" si="526"/>
        <v>#DIV/0!</v>
      </c>
      <c r="N146" s="128" t="e">
        <f t="shared" si="526"/>
        <v>#DIV/0!</v>
      </c>
      <c r="O146" s="128" t="e">
        <f t="shared" si="526"/>
        <v>#DIV/0!</v>
      </c>
      <c r="P146" s="128" t="e">
        <f t="shared" si="526"/>
        <v>#DIV/0!</v>
      </c>
      <c r="Q146" s="128" t="e">
        <f t="shared" si="526"/>
        <v>#DIV/0!</v>
      </c>
      <c r="R146" s="128">
        <f t="shared" ref="R146:W146" si="527">R145/R60</f>
        <v>0</v>
      </c>
      <c r="S146" s="128">
        <f t="shared" si="527"/>
        <v>0</v>
      </c>
      <c r="T146" s="128">
        <f t="shared" si="527"/>
        <v>0</v>
      </c>
      <c r="U146" s="128">
        <f t="shared" si="527"/>
        <v>0</v>
      </c>
      <c r="V146" s="128">
        <f t="shared" si="527"/>
        <v>0</v>
      </c>
      <c r="W146" s="128">
        <f t="shared" si="527"/>
        <v>0</v>
      </c>
      <c r="X146" s="101" t="e">
        <f t="shared" si="481"/>
        <v>#DIV/0!</v>
      </c>
      <c r="Y146" s="10"/>
      <c r="Z146" s="128">
        <f t="shared" ref="Z146:AI146" si="528">Z145/Z60</f>
        <v>0</v>
      </c>
      <c r="AA146" s="128">
        <f t="shared" si="528"/>
        <v>0</v>
      </c>
      <c r="AB146" s="128">
        <f t="shared" si="528"/>
        <v>0</v>
      </c>
      <c r="AC146" s="128">
        <f t="shared" si="528"/>
        <v>0</v>
      </c>
      <c r="AD146" s="128">
        <f t="shared" si="528"/>
        <v>0</v>
      </c>
      <c r="AE146" s="128">
        <f t="shared" si="528"/>
        <v>0</v>
      </c>
      <c r="AF146" s="128">
        <f t="shared" si="528"/>
        <v>0</v>
      </c>
      <c r="AG146" s="128">
        <f t="shared" si="528"/>
        <v>0</v>
      </c>
      <c r="AH146" s="128">
        <f t="shared" si="528"/>
        <v>0</v>
      </c>
      <c r="AI146" s="128">
        <f t="shared" si="528"/>
        <v>0</v>
      </c>
      <c r="AJ146" s="115" t="e">
        <f t="shared" si="368"/>
        <v>#VALUE!</v>
      </c>
      <c r="AK146" s="21">
        <f t="shared" si="369"/>
        <v>0.01</v>
      </c>
      <c r="AL146" s="123" t="e">
        <f t="shared" si="503"/>
        <v>#DIV/0!</v>
      </c>
    </row>
    <row r="147" spans="2:38" x14ac:dyDescent="0.2">
      <c r="B147" s="10" t="s">
        <v>273</v>
      </c>
      <c r="C147" s="10"/>
      <c r="D147" s="10"/>
      <c r="E147" s="10"/>
      <c r="F147" s="128"/>
      <c r="G147" s="128" t="e">
        <f t="shared" ref="G147" si="529">1-G146</f>
        <v>#DIV/0!</v>
      </c>
      <c r="H147" s="128" t="e">
        <f t="shared" ref="H147:I147" si="530">1-H146</f>
        <v>#DIV/0!</v>
      </c>
      <c r="I147" s="128" t="e">
        <f t="shared" si="530"/>
        <v>#DIV/0!</v>
      </c>
      <c r="J147" s="128" t="e">
        <f>1-J146</f>
        <v>#VALUE!</v>
      </c>
      <c r="K147" s="128" t="e">
        <f t="shared" ref="K147:Q147" si="531">1-K146</f>
        <v>#DIV/0!</v>
      </c>
      <c r="L147" s="128" t="e">
        <f t="shared" si="531"/>
        <v>#VALUE!</v>
      </c>
      <c r="M147" s="128" t="e">
        <f t="shared" si="531"/>
        <v>#DIV/0!</v>
      </c>
      <c r="N147" s="128" t="e">
        <f t="shared" si="531"/>
        <v>#DIV/0!</v>
      </c>
      <c r="O147" s="128" t="e">
        <f t="shared" si="531"/>
        <v>#DIV/0!</v>
      </c>
      <c r="P147" s="128" t="e">
        <f t="shared" si="531"/>
        <v>#DIV/0!</v>
      </c>
      <c r="Q147" s="128" t="e">
        <f t="shared" si="531"/>
        <v>#DIV/0!</v>
      </c>
      <c r="R147" s="128">
        <f t="shared" ref="R147:W147" si="532">1-R146</f>
        <v>1</v>
      </c>
      <c r="S147" s="128">
        <f t="shared" si="532"/>
        <v>1</v>
      </c>
      <c r="T147" s="128">
        <f t="shared" si="532"/>
        <v>1</v>
      </c>
      <c r="U147" s="128">
        <f t="shared" si="532"/>
        <v>1</v>
      </c>
      <c r="V147" s="128">
        <f t="shared" si="532"/>
        <v>1</v>
      </c>
      <c r="W147" s="128">
        <f t="shared" si="532"/>
        <v>1</v>
      </c>
      <c r="X147" s="101" t="e">
        <f t="shared" si="481"/>
        <v>#DIV/0!</v>
      </c>
      <c r="Y147" s="10"/>
      <c r="Z147" s="128">
        <f t="shared" ref="Z147:AI147" si="533">1-Z146</f>
        <v>1</v>
      </c>
      <c r="AA147" s="128">
        <f t="shared" si="533"/>
        <v>1</v>
      </c>
      <c r="AB147" s="128">
        <f t="shared" si="533"/>
        <v>1</v>
      </c>
      <c r="AC147" s="128">
        <f t="shared" si="533"/>
        <v>1</v>
      </c>
      <c r="AD147" s="128">
        <f t="shared" si="533"/>
        <v>1</v>
      </c>
      <c r="AE147" s="128">
        <f t="shared" si="533"/>
        <v>1</v>
      </c>
      <c r="AF147" s="128">
        <f t="shared" si="533"/>
        <v>1</v>
      </c>
      <c r="AG147" s="128">
        <f t="shared" si="533"/>
        <v>1</v>
      </c>
      <c r="AH147" s="128">
        <f t="shared" si="533"/>
        <v>1</v>
      </c>
      <c r="AI147" s="128">
        <f t="shared" si="533"/>
        <v>1</v>
      </c>
      <c r="AJ147" s="115" t="e">
        <f t="shared" si="368"/>
        <v>#VALUE!</v>
      </c>
      <c r="AK147" s="21">
        <f t="shared" si="369"/>
        <v>0.01</v>
      </c>
      <c r="AL147" s="123" t="e">
        <f t="shared" si="503"/>
        <v>#DIV/0!</v>
      </c>
    </row>
    <row r="148" spans="2:38" x14ac:dyDescent="0.2">
      <c r="B148" s="10" t="s">
        <v>392</v>
      </c>
      <c r="C148" s="10"/>
      <c r="D148" s="10"/>
      <c r="E148" s="10"/>
      <c r="F148" s="128"/>
      <c r="G148" s="128" t="e">
        <f t="shared" ref="G148" si="534">G145/G20</f>
        <v>#DIV/0!</v>
      </c>
      <c r="H148" s="128" t="e">
        <f t="shared" ref="H148:I148" si="535">H145/H20</f>
        <v>#DIV/0!</v>
      </c>
      <c r="I148" s="128" t="e">
        <f t="shared" si="535"/>
        <v>#DIV/0!</v>
      </c>
      <c r="J148" s="128" t="e">
        <f t="shared" ref="J148:Q148" si="536">J145/J20</f>
        <v>#VALUE!</v>
      </c>
      <c r="K148" s="128" t="e">
        <f t="shared" si="536"/>
        <v>#DIV/0!</v>
      </c>
      <c r="L148" s="128" t="e">
        <f t="shared" si="536"/>
        <v>#VALUE!</v>
      </c>
      <c r="M148" s="128" t="e">
        <f t="shared" si="536"/>
        <v>#DIV/0!</v>
      </c>
      <c r="N148" s="128" t="e">
        <f t="shared" si="536"/>
        <v>#DIV/0!</v>
      </c>
      <c r="O148" s="128" t="e">
        <f t="shared" si="536"/>
        <v>#DIV/0!</v>
      </c>
      <c r="P148" s="128" t="e">
        <f t="shared" si="536"/>
        <v>#DIV/0!</v>
      </c>
      <c r="Q148" s="128" t="e">
        <f t="shared" si="536"/>
        <v>#DIV/0!</v>
      </c>
      <c r="R148" s="128" t="e">
        <f t="shared" ref="R148:W148" si="537">R145/R20</f>
        <v>#DIV/0!</v>
      </c>
      <c r="S148" s="128" t="e">
        <f t="shared" si="537"/>
        <v>#DIV/0!</v>
      </c>
      <c r="T148" s="128" t="e">
        <f t="shared" si="537"/>
        <v>#DIV/0!</v>
      </c>
      <c r="U148" s="128" t="e">
        <f t="shared" si="537"/>
        <v>#DIV/0!</v>
      </c>
      <c r="V148" s="128" t="e">
        <f t="shared" si="537"/>
        <v>#DIV/0!</v>
      </c>
      <c r="W148" s="128" t="e">
        <f t="shared" si="537"/>
        <v>#DIV/0!</v>
      </c>
      <c r="X148" s="101" t="e">
        <f t="shared" si="481"/>
        <v>#DIV/0!</v>
      </c>
      <c r="Y148" s="10"/>
      <c r="Z148" s="128" t="e">
        <f t="shared" ref="Z148:AI148" si="538">Z145/Z20</f>
        <v>#DIV/0!</v>
      </c>
      <c r="AA148" s="128" t="e">
        <f t="shared" si="538"/>
        <v>#DIV/0!</v>
      </c>
      <c r="AB148" s="128" t="e">
        <f t="shared" si="538"/>
        <v>#DIV/0!</v>
      </c>
      <c r="AC148" s="128" t="e">
        <f t="shared" si="538"/>
        <v>#DIV/0!</v>
      </c>
      <c r="AD148" s="128" t="e">
        <f t="shared" si="538"/>
        <v>#DIV/0!</v>
      </c>
      <c r="AE148" s="128" t="e">
        <f t="shared" si="538"/>
        <v>#DIV/0!</v>
      </c>
      <c r="AF148" s="128" t="e">
        <f t="shared" si="538"/>
        <v>#DIV/0!</v>
      </c>
      <c r="AG148" s="128" t="e">
        <f t="shared" si="538"/>
        <v>#DIV/0!</v>
      </c>
      <c r="AH148" s="128" t="e">
        <f t="shared" si="538"/>
        <v>#DIV/0!</v>
      </c>
      <c r="AI148" s="128" t="e">
        <f t="shared" si="538"/>
        <v>#DIV/0!</v>
      </c>
      <c r="AJ148" s="115" t="e">
        <f t="shared" si="368"/>
        <v>#DIV/0!</v>
      </c>
      <c r="AK148" s="21">
        <f t="shared" si="369"/>
        <v>0.01</v>
      </c>
      <c r="AL148" s="123" t="e">
        <f t="shared" si="503"/>
        <v>#DIV/0!</v>
      </c>
    </row>
    <row r="149" spans="2:38" x14ac:dyDescent="0.2">
      <c r="B149" s="10"/>
      <c r="C149" s="10"/>
      <c r="D149" s="10"/>
      <c r="E149" s="10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01" t="e">
        <f t="shared" si="481"/>
        <v>#DIV/0!</v>
      </c>
      <c r="Y149" s="10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09"/>
      <c r="AK149" s="123"/>
      <c r="AL149" s="123"/>
    </row>
    <row r="150" spans="2:38" x14ac:dyDescent="0.2">
      <c r="B150" s="10" t="s">
        <v>277</v>
      </c>
      <c r="C150" s="128"/>
      <c r="D150" s="128"/>
      <c r="E150" s="128"/>
      <c r="F150" s="128"/>
      <c r="G150" s="128">
        <f t="shared" ref="G150" si="539">G31/G25</f>
        <v>0</v>
      </c>
      <c r="H150" s="128">
        <f t="shared" ref="H150:I150" si="540">H31/H25</f>
        <v>0</v>
      </c>
      <c r="I150" s="128">
        <f t="shared" si="540"/>
        <v>0</v>
      </c>
      <c r="J150" s="128">
        <f t="shared" ref="J150:Q150" si="541">J31/J25</f>
        <v>0</v>
      </c>
      <c r="K150" s="128">
        <f t="shared" si="541"/>
        <v>0</v>
      </c>
      <c r="L150" s="128">
        <f t="shared" si="541"/>
        <v>0</v>
      </c>
      <c r="M150" s="128">
        <f t="shared" si="541"/>
        <v>0</v>
      </c>
      <c r="N150" s="128">
        <f t="shared" si="541"/>
        <v>0</v>
      </c>
      <c r="O150" s="128">
        <f t="shared" si="541"/>
        <v>0</v>
      </c>
      <c r="P150" s="128">
        <f t="shared" si="541"/>
        <v>0</v>
      </c>
      <c r="Q150" s="128" t="e">
        <f t="shared" si="541"/>
        <v>#DIV/0!</v>
      </c>
      <c r="R150" s="128">
        <f t="shared" ref="R150:W150" si="542">R31/R25</f>
        <v>0</v>
      </c>
      <c r="S150" s="128">
        <f t="shared" si="542"/>
        <v>0</v>
      </c>
      <c r="T150" s="128">
        <f t="shared" si="542"/>
        <v>0</v>
      </c>
      <c r="U150" s="128">
        <f t="shared" si="542"/>
        <v>0</v>
      </c>
      <c r="V150" s="128">
        <f t="shared" si="542"/>
        <v>0</v>
      </c>
      <c r="W150" s="128">
        <f t="shared" si="542"/>
        <v>0</v>
      </c>
      <c r="X150" s="101" t="e">
        <f t="shared" si="481"/>
        <v>#DIV/0!</v>
      </c>
      <c r="Y150" s="10"/>
      <c r="Z150" s="128">
        <f t="shared" ref="Z150:AI150" si="543">Z31/Z25</f>
        <v>0</v>
      </c>
      <c r="AA150" s="128">
        <f t="shared" si="543"/>
        <v>0</v>
      </c>
      <c r="AB150" s="128">
        <f t="shared" si="543"/>
        <v>0</v>
      </c>
      <c r="AC150" s="128">
        <f t="shared" si="543"/>
        <v>0</v>
      </c>
      <c r="AD150" s="128">
        <f t="shared" si="543"/>
        <v>0</v>
      </c>
      <c r="AE150" s="128">
        <f t="shared" si="543"/>
        <v>0</v>
      </c>
      <c r="AF150" s="128">
        <f t="shared" si="543"/>
        <v>0</v>
      </c>
      <c r="AG150" s="128">
        <f t="shared" si="543"/>
        <v>0</v>
      </c>
      <c r="AH150" s="128">
        <f t="shared" si="543"/>
        <v>0</v>
      </c>
      <c r="AI150" s="128">
        <f t="shared" si="543"/>
        <v>0</v>
      </c>
      <c r="AJ150" s="115" t="e">
        <f t="shared" si="368"/>
        <v>#DIV/0!</v>
      </c>
      <c r="AK150" s="21">
        <f t="shared" si="369"/>
        <v>0.01</v>
      </c>
      <c r="AL150" s="123" t="e">
        <f t="shared" si="503"/>
        <v>#DIV/0!</v>
      </c>
    </row>
    <row r="151" spans="2:38" x14ac:dyDescent="0.2">
      <c r="B151" s="10" t="s">
        <v>274</v>
      </c>
      <c r="C151" s="128"/>
      <c r="D151" s="128"/>
      <c r="E151" s="128"/>
      <c r="F151" s="128"/>
      <c r="G151" s="128">
        <f t="shared" ref="G151" si="544">G32/G25</f>
        <v>0</v>
      </c>
      <c r="H151" s="128">
        <f t="shared" ref="H151:I151" si="545">H32/H25</f>
        <v>0</v>
      </c>
      <c r="I151" s="128">
        <f t="shared" si="545"/>
        <v>0</v>
      </c>
      <c r="J151" s="128">
        <f t="shared" ref="J151:Q151" si="546">J32/J25</f>
        <v>0</v>
      </c>
      <c r="K151" s="128">
        <f t="shared" si="546"/>
        <v>0</v>
      </c>
      <c r="L151" s="128">
        <f t="shared" si="546"/>
        <v>0</v>
      </c>
      <c r="M151" s="128">
        <f t="shared" si="546"/>
        <v>0</v>
      </c>
      <c r="N151" s="128">
        <f t="shared" si="546"/>
        <v>0</v>
      </c>
      <c r="O151" s="128">
        <f t="shared" si="546"/>
        <v>0</v>
      </c>
      <c r="P151" s="128">
        <f t="shared" si="546"/>
        <v>0</v>
      </c>
      <c r="Q151" s="128" t="e">
        <f t="shared" si="546"/>
        <v>#DIV/0!</v>
      </c>
      <c r="R151" s="128">
        <f t="shared" ref="R151:W151" si="547">R32/R25</f>
        <v>0</v>
      </c>
      <c r="S151" s="128">
        <f t="shared" si="547"/>
        <v>0</v>
      </c>
      <c r="T151" s="128">
        <f t="shared" si="547"/>
        <v>0</v>
      </c>
      <c r="U151" s="128">
        <f t="shared" si="547"/>
        <v>0</v>
      </c>
      <c r="V151" s="128">
        <f t="shared" si="547"/>
        <v>0</v>
      </c>
      <c r="W151" s="128">
        <f t="shared" si="547"/>
        <v>0</v>
      </c>
      <c r="X151" s="101" t="e">
        <f t="shared" si="481"/>
        <v>#DIV/0!</v>
      </c>
      <c r="Y151" s="10"/>
      <c r="Z151" s="128">
        <f t="shared" ref="Z151:AI151" si="548">Z32/Z25</f>
        <v>0</v>
      </c>
      <c r="AA151" s="128">
        <f t="shared" si="548"/>
        <v>0</v>
      </c>
      <c r="AB151" s="128">
        <f t="shared" si="548"/>
        <v>0</v>
      </c>
      <c r="AC151" s="128">
        <f t="shared" si="548"/>
        <v>0</v>
      </c>
      <c r="AD151" s="128">
        <f t="shared" si="548"/>
        <v>0</v>
      </c>
      <c r="AE151" s="128">
        <f t="shared" si="548"/>
        <v>0</v>
      </c>
      <c r="AF151" s="128">
        <f t="shared" si="548"/>
        <v>0</v>
      </c>
      <c r="AG151" s="128">
        <f t="shared" si="548"/>
        <v>0</v>
      </c>
      <c r="AH151" s="128">
        <f t="shared" si="548"/>
        <v>0</v>
      </c>
      <c r="AI151" s="128">
        <f t="shared" si="548"/>
        <v>0</v>
      </c>
      <c r="AJ151" s="115" t="e">
        <f t="shared" si="368"/>
        <v>#DIV/0!</v>
      </c>
      <c r="AK151" s="21">
        <f t="shared" si="369"/>
        <v>0.01</v>
      </c>
      <c r="AL151" s="123" t="e">
        <f t="shared" si="503"/>
        <v>#DIV/0!</v>
      </c>
    </row>
    <row r="152" spans="2:38" x14ac:dyDescent="0.2">
      <c r="B152" s="10" t="s">
        <v>399</v>
      </c>
      <c r="C152" s="128"/>
      <c r="D152" s="128"/>
      <c r="E152" s="128"/>
      <c r="F152" s="128"/>
      <c r="G152" s="128">
        <f t="shared" ref="G152" si="549">(G31+G32)/G25</f>
        <v>0</v>
      </c>
      <c r="H152" s="128">
        <f t="shared" ref="H152:I152" si="550">(H31+H32)/H25</f>
        <v>0</v>
      </c>
      <c r="I152" s="128">
        <f t="shared" si="550"/>
        <v>0</v>
      </c>
      <c r="J152" s="128">
        <f t="shared" ref="J152:Q152" si="551">(J31+J32)/J25</f>
        <v>0</v>
      </c>
      <c r="K152" s="128">
        <f t="shared" si="551"/>
        <v>0</v>
      </c>
      <c r="L152" s="128">
        <f t="shared" si="551"/>
        <v>0</v>
      </c>
      <c r="M152" s="128">
        <f t="shared" si="551"/>
        <v>0</v>
      </c>
      <c r="N152" s="128">
        <f t="shared" si="551"/>
        <v>0</v>
      </c>
      <c r="O152" s="128">
        <f t="shared" si="551"/>
        <v>0</v>
      </c>
      <c r="P152" s="128">
        <f t="shared" si="551"/>
        <v>0</v>
      </c>
      <c r="Q152" s="128" t="e">
        <f t="shared" si="551"/>
        <v>#DIV/0!</v>
      </c>
      <c r="R152" s="128">
        <f t="shared" ref="R152:W152" si="552">(R31+R32)/R25</f>
        <v>0</v>
      </c>
      <c r="S152" s="128">
        <f t="shared" si="552"/>
        <v>0</v>
      </c>
      <c r="T152" s="128">
        <f t="shared" si="552"/>
        <v>0</v>
      </c>
      <c r="U152" s="128">
        <f t="shared" si="552"/>
        <v>0</v>
      </c>
      <c r="V152" s="128">
        <f t="shared" si="552"/>
        <v>0</v>
      </c>
      <c r="W152" s="128">
        <f t="shared" si="552"/>
        <v>0</v>
      </c>
      <c r="X152" s="101" t="e">
        <f t="shared" si="481"/>
        <v>#DIV/0!</v>
      </c>
      <c r="Y152" s="10"/>
      <c r="Z152" s="128">
        <f t="shared" ref="Z152:AI152" si="553">(Z31+Z32)/Z25</f>
        <v>0</v>
      </c>
      <c r="AA152" s="128">
        <f t="shared" si="553"/>
        <v>0</v>
      </c>
      <c r="AB152" s="128">
        <f t="shared" si="553"/>
        <v>0</v>
      </c>
      <c r="AC152" s="128">
        <f t="shared" si="553"/>
        <v>0</v>
      </c>
      <c r="AD152" s="128">
        <f t="shared" si="553"/>
        <v>0</v>
      </c>
      <c r="AE152" s="128">
        <f t="shared" si="553"/>
        <v>0</v>
      </c>
      <c r="AF152" s="128">
        <f t="shared" si="553"/>
        <v>0</v>
      </c>
      <c r="AG152" s="128">
        <f t="shared" si="553"/>
        <v>0</v>
      </c>
      <c r="AH152" s="128">
        <f t="shared" si="553"/>
        <v>0</v>
      </c>
      <c r="AI152" s="128">
        <f t="shared" si="553"/>
        <v>0</v>
      </c>
      <c r="AJ152" s="115" t="e">
        <f t="shared" si="368"/>
        <v>#DIV/0!</v>
      </c>
      <c r="AK152" s="21">
        <f t="shared" si="369"/>
        <v>0.01</v>
      </c>
      <c r="AL152" s="123" t="e">
        <f t="shared" si="503"/>
        <v>#DIV/0!</v>
      </c>
    </row>
    <row r="153" spans="2:38" x14ac:dyDescent="0.2">
      <c r="B153" s="10"/>
      <c r="C153" s="10"/>
      <c r="D153" s="10"/>
      <c r="E153" s="10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01" t="e">
        <f t="shared" si="481"/>
        <v>#DIV/0!</v>
      </c>
      <c r="Y153" s="10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09"/>
      <c r="AK153" s="123"/>
      <c r="AL153" s="123"/>
    </row>
    <row r="154" spans="2:38" x14ac:dyDescent="0.2">
      <c r="B154" s="10" t="s">
        <v>296</v>
      </c>
      <c r="C154" s="10"/>
      <c r="D154" s="10"/>
      <c r="E154" s="10"/>
      <c r="F154" s="128"/>
      <c r="G154" s="128">
        <f t="shared" ref="G154" si="554">G27/G25</f>
        <v>0.63043478260869568</v>
      </c>
      <c r="H154" s="128">
        <f t="shared" ref="H154:I154" si="555">H27/H25</f>
        <v>0.63043478260869568</v>
      </c>
      <c r="I154" s="128">
        <f t="shared" si="555"/>
        <v>0.6607142857142857</v>
      </c>
      <c r="J154" s="128">
        <f t="shared" ref="J154:Q154" si="556">J27/J25</f>
        <v>0.66442953020134232</v>
      </c>
      <c r="K154" s="128">
        <f t="shared" si="556"/>
        <v>0.70796460176991149</v>
      </c>
      <c r="L154" s="128">
        <f t="shared" si="556"/>
        <v>0.77241379310344827</v>
      </c>
      <c r="M154" s="128">
        <f t="shared" si="556"/>
        <v>0.68299711815561959</v>
      </c>
      <c r="N154" s="128">
        <f t="shared" si="556"/>
        <v>0.68299711815561959</v>
      </c>
      <c r="O154" s="128">
        <f t="shared" si="556"/>
        <v>0.69512195121951215</v>
      </c>
      <c r="P154" s="128">
        <f t="shared" si="556"/>
        <v>0.87586206896551722</v>
      </c>
      <c r="Q154" s="128" t="e">
        <f t="shared" si="556"/>
        <v>#DIV/0!</v>
      </c>
      <c r="R154" s="128">
        <f t="shared" ref="R154:W154" si="557">R27/R25</f>
        <v>0.91357273280584295</v>
      </c>
      <c r="S154" s="128">
        <f t="shared" si="557"/>
        <v>0.97411803494889548</v>
      </c>
      <c r="T154" s="128">
        <f t="shared" si="557"/>
        <v>0.96142433234421365</v>
      </c>
      <c r="U154" s="128">
        <f t="shared" si="557"/>
        <v>0.96701635846372691</v>
      </c>
      <c r="V154" s="128">
        <f t="shared" si="557"/>
        <v>0.98758140239285175</v>
      </c>
      <c r="W154" s="128">
        <f t="shared" si="557"/>
        <v>0.98758140239285175</v>
      </c>
      <c r="X154" s="101">
        <f t="shared" si="481"/>
        <v>2.8450268851564875E-2</v>
      </c>
      <c r="Y154" s="10"/>
      <c r="Z154" s="128">
        <f t="shared" ref="Z154:AI154" si="558">Z27/Z25</f>
        <v>0.98758140239285175</v>
      </c>
      <c r="AA154" s="128">
        <f t="shared" si="558"/>
        <v>0.98758140239285175</v>
      </c>
      <c r="AB154" s="128">
        <f t="shared" si="558"/>
        <v>0.98758140239285175</v>
      </c>
      <c r="AC154" s="128">
        <f t="shared" si="558"/>
        <v>0.98758140239285175</v>
      </c>
      <c r="AD154" s="128">
        <f t="shared" si="558"/>
        <v>0.98758140239285175</v>
      </c>
      <c r="AE154" s="128">
        <f t="shared" si="558"/>
        <v>0.98758140239285175</v>
      </c>
      <c r="AF154" s="128">
        <f t="shared" si="558"/>
        <v>0.98758140239285186</v>
      </c>
      <c r="AG154" s="128">
        <f t="shared" si="558"/>
        <v>0.98758140239285186</v>
      </c>
      <c r="AH154" s="128">
        <f t="shared" si="558"/>
        <v>0.98758140239285175</v>
      </c>
      <c r="AI154" s="128">
        <f t="shared" si="558"/>
        <v>0.98758140239285175</v>
      </c>
      <c r="AJ154" s="115">
        <f t="shared" si="368"/>
        <v>1.5979532849671685E-2</v>
      </c>
      <c r="AK154" s="21">
        <f t="shared" si="369"/>
        <v>0.01</v>
      </c>
      <c r="AL154" s="123" t="e">
        <f t="shared" si="503"/>
        <v>#DIV/0!</v>
      </c>
    </row>
    <row r="155" spans="2:38" x14ac:dyDescent="0.2">
      <c r="B155" s="10" t="str">
        <f>B33</f>
        <v>Top Expenses ( Raw material )</v>
      </c>
      <c r="C155" s="10"/>
      <c r="D155" s="10"/>
      <c r="E155" s="10"/>
      <c r="F155" s="128"/>
      <c r="G155" s="128">
        <f t="shared" ref="G155" si="559">G33/G25</f>
        <v>0.2318840579710145</v>
      </c>
      <c r="H155" s="128">
        <f t="shared" ref="H155:I155" si="560">H33/H25</f>
        <v>0.2391304347826087</v>
      </c>
      <c r="I155" s="128">
        <f t="shared" si="560"/>
        <v>0.2857142857142857</v>
      </c>
      <c r="J155" s="128">
        <f t="shared" ref="J155:Q155" si="561">J33/J25</f>
        <v>0.31208053691275167</v>
      </c>
      <c r="K155" s="128">
        <f t="shared" si="561"/>
        <v>0.33923303834808261</v>
      </c>
      <c r="L155" s="128">
        <f t="shared" si="561"/>
        <v>0.36551724137931035</v>
      </c>
      <c r="M155" s="128">
        <f t="shared" si="561"/>
        <v>0.36311239193083572</v>
      </c>
      <c r="N155" s="128">
        <f t="shared" si="561"/>
        <v>0.44380403458213258</v>
      </c>
      <c r="O155" s="128">
        <f t="shared" si="561"/>
        <v>0.42682926829268292</v>
      </c>
      <c r="P155" s="128">
        <f t="shared" si="561"/>
        <v>0.72873563218390802</v>
      </c>
      <c r="Q155" s="128" t="e">
        <f t="shared" si="561"/>
        <v>#DIV/0!</v>
      </c>
      <c r="R155" s="128">
        <f t="shared" ref="R155:W155" si="562">R33/R25</f>
        <v>0.78393183201460748</v>
      </c>
      <c r="S155" s="128">
        <f t="shared" si="562"/>
        <v>0.55687438180019777</v>
      </c>
      <c r="T155" s="128">
        <f t="shared" si="562"/>
        <v>0.4729513809632504</v>
      </c>
      <c r="U155" s="128">
        <f t="shared" si="562"/>
        <v>0.47137268847795166</v>
      </c>
      <c r="V155" s="128">
        <f t="shared" si="562"/>
        <v>0.11676510676965016</v>
      </c>
      <c r="W155" s="128">
        <f t="shared" si="562"/>
        <v>0.11676510676965016</v>
      </c>
      <c r="X155" s="101">
        <f t="shared" si="481"/>
        <v>-4.1973247362305122E-2</v>
      </c>
      <c r="Y155" s="10"/>
      <c r="Z155" s="128">
        <f t="shared" ref="Z155:AI155" si="563">Z33/Z25</f>
        <v>0.11676510676965016</v>
      </c>
      <c r="AA155" s="128">
        <f t="shared" si="563"/>
        <v>0.11676510676965017</v>
      </c>
      <c r="AB155" s="128">
        <f t="shared" si="563"/>
        <v>0.11676510676965016</v>
      </c>
      <c r="AC155" s="128">
        <f t="shared" si="563"/>
        <v>0.11676510676965016</v>
      </c>
      <c r="AD155" s="128">
        <f t="shared" si="563"/>
        <v>0.11676510676965016</v>
      </c>
      <c r="AE155" s="128">
        <f t="shared" si="563"/>
        <v>0.11676510676965016</v>
      </c>
      <c r="AF155" s="128">
        <f t="shared" si="563"/>
        <v>0.11676510676965017</v>
      </c>
      <c r="AG155" s="128">
        <f t="shared" si="563"/>
        <v>0.11676510676965017</v>
      </c>
      <c r="AH155" s="128">
        <f t="shared" si="563"/>
        <v>0.11676510676965017</v>
      </c>
      <c r="AI155" s="128">
        <f t="shared" si="563"/>
        <v>0.11676510676965017</v>
      </c>
      <c r="AJ155" s="115">
        <f t="shared" si="368"/>
        <v>-3.8560732361877625E-2</v>
      </c>
      <c r="AK155" s="21">
        <f t="shared" si="369"/>
        <v>0.01</v>
      </c>
      <c r="AL155" s="123" t="e">
        <f t="shared" si="503"/>
        <v>#DIV/0!</v>
      </c>
    </row>
    <row r="156" spans="2:38" x14ac:dyDescent="0.2">
      <c r="B156" s="10" t="str">
        <f>B34</f>
        <v>2nd highest Expenses Comp. ( Power and Fuel )</v>
      </c>
      <c r="C156" s="10"/>
      <c r="D156" s="10"/>
      <c r="E156" s="10"/>
      <c r="F156" s="128"/>
      <c r="G156" s="128">
        <f t="shared" ref="G156" si="564">G34/G25</f>
        <v>7.9710144927536225E-2</v>
      </c>
      <c r="H156" s="128">
        <f t="shared" ref="H156:I156" si="565">H34/H25</f>
        <v>7.9710144927536225E-2</v>
      </c>
      <c r="I156" s="128">
        <f t="shared" si="565"/>
        <v>8.9285714285714288E-2</v>
      </c>
      <c r="J156" s="128">
        <f t="shared" ref="J156:Q156" si="566">J34/J25</f>
        <v>8.7248322147651006E-2</v>
      </c>
      <c r="K156" s="128">
        <f t="shared" si="566"/>
        <v>7.9646017699115043E-2</v>
      </c>
      <c r="L156" s="128">
        <f t="shared" si="566"/>
        <v>7.9310344827586213E-2</v>
      </c>
      <c r="M156" s="128">
        <f t="shared" si="566"/>
        <v>8.069164265129683E-2</v>
      </c>
      <c r="N156" s="128">
        <f t="shared" si="566"/>
        <v>0.37752161383285304</v>
      </c>
      <c r="O156" s="128">
        <f t="shared" si="566"/>
        <v>0.34634146341463412</v>
      </c>
      <c r="P156" s="128">
        <f t="shared" si="566"/>
        <v>0.14712643678160919</v>
      </c>
      <c r="Q156" s="128" t="e">
        <f t="shared" si="566"/>
        <v>#DIV/0!</v>
      </c>
      <c r="R156" s="128">
        <f t="shared" ref="R156:W156" si="567">R34/R25</f>
        <v>0.12964090079123555</v>
      </c>
      <c r="S156" s="128">
        <f t="shared" si="567"/>
        <v>8.8196505110451698E-2</v>
      </c>
      <c r="T156" s="128">
        <f t="shared" si="567"/>
        <v>8.4683862131933352E-2</v>
      </c>
      <c r="U156" s="128">
        <f t="shared" si="567"/>
        <v>8.9349217638691317E-2</v>
      </c>
      <c r="V156" s="128">
        <f t="shared" si="567"/>
        <v>8.087233075874603E-2</v>
      </c>
      <c r="W156" s="128">
        <f t="shared" si="567"/>
        <v>8.087233075874603E-2</v>
      </c>
      <c r="X156" s="101">
        <f t="shared" si="481"/>
        <v>9.0508941672662324E-4</v>
      </c>
      <c r="Y156" s="10"/>
      <c r="Z156" s="128">
        <f t="shared" ref="Z156:AI156" si="568">Z34/Z25</f>
        <v>8.0872330758746017E-2</v>
      </c>
      <c r="AA156" s="128">
        <f t="shared" si="568"/>
        <v>8.0872330758746017E-2</v>
      </c>
      <c r="AB156" s="128">
        <f t="shared" si="568"/>
        <v>8.0872330758746017E-2</v>
      </c>
      <c r="AC156" s="128">
        <f t="shared" si="568"/>
        <v>8.0872330758746017E-2</v>
      </c>
      <c r="AD156" s="128">
        <f t="shared" si="568"/>
        <v>8.0872330758746017E-2</v>
      </c>
      <c r="AE156" s="128">
        <f t="shared" si="568"/>
        <v>8.0872330758746003E-2</v>
      </c>
      <c r="AF156" s="128">
        <f t="shared" si="568"/>
        <v>8.0872330758746003E-2</v>
      </c>
      <c r="AG156" s="128">
        <f t="shared" si="568"/>
        <v>8.0872330758746003E-2</v>
      </c>
      <c r="AH156" s="128">
        <f t="shared" si="568"/>
        <v>8.0872330758746017E-2</v>
      </c>
      <c r="AI156" s="128">
        <f t="shared" si="568"/>
        <v>8.0872330758746017E-2</v>
      </c>
      <c r="AJ156" s="115">
        <f t="shared" si="368"/>
        <v>-3.0308609492084582E-3</v>
      </c>
      <c r="AK156" s="21">
        <f t="shared" si="369"/>
        <v>0.01</v>
      </c>
      <c r="AL156" s="123" t="e">
        <f t="shared" si="503"/>
        <v>#DIV/0!</v>
      </c>
    </row>
    <row r="157" spans="2:38" x14ac:dyDescent="0.2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1" t="e">
        <f t="shared" si="481"/>
        <v>#DIV/0!</v>
      </c>
      <c r="Y157" s="10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16"/>
      <c r="AK157" s="123"/>
      <c r="AL157" s="123"/>
    </row>
    <row r="158" spans="2:38" x14ac:dyDescent="0.2">
      <c r="B158" s="93" t="s">
        <v>304</v>
      </c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01" t="e">
        <f t="shared" si="481"/>
        <v>#DIV/0!</v>
      </c>
      <c r="Y158" s="10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0"/>
      <c r="AK158" s="123"/>
      <c r="AL158" s="123"/>
    </row>
    <row r="159" spans="2:38" x14ac:dyDescent="0.2">
      <c r="B159" s="10" t="s">
        <v>307</v>
      </c>
      <c r="C159" s="10"/>
      <c r="D159" s="10"/>
      <c r="E159" s="10"/>
      <c r="F159" s="15"/>
      <c r="G159" s="15">
        <f t="shared" ref="G159" si="569">G15/G9</f>
        <v>1.8461538461538463</v>
      </c>
      <c r="H159" s="15">
        <f t="shared" ref="H159:I159" si="570">H15/H9</f>
        <v>1.5</v>
      </c>
      <c r="I159" s="15">
        <f t="shared" si="570"/>
        <v>1.5404255319148936</v>
      </c>
      <c r="J159" s="15">
        <f t="shared" ref="J159:Q159" si="571">J15/J9</f>
        <v>1.967741935483871</v>
      </c>
      <c r="K159" s="15">
        <f t="shared" si="571"/>
        <v>1.9018404907975459</v>
      </c>
      <c r="L159" s="15">
        <f t="shared" si="571"/>
        <v>1.4747899159663866</v>
      </c>
      <c r="M159" s="15">
        <f t="shared" si="571"/>
        <v>1.4916666666666667</v>
      </c>
      <c r="N159" s="15">
        <f t="shared" si="571"/>
        <v>1.6996587030716723</v>
      </c>
      <c r="O159" s="15">
        <f t="shared" si="571"/>
        <v>1.3062499999999999</v>
      </c>
      <c r="P159" s="15">
        <f t="shared" si="571"/>
        <v>0.82491582491582494</v>
      </c>
      <c r="Q159" s="15" t="e">
        <f t="shared" si="571"/>
        <v>#DIV/0!</v>
      </c>
      <c r="R159" s="15">
        <f t="shared" ref="R159:W159" si="572">R15/R9</f>
        <v>0.80017301038062283</v>
      </c>
      <c r="S159" s="15">
        <f t="shared" si="572"/>
        <v>0.69460390355912749</v>
      </c>
      <c r="T159" s="15">
        <f t="shared" si="572"/>
        <v>0.74192546583850927</v>
      </c>
      <c r="U159" s="15">
        <f t="shared" si="572"/>
        <v>0.6114070824193043</v>
      </c>
      <c r="V159" s="15">
        <f t="shared" si="572"/>
        <v>0.48741240591746693</v>
      </c>
      <c r="W159" s="15">
        <f t="shared" si="572"/>
        <v>0.48741240591746693</v>
      </c>
      <c r="X159" s="101">
        <f t="shared" si="481"/>
        <v>-7.9864486366948872E-2</v>
      </c>
      <c r="Y159" s="10"/>
      <c r="Z159" s="10">
        <f t="shared" ref="Z159:AI159" si="573">Z15/Z9</f>
        <v>0.48741240591746687</v>
      </c>
      <c r="AA159" s="10">
        <f t="shared" si="573"/>
        <v>0.48741240591746687</v>
      </c>
      <c r="AB159" s="10">
        <f t="shared" si="573"/>
        <v>0.48741240591746693</v>
      </c>
      <c r="AC159" s="10">
        <f t="shared" si="573"/>
        <v>0.48741240591746693</v>
      </c>
      <c r="AD159" s="10">
        <f t="shared" si="573"/>
        <v>0.48741240591746693</v>
      </c>
      <c r="AE159" s="10">
        <f t="shared" si="573"/>
        <v>0.48741240591746687</v>
      </c>
      <c r="AF159" s="10">
        <f t="shared" si="573"/>
        <v>0.48741240591746687</v>
      </c>
      <c r="AG159" s="10">
        <f t="shared" si="573"/>
        <v>0.48741240591746687</v>
      </c>
      <c r="AH159" s="10">
        <f t="shared" si="573"/>
        <v>0.48741240591746687</v>
      </c>
      <c r="AI159" s="10">
        <f t="shared" si="573"/>
        <v>0.48741240591746687</v>
      </c>
      <c r="AJ159" s="115">
        <f t="shared" si="368"/>
        <v>-5.4291837458958159E-2</v>
      </c>
      <c r="AK159" s="21">
        <f t="shared" si="369"/>
        <v>0.01</v>
      </c>
      <c r="AL159" s="123" t="e">
        <f t="shared" si="503"/>
        <v>#DIV/0!</v>
      </c>
    </row>
    <row r="160" spans="2:38" x14ac:dyDescent="0.2">
      <c r="B160" s="10" t="s">
        <v>297</v>
      </c>
      <c r="C160" s="10"/>
      <c r="D160" s="10"/>
      <c r="E160" s="10"/>
      <c r="F160" s="15"/>
      <c r="G160" s="15">
        <f t="shared" ref="G160" si="574">G12/G9</f>
        <v>1.043956043956044</v>
      </c>
      <c r="H160" s="15">
        <f t="shared" ref="H160:I160" si="575">H12/H9</f>
        <v>0.77272727272727271</v>
      </c>
      <c r="I160" s="15">
        <f t="shared" si="575"/>
        <v>0.76595744680851063</v>
      </c>
      <c r="J160" s="15">
        <f t="shared" ref="J160:Q160" si="576">J12/J9</f>
        <v>0.90322580645161288</v>
      </c>
      <c r="K160" s="15">
        <f t="shared" si="576"/>
        <v>0.96932515337423308</v>
      </c>
      <c r="L160" s="15">
        <f t="shared" si="576"/>
        <v>0.60504201680672265</v>
      </c>
      <c r="M160" s="15">
        <f t="shared" si="576"/>
        <v>0.56666666666666665</v>
      </c>
      <c r="N160" s="15">
        <f t="shared" si="576"/>
        <v>0.92832764505119458</v>
      </c>
      <c r="O160" s="15">
        <f t="shared" si="576"/>
        <v>0.65</v>
      </c>
      <c r="P160" s="15">
        <f t="shared" si="576"/>
        <v>0.55555555555555558</v>
      </c>
      <c r="Q160" s="15" t="e">
        <f t="shared" si="576"/>
        <v>#DIV/0!</v>
      </c>
      <c r="R160" s="15">
        <f t="shared" ref="R160:W160" si="577">R12/R9</f>
        <v>0.23961937716262977</v>
      </c>
      <c r="S160" s="15">
        <f t="shared" si="577"/>
        <v>0.37619594336012246</v>
      </c>
      <c r="T160" s="15">
        <f t="shared" si="577"/>
        <v>0.42826086956521742</v>
      </c>
      <c r="U160" s="15">
        <f t="shared" si="577"/>
        <v>0.34221247257912879</v>
      </c>
      <c r="V160" s="15">
        <f t="shared" si="577"/>
        <v>0.26836231507915909</v>
      </c>
      <c r="W160" s="15">
        <f t="shared" si="577"/>
        <v>0.26836231507915909</v>
      </c>
      <c r="X160" s="101">
        <f t="shared" si="481"/>
        <v>-8.1397850542056949E-2</v>
      </c>
      <c r="Y160" s="109"/>
      <c r="Z160" s="10">
        <f t="shared" ref="Z160:AI160" si="578">Z12/Z9</f>
        <v>0.26836231507915909</v>
      </c>
      <c r="AA160" s="10">
        <f t="shared" si="578"/>
        <v>0.26836231507915903</v>
      </c>
      <c r="AB160" s="10">
        <f t="shared" si="578"/>
        <v>0.26836231507915903</v>
      </c>
      <c r="AC160" s="10">
        <f t="shared" si="578"/>
        <v>0.26836231507915903</v>
      </c>
      <c r="AD160" s="10">
        <f t="shared" si="578"/>
        <v>0.26836231507915903</v>
      </c>
      <c r="AE160" s="10">
        <f t="shared" si="578"/>
        <v>0.26836231507915898</v>
      </c>
      <c r="AF160" s="10">
        <f t="shared" si="578"/>
        <v>0.26836231507915898</v>
      </c>
      <c r="AG160" s="10">
        <f t="shared" si="578"/>
        <v>0.26836231507915898</v>
      </c>
      <c r="AH160" s="10">
        <f t="shared" si="578"/>
        <v>0.26836231507915898</v>
      </c>
      <c r="AI160" s="10">
        <f t="shared" si="578"/>
        <v>0.26836231507915903</v>
      </c>
      <c r="AJ160" s="101">
        <f t="shared" ref="AJ160" si="579">((AI160/Z160)^(1/($K$2-$K$1) ))-1</f>
        <v>0</v>
      </c>
      <c r="AK160" s="21">
        <f t="shared" si="369"/>
        <v>0.01</v>
      </c>
      <c r="AL160" s="123" t="e">
        <f t="shared" si="503"/>
        <v>#DIV/0!</v>
      </c>
    </row>
    <row r="161" spans="2:38" x14ac:dyDescent="0.2">
      <c r="B161" s="10" t="s">
        <v>299</v>
      </c>
      <c r="C161" s="10"/>
      <c r="D161" s="10"/>
      <c r="E161" s="10"/>
      <c r="F161" s="15"/>
      <c r="G161" s="15">
        <f t="shared" ref="G161" si="580">G25/360</f>
        <v>0.38333333333333336</v>
      </c>
      <c r="H161" s="15">
        <f t="shared" ref="H161:I161" si="581">H25/360</f>
        <v>0.38333333333333336</v>
      </c>
      <c r="I161" s="15">
        <f t="shared" si="581"/>
        <v>0.62222222222222223</v>
      </c>
      <c r="J161" s="15">
        <f t="shared" ref="J161:Q161" si="582">J25/360</f>
        <v>0.82777777777777772</v>
      </c>
      <c r="K161" s="15">
        <f t="shared" si="582"/>
        <v>0.94166666666666665</v>
      </c>
      <c r="L161" s="15">
        <f t="shared" si="582"/>
        <v>0.80555555555555558</v>
      </c>
      <c r="M161" s="15">
        <f t="shared" si="582"/>
        <v>0.96388888888888891</v>
      </c>
      <c r="N161" s="15">
        <f t="shared" si="582"/>
        <v>0.96388888888888891</v>
      </c>
      <c r="O161" s="15">
        <f t="shared" si="582"/>
        <v>1.1388888888888888</v>
      </c>
      <c r="P161" s="15">
        <f t="shared" si="582"/>
        <v>3.625</v>
      </c>
      <c r="Q161" s="15">
        <f t="shared" si="582"/>
        <v>0</v>
      </c>
      <c r="R161" s="15">
        <f t="shared" ref="R161:W161" si="583">R25/360</f>
        <v>9.1277777777777782</v>
      </c>
      <c r="S161" s="15">
        <f t="shared" si="583"/>
        <v>16.850000000000001</v>
      </c>
      <c r="T161" s="15">
        <f t="shared" si="583"/>
        <v>24.338888888888889</v>
      </c>
      <c r="U161" s="15">
        <f t="shared" si="583"/>
        <v>31.244444444444444</v>
      </c>
      <c r="V161" s="15">
        <f t="shared" si="583"/>
        <v>18.341666666666665</v>
      </c>
      <c r="W161" s="15">
        <f t="shared" si="583"/>
        <v>18.341666666666665</v>
      </c>
      <c r="X161" s="101">
        <f t="shared" si="481"/>
        <v>0.27347782840195189</v>
      </c>
      <c r="Y161" s="109"/>
      <c r="Z161" s="15">
        <f t="shared" ref="Z161:AI161" si="584">Z25/360</f>
        <v>21.092916666666667</v>
      </c>
      <c r="AA161" s="15">
        <f t="shared" si="584"/>
        <v>24.256854166666663</v>
      </c>
      <c r="AB161" s="15">
        <f t="shared" si="584"/>
        <v>27.89538229166666</v>
      </c>
      <c r="AC161" s="15">
        <f t="shared" si="584"/>
        <v>32.079689635416656</v>
      </c>
      <c r="AD161" s="15">
        <f t="shared" si="584"/>
        <v>36.891643080729153</v>
      </c>
      <c r="AE161" s="15">
        <f t="shared" si="584"/>
        <v>42.425389542838523</v>
      </c>
      <c r="AF161" s="15">
        <f t="shared" si="584"/>
        <v>48.789197974264297</v>
      </c>
      <c r="AG161" s="15">
        <f t="shared" si="584"/>
        <v>56.107577670403934</v>
      </c>
      <c r="AH161" s="15">
        <f t="shared" si="584"/>
        <v>64.523714320964515</v>
      </c>
      <c r="AI161" s="15">
        <f t="shared" si="584"/>
        <v>74.202271469109192</v>
      </c>
      <c r="AJ161" s="101">
        <f t="shared" ref="AJ161:AJ172" si="585">((AI161/Z161)^(1/($K$2-$K$1) ))-1</f>
        <v>8.1788935547722597E-2</v>
      </c>
      <c r="AK161" s="21">
        <f t="shared" si="369"/>
        <v>0.01</v>
      </c>
      <c r="AL161" s="123" t="e">
        <f t="shared" si="503"/>
        <v>#DIV/0!</v>
      </c>
    </row>
    <row r="162" spans="2:38" x14ac:dyDescent="0.2">
      <c r="B162" s="10" t="s">
        <v>298</v>
      </c>
      <c r="C162" s="10"/>
      <c r="D162" s="10"/>
      <c r="E162" s="10"/>
      <c r="F162" s="15"/>
      <c r="G162" s="15">
        <f t="shared" ref="G162" si="586">G27/360</f>
        <v>0.24166666666666667</v>
      </c>
      <c r="H162" s="15">
        <f t="shared" ref="H162:I162" si="587">H27/360</f>
        <v>0.24166666666666667</v>
      </c>
      <c r="I162" s="15">
        <f t="shared" si="587"/>
        <v>0.41111111111111109</v>
      </c>
      <c r="J162" s="15">
        <f t="shared" ref="J162:Q162" si="588">J27/360</f>
        <v>0.55000000000000004</v>
      </c>
      <c r="K162" s="15">
        <f t="shared" si="588"/>
        <v>0.66666666666666663</v>
      </c>
      <c r="L162" s="15">
        <f t="shared" si="588"/>
        <v>0.62222222222222223</v>
      </c>
      <c r="M162" s="15">
        <f t="shared" si="588"/>
        <v>0.65833333333333333</v>
      </c>
      <c r="N162" s="15">
        <f t="shared" si="588"/>
        <v>0.65833333333333333</v>
      </c>
      <c r="O162" s="15">
        <f t="shared" si="588"/>
        <v>0.79166666666666663</v>
      </c>
      <c r="P162" s="15">
        <f t="shared" si="588"/>
        <v>3.1749999999999998</v>
      </c>
      <c r="Q162" s="15">
        <f t="shared" si="588"/>
        <v>0</v>
      </c>
      <c r="R162" s="15">
        <f t="shared" ref="R162:W162" si="589">R27/360</f>
        <v>8.3388888888888886</v>
      </c>
      <c r="S162" s="15">
        <f t="shared" si="589"/>
        <v>16.413888888888888</v>
      </c>
      <c r="T162" s="15">
        <f t="shared" si="589"/>
        <v>23.4</v>
      </c>
      <c r="U162" s="15">
        <f t="shared" si="589"/>
        <v>30.213888888888889</v>
      </c>
      <c r="V162" s="15">
        <f t="shared" si="589"/>
        <v>18.113888888888887</v>
      </c>
      <c r="W162" s="15">
        <f t="shared" si="589"/>
        <v>18.113888888888887</v>
      </c>
      <c r="X162" s="101">
        <f t="shared" si="481"/>
        <v>0.30970861499649449</v>
      </c>
      <c r="Y162" s="109"/>
      <c r="Z162" s="15">
        <f t="shared" ref="Z162:AI162" si="590">Z27/360</f>
        <v>20.830972222222222</v>
      </c>
      <c r="AA162" s="15">
        <f t="shared" si="590"/>
        <v>23.955618055555554</v>
      </c>
      <c r="AB162" s="15">
        <f t="shared" si="590"/>
        <v>27.548960763888882</v>
      </c>
      <c r="AC162" s="15">
        <f t="shared" si="590"/>
        <v>31.681304878472211</v>
      </c>
      <c r="AD162" s="15">
        <f t="shared" si="590"/>
        <v>36.433500610243044</v>
      </c>
      <c r="AE162" s="15">
        <f t="shared" si="590"/>
        <v>41.898525701779491</v>
      </c>
      <c r="AF162" s="15">
        <f t="shared" si="590"/>
        <v>48.183304557046419</v>
      </c>
      <c r="AG162" s="15">
        <f t="shared" si="590"/>
        <v>55.410800240603372</v>
      </c>
      <c r="AH162" s="15">
        <f t="shared" si="590"/>
        <v>63.722420276693875</v>
      </c>
      <c r="AI162" s="15">
        <f t="shared" si="590"/>
        <v>73.280783318197948</v>
      </c>
      <c r="AJ162" s="101">
        <f t="shared" si="585"/>
        <v>8.1788935547722597E-2</v>
      </c>
      <c r="AK162" s="21">
        <f t="shared" si="369"/>
        <v>0.01</v>
      </c>
      <c r="AL162" s="123" t="e">
        <f t="shared" si="503"/>
        <v>#DIV/0!</v>
      </c>
    </row>
    <row r="163" spans="2:38" x14ac:dyDescent="0.2">
      <c r="B163" s="10"/>
      <c r="C163" s="10"/>
      <c r="D163" s="10"/>
      <c r="E163" s="10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01" t="e">
        <f t="shared" si="481"/>
        <v>#DIV/0!</v>
      </c>
      <c r="Y163" s="10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09"/>
      <c r="AK163" s="123"/>
      <c r="AL163" s="123"/>
    </row>
    <row r="164" spans="2:38" x14ac:dyDescent="0.2">
      <c r="B164" s="10" t="s">
        <v>308</v>
      </c>
      <c r="C164" s="10"/>
      <c r="D164" s="10"/>
      <c r="E164" s="10"/>
      <c r="F164" s="15"/>
      <c r="G164" s="15">
        <f t="shared" ref="G164" si="591">G10/G7</f>
        <v>0.10416666666666667</v>
      </c>
      <c r="H164" s="15">
        <f t="shared" ref="H164:I164" si="592">H10/H7</f>
        <v>1.2048192771084338E-3</v>
      </c>
      <c r="I164" s="15">
        <f t="shared" si="592"/>
        <v>4.666666666666667</v>
      </c>
      <c r="J164" s="15">
        <f t="shared" ref="J164:Q164" si="593">J10/J7</f>
        <v>1.4666666666666666</v>
      </c>
      <c r="K164" s="15">
        <f t="shared" si="593"/>
        <v>1.1659192825112108</v>
      </c>
      <c r="L164" s="15">
        <f t="shared" si="593"/>
        <v>0.5629139072847682</v>
      </c>
      <c r="M164" s="15">
        <f t="shared" si="593"/>
        <v>0.5911764705882353</v>
      </c>
      <c r="N164" s="15">
        <f t="shared" si="593"/>
        <v>0.57397959183673475</v>
      </c>
      <c r="O164" s="15">
        <f t="shared" si="593"/>
        <v>0.42465753424657532</v>
      </c>
      <c r="P164" s="15">
        <f t="shared" si="593"/>
        <v>0.26162790697674421</v>
      </c>
      <c r="Q164" s="15" t="e">
        <f t="shared" si="593"/>
        <v>#DIV/0!</v>
      </c>
      <c r="R164" s="15">
        <f t="shared" ref="R164:W164" si="594">R10/R7</f>
        <v>0.27831957989497375</v>
      </c>
      <c r="S164" s="15">
        <f t="shared" si="594"/>
        <v>0.59329446064139946</v>
      </c>
      <c r="T164" s="15">
        <f t="shared" si="594"/>
        <v>0.55992420653718622</v>
      </c>
      <c r="U164" s="15">
        <f t="shared" si="594"/>
        <v>3.4252104716872331E-2</v>
      </c>
      <c r="V164" s="15">
        <f t="shared" si="594"/>
        <v>3.3397053862588552E-2</v>
      </c>
      <c r="W164" s="15">
        <f t="shared" si="594"/>
        <v>3.3397053862588552E-2</v>
      </c>
      <c r="X164" s="101">
        <f t="shared" si="481"/>
        <v>-6.8626854039287477E-2</v>
      </c>
      <c r="Y164" s="109"/>
      <c r="Z164" s="15">
        <f t="shared" ref="Z164:AI164" si="595">Z10/Z7</f>
        <v>3.3397053862588552E-2</v>
      </c>
      <c r="AA164" s="15">
        <f t="shared" si="595"/>
        <v>3.3397053862588552E-2</v>
      </c>
      <c r="AB164" s="15">
        <f t="shared" si="595"/>
        <v>3.3397053862588545E-2</v>
      </c>
      <c r="AC164" s="15">
        <f t="shared" si="595"/>
        <v>3.3397053862588552E-2</v>
      </c>
      <c r="AD164" s="15">
        <f t="shared" si="595"/>
        <v>3.3397053862588545E-2</v>
      </c>
      <c r="AE164" s="15">
        <f t="shared" si="595"/>
        <v>3.3397053862588552E-2</v>
      </c>
      <c r="AF164" s="15">
        <f t="shared" si="595"/>
        <v>3.3397053862588552E-2</v>
      </c>
      <c r="AG164" s="15">
        <f t="shared" si="595"/>
        <v>3.3397053862588552E-2</v>
      </c>
      <c r="AH164" s="15">
        <f t="shared" si="595"/>
        <v>3.3397053862588552E-2</v>
      </c>
      <c r="AI164" s="15">
        <f t="shared" si="595"/>
        <v>3.3397053862588552E-2</v>
      </c>
      <c r="AJ164" s="101">
        <f t="shared" si="585"/>
        <v>0</v>
      </c>
      <c r="AK164" s="21">
        <f t="shared" si="369"/>
        <v>0.01</v>
      </c>
      <c r="AL164" s="123" t="e">
        <f t="shared" si="503"/>
        <v>#DIV/0!</v>
      </c>
    </row>
    <row r="165" spans="2:38" x14ac:dyDescent="0.2">
      <c r="B165" s="10" t="s">
        <v>300</v>
      </c>
      <c r="C165" s="10"/>
      <c r="D165" s="10"/>
      <c r="E165" s="10"/>
      <c r="F165" s="15"/>
      <c r="G165" s="15">
        <f t="shared" ref="G165" si="596">G10/(G10+G7)</f>
        <v>9.4339622641509441E-2</v>
      </c>
      <c r="H165" s="15">
        <f t="shared" ref="H165:I165" si="597">H10/(H10+H7)</f>
        <v>1.2033694344163659E-3</v>
      </c>
      <c r="I165" s="15">
        <f t="shared" si="597"/>
        <v>0.82352941176470584</v>
      </c>
      <c r="J165" s="15">
        <f t="shared" ref="J165:Q165" si="598">J10/(J10+J7)</f>
        <v>0.59459459459459463</v>
      </c>
      <c r="K165" s="15">
        <f t="shared" si="598"/>
        <v>0.5383022774327122</v>
      </c>
      <c r="L165" s="15">
        <f t="shared" si="598"/>
        <v>0.36016949152542371</v>
      </c>
      <c r="M165" s="15">
        <f t="shared" si="598"/>
        <v>0.37153419593345655</v>
      </c>
      <c r="N165" s="15">
        <f t="shared" si="598"/>
        <v>0.36466774716369532</v>
      </c>
      <c r="O165" s="15">
        <f t="shared" si="598"/>
        <v>0.29807692307692307</v>
      </c>
      <c r="P165" s="15">
        <f t="shared" si="598"/>
        <v>0.20737327188940091</v>
      </c>
      <c r="Q165" s="15" t="e">
        <f t="shared" si="598"/>
        <v>#DIV/0!</v>
      </c>
      <c r="R165" s="15">
        <f t="shared" ref="R165:W165" si="599">R10/(R10+R7)</f>
        <v>0.21772300469483569</v>
      </c>
      <c r="S165" s="15">
        <f t="shared" si="599"/>
        <v>0.37236962488563585</v>
      </c>
      <c r="T165" s="15">
        <f t="shared" si="599"/>
        <v>0.35894321287579717</v>
      </c>
      <c r="U165" s="15">
        <f t="shared" si="599"/>
        <v>3.3117752007136486E-2</v>
      </c>
      <c r="V165" s="15">
        <f t="shared" si="599"/>
        <v>3.2317736670293799E-2</v>
      </c>
      <c r="W165" s="15">
        <f t="shared" si="599"/>
        <v>3.2317736670293799E-2</v>
      </c>
      <c r="X165" s="101">
        <f t="shared" si="481"/>
        <v>-6.4763010602870263E-2</v>
      </c>
      <c r="Y165" s="109"/>
      <c r="Z165" s="15">
        <f t="shared" ref="Z165:AI165" si="600">Z10/(Z10+Z7)</f>
        <v>3.2317736670293799E-2</v>
      </c>
      <c r="AA165" s="15">
        <f t="shared" si="600"/>
        <v>3.2317736670293799E-2</v>
      </c>
      <c r="AB165" s="15">
        <f t="shared" si="600"/>
        <v>3.2317736670293792E-2</v>
      </c>
      <c r="AC165" s="15">
        <f t="shared" si="600"/>
        <v>3.2317736670293792E-2</v>
      </c>
      <c r="AD165" s="15">
        <f t="shared" si="600"/>
        <v>3.2317736670293792E-2</v>
      </c>
      <c r="AE165" s="15">
        <f t="shared" si="600"/>
        <v>3.2317736670293792E-2</v>
      </c>
      <c r="AF165" s="15">
        <f t="shared" si="600"/>
        <v>3.2317736670293792E-2</v>
      </c>
      <c r="AG165" s="15">
        <f t="shared" si="600"/>
        <v>3.2317736670293799E-2</v>
      </c>
      <c r="AH165" s="15">
        <f t="shared" si="600"/>
        <v>3.2317736670293792E-2</v>
      </c>
      <c r="AI165" s="15">
        <f t="shared" si="600"/>
        <v>3.2317736670293799E-2</v>
      </c>
      <c r="AJ165" s="101">
        <f t="shared" si="585"/>
        <v>0</v>
      </c>
      <c r="AK165" s="21">
        <f t="shared" si="369"/>
        <v>0.01</v>
      </c>
      <c r="AL165" s="123" t="e">
        <f t="shared" si="503"/>
        <v>#DIV/0!</v>
      </c>
    </row>
    <row r="166" spans="2:38" x14ac:dyDescent="0.2">
      <c r="B166" s="10"/>
      <c r="C166" s="10"/>
      <c r="D166" s="10"/>
      <c r="E166" s="10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01" t="e">
        <f t="shared" si="481"/>
        <v>#DIV/0!</v>
      </c>
      <c r="Y166" s="10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14"/>
      <c r="AK166" s="123"/>
      <c r="AL166" s="123"/>
    </row>
    <row r="167" spans="2:38" x14ac:dyDescent="0.2">
      <c r="B167" s="10" t="s">
        <v>305</v>
      </c>
      <c r="C167" s="10"/>
      <c r="D167" s="10"/>
      <c r="E167" s="10"/>
      <c r="F167" s="15"/>
      <c r="G167" s="15">
        <f t="shared" ref="G167" si="601">G16</f>
        <v>105</v>
      </c>
      <c r="H167" s="15">
        <f t="shared" ref="H167:I167" si="602">H16</f>
        <v>97</v>
      </c>
      <c r="I167" s="15">
        <f t="shared" si="602"/>
        <v>185</v>
      </c>
      <c r="J167" s="15">
        <f t="shared" ref="J167:Q167" si="603">J16</f>
        <v>263</v>
      </c>
      <c r="K167" s="15">
        <f t="shared" si="603"/>
        <v>268</v>
      </c>
      <c r="L167" s="15">
        <f t="shared" si="603"/>
        <v>217</v>
      </c>
      <c r="M167" s="15">
        <f t="shared" si="603"/>
        <v>279</v>
      </c>
      <c r="N167" s="15">
        <f t="shared" si="603"/>
        <v>330</v>
      </c>
      <c r="O167" s="15">
        <f t="shared" si="603"/>
        <v>267</v>
      </c>
      <c r="P167" s="15">
        <f t="shared" si="603"/>
        <v>227</v>
      </c>
      <c r="Q167" s="15">
        <f t="shared" si="603"/>
        <v>0</v>
      </c>
      <c r="R167" s="15">
        <f t="shared" ref="R167:W167" si="604">R16</f>
        <v>278</v>
      </c>
      <c r="S167" s="15">
        <f t="shared" si="604"/>
        <v>200</v>
      </c>
      <c r="T167" s="15">
        <f t="shared" si="604"/>
        <v>458</v>
      </c>
      <c r="U167" s="15">
        <f t="shared" si="604"/>
        <v>-152</v>
      </c>
      <c r="V167" s="15">
        <f t="shared" si="604"/>
        <v>-578</v>
      </c>
      <c r="W167" s="15">
        <f t="shared" si="604"/>
        <v>-578</v>
      </c>
      <c r="X167" s="101" t="e">
        <f t="shared" si="481"/>
        <v>#NUM!</v>
      </c>
      <c r="Y167" s="109"/>
      <c r="Z167" s="15">
        <f t="shared" ref="Z167:AI167" si="605">Z16</f>
        <v>-664.69999999999993</v>
      </c>
      <c r="AA167" s="15">
        <f t="shared" si="605"/>
        <v>-764.40499999999986</v>
      </c>
      <c r="AB167" s="15">
        <f t="shared" si="605"/>
        <v>-879.06574999999975</v>
      </c>
      <c r="AC167" s="15">
        <f t="shared" si="605"/>
        <v>-1010.9256124999996</v>
      </c>
      <c r="AD167" s="15">
        <f t="shared" si="605"/>
        <v>-1162.5644543749995</v>
      </c>
      <c r="AE167" s="15">
        <f t="shared" si="605"/>
        <v>-1336.9491225312493</v>
      </c>
      <c r="AF167" s="15">
        <f t="shared" si="605"/>
        <v>-1537.4914909109366</v>
      </c>
      <c r="AG167" s="15">
        <f t="shared" si="605"/>
        <v>-1768.1152145475769</v>
      </c>
      <c r="AH167" s="15">
        <f t="shared" si="605"/>
        <v>-2033.3324967297133</v>
      </c>
      <c r="AI167" s="15">
        <f t="shared" si="605"/>
        <v>-2338.3323712391702</v>
      </c>
      <c r="AJ167" s="101">
        <f t="shared" si="585"/>
        <v>8.1788935547722597E-2</v>
      </c>
      <c r="AK167" s="21">
        <f t="shared" si="369"/>
        <v>0.01</v>
      </c>
      <c r="AL167" s="123" t="e">
        <f t="shared" si="503"/>
        <v>#DIV/0!</v>
      </c>
    </row>
    <row r="168" spans="2:38" x14ac:dyDescent="0.2">
      <c r="B168" s="10" t="s">
        <v>306</v>
      </c>
      <c r="C168" s="10"/>
      <c r="D168" s="10"/>
      <c r="E168" s="10"/>
      <c r="F168" s="102"/>
      <c r="G168" s="102">
        <f t="shared" ref="G168" si="606">G167*365/G25</f>
        <v>277.71739130434781</v>
      </c>
      <c r="H168" s="102">
        <f t="shared" ref="H168:I168" si="607">H167*365/H25</f>
        <v>256.55797101449275</v>
      </c>
      <c r="I168" s="102">
        <f t="shared" si="607"/>
        <v>301.45089285714283</v>
      </c>
      <c r="J168" s="102">
        <f t="shared" ref="J168:Q168" si="608">J167*365/J25</f>
        <v>322.13087248322148</v>
      </c>
      <c r="K168" s="102">
        <f t="shared" si="608"/>
        <v>288.55457227138641</v>
      </c>
      <c r="L168" s="102">
        <f t="shared" si="608"/>
        <v>273.12068965517244</v>
      </c>
      <c r="M168" s="102">
        <f t="shared" si="608"/>
        <v>293.47262247838614</v>
      </c>
      <c r="N168" s="102">
        <f t="shared" si="608"/>
        <v>347.11815561959656</v>
      </c>
      <c r="O168" s="102">
        <f t="shared" si="608"/>
        <v>237.69512195121951</v>
      </c>
      <c r="P168" s="102">
        <f t="shared" si="608"/>
        <v>63.490421455938694</v>
      </c>
      <c r="Q168" s="102" t="e">
        <f t="shared" si="608"/>
        <v>#DIV/0!</v>
      </c>
      <c r="R168" s="102">
        <f t="shared" ref="R168:W168" si="609">R167*365/R25</f>
        <v>30.879488740109554</v>
      </c>
      <c r="S168" s="102">
        <f t="shared" si="609"/>
        <v>12.034289482360698</v>
      </c>
      <c r="T168" s="102">
        <f t="shared" si="609"/>
        <v>19.07897740241954</v>
      </c>
      <c r="U168" s="102">
        <f t="shared" si="609"/>
        <v>-4.9324324324324325</v>
      </c>
      <c r="V168" s="102">
        <f t="shared" si="609"/>
        <v>-31.950628502195972</v>
      </c>
      <c r="W168" s="102">
        <f t="shared" si="609"/>
        <v>-31.950628502195972</v>
      </c>
      <c r="X168" s="101" t="e">
        <f t="shared" si="481"/>
        <v>#NUM!</v>
      </c>
      <c r="Y168" s="109"/>
      <c r="Z168" s="102">
        <f t="shared" ref="Z168:AI168" si="610">Z167*365/Z25</f>
        <v>-31.950628502195968</v>
      </c>
      <c r="AA168" s="102">
        <f t="shared" si="610"/>
        <v>-31.950628502195972</v>
      </c>
      <c r="AB168" s="102">
        <f t="shared" si="610"/>
        <v>-31.950628502195968</v>
      </c>
      <c r="AC168" s="102">
        <f t="shared" si="610"/>
        <v>-31.950628502195968</v>
      </c>
      <c r="AD168" s="102">
        <f t="shared" si="610"/>
        <v>-31.950628502195972</v>
      </c>
      <c r="AE168" s="102">
        <f t="shared" si="610"/>
        <v>-31.950628502195968</v>
      </c>
      <c r="AF168" s="102">
        <f t="shared" si="610"/>
        <v>-31.950628502195968</v>
      </c>
      <c r="AG168" s="102">
        <f t="shared" si="610"/>
        <v>-31.950628502195968</v>
      </c>
      <c r="AH168" s="102">
        <f t="shared" si="610"/>
        <v>-31.950628502195968</v>
      </c>
      <c r="AI168" s="102">
        <f t="shared" si="610"/>
        <v>-31.950628502195972</v>
      </c>
      <c r="AJ168" s="101">
        <f t="shared" si="585"/>
        <v>0</v>
      </c>
      <c r="AK168" s="21">
        <f t="shared" si="369"/>
        <v>0.01</v>
      </c>
      <c r="AL168" s="123" t="e">
        <f t="shared" si="503"/>
        <v>#DIV/0!</v>
      </c>
    </row>
    <row r="169" spans="2:38" x14ac:dyDescent="0.2">
      <c r="B169" s="10" t="s">
        <v>309</v>
      </c>
      <c r="C169" s="10"/>
      <c r="D169" s="10"/>
      <c r="E169" s="10"/>
      <c r="F169" s="111"/>
      <c r="G169" s="111" t="e">
        <f t="shared" ref="G169" si="611">G103/G29</f>
        <v>#DIV/0!</v>
      </c>
      <c r="H169" s="111" t="e">
        <f t="shared" ref="H169:I169" si="612">H103/H29</f>
        <v>#DIV/0!</v>
      </c>
      <c r="I169" s="111" t="e">
        <f t="shared" si="612"/>
        <v>#DIV/0!</v>
      </c>
      <c r="J169" s="111" t="e">
        <f t="shared" ref="J169:Q169" si="613">J103/J29</f>
        <v>#VALUE!</v>
      </c>
      <c r="K169" s="111" t="e">
        <f t="shared" si="613"/>
        <v>#DIV/0!</v>
      </c>
      <c r="L169" s="111" t="e">
        <f t="shared" si="613"/>
        <v>#DIV/0!</v>
      </c>
      <c r="M169" s="111" t="e">
        <f t="shared" si="613"/>
        <v>#DIV/0!</v>
      </c>
      <c r="N169" s="111" t="e">
        <f t="shared" si="613"/>
        <v>#DIV/0!</v>
      </c>
      <c r="O169" s="111" t="e">
        <f t="shared" si="613"/>
        <v>#DIV/0!</v>
      </c>
      <c r="P169" s="111" t="e">
        <f t="shared" si="613"/>
        <v>#DIV/0!</v>
      </c>
      <c r="Q169" s="111" t="e">
        <f t="shared" si="613"/>
        <v>#DIV/0!</v>
      </c>
      <c r="R169" s="111" t="e">
        <f t="shared" ref="R169:W169" si="614">R103/R29</f>
        <v>#DIV/0!</v>
      </c>
      <c r="S169" s="111" t="e">
        <f t="shared" si="614"/>
        <v>#DIV/0!</v>
      </c>
      <c r="T169" s="111" t="e">
        <f t="shared" si="614"/>
        <v>#DIV/0!</v>
      </c>
      <c r="U169" s="111" t="e">
        <f t="shared" si="614"/>
        <v>#DIV/0!</v>
      </c>
      <c r="V169" s="111" t="e">
        <f t="shared" si="614"/>
        <v>#DIV/0!</v>
      </c>
      <c r="W169" s="111">
        <f t="shared" si="614"/>
        <v>2.9705246790646952E-2</v>
      </c>
      <c r="X169" s="101" t="e">
        <f t="shared" si="481"/>
        <v>#DIV/0!</v>
      </c>
      <c r="Y169" s="109"/>
      <c r="Z169" s="111">
        <f t="shared" ref="Z169:AI169" si="615">Z103/Z29</f>
        <v>2.9122790971222501E-2</v>
      </c>
      <c r="AA169" s="111">
        <f t="shared" si="615"/>
        <v>2.8551755854139705E-2</v>
      </c>
      <c r="AB169" s="111">
        <f t="shared" si="615"/>
        <v>2.7991917504058533E-2</v>
      </c>
      <c r="AC169" s="111">
        <f t="shared" si="615"/>
        <v>2.7443056376527972E-2</v>
      </c>
      <c r="AD169" s="111">
        <f t="shared" si="615"/>
        <v>2.690495723189017E-2</v>
      </c>
      <c r="AE169" s="111">
        <f t="shared" si="615"/>
        <v>2.637740905087272E-2</v>
      </c>
      <c r="AF169" s="111">
        <f t="shared" si="615"/>
        <v>2.5860204951836004E-2</v>
      </c>
      <c r="AG169" s="111">
        <f t="shared" si="615"/>
        <v>2.535314210964314E-2</v>
      </c>
      <c r="AH169" s="111">
        <f t="shared" si="615"/>
        <v>2.4856021676120731E-2</v>
      </c>
      <c r="AI169" s="111">
        <f t="shared" si="615"/>
        <v>2.4368648702079145E-2</v>
      </c>
      <c r="AJ169" s="101">
        <f t="shared" si="585"/>
        <v>-1.1077169148422161E-2</v>
      </c>
      <c r="AK169" s="21">
        <f t="shared" si="369"/>
        <v>0.01</v>
      </c>
      <c r="AL169" s="123" t="e">
        <f t="shared" si="503"/>
        <v>#DIV/0!</v>
      </c>
    </row>
    <row r="170" spans="2:38" x14ac:dyDescent="0.2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1" t="e">
        <f t="shared" si="481"/>
        <v>#DIV/0!</v>
      </c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14"/>
      <c r="AK170" s="123"/>
      <c r="AL170" s="123"/>
    </row>
    <row r="171" spans="2:38" x14ac:dyDescent="0.2">
      <c r="B171" s="10" t="s">
        <v>316</v>
      </c>
      <c r="C171" s="10"/>
      <c r="D171" s="10"/>
      <c r="E171" s="10"/>
      <c r="F171" s="153"/>
      <c r="G171" s="153">
        <f t="shared" ref="G171" si="616">G25/G14</f>
        <v>13800</v>
      </c>
      <c r="H171" s="153" t="e">
        <f t="shared" ref="H171:I171" si="617">H25/H14</f>
        <v>#DIV/0!</v>
      </c>
      <c r="I171" s="153" t="e">
        <f t="shared" si="617"/>
        <v>#DIV/0!</v>
      </c>
      <c r="J171" s="153" t="e">
        <f t="shared" ref="J171:Q171" si="618">J25/J14</f>
        <v>#DIV/0!</v>
      </c>
      <c r="K171" s="153" t="e">
        <f t="shared" si="618"/>
        <v>#DIV/0!</v>
      </c>
      <c r="L171" s="153" t="e">
        <f t="shared" si="618"/>
        <v>#DIV/0!</v>
      </c>
      <c r="M171" s="153" t="e">
        <f t="shared" si="618"/>
        <v>#DIV/0!</v>
      </c>
      <c r="N171" s="153" t="e">
        <f t="shared" si="618"/>
        <v>#DIV/0!</v>
      </c>
      <c r="O171" s="153" t="e">
        <f t="shared" si="618"/>
        <v>#DIV/0!</v>
      </c>
      <c r="P171" s="153" t="e">
        <f t="shared" si="618"/>
        <v>#DIV/0!</v>
      </c>
      <c r="Q171" s="153" t="e">
        <f t="shared" si="618"/>
        <v>#DIV/0!</v>
      </c>
      <c r="R171" s="153">
        <f t="shared" ref="R171:W171" si="619">R25/R14</f>
        <v>1084.4884488448845</v>
      </c>
      <c r="S171" s="153">
        <f t="shared" si="619"/>
        <v>2022</v>
      </c>
      <c r="T171" s="153">
        <f t="shared" si="619"/>
        <v>1095.25</v>
      </c>
      <c r="U171" s="153">
        <f t="shared" si="619"/>
        <v>11248</v>
      </c>
      <c r="V171" s="153">
        <f t="shared" si="619"/>
        <v>440.2</v>
      </c>
      <c r="W171" s="153">
        <f t="shared" si="619"/>
        <v>440.2</v>
      </c>
      <c r="X171" s="101">
        <f t="shared" si="481"/>
        <v>-0.19372037622324634</v>
      </c>
      <c r="Y171" s="109"/>
      <c r="Z171" s="10">
        <f t="shared" ref="Z171:AI171" si="620">Z25/Z14</f>
        <v>440.2</v>
      </c>
      <c r="AA171" s="10">
        <f t="shared" si="620"/>
        <v>440.2</v>
      </c>
      <c r="AB171" s="10">
        <f t="shared" si="620"/>
        <v>440.2</v>
      </c>
      <c r="AC171" s="10">
        <f t="shared" si="620"/>
        <v>440.2</v>
      </c>
      <c r="AD171" s="10">
        <f t="shared" si="620"/>
        <v>440.2</v>
      </c>
      <c r="AE171" s="10">
        <f t="shared" si="620"/>
        <v>440.19999999999993</v>
      </c>
      <c r="AF171" s="10">
        <f t="shared" si="620"/>
        <v>440.19999999999993</v>
      </c>
      <c r="AG171" s="10">
        <f t="shared" si="620"/>
        <v>440.19999999999993</v>
      </c>
      <c r="AH171" s="10">
        <f t="shared" si="620"/>
        <v>440.19999999999993</v>
      </c>
      <c r="AI171" s="10">
        <f t="shared" si="620"/>
        <v>440.19999999999993</v>
      </c>
      <c r="AJ171" s="101">
        <f t="shared" si="585"/>
        <v>0</v>
      </c>
      <c r="AK171" s="21">
        <f t="shared" si="369"/>
        <v>0.01</v>
      </c>
      <c r="AL171" s="123" t="e">
        <f t="shared" si="503"/>
        <v>#DIV/0!</v>
      </c>
    </row>
    <row r="172" spans="2:38" x14ac:dyDescent="0.2">
      <c r="B172" s="10" t="s">
        <v>317</v>
      </c>
      <c r="C172" s="10"/>
      <c r="D172" s="10"/>
      <c r="E172" s="10"/>
      <c r="F172" s="153"/>
      <c r="G172" s="153">
        <f t="shared" ref="G172" si="621">G27/G14</f>
        <v>8700</v>
      </c>
      <c r="H172" s="153" t="e">
        <f t="shared" ref="H172:I172" si="622">H27/H14</f>
        <v>#DIV/0!</v>
      </c>
      <c r="I172" s="153" t="e">
        <f t="shared" si="622"/>
        <v>#DIV/0!</v>
      </c>
      <c r="J172" s="153" t="e">
        <f t="shared" ref="J172:Q172" si="623">J27/J14</f>
        <v>#DIV/0!</v>
      </c>
      <c r="K172" s="153" t="e">
        <f t="shared" si="623"/>
        <v>#DIV/0!</v>
      </c>
      <c r="L172" s="153" t="e">
        <f t="shared" si="623"/>
        <v>#DIV/0!</v>
      </c>
      <c r="M172" s="153" t="e">
        <f t="shared" si="623"/>
        <v>#DIV/0!</v>
      </c>
      <c r="N172" s="153" t="e">
        <f t="shared" si="623"/>
        <v>#DIV/0!</v>
      </c>
      <c r="O172" s="153" t="e">
        <f t="shared" si="623"/>
        <v>#DIV/0!</v>
      </c>
      <c r="P172" s="153" t="e">
        <f t="shared" si="623"/>
        <v>#DIV/0!</v>
      </c>
      <c r="Q172" s="153" t="e">
        <f t="shared" si="623"/>
        <v>#DIV/0!</v>
      </c>
      <c r="R172" s="153">
        <f t="shared" ref="R172:W172" si="624">R27/R14</f>
        <v>990.75907590759084</v>
      </c>
      <c r="S172" s="153">
        <f t="shared" si="624"/>
        <v>1969.6666666666667</v>
      </c>
      <c r="T172" s="153">
        <f t="shared" si="624"/>
        <v>1053</v>
      </c>
      <c r="U172" s="153">
        <f t="shared" si="624"/>
        <v>10877</v>
      </c>
      <c r="V172" s="153">
        <f t="shared" si="624"/>
        <v>434.73333333333335</v>
      </c>
      <c r="W172" s="153">
        <f t="shared" si="624"/>
        <v>434.73333333333335</v>
      </c>
      <c r="X172" s="101">
        <f t="shared" si="481"/>
        <v>-0.17078150415725912</v>
      </c>
      <c r="Y172" s="109"/>
      <c r="Z172" s="10">
        <f t="shared" ref="Z172:AI172" si="625">Z27/Z14</f>
        <v>434.73333333333329</v>
      </c>
      <c r="AA172" s="10">
        <f t="shared" si="625"/>
        <v>434.73333333333335</v>
      </c>
      <c r="AB172" s="10">
        <f t="shared" si="625"/>
        <v>434.73333333333329</v>
      </c>
      <c r="AC172" s="10">
        <f t="shared" si="625"/>
        <v>434.73333333333329</v>
      </c>
      <c r="AD172" s="10">
        <f t="shared" si="625"/>
        <v>434.73333333333329</v>
      </c>
      <c r="AE172" s="10">
        <f t="shared" si="625"/>
        <v>434.73333333333329</v>
      </c>
      <c r="AF172" s="10">
        <f t="shared" si="625"/>
        <v>434.73333333333329</v>
      </c>
      <c r="AG172" s="10">
        <f t="shared" si="625"/>
        <v>434.73333333333329</v>
      </c>
      <c r="AH172" s="10">
        <f t="shared" si="625"/>
        <v>434.73333333333329</v>
      </c>
      <c r="AI172" s="10">
        <f t="shared" si="625"/>
        <v>434.73333333333323</v>
      </c>
      <c r="AJ172" s="101">
        <f t="shared" si="585"/>
        <v>0</v>
      </c>
      <c r="AK172" s="21">
        <f t="shared" si="369"/>
        <v>0.01</v>
      </c>
      <c r="AL172" s="123" t="e">
        <f t="shared" si="503"/>
        <v>#DIV/0!</v>
      </c>
    </row>
    <row r="173" spans="2:38" x14ac:dyDescent="0.2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69" t="s">
        <v>508</v>
      </c>
      <c r="U173" s="169"/>
      <c r="V173" s="10"/>
      <c r="W173" s="10"/>
      <c r="X173" s="109"/>
      <c r="Y173" s="109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14"/>
      <c r="AK173" s="10"/>
      <c r="AL173" s="10"/>
    </row>
    <row r="174" spans="2:38" x14ac:dyDescent="0.2">
      <c r="B174" s="93" t="s">
        <v>201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3" t="s">
        <v>507</v>
      </c>
      <c r="U174" s="13" t="s">
        <v>409</v>
      </c>
      <c r="V174" s="13" t="s">
        <v>409</v>
      </c>
      <c r="W174" s="13"/>
      <c r="X174" s="13" t="s">
        <v>501</v>
      </c>
      <c r="Y174" s="10"/>
      <c r="Z174" s="105" t="s">
        <v>54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14"/>
      <c r="AK174" s="10"/>
      <c r="AL174" s="10"/>
    </row>
    <row r="175" spans="2:38" x14ac:dyDescent="0.2">
      <c r="B175" s="13" t="s">
        <v>230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11">
        <f>AVERAGE(G107:W107)</f>
        <v>9.500707499494645</v>
      </c>
      <c r="U175" s="111">
        <f>AVERAGE(S107:W107)</f>
        <v>31.710282844303464</v>
      </c>
      <c r="V175" s="111" t="e">
        <f>AVERAGE(S77:W77)</f>
        <v>#DIV/0!</v>
      </c>
      <c r="W175" s="111"/>
      <c r="X175" s="111" t="e">
        <f>AVERAGE(M77:W77)</f>
        <v>#DIV/0!</v>
      </c>
      <c r="Y175" s="10"/>
      <c r="Z175" s="167" t="s">
        <v>371</v>
      </c>
      <c r="AA175" s="168" t="s">
        <v>372</v>
      </c>
      <c r="AB175" s="10"/>
      <c r="AC175" s="10"/>
      <c r="AD175" s="10"/>
      <c r="AE175" s="10"/>
      <c r="AF175" s="10"/>
      <c r="AG175" s="10"/>
      <c r="AH175" s="10"/>
      <c r="AI175" s="10"/>
      <c r="AJ175" s="114"/>
      <c r="AK175" s="10"/>
      <c r="AL175" s="10"/>
    </row>
    <row r="176" spans="2:38" x14ac:dyDescent="0.2">
      <c r="B176" s="10" t="s"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17" t="e">
        <f>Z176+AA176</f>
        <v>#DIV/0!</v>
      </c>
      <c r="Z176" s="111">
        <f>PV($C$1, ($AI$3-$Z$3), 0, -AI77)</f>
        <v>0.45421718599690253</v>
      </c>
      <c r="AA176" s="111" t="e">
        <f>PV($C$1, ($AI$3-$Z$3), 0, -AL77)</f>
        <v>#DIV/0!</v>
      </c>
      <c r="AB176" s="10"/>
      <c r="AC176" s="10"/>
      <c r="AD176" s="10"/>
      <c r="AE176" s="10"/>
      <c r="AF176" s="10"/>
      <c r="AG176" s="10"/>
      <c r="AH176" s="10"/>
      <c r="AI176" s="10"/>
      <c r="AJ176" s="114"/>
      <c r="AK176" s="10"/>
      <c r="AL176" s="10"/>
    </row>
    <row r="177" spans="2:38" x14ac:dyDescent="0.2">
      <c r="B177" s="10" t="s">
        <v>223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17" t="e">
        <f t="shared" ref="Y177:Y195" si="626">Z177+AA177</f>
        <v>#DIV/0!</v>
      </c>
      <c r="Z177" s="111">
        <f>PV($C$1, ($AI$3-$Z$3), 0, -AI79)</f>
        <v>130.3017237119501</v>
      </c>
      <c r="AA177" s="111" t="e">
        <f>PV($C$1, ($AI$3-$Z$3), 0, -AL79)</f>
        <v>#DIV/0!</v>
      </c>
      <c r="AB177" s="10"/>
      <c r="AC177" s="10"/>
      <c r="AD177" s="10"/>
      <c r="AE177" s="10"/>
      <c r="AF177" s="10"/>
      <c r="AG177" s="10"/>
      <c r="AH177" s="10"/>
      <c r="AI177" s="10"/>
      <c r="AJ177" s="114"/>
      <c r="AK177" s="10"/>
      <c r="AL177" s="10"/>
    </row>
    <row r="178" spans="2:38" x14ac:dyDescent="0.2">
      <c r="B178" s="10" t="s">
        <v>224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17" t="e">
        <f t="shared" si="626"/>
        <v>#DIV/0!</v>
      </c>
      <c r="Z178" s="111">
        <f>PV($C$1, ($AI$3-$Z$3), 0, -AI80)</f>
        <v>129.75959352221187</v>
      </c>
      <c r="AA178" s="111" t="e">
        <f>PV($C$1, ($AI$3-$Z$3), 0, -AL80)</f>
        <v>#DIV/0!</v>
      </c>
      <c r="AB178" s="10"/>
      <c r="AC178" s="10"/>
      <c r="AD178" s="10"/>
      <c r="AE178" s="10"/>
      <c r="AF178" s="10"/>
      <c r="AG178" s="10"/>
      <c r="AH178" s="10"/>
      <c r="AI178" s="10"/>
      <c r="AJ178" s="114"/>
      <c r="AK178" s="10"/>
      <c r="AL178" s="10"/>
    </row>
    <row r="179" spans="2:38" x14ac:dyDescent="0.2">
      <c r="B179" s="10" t="s">
        <v>225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7" t="e">
        <f t="shared" si="626"/>
        <v>#DIV/0!</v>
      </c>
      <c r="Z179" s="111">
        <f>PV($C$1, ($AI$3-$Z$3), 0, -AI81)</f>
        <v>4.3516936851961292</v>
      </c>
      <c r="AA179" s="111" t="e">
        <f>PV($C$1, ($AI$3-$Z$3), 0, -AL81)</f>
        <v>#DIV/0!</v>
      </c>
      <c r="AB179" s="10"/>
      <c r="AC179" s="10"/>
      <c r="AD179" s="10"/>
      <c r="AE179" s="10"/>
      <c r="AF179" s="10"/>
      <c r="AG179" s="10"/>
      <c r="AH179" s="10"/>
      <c r="AI179" s="10"/>
      <c r="AJ179" s="114"/>
      <c r="AK179" s="10"/>
      <c r="AL179" s="10"/>
    </row>
    <row r="180" spans="2:38" x14ac:dyDescent="0.2">
      <c r="B180" s="10" t="s">
        <v>226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7" t="e">
        <f t="shared" si="626"/>
        <v>#DIV/0!</v>
      </c>
      <c r="Z180" s="111">
        <f>PV($C$1, ($AI$3-$Z$3), 0, -AI87)</f>
        <v>15.150340978090227</v>
      </c>
      <c r="AA180" s="111" t="e">
        <f>PV($C$1, ($AI$3-$Z$3), 0, -AL87)</f>
        <v>#DIV/0!</v>
      </c>
      <c r="AB180" s="10"/>
      <c r="AC180" s="10"/>
      <c r="AD180" s="10"/>
      <c r="AE180" s="10"/>
      <c r="AF180" s="10"/>
      <c r="AG180" s="10"/>
      <c r="AH180" s="10"/>
      <c r="AI180" s="10"/>
      <c r="AJ180" s="114"/>
      <c r="AK180" s="10"/>
      <c r="AL180" s="10"/>
    </row>
    <row r="181" spans="2:38" x14ac:dyDescent="0.2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7"/>
      <c r="Z181" s="111"/>
      <c r="AA181" s="10"/>
      <c r="AB181" s="10"/>
      <c r="AC181" s="10"/>
      <c r="AD181" s="10"/>
      <c r="AE181" s="10"/>
      <c r="AF181" s="10"/>
      <c r="AG181" s="10"/>
      <c r="AH181" s="10"/>
      <c r="AI181" s="10"/>
      <c r="AJ181" s="114"/>
      <c r="AK181" s="10"/>
      <c r="AL181" s="10"/>
    </row>
    <row r="182" spans="2:38" x14ac:dyDescent="0.2">
      <c r="B182" s="10" t="s">
        <v>221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17" t="e">
        <f t="shared" si="626"/>
        <v>#DIV/0!</v>
      </c>
      <c r="Z182" s="111">
        <f>PV($C$1, ($AI$3-$Z$3), 0, -AI83)</f>
        <v>125.95003002675396</v>
      </c>
      <c r="AA182" s="111" t="e">
        <f>PV($C$1, ($AI$3-$Z$3), 0, -$AL$83)</f>
        <v>#DIV/0!</v>
      </c>
      <c r="AB182" s="10"/>
      <c r="AC182" s="10"/>
      <c r="AD182" s="10"/>
      <c r="AE182" s="10"/>
      <c r="AF182" s="10"/>
      <c r="AG182" s="10"/>
      <c r="AH182" s="10"/>
      <c r="AI182" s="10"/>
      <c r="AJ182" s="114"/>
      <c r="AK182" s="10"/>
      <c r="AL182" s="10"/>
    </row>
    <row r="183" spans="2:38" x14ac:dyDescent="0.2">
      <c r="B183" s="10" t="s">
        <v>222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17" t="e">
        <f t="shared" si="626"/>
        <v>#DIV/0!</v>
      </c>
      <c r="Z183" s="111">
        <f>PV($C$1, ($AI$3-$Z$3), 0, -AI84)</f>
        <v>69.495229457526037</v>
      </c>
      <c r="AA183" s="111" t="e">
        <f>PV($C$1, ($AI$3-$Z$3), 0, -$AL$84)</f>
        <v>#DIV/0!</v>
      </c>
      <c r="AB183" s="10"/>
      <c r="AC183" s="10"/>
      <c r="AD183" s="10"/>
      <c r="AE183" s="10"/>
      <c r="AF183" s="10"/>
      <c r="AG183" s="10"/>
      <c r="AH183" s="10"/>
      <c r="AI183" s="10"/>
      <c r="AJ183" s="114"/>
      <c r="AK183" s="10"/>
      <c r="AL183" s="10"/>
    </row>
    <row r="184" spans="2:38" x14ac:dyDescent="0.2">
      <c r="B184" s="10" t="s">
        <v>227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17" t="e">
        <f t="shared" si="626"/>
        <v>#DIV/0!</v>
      </c>
      <c r="Z184" s="111">
        <f>PV($C$1, ($AI$3-$Z$3), 0, -AI85)</f>
        <v>97.011999628564183</v>
      </c>
      <c r="AA184" s="111" t="e">
        <f>PV($C$1, ($AI$3-$Z$3), 0, -$AL$85)</f>
        <v>#DIV/0!</v>
      </c>
      <c r="AB184" s="10"/>
      <c r="AC184" s="10"/>
      <c r="AD184" s="10"/>
      <c r="AE184" s="10"/>
      <c r="AF184" s="10"/>
      <c r="AG184" s="10"/>
      <c r="AH184" s="10"/>
      <c r="AI184" s="10"/>
      <c r="AJ184" s="114"/>
      <c r="AK184" s="10"/>
      <c r="AL184" s="10"/>
    </row>
    <row r="185" spans="2:38" x14ac:dyDescent="0.2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7"/>
      <c r="Z185" s="111"/>
      <c r="AA185" s="10"/>
      <c r="AB185" s="10"/>
      <c r="AC185" s="10"/>
      <c r="AD185" s="10"/>
      <c r="AE185" s="10"/>
      <c r="AF185" s="10"/>
      <c r="AG185" s="10"/>
      <c r="AH185" s="10"/>
      <c r="AI185" s="10"/>
      <c r="AJ185" s="114"/>
      <c r="AK185" s="10"/>
      <c r="AL185" s="10"/>
    </row>
    <row r="186" spans="2:38" x14ac:dyDescent="0.2">
      <c r="B186" s="10" t="s">
        <v>206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7" t="e">
        <f t="shared" si="626"/>
        <v>#DIV/0!</v>
      </c>
      <c r="Z186" s="111">
        <f>PV($C$1, ($AI$3-$Z$3), 0, -AI90)</f>
        <v>27.516770171038157</v>
      </c>
      <c r="AA186" s="111" t="e">
        <f>PV($C$1, ($AI$3-$Z$3), 0, -AL90)</f>
        <v>#DIV/0!</v>
      </c>
      <c r="AB186" s="10"/>
      <c r="AC186" s="10"/>
      <c r="AD186" s="10"/>
      <c r="AE186" s="10"/>
      <c r="AF186" s="10"/>
      <c r="AG186" s="10"/>
      <c r="AH186" s="10"/>
      <c r="AI186" s="10"/>
      <c r="AJ186" s="114"/>
      <c r="AK186" s="10"/>
      <c r="AL186" s="10"/>
    </row>
    <row r="187" spans="2:38" x14ac:dyDescent="0.2">
      <c r="B187" s="10" t="s">
        <v>207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7" t="e">
        <f t="shared" si="626"/>
        <v>#DIV/0!</v>
      </c>
      <c r="Z187" s="111">
        <f>PV($C$1, ($AI$3-$Z$3), 0, -AI91)</f>
        <v>-8.4689526937486974</v>
      </c>
      <c r="AA187" s="111" t="e">
        <f>PV($C$1, ($AI$3-$Z$3), 0, -AL91)</f>
        <v>#DIV/0!</v>
      </c>
      <c r="AB187" s="10"/>
      <c r="AC187" s="10"/>
      <c r="AD187" s="10"/>
      <c r="AE187" s="10"/>
      <c r="AF187" s="10"/>
      <c r="AG187" s="10"/>
      <c r="AH187" s="10"/>
      <c r="AI187" s="10"/>
      <c r="AJ187" s="114"/>
      <c r="AK187" s="10"/>
      <c r="AL187" s="10"/>
    </row>
    <row r="188" spans="2:38" x14ac:dyDescent="0.2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17"/>
      <c r="Z188" s="111"/>
      <c r="AA188" s="111"/>
      <c r="AB188" s="10"/>
      <c r="AC188" s="10"/>
      <c r="AD188" s="10"/>
      <c r="AE188" s="10"/>
      <c r="AF188" s="10"/>
      <c r="AG188" s="10"/>
      <c r="AH188" s="10"/>
      <c r="AI188" s="10"/>
      <c r="AJ188" s="114"/>
      <c r="AK188" s="10"/>
      <c r="AL188" s="10"/>
    </row>
    <row r="189" spans="2:38" x14ac:dyDescent="0.2">
      <c r="B189" s="10" t="s">
        <v>242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17" t="e">
        <f t="shared" ref="Y189" si="627">Z189+AA189</f>
        <v>#DIV/0!</v>
      </c>
      <c r="Z189" s="111">
        <f>PV($C$1, ($AI$3-$Z$3), 0, -AI12)</f>
        <v>698.65129151651342</v>
      </c>
      <c r="AA189" s="111" t="e">
        <f>PV($C$1, ($AI$3-$Z$3), 0, -AL12)</f>
        <v>#DIV/0!</v>
      </c>
      <c r="AB189" s="10"/>
      <c r="AC189" s="10"/>
      <c r="AD189" s="10"/>
      <c r="AE189" s="10"/>
      <c r="AF189" s="10"/>
      <c r="AG189" s="10"/>
      <c r="AH189" s="10"/>
      <c r="AI189" s="10"/>
      <c r="AJ189" s="114"/>
      <c r="AK189" s="10"/>
      <c r="AL189" s="10"/>
    </row>
    <row r="190" spans="2:38" x14ac:dyDescent="0.2">
      <c r="B190" s="10" t="s">
        <v>243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17" t="e">
        <f>Z190+AA190</f>
        <v>#DIV/0!</v>
      </c>
      <c r="Z190" s="117" t="e">
        <f>Z189/T62</f>
        <v>#DIV/0!</v>
      </c>
      <c r="AA190" s="117" t="e">
        <f>AA189/T62</f>
        <v>#DIV/0!</v>
      </c>
      <c r="AB190" s="10"/>
      <c r="AC190" s="10"/>
      <c r="AD190" s="10"/>
      <c r="AE190" s="10"/>
      <c r="AF190" s="10"/>
      <c r="AG190" s="10"/>
      <c r="AH190" s="10"/>
      <c r="AI190" s="10"/>
      <c r="AJ190" s="114"/>
      <c r="AK190" s="10"/>
      <c r="AL190" s="10"/>
    </row>
    <row r="191" spans="2:38" x14ac:dyDescent="0.2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7"/>
      <c r="Z191" s="117"/>
      <c r="AA191" s="117"/>
      <c r="AB191" s="10"/>
      <c r="AC191" s="10"/>
      <c r="AD191" s="10"/>
      <c r="AE191" s="10"/>
      <c r="AF191" s="10"/>
      <c r="AG191" s="10"/>
      <c r="AH191" s="10"/>
      <c r="AI191" s="10"/>
      <c r="AJ191" s="114"/>
      <c r="AK191" s="10"/>
      <c r="AL191" s="10"/>
    </row>
    <row r="192" spans="2:38" x14ac:dyDescent="0.2">
      <c r="B192" s="93" t="s">
        <v>246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7"/>
      <c r="Z192" s="111"/>
      <c r="AA192" s="111"/>
      <c r="AB192" s="10"/>
      <c r="AC192" s="10"/>
      <c r="AD192" s="10"/>
      <c r="AE192" s="10"/>
      <c r="AF192" s="10"/>
      <c r="AG192" s="10"/>
      <c r="AH192" s="10"/>
      <c r="AI192" s="10"/>
      <c r="AJ192" s="114"/>
      <c r="AK192" s="10"/>
      <c r="AL192" s="10"/>
    </row>
    <row r="193" spans="2:38" x14ac:dyDescent="0.2">
      <c r="B193" s="10" t="s">
        <v>232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7" t="e">
        <f t="shared" ref="Y193" si="628">Z193+AA193</f>
        <v>#DIV/0!</v>
      </c>
      <c r="Z193" s="111">
        <f>PV($C$1, ($AI$3-$Z$3), 0, -AI93)+PV($C$1, ($AH$3-$Z$3), 0, -AI93)+PV($C$1, ($AG$3-$Z$3), 0, -AI93)+PV($C$1, ($AF$3-$Z$3), 0, -AI93)+PV($C$1, ($AE$3-$Z$3), 0, -AI93)+PV($C$1, ($AD$3-$Z$3), 0, -AI93)+PV($C$1, ($AC$3-$Z$3), 0, -AI93)+PV($C$1, ($AB$3-$Z$3), 0, -AI93)+PV($C$1, ($AA$3-$Z$3), 0, -AI93)+PV($C$1, ($Z$3-$Z$3), 0, -AI93)</f>
        <v>0</v>
      </c>
      <c r="AA193" s="111" t="e">
        <f>PV($C$1, ($AI$3-$Z$3), 0, -AL93)</f>
        <v>#DIV/0!</v>
      </c>
      <c r="AB193" s="10"/>
      <c r="AC193" s="10"/>
      <c r="AD193" s="10"/>
      <c r="AE193" s="10"/>
      <c r="AF193" s="10"/>
      <c r="AG193" s="10"/>
      <c r="AH193" s="10"/>
      <c r="AI193" s="10"/>
      <c r="AJ193" s="114"/>
      <c r="AK193" s="10"/>
      <c r="AL193" s="10"/>
    </row>
    <row r="194" spans="2:38" x14ac:dyDescent="0.2">
      <c r="B194" s="13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7"/>
      <c r="Z194" s="111"/>
      <c r="AA194" s="111"/>
      <c r="AB194" s="10"/>
      <c r="AC194" s="10"/>
      <c r="AD194" s="10"/>
      <c r="AE194" s="10"/>
      <c r="AF194" s="10"/>
      <c r="AG194" s="10"/>
      <c r="AH194" s="10"/>
      <c r="AI194" s="10"/>
      <c r="AJ194" s="114"/>
      <c r="AK194" s="10"/>
      <c r="AL194" s="10"/>
    </row>
    <row r="195" spans="2:38" x14ac:dyDescent="0.2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17" t="e">
        <f t="shared" si="626"/>
        <v>#DIV/0!</v>
      </c>
      <c r="Z195" s="111">
        <f>PV($C$1, ($AI$3-$Z$3), 0, -AI95)+PV($C$1, ($AH$3-$Z$3), 0, -AI95)+PV($C$1, ($AG$3-$Z$3), 0, -AI95)+PV($C$1, ($AF$3-$Z$3), 0, -AI95)+PV($C$1, ($AE$3-$Z$3), 0, -AI95)+PV($C$1, ($AD$3-$Z$3), 0, -AI95)+PV($C$1, ($AC$3-$Z$3), 0, -AI95)+PV($C$1, ($AB$3-$Z$3), 0, -AI95)+PV($C$1, ($AA$3-$Z$3), 0, -AI95)+PV($C$1, ($Z$3-$Z$3), 0, -AI95)</f>
        <v>0</v>
      </c>
      <c r="AA195" s="111" t="e">
        <f>PV($C$1, ($AI$3-$Z$3), 0, -AL95)</f>
        <v>#DIV/0!</v>
      </c>
      <c r="AB195" s="10"/>
      <c r="AC195" s="10"/>
      <c r="AD195" s="10"/>
      <c r="AE195" s="10"/>
      <c r="AF195" s="10"/>
      <c r="AG195" s="10"/>
      <c r="AH195" s="10"/>
      <c r="AI195" s="10"/>
      <c r="AJ195" s="114"/>
      <c r="AK195" s="10"/>
      <c r="AL195" s="10"/>
    </row>
    <row r="196" spans="2:38" x14ac:dyDescent="0.2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17"/>
      <c r="Z196" s="111"/>
      <c r="AA196" s="111"/>
      <c r="AB196" s="10"/>
      <c r="AC196" s="10"/>
      <c r="AD196" s="10"/>
      <c r="AE196" s="10"/>
      <c r="AF196" s="10"/>
      <c r="AG196" s="10"/>
      <c r="AH196" s="10"/>
      <c r="AI196" s="10"/>
      <c r="AJ196" s="114"/>
      <c r="AK196" s="10"/>
      <c r="AL196" s="10"/>
    </row>
    <row r="197" spans="2:38" x14ac:dyDescent="0.2">
      <c r="B197" s="10" t="s">
        <v>400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7" t="e">
        <f t="shared" ref="Y197:Y200" si="629">Z197+AA197</f>
        <v>#DIV/0!</v>
      </c>
      <c r="Z197" s="111">
        <f>PV($C$1, ($AI$3-$Z$3), 0, -AI97)+PV($C$1, ($AH$3-$Z$3), 0, -AI97)+PV($C$1, ($AG$3-$Z$3), 0, -AI97)+PV($C$1, ($AF$3-$Z$3), 0, -AI97)+PV($C$1, ($AE$3-$Z$3), 0, -AI97)+PV($C$1, ($AD$3-$Z$3), 0, -AI97)+PV($C$1, ($AC$3-$Z$3), 0, -AI97)+PV($C$1, ($AB$3-$Z$3), 0, -AI97)+PV($C$1, ($AA$3-$Z$3), 0, -AI97)+PV($C$1, ($Z$3-$Z$3), 0, -AI97)</f>
        <v>0</v>
      </c>
      <c r="AA197" s="111" t="e">
        <f>PV($C$1, ($AI$3-$Z$3), 0, -AL97)</f>
        <v>#DIV/0!</v>
      </c>
      <c r="AB197" s="10"/>
      <c r="AC197" s="10"/>
      <c r="AD197" s="10"/>
      <c r="AE197" s="10"/>
      <c r="AF197" s="10"/>
      <c r="AG197" s="10"/>
      <c r="AH197" s="10"/>
      <c r="AI197" s="10"/>
      <c r="AJ197" s="114"/>
      <c r="AK197" s="10"/>
      <c r="AL197" s="10"/>
    </row>
    <row r="198" spans="2:38" x14ac:dyDescent="0.2">
      <c r="B198" s="10" t="s">
        <v>236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7" t="e">
        <f t="shared" si="629"/>
        <v>#DIV/0!</v>
      </c>
      <c r="Z198" s="111">
        <f>PV($C$1, ($AI$3-$Z$3), 0, -AI98)+PV($C$1, ($AH$3-$Z$3), 0, -AI98)+PV($C$1, ($AG$3-$Z$3), 0, -AI98)+PV($C$1, ($AF$3-$Z$3), 0, -AI98)+PV($C$1, ($AE$3-$Z$3), 0, -AI98)+PV($C$1, ($AD$3-$Z$3), 0, -AI98)+PV($C$1, ($AC$3-$Z$3), 0, -AI98)+PV($C$1, ($AB$3-$Z$3), 0, -AI98)+PV($C$1, ($AA$3-$Z$3), 0, -AI98)+PV($C$1, ($Z$3-$Z$3), 0, -AI98)</f>
        <v>0</v>
      </c>
      <c r="AA198" s="111" t="e">
        <f>PV($C$1, ($AI$3-$Z$3), 0, -AL98)</f>
        <v>#DIV/0!</v>
      </c>
      <c r="AB198" s="10"/>
      <c r="AC198" s="10"/>
      <c r="AD198" s="10"/>
      <c r="AE198" s="10"/>
      <c r="AF198" s="10"/>
      <c r="AG198" s="10"/>
      <c r="AH198" s="10"/>
      <c r="AI198" s="10"/>
      <c r="AJ198" s="114"/>
      <c r="AK198" s="10"/>
      <c r="AL198" s="10"/>
    </row>
    <row r="199" spans="2:38" x14ac:dyDescent="0.2">
      <c r="B199" s="10" t="s">
        <v>237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7" t="e">
        <f t="shared" si="629"/>
        <v>#DIV/0!</v>
      </c>
      <c r="Z199" s="111">
        <f>PV($C$1, ($AI$3-$Z$3), 0, -AI99)+PV($C$1, ($AH$3-$Z$3), 0, -AI99)+PV($C$1, ($AG$3-$Z$3), 0, -AI99)+PV($C$1, ($AF$3-$Z$3), 0, -AI99)+PV($C$1, ($AE$3-$Z$3), 0, -AI99)+PV($C$1, ($AD$3-$Z$3), 0, -AI99)+PV($C$1, ($AC$3-$Z$3), 0, -AI99)+PV($C$1, ($AB$3-$Z$3), 0, -AI99)+PV($C$1, ($AA$3-$Z$3), 0, -AI99)+PV($C$1, ($Z$3-$Z$3), 0, -AI99)</f>
        <v>0</v>
      </c>
      <c r="AA199" s="111" t="e">
        <f>PV($C$1, ($AI$3-$Z$3), 0, -AL99)</f>
        <v>#DIV/0!</v>
      </c>
      <c r="AB199" s="10"/>
      <c r="AC199" s="10"/>
      <c r="AD199" s="10"/>
      <c r="AE199" s="10"/>
      <c r="AF199" s="10"/>
      <c r="AG199" s="10"/>
      <c r="AH199" s="10"/>
      <c r="AI199" s="10"/>
      <c r="AJ199" s="114"/>
      <c r="AK199" s="10"/>
      <c r="AL199" s="10"/>
    </row>
    <row r="200" spans="2:38" x14ac:dyDescent="0.2">
      <c r="B200" s="10" t="s">
        <v>238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17" t="e">
        <f t="shared" si="629"/>
        <v>#DIV/0!</v>
      </c>
      <c r="Z200" s="111">
        <f>PV($C$1, ($AI$3-$Z$3), 0, -AI100)+PV($C$1, ($AH$3-$Z$3), 0, -AI100)+PV($C$1, ($AG$3-$Z$3), 0, -AI100)+PV($C$1, ($AF$3-$Z$3), 0, -AI100)+PV($C$1, ($AE$3-$Z$3), 0, -AI100)+PV($C$1, ($AD$3-$Z$3), 0, -AI100)+PV($C$1, ($AC$3-$Z$3), 0, -AI100)+PV($C$1, ($AB$3-$Z$3), 0, -AI100)+PV($C$1, ($AA$3-$Z$3), 0, -AI100)+PV($C$1, ($Z$3-$Z$3), 0, -AI100)</f>
        <v>0</v>
      </c>
      <c r="AA200" s="111" t="e">
        <f>PV($C$1, ($AI$3-$Z$3), 0, -AL100)</f>
        <v>#DIV/0!</v>
      </c>
      <c r="AB200" s="10"/>
      <c r="AC200" s="10"/>
      <c r="AD200" s="10"/>
      <c r="AE200" s="10"/>
      <c r="AF200" s="10"/>
      <c r="AG200" s="10"/>
      <c r="AH200" s="10"/>
      <c r="AI200" s="10"/>
      <c r="AJ200" s="114"/>
      <c r="AK200" s="10"/>
      <c r="AL200" s="10"/>
    </row>
    <row r="201" spans="2:38" x14ac:dyDescent="0.2">
      <c r="B201" s="10" t="s">
        <v>398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95" t="e">
        <f>Y198+Y199+Y200</f>
        <v>#DIV/0!</v>
      </c>
      <c r="Z201" s="95">
        <f t="shared" ref="Z201:AA201" si="630">Z198+Z199+Z200</f>
        <v>0</v>
      </c>
      <c r="AA201" s="95" t="e">
        <f t="shared" si="630"/>
        <v>#DIV/0!</v>
      </c>
      <c r="AB201" s="10"/>
      <c r="AC201" s="10"/>
      <c r="AD201" s="10"/>
      <c r="AE201" s="10"/>
      <c r="AF201" s="10"/>
      <c r="AG201" s="10"/>
      <c r="AH201" s="10"/>
      <c r="AI201" s="10"/>
      <c r="AJ201" s="114"/>
      <c r="AK201" s="10"/>
      <c r="AL201" s="10"/>
    </row>
    <row r="202" spans="2:38" x14ac:dyDescent="0.2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17"/>
      <c r="Z202" s="111"/>
      <c r="AA202" s="111"/>
      <c r="AB202" s="10"/>
      <c r="AC202" s="10"/>
      <c r="AD202" s="10"/>
      <c r="AE202" s="10"/>
      <c r="AF202" s="10"/>
      <c r="AG202" s="10"/>
      <c r="AH202" s="10"/>
      <c r="AI202" s="10"/>
      <c r="AJ202" s="114"/>
      <c r="AK202" s="10"/>
      <c r="AL202" s="10"/>
    </row>
    <row r="203" spans="2:38" x14ac:dyDescent="0.2">
      <c r="B203" s="10" t="s">
        <v>247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17" t="e">
        <f>Z203+AA203</f>
        <v>#DIV/0!</v>
      </c>
      <c r="Z203" s="111">
        <f>PV($C$1, ($AI$3-$Z$3), 0, -AI101)+PV($C$1, ($AH$3-$Z$3), 0, -AI101)+PV($C$1, ($AG$3-$Z$3), 0, -AI101)+PV($C$1, ($AF$3-$Z$3), 0, -AI101)+PV($C$1, ($AE$3-$Z$3), 0, -AI101)+PV($C$1, ($AD$3-$Z$3), 0, -AI101)+PV($C$1, ($AC$3-$Z$3), 0, -AI101)+PV($C$1, ($AB$3-$Z$3), 0, -AI101)+PV($C$1, ($AA$3-$Z$3), 0, -AI101)+PV($C$1, ($Z$3-$Z$3), 0, -AI101)</f>
        <v>0</v>
      </c>
      <c r="AA203" s="111" t="e">
        <f>PV($C$1, ($AI$3-$Z$3), 0, -AL101)</f>
        <v>#DIV/0!</v>
      </c>
      <c r="AB203" s="10"/>
      <c r="AC203" s="10"/>
      <c r="AD203" s="10"/>
      <c r="AE203" s="10"/>
      <c r="AF203" s="10"/>
      <c r="AG203" s="10"/>
      <c r="AH203" s="10"/>
      <c r="AI203" s="10"/>
      <c r="AJ203" s="114"/>
      <c r="AK203" s="10"/>
      <c r="AL203" s="10"/>
    </row>
    <row r="204" spans="2:38" x14ac:dyDescent="0.2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56">
        <v>41729</v>
      </c>
      <c r="V204" s="10">
        <v>25</v>
      </c>
      <c r="W204" s="10"/>
      <c r="X204" s="10"/>
      <c r="Y204" s="10"/>
      <c r="Z204" s="104"/>
      <c r="AA204" s="10"/>
      <c r="AB204" s="10"/>
      <c r="AC204" s="10"/>
      <c r="AD204" s="10"/>
      <c r="AE204" s="10"/>
      <c r="AF204" s="10"/>
      <c r="AG204" s="10"/>
      <c r="AH204" s="10"/>
      <c r="AI204" s="10"/>
      <c r="AJ204" s="114"/>
      <c r="AK204" s="10"/>
      <c r="AL204" s="10"/>
    </row>
    <row r="205" spans="2:38" x14ac:dyDescent="0.2">
      <c r="B205" s="93" t="s">
        <v>208</v>
      </c>
      <c r="C205" s="10"/>
      <c r="D205" s="10"/>
      <c r="E205" s="10"/>
      <c r="F205" s="174"/>
      <c r="G205" s="174"/>
      <c r="H205" s="169">
        <v>0</v>
      </c>
      <c r="I205" s="169">
        <v>0</v>
      </c>
      <c r="J205" s="169">
        <v>0</v>
      </c>
      <c r="K205" s="169">
        <v>0</v>
      </c>
      <c r="L205" s="169">
        <v>0</v>
      </c>
      <c r="M205" s="169">
        <v>0</v>
      </c>
      <c r="N205" s="169">
        <v>0</v>
      </c>
      <c r="O205" s="169">
        <v>0</v>
      </c>
      <c r="P205" s="169">
        <v>0</v>
      </c>
      <c r="Q205" s="169">
        <v>0</v>
      </c>
      <c r="R205" s="169"/>
      <c r="S205" s="169">
        <v>0</v>
      </c>
      <c r="T205" s="169">
        <v>0</v>
      </c>
      <c r="U205" s="13" t="s">
        <v>332</v>
      </c>
      <c r="V205" s="10">
        <v>23</v>
      </c>
      <c r="W205" s="10" t="s">
        <v>500</v>
      </c>
      <c r="X205" s="13" t="s">
        <v>333</v>
      </c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14"/>
      <c r="AK205" s="10"/>
      <c r="AL205" s="10"/>
    </row>
    <row r="206" spans="2:38" x14ac:dyDescent="0.2">
      <c r="B206" s="10" t="s">
        <v>183</v>
      </c>
      <c r="C206" s="12">
        <v>0</v>
      </c>
      <c r="D206" s="12">
        <v>0</v>
      </c>
      <c r="E206" s="12">
        <v>0</v>
      </c>
      <c r="F206" s="12">
        <v>0</v>
      </c>
      <c r="G206" s="12">
        <v>464</v>
      </c>
      <c r="H206" s="12">
        <v>422</v>
      </c>
      <c r="I206" s="12">
        <v>584</v>
      </c>
      <c r="J206" s="12">
        <v>505</v>
      </c>
      <c r="K206" s="12">
        <v>97</v>
      </c>
      <c r="L206" s="12">
        <v>33</v>
      </c>
      <c r="M206" s="12">
        <v>61</v>
      </c>
      <c r="N206" s="12">
        <v>53</v>
      </c>
      <c r="O206" s="12">
        <v>61</v>
      </c>
      <c r="P206" s="12">
        <v>50</v>
      </c>
      <c r="Q206" s="12">
        <v>90</v>
      </c>
      <c r="R206" s="12">
        <v>209</v>
      </c>
      <c r="S206" s="12">
        <v>186</v>
      </c>
      <c r="T206" s="12">
        <v>234</v>
      </c>
      <c r="U206" s="12">
        <v>280</v>
      </c>
      <c r="V206" s="12">
        <v>0</v>
      </c>
      <c r="W206" s="12">
        <v>23.45</v>
      </c>
      <c r="X206" s="101">
        <f t="shared" ref="X206:X237" si="631">((V206/G206)^(1/($K$2-$K$1) ))-1</f>
        <v>-1</v>
      </c>
      <c r="Y206" s="21">
        <v>0.02</v>
      </c>
      <c r="Z206" s="170">
        <v>50</v>
      </c>
      <c r="AA206" s="102">
        <f t="shared" ref="AA206:AI206" si="632">Z206*(1+$Y206)</f>
        <v>51</v>
      </c>
      <c r="AB206" s="102">
        <f t="shared" si="632"/>
        <v>52.02</v>
      </c>
      <c r="AC206" s="102">
        <f t="shared" si="632"/>
        <v>53.060400000000001</v>
      </c>
      <c r="AD206" s="102">
        <f t="shared" si="632"/>
        <v>54.121608000000002</v>
      </c>
      <c r="AE206" s="102">
        <f t="shared" si="632"/>
        <v>55.204040160000005</v>
      </c>
      <c r="AF206" s="102">
        <f t="shared" si="632"/>
        <v>56.308120963200004</v>
      </c>
      <c r="AG206" s="102">
        <f t="shared" si="632"/>
        <v>57.434283382464002</v>
      </c>
      <c r="AH206" s="102">
        <f t="shared" si="632"/>
        <v>58.582969050113284</v>
      </c>
      <c r="AI206" s="102">
        <f t="shared" si="632"/>
        <v>59.754628431115549</v>
      </c>
      <c r="AJ206" s="115">
        <f t="shared" ref="AJ206:AJ213" si="633">((AI206/J206)^(1/($AI$3-$K$1) ))-1</f>
        <v>-8.182977119764745E-2</v>
      </c>
      <c r="AK206" s="21">
        <f t="shared" ref="AK206:AK213" si="634">$O$1</f>
        <v>0.01</v>
      </c>
      <c r="AL206" s="108">
        <f t="shared" ref="AL206:AL217" si="635">(AI206*(1+AJ206))/($C$1-AK206)</f>
        <v>261.2615278980806</v>
      </c>
    </row>
    <row r="207" spans="2:38" x14ac:dyDescent="0.2">
      <c r="B207" s="10" t="s">
        <v>303</v>
      </c>
      <c r="C207" s="15"/>
      <c r="D207" s="15"/>
      <c r="E207" s="15"/>
      <c r="F207" s="15"/>
      <c r="G207" s="15" t="e">
        <f t="shared" ref="G207" si="636">G206/G71</f>
        <v>#DIV/0!</v>
      </c>
      <c r="H207" s="15" t="e">
        <f t="shared" ref="H207:I207" si="637">H206/H71</f>
        <v>#DIV/0!</v>
      </c>
      <c r="I207" s="15" t="e">
        <f t="shared" si="637"/>
        <v>#DIV/0!</v>
      </c>
      <c r="J207" s="15" t="e">
        <f t="shared" ref="J207:Q207" si="638">J206/J71</f>
        <v>#VALUE!</v>
      </c>
      <c r="K207" s="15" t="e">
        <f t="shared" si="638"/>
        <v>#DIV/0!</v>
      </c>
      <c r="L207" s="15" t="e">
        <f t="shared" si="638"/>
        <v>#DIV/0!</v>
      </c>
      <c r="M207" s="15" t="e">
        <f t="shared" si="638"/>
        <v>#DIV/0!</v>
      </c>
      <c r="N207" s="15" t="e">
        <f t="shared" si="638"/>
        <v>#DIV/0!</v>
      </c>
      <c r="O207" s="15" t="e">
        <f t="shared" si="638"/>
        <v>#DIV/0!</v>
      </c>
      <c r="P207" s="15" t="e">
        <f t="shared" si="638"/>
        <v>#DIV/0!</v>
      </c>
      <c r="Q207" s="15" t="e">
        <f t="shared" si="638"/>
        <v>#DIV/0!</v>
      </c>
      <c r="R207" s="15" t="e">
        <f t="shared" ref="R207:W207" si="639">R206/R71</f>
        <v>#DIV/0!</v>
      </c>
      <c r="S207" s="15" t="e">
        <f t="shared" si="639"/>
        <v>#DIV/0!</v>
      </c>
      <c r="T207" s="15" t="e">
        <f t="shared" si="639"/>
        <v>#DIV/0!</v>
      </c>
      <c r="U207" s="15" t="e">
        <f t="shared" si="639"/>
        <v>#DIV/0!</v>
      </c>
      <c r="V207" s="15" t="e">
        <f t="shared" si="639"/>
        <v>#DIV/0!</v>
      </c>
      <c r="W207" s="15">
        <f t="shared" si="639"/>
        <v>0.1343500681508405</v>
      </c>
      <c r="X207" s="101" t="e">
        <f t="shared" si="631"/>
        <v>#DIV/0!</v>
      </c>
      <c r="Y207" s="109"/>
      <c r="Z207" s="15">
        <f t="shared" ref="Z207:AI207" si="640">Z206/Z71</f>
        <v>0.25407818580487129</v>
      </c>
      <c r="AA207" s="15">
        <f t="shared" si="640"/>
        <v>0.22986343000990273</v>
      </c>
      <c r="AB207" s="15">
        <f t="shared" si="640"/>
        <v>0.20795644572374158</v>
      </c>
      <c r="AC207" s="15">
        <f t="shared" si="640"/>
        <v>0.18813729228780934</v>
      </c>
      <c r="AD207" s="15">
        <f t="shared" si="640"/>
        <v>0.1702069903445538</v>
      </c>
      <c r="AE207" s="15">
        <f t="shared" si="640"/>
        <v>0.15398552413432506</v>
      </c>
      <c r="AF207" s="15">
        <f t="shared" si="640"/>
        <v>0.13931003418204504</v>
      </c>
      <c r="AG207" s="15">
        <f t="shared" si="640"/>
        <v>0.12603318222869536</v>
      </c>
      <c r="AH207" s="15">
        <f t="shared" si="640"/>
        <v>0.11402167199194317</v>
      </c>
      <c r="AI207" s="15">
        <f t="shared" si="640"/>
        <v>0.10315491090471103</v>
      </c>
      <c r="AJ207" s="115" t="e">
        <f t="shared" ref="AJ207" si="641">((AI207/J207)^(1/($AI$3-$K$1) ))-1</f>
        <v>#VALUE!</v>
      </c>
      <c r="AK207" s="21">
        <f t="shared" si="634"/>
        <v>0.01</v>
      </c>
      <c r="AL207" s="108" t="e">
        <f t="shared" ref="AL207" si="642">(AI207*(1+AJ207))/($C$1-AK207)</f>
        <v>#VALUE!</v>
      </c>
    </row>
    <row r="208" spans="2:38" x14ac:dyDescent="0.2">
      <c r="B208" s="10" t="s">
        <v>331</v>
      </c>
      <c r="C208" s="15"/>
      <c r="D208" s="15"/>
      <c r="E208" s="15"/>
      <c r="F208" s="15"/>
      <c r="G208" s="15" t="e">
        <f t="shared" ref="G208" si="643">G206/G77</f>
        <v>#DIV/0!</v>
      </c>
      <c r="H208" s="15" t="e">
        <f t="shared" ref="H208:I208" si="644">H206/H77</f>
        <v>#DIV/0!</v>
      </c>
      <c r="I208" s="15" t="e">
        <f t="shared" si="644"/>
        <v>#DIV/0!</v>
      </c>
      <c r="J208" s="15" t="e">
        <f t="shared" ref="J208:Q208" si="645">J206/J77</f>
        <v>#VALUE!</v>
      </c>
      <c r="K208" s="15" t="e">
        <f t="shared" si="645"/>
        <v>#DIV/0!</v>
      </c>
      <c r="L208" s="15" t="e">
        <f t="shared" si="645"/>
        <v>#DIV/0!</v>
      </c>
      <c r="M208" s="15" t="e">
        <f t="shared" si="645"/>
        <v>#DIV/0!</v>
      </c>
      <c r="N208" s="15" t="e">
        <f t="shared" si="645"/>
        <v>#DIV/0!</v>
      </c>
      <c r="O208" s="15" t="e">
        <f t="shared" si="645"/>
        <v>#DIV/0!</v>
      </c>
      <c r="P208" s="15" t="e">
        <f t="shared" si="645"/>
        <v>#DIV/0!</v>
      </c>
      <c r="Q208" s="15" t="e">
        <f t="shared" si="645"/>
        <v>#DIV/0!</v>
      </c>
      <c r="R208" s="15" t="e">
        <f t="shared" ref="R208:W208" si="646">R206/R77</f>
        <v>#DIV/0!</v>
      </c>
      <c r="S208" s="15" t="e">
        <f t="shared" si="646"/>
        <v>#DIV/0!</v>
      </c>
      <c r="T208" s="15" t="e">
        <f t="shared" si="646"/>
        <v>#DIV/0!</v>
      </c>
      <c r="U208" s="15" t="e">
        <f t="shared" si="646"/>
        <v>#DIV/0!</v>
      </c>
      <c r="V208" s="15" t="e">
        <f t="shared" si="646"/>
        <v>#DIV/0!</v>
      </c>
      <c r="W208" s="15">
        <f t="shared" si="646"/>
        <v>28.616564516129028</v>
      </c>
      <c r="X208" s="101" t="e">
        <f t="shared" si="631"/>
        <v>#DIV/0!</v>
      </c>
      <c r="Y208" s="109"/>
      <c r="Z208" s="102">
        <f t="shared" ref="Z208:AI208" si="647">Z206/Z77</f>
        <v>54.118653576437588</v>
      </c>
      <c r="AA208" s="102">
        <f t="shared" si="647"/>
        <v>48.960910592109279</v>
      </c>
      <c r="AB208" s="102">
        <f t="shared" si="647"/>
        <v>44.294722939156962</v>
      </c>
      <c r="AC208" s="102">
        <f t="shared" si="647"/>
        <v>40.073243257303396</v>
      </c>
      <c r="AD208" s="102">
        <f t="shared" si="647"/>
        <v>36.254088943389966</v>
      </c>
      <c r="AE208" s="102">
        <f t="shared" si="647"/>
        <v>32.798916640611232</v>
      </c>
      <c r="AF208" s="102">
        <f t="shared" si="647"/>
        <v>29.673037280775585</v>
      </c>
      <c r="AG208" s="102">
        <f t="shared" si="647"/>
        <v>26.845067814712106</v>
      </c>
      <c r="AH208" s="102">
        <f t="shared" si="647"/>
        <v>24.286616134283889</v>
      </c>
      <c r="AI208" s="102">
        <f t="shared" si="647"/>
        <v>21.971996022703443</v>
      </c>
      <c r="AJ208" s="115" t="e">
        <f t="shared" si="633"/>
        <v>#VALUE!</v>
      </c>
      <c r="AK208" s="21">
        <f t="shared" si="634"/>
        <v>0.01</v>
      </c>
      <c r="AL208" s="108" t="e">
        <f t="shared" si="635"/>
        <v>#VALUE!</v>
      </c>
    </row>
    <row r="209" spans="2:38" x14ac:dyDescent="0.2">
      <c r="B209" s="10" t="s">
        <v>403</v>
      </c>
      <c r="C209" s="15"/>
      <c r="D209" s="15"/>
      <c r="E209" s="15"/>
      <c r="F209" s="15"/>
      <c r="G209" s="15" t="e">
        <f t="shared" ref="G209" si="648">G206/G75</f>
        <v>#DIV/0!</v>
      </c>
      <c r="H209" s="15" t="e">
        <f t="shared" ref="H209:I209" si="649">H206/H75</f>
        <v>#DIV/0!</v>
      </c>
      <c r="I209" s="15" t="e">
        <f t="shared" si="649"/>
        <v>#DIV/0!</v>
      </c>
      <c r="J209" s="15" t="e">
        <f t="shared" ref="J209:Q209" si="650">J206/J75</f>
        <v>#VALUE!</v>
      </c>
      <c r="K209" s="15" t="e">
        <f t="shared" si="650"/>
        <v>#DIV/0!</v>
      </c>
      <c r="L209" s="15" t="e">
        <f t="shared" si="650"/>
        <v>#DIV/0!</v>
      </c>
      <c r="M209" s="15" t="e">
        <f t="shared" si="650"/>
        <v>#DIV/0!</v>
      </c>
      <c r="N209" s="15" t="e">
        <f t="shared" si="650"/>
        <v>#DIV/0!</v>
      </c>
      <c r="O209" s="15" t="e">
        <f t="shared" si="650"/>
        <v>#DIV/0!</v>
      </c>
      <c r="P209" s="15" t="e">
        <f t="shared" si="650"/>
        <v>#DIV/0!</v>
      </c>
      <c r="Q209" s="15" t="e">
        <f t="shared" si="650"/>
        <v>#DIV/0!</v>
      </c>
      <c r="R209" s="15" t="e">
        <f t="shared" ref="R209:W209" si="651">R206/R75</f>
        <v>#DIV/0!</v>
      </c>
      <c r="S209" s="15" t="e">
        <f t="shared" si="651"/>
        <v>#DIV/0!</v>
      </c>
      <c r="T209" s="15" t="e">
        <f t="shared" si="651"/>
        <v>#DIV/0!</v>
      </c>
      <c r="U209" s="15" t="e">
        <f t="shared" si="651"/>
        <v>#DIV/0!</v>
      </c>
      <c r="V209" s="15" t="e">
        <f t="shared" si="651"/>
        <v>#DIV/0!</v>
      </c>
      <c r="W209" s="15">
        <f t="shared" si="651"/>
        <v>10.818457317073168</v>
      </c>
      <c r="X209" s="101" t="e">
        <f t="shared" si="631"/>
        <v>#DIV/0!</v>
      </c>
      <c r="Y209" s="109"/>
      <c r="Z209" s="15">
        <f t="shared" ref="Z209:AI209" si="652">Z206/Z75</f>
        <v>20.45949098621421</v>
      </c>
      <c r="AA209" s="15">
        <f t="shared" si="652"/>
        <v>18.50961254091936</v>
      </c>
      <c r="AB209" s="15">
        <f t="shared" si="652"/>
        <v>16.745565989193484</v>
      </c>
      <c r="AC209" s="15">
        <f t="shared" si="652"/>
        <v>15.149640743614698</v>
      </c>
      <c r="AD209" s="15">
        <f t="shared" si="652"/>
        <v>13.705814112744985</v>
      </c>
      <c r="AE209" s="15">
        <f t="shared" si="652"/>
        <v>12.399590437304246</v>
      </c>
      <c r="AF209" s="15">
        <f t="shared" si="652"/>
        <v>11.217855557366381</v>
      </c>
      <c r="AG209" s="15">
        <f t="shared" si="652"/>
        <v>10.148745149464334</v>
      </c>
      <c r="AH209" s="15">
        <f t="shared" si="652"/>
        <v>9.1815256117414705</v>
      </c>
      <c r="AI209" s="15">
        <f t="shared" si="652"/>
        <v>8.306486301265938</v>
      </c>
      <c r="AJ209" s="115" t="e">
        <f t="shared" ref="AJ209:AJ210" si="653">((AI209/J209)^(1/($AI$3-$K$1) ))-1</f>
        <v>#VALUE!</v>
      </c>
      <c r="AK209" s="21">
        <f t="shared" si="634"/>
        <v>0.01</v>
      </c>
      <c r="AL209" s="108" t="e">
        <f t="shared" ref="AL209:AL210" si="654">(AI209*(1+AJ209))/($C$1-AK209)</f>
        <v>#VALUE!</v>
      </c>
    </row>
    <row r="210" spans="2:38" x14ac:dyDescent="0.2">
      <c r="B210" s="10" t="s">
        <v>404</v>
      </c>
      <c r="C210" s="15"/>
      <c r="D210" s="15"/>
      <c r="E210" s="15"/>
      <c r="F210" s="15"/>
      <c r="G210" s="15" t="e">
        <f t="shared" ref="G210" si="655">G206/G76</f>
        <v>#DIV/0!</v>
      </c>
      <c r="H210" s="15" t="e">
        <f t="shared" ref="H210:I210" si="656">H206/H76</f>
        <v>#DIV/0!</v>
      </c>
      <c r="I210" s="15" t="e">
        <f t="shared" si="656"/>
        <v>#DIV/0!</v>
      </c>
      <c r="J210" s="15" t="e">
        <f t="shared" ref="J210:Q210" si="657">J206/J76</f>
        <v>#VALUE!</v>
      </c>
      <c r="K210" s="15" t="e">
        <f t="shared" si="657"/>
        <v>#DIV/0!</v>
      </c>
      <c r="L210" s="15" t="e">
        <f t="shared" si="657"/>
        <v>#DIV/0!</v>
      </c>
      <c r="M210" s="15" t="e">
        <f t="shared" si="657"/>
        <v>#DIV/0!</v>
      </c>
      <c r="N210" s="15" t="e">
        <f t="shared" si="657"/>
        <v>#DIV/0!</v>
      </c>
      <c r="O210" s="15" t="e">
        <f t="shared" si="657"/>
        <v>#DIV/0!</v>
      </c>
      <c r="P210" s="15" t="e">
        <f t="shared" si="657"/>
        <v>#DIV/0!</v>
      </c>
      <c r="Q210" s="15" t="e">
        <f t="shared" si="657"/>
        <v>#DIV/0!</v>
      </c>
      <c r="R210" s="15" t="e">
        <f t="shared" ref="R210:W210" si="658">R206/R76</f>
        <v>#DIV/0!</v>
      </c>
      <c r="S210" s="15" t="e">
        <f t="shared" si="658"/>
        <v>#DIV/0!</v>
      </c>
      <c r="T210" s="15" t="e">
        <f t="shared" si="658"/>
        <v>#DIV/0!</v>
      </c>
      <c r="U210" s="15" t="e">
        <f t="shared" si="658"/>
        <v>#DIV/0!</v>
      </c>
      <c r="V210" s="15" t="e">
        <f t="shared" si="658"/>
        <v>#DIV/0!</v>
      </c>
      <c r="W210" s="15">
        <f t="shared" si="658"/>
        <v>16.737990566037734</v>
      </c>
      <c r="X210" s="101" t="e">
        <f t="shared" si="631"/>
        <v>#DIV/0!</v>
      </c>
      <c r="Y210" s="109"/>
      <c r="Z210" s="15">
        <f t="shared" ref="Z210:AI211" si="659">Z206/Z76</f>
        <v>31.654306808859722</v>
      </c>
      <c r="AA210" s="15">
        <f t="shared" si="659"/>
        <v>28.637513742554486</v>
      </c>
      <c r="AB210" s="15">
        <f t="shared" si="659"/>
        <v>25.908234171959727</v>
      </c>
      <c r="AC210" s="15">
        <f t="shared" si="659"/>
        <v>23.439066810875566</v>
      </c>
      <c r="AD210" s="15">
        <f t="shared" si="659"/>
        <v>21.205221834812999</v>
      </c>
      <c r="AE210" s="15">
        <f t="shared" si="659"/>
        <v>19.184271997338648</v>
      </c>
      <c r="AF210" s="15">
        <f t="shared" si="659"/>
        <v>17.355927466114025</v>
      </c>
      <c r="AG210" s="15">
        <f t="shared" si="659"/>
        <v>15.701832118039158</v>
      </c>
      <c r="AH210" s="15">
        <f t="shared" si="659"/>
        <v>14.205379248354731</v>
      </c>
      <c r="AI210" s="15">
        <f t="shared" si="659"/>
        <v>12.851544843468057</v>
      </c>
      <c r="AJ210" s="115" t="e">
        <f t="shared" si="653"/>
        <v>#VALUE!</v>
      </c>
      <c r="AK210" s="21">
        <f t="shared" si="634"/>
        <v>0.01</v>
      </c>
      <c r="AL210" s="108" t="e">
        <f t="shared" si="654"/>
        <v>#VALUE!</v>
      </c>
    </row>
    <row r="211" spans="2:38" x14ac:dyDescent="0.2">
      <c r="B211" s="10" t="s">
        <v>215</v>
      </c>
      <c r="C211" s="15"/>
      <c r="D211" s="15"/>
      <c r="E211" s="15"/>
      <c r="F211" s="15"/>
      <c r="G211" s="15" t="e">
        <f t="shared" ref="G211" si="660">G206/G80</f>
        <v>#DIV/0!</v>
      </c>
      <c r="H211" s="15" t="e">
        <f t="shared" ref="H211:I211" si="661">H206/H80</f>
        <v>#DIV/0!</v>
      </c>
      <c r="I211" s="15" t="e">
        <f t="shared" si="661"/>
        <v>#DIV/0!</v>
      </c>
      <c r="J211" s="15" t="e">
        <f t="shared" ref="J211:Q211" si="662">J206/J80</f>
        <v>#VALUE!</v>
      </c>
      <c r="K211" s="15" t="e">
        <f t="shared" si="662"/>
        <v>#DIV/0!</v>
      </c>
      <c r="L211" s="15" t="e">
        <f t="shared" si="662"/>
        <v>#DIV/0!</v>
      </c>
      <c r="M211" s="15" t="e">
        <f t="shared" si="662"/>
        <v>#DIV/0!</v>
      </c>
      <c r="N211" s="15" t="e">
        <f t="shared" si="662"/>
        <v>#DIV/0!</v>
      </c>
      <c r="O211" s="15" t="e">
        <f t="shared" si="662"/>
        <v>#DIV/0!</v>
      </c>
      <c r="P211" s="15" t="e">
        <f t="shared" si="662"/>
        <v>#DIV/0!</v>
      </c>
      <c r="Q211" s="15" t="e">
        <f t="shared" si="662"/>
        <v>#DIV/0!</v>
      </c>
      <c r="R211" s="15" t="e">
        <f t="shared" ref="R211:W211" si="663">R206/R80</f>
        <v>#DIV/0!</v>
      </c>
      <c r="S211" s="15" t="e">
        <f t="shared" si="663"/>
        <v>#DIV/0!</v>
      </c>
      <c r="T211" s="15" t="e">
        <f t="shared" si="663"/>
        <v>#DIV/0!</v>
      </c>
      <c r="U211" s="15" t="e">
        <f t="shared" si="663"/>
        <v>#DIV/0!</v>
      </c>
      <c r="V211" s="15" t="e">
        <f t="shared" si="663"/>
        <v>#DIV/0!</v>
      </c>
      <c r="W211" s="15">
        <f t="shared" si="663"/>
        <v>0.10017090108401083</v>
      </c>
      <c r="X211" s="101" t="e">
        <f t="shared" si="631"/>
        <v>#DIV/0!</v>
      </c>
      <c r="Y211" s="109"/>
      <c r="Z211" s="15">
        <f t="shared" si="659"/>
        <v>0.27500738637807143</v>
      </c>
      <c r="AA211" s="102">
        <f t="shared" ref="AA211:AI211" si="664">AA206/AA80</f>
        <v>0.17138530130480889</v>
      </c>
      <c r="AB211" s="102">
        <f t="shared" si="664"/>
        <v>0.15505153693697671</v>
      </c>
      <c r="AC211" s="102">
        <f t="shared" si="664"/>
        <v>0.14027445132976571</v>
      </c>
      <c r="AD211" s="102">
        <f t="shared" si="664"/>
        <v>0.12690568622912021</v>
      </c>
      <c r="AE211" s="102">
        <f t="shared" si="664"/>
        <v>0.11481102256763191</v>
      </c>
      <c r="AF211" s="102">
        <f t="shared" si="664"/>
        <v>0.1038690329385776</v>
      </c>
      <c r="AG211" s="102">
        <f t="shared" si="664"/>
        <v>9.3969862495040121E-2</v>
      </c>
      <c r="AH211" s="102">
        <f t="shared" si="664"/>
        <v>8.5014126034643256E-2</v>
      </c>
      <c r="AI211" s="102">
        <f t="shared" si="664"/>
        <v>7.6911910196906824E-2</v>
      </c>
      <c r="AJ211" s="115" t="e">
        <f t="shared" si="633"/>
        <v>#VALUE!</v>
      </c>
      <c r="AK211" s="21">
        <f t="shared" si="634"/>
        <v>0.01</v>
      </c>
      <c r="AL211" s="108" t="e">
        <f t="shared" si="635"/>
        <v>#VALUE!</v>
      </c>
    </row>
    <row r="212" spans="2:38" x14ac:dyDescent="0.2">
      <c r="B212" s="10" t="s">
        <v>216</v>
      </c>
      <c r="C212" s="15"/>
      <c r="D212" s="15"/>
      <c r="E212" s="15"/>
      <c r="F212" s="15"/>
      <c r="G212" s="15" t="e">
        <f t="shared" ref="G212" si="665">G206/G89</f>
        <v>#DIV/0!</v>
      </c>
      <c r="H212" s="15" t="e">
        <f t="shared" ref="H212:I212" si="666">H206/H89</f>
        <v>#DIV/0!</v>
      </c>
      <c r="I212" s="15" t="e">
        <f t="shared" si="666"/>
        <v>#DIV/0!</v>
      </c>
      <c r="J212" s="15" t="e">
        <f t="shared" ref="J212:Q212" si="667">J206/J89</f>
        <v>#VALUE!</v>
      </c>
      <c r="K212" s="15" t="e">
        <f t="shared" si="667"/>
        <v>#DIV/0!</v>
      </c>
      <c r="L212" s="15" t="e">
        <f t="shared" si="667"/>
        <v>#DIV/0!</v>
      </c>
      <c r="M212" s="15" t="e">
        <f t="shared" si="667"/>
        <v>#DIV/0!</v>
      </c>
      <c r="N212" s="15" t="e">
        <f t="shared" si="667"/>
        <v>#DIV/0!</v>
      </c>
      <c r="O212" s="15" t="e">
        <f t="shared" si="667"/>
        <v>#DIV/0!</v>
      </c>
      <c r="P212" s="15" t="e">
        <f t="shared" si="667"/>
        <v>#DIV/0!</v>
      </c>
      <c r="Q212" s="15" t="e">
        <f t="shared" si="667"/>
        <v>#DIV/0!</v>
      </c>
      <c r="R212" s="15" t="e">
        <f t="shared" ref="R212:W212" si="668">R206/R89</f>
        <v>#DIV/0!</v>
      </c>
      <c r="S212" s="15" t="e">
        <f t="shared" si="668"/>
        <v>#DIV/0!</v>
      </c>
      <c r="T212" s="15" t="e">
        <f t="shared" si="668"/>
        <v>#DIV/0!</v>
      </c>
      <c r="U212" s="15" t="e">
        <f t="shared" si="668"/>
        <v>#DIV/0!</v>
      </c>
      <c r="V212" s="15" t="e">
        <f t="shared" si="668"/>
        <v>#DIV/0!</v>
      </c>
      <c r="W212" s="15">
        <f t="shared" si="668"/>
        <v>0.10498384615384614</v>
      </c>
      <c r="X212" s="101" t="e">
        <f t="shared" si="631"/>
        <v>#DIV/0!</v>
      </c>
      <c r="Y212" s="109"/>
      <c r="Z212" s="102">
        <f t="shared" ref="Z212:AI212" si="669">Z206/Z89</f>
        <v>0.19854180602006688</v>
      </c>
      <c r="AA212" s="102">
        <f t="shared" si="669"/>
        <v>0.17961990868111097</v>
      </c>
      <c r="AB212" s="102">
        <f t="shared" si="669"/>
        <v>0.16250135042767641</v>
      </c>
      <c r="AC212" s="102">
        <f t="shared" si="669"/>
        <v>0.14701426520430833</v>
      </c>
      <c r="AD212" s="102">
        <f t="shared" si="669"/>
        <v>0.13300316653788033</v>
      </c>
      <c r="AE212" s="102">
        <f t="shared" si="669"/>
        <v>0.12032738649218322</v>
      </c>
      <c r="AF212" s="102">
        <f t="shared" si="669"/>
        <v>0.10885966339692821</v>
      </c>
      <c r="AG212" s="102">
        <f t="shared" si="669"/>
        <v>9.8484864172316625E-2</v>
      </c>
      <c r="AH212" s="102">
        <f t="shared" si="669"/>
        <v>8.9098828421633233E-2</v>
      </c>
      <c r="AI212" s="102">
        <f t="shared" si="669"/>
        <v>8.0607322686841051E-2</v>
      </c>
      <c r="AJ212" s="115" t="e">
        <f t="shared" si="633"/>
        <v>#VALUE!</v>
      </c>
      <c r="AK212" s="21">
        <f t="shared" si="634"/>
        <v>0.01</v>
      </c>
      <c r="AL212" s="108" t="e">
        <f t="shared" si="635"/>
        <v>#VALUE!</v>
      </c>
    </row>
    <row r="213" spans="2:38" x14ac:dyDescent="0.2">
      <c r="B213" s="10" t="s">
        <v>217</v>
      </c>
      <c r="C213" s="15"/>
      <c r="D213" s="15"/>
      <c r="E213" s="15"/>
      <c r="F213" s="15"/>
      <c r="G213" s="15" t="e">
        <f t="shared" ref="G213" si="670">G206/G91</f>
        <v>#DIV/0!</v>
      </c>
      <c r="H213" s="15" t="e">
        <f t="shared" ref="H213:I213" si="671">H206/H91</f>
        <v>#DIV/0!</v>
      </c>
      <c r="I213" s="15" t="e">
        <f t="shared" si="671"/>
        <v>#DIV/0!</v>
      </c>
      <c r="J213" s="15" t="e">
        <f t="shared" ref="J213:Q213" si="672">J206/J91</f>
        <v>#VALUE!</v>
      </c>
      <c r="K213" s="15" t="e">
        <f t="shared" si="672"/>
        <v>#DIV/0!</v>
      </c>
      <c r="L213" s="15" t="e">
        <f t="shared" si="672"/>
        <v>#DIV/0!</v>
      </c>
      <c r="M213" s="15" t="e">
        <f t="shared" si="672"/>
        <v>#DIV/0!</v>
      </c>
      <c r="N213" s="15" t="e">
        <f t="shared" si="672"/>
        <v>#DIV/0!</v>
      </c>
      <c r="O213" s="15" t="e">
        <f t="shared" si="672"/>
        <v>#DIV/0!</v>
      </c>
      <c r="P213" s="15" t="e">
        <f t="shared" si="672"/>
        <v>#DIV/0!</v>
      </c>
      <c r="Q213" s="15" t="e">
        <f t="shared" si="672"/>
        <v>#DIV/0!</v>
      </c>
      <c r="R213" s="15" t="e">
        <f t="shared" ref="R213:W213" si="673">R206/R91</f>
        <v>#DIV/0!</v>
      </c>
      <c r="S213" s="15" t="e">
        <f t="shared" si="673"/>
        <v>#DIV/0!</v>
      </c>
      <c r="T213" s="15" t="e">
        <f t="shared" si="673"/>
        <v>#DIV/0!</v>
      </c>
      <c r="U213" s="15" t="e">
        <f t="shared" si="673"/>
        <v>#DIV/0!</v>
      </c>
      <c r="V213" s="15" t="e">
        <f t="shared" si="673"/>
        <v>#DIV/0!</v>
      </c>
      <c r="W213" s="15">
        <f t="shared" si="673"/>
        <v>-1.5347984429065742</v>
      </c>
      <c r="X213" s="101" t="e">
        <f t="shared" si="631"/>
        <v>#DIV/0!</v>
      </c>
      <c r="Y213" s="109"/>
      <c r="Z213" s="102">
        <f t="shared" ref="Z213:AI213" si="674">Z206/Z91</f>
        <v>-2.9025575447570335</v>
      </c>
      <c r="AA213" s="102">
        <f t="shared" si="674"/>
        <v>-2.6259311909262761</v>
      </c>
      <c r="AB213" s="102">
        <f t="shared" si="674"/>
        <v>-2.3756685313388681</v>
      </c>
      <c r="AC213" s="102">
        <f t="shared" si="674"/>
        <v>-2.1492569913086599</v>
      </c>
      <c r="AD213" s="102">
        <f t="shared" si="674"/>
        <v>-1.94442345544133</v>
      </c>
      <c r="AE213" s="102">
        <f t="shared" si="674"/>
        <v>-1.7591114461227479</v>
      </c>
      <c r="AF213" s="102">
        <f t="shared" si="674"/>
        <v>-1.591460476996615</v>
      </c>
      <c r="AG213" s="102">
        <f t="shared" si="674"/>
        <v>-1.4397873741454592</v>
      </c>
      <c r="AH213" s="102">
        <f t="shared" si="674"/>
        <v>-1.3025693774442919</v>
      </c>
      <c r="AI213" s="102">
        <f t="shared" si="674"/>
        <v>-1.1784288524287316</v>
      </c>
      <c r="AJ213" s="115" t="e">
        <f t="shared" si="633"/>
        <v>#VALUE!</v>
      </c>
      <c r="AK213" s="21">
        <f t="shared" si="634"/>
        <v>0.01</v>
      </c>
      <c r="AL213" s="108" t="e">
        <f t="shared" si="635"/>
        <v>#VALUE!</v>
      </c>
    </row>
    <row r="214" spans="2:38" x14ac:dyDescent="0.2">
      <c r="B214" s="10" t="s">
        <v>231</v>
      </c>
      <c r="C214" s="15"/>
      <c r="D214" s="15"/>
      <c r="E214" s="15"/>
      <c r="F214" s="15"/>
      <c r="G214" s="155" t="e">
        <f t="shared" ref="G214" si="675">G206/G85</f>
        <v>#DIV/0!</v>
      </c>
      <c r="H214" s="155" t="e">
        <f t="shared" ref="H214:I214" si="676">H206/H85</f>
        <v>#DIV/0!</v>
      </c>
      <c r="I214" s="155" t="e">
        <f t="shared" si="676"/>
        <v>#DIV/0!</v>
      </c>
      <c r="J214" s="155" t="e">
        <f t="shared" ref="J214:Q214" si="677">J206/J85</f>
        <v>#VALUE!</v>
      </c>
      <c r="K214" s="155" t="e">
        <f t="shared" si="677"/>
        <v>#DIV/0!</v>
      </c>
      <c r="L214" s="155" t="e">
        <f t="shared" si="677"/>
        <v>#DIV/0!</v>
      </c>
      <c r="M214" s="155" t="e">
        <f t="shared" si="677"/>
        <v>#DIV/0!</v>
      </c>
      <c r="N214" s="155" t="e">
        <f t="shared" si="677"/>
        <v>#DIV/0!</v>
      </c>
      <c r="O214" s="155" t="e">
        <f t="shared" si="677"/>
        <v>#DIV/0!</v>
      </c>
      <c r="P214" s="155" t="e">
        <f t="shared" si="677"/>
        <v>#DIV/0!</v>
      </c>
      <c r="Q214" s="155" t="e">
        <f t="shared" si="677"/>
        <v>#DIV/0!</v>
      </c>
      <c r="R214" s="155" t="e">
        <f t="shared" ref="R214:W214" si="678">R206/R85</f>
        <v>#DIV/0!</v>
      </c>
      <c r="S214" s="155" t="e">
        <f t="shared" si="678"/>
        <v>#DIV/0!</v>
      </c>
      <c r="T214" s="155" t="e">
        <f t="shared" si="678"/>
        <v>#DIV/0!</v>
      </c>
      <c r="U214" s="155" t="e">
        <f t="shared" si="678"/>
        <v>#DIV/0!</v>
      </c>
      <c r="V214" s="155" t="e">
        <f t="shared" si="678"/>
        <v>#DIV/0!</v>
      </c>
      <c r="W214" s="155">
        <f t="shared" si="678"/>
        <v>0.13398482102401449</v>
      </c>
      <c r="X214" s="101" t="e">
        <f t="shared" si="631"/>
        <v>#DIV/0!</v>
      </c>
      <c r="Y214" s="109"/>
      <c r="Z214" s="112">
        <f t="shared" ref="Z214:AI214" si="679">Z206/Z85</f>
        <v>0.25338744311577788</v>
      </c>
      <c r="AA214" s="112">
        <f t="shared" si="679"/>
        <v>0.22923851810230894</v>
      </c>
      <c r="AB214" s="112">
        <f t="shared" si="679"/>
        <v>0.20739109063794978</v>
      </c>
      <c r="AC214" s="112">
        <f t="shared" si="679"/>
        <v>0.18762581799975914</v>
      </c>
      <c r="AD214" s="112">
        <f t="shared" si="679"/>
        <v>0.16974426177995602</v>
      </c>
      <c r="AE214" s="112">
        <f t="shared" si="679"/>
        <v>0.15356689561379677</v>
      </c>
      <c r="AF214" s="112">
        <f t="shared" si="679"/>
        <v>0.13893130277964713</v>
      </c>
      <c r="AG214" s="112">
        <f t="shared" si="679"/>
        <v>0.12569054557560419</v>
      </c>
      <c r="AH214" s="112">
        <f t="shared" si="679"/>
        <v>0.11371169010161621</v>
      </c>
      <c r="AI214" s="112">
        <f t="shared" si="679"/>
        <v>0.10287447163627959</v>
      </c>
      <c r="AJ214" s="115" t="e">
        <f t="shared" ref="AJ214" si="680">((AI214/J214)^(1/($AI$3-$K$1) ))-1</f>
        <v>#VALUE!</v>
      </c>
      <c r="AK214" s="21">
        <f t="shared" ref="AK214:AK217" si="681">$O$1</f>
        <v>0.01</v>
      </c>
      <c r="AL214" s="108" t="e">
        <f t="shared" si="635"/>
        <v>#VALUE!</v>
      </c>
    </row>
    <row r="215" spans="2:38" x14ac:dyDescent="0.2">
      <c r="B215" s="10"/>
      <c r="C215" s="15"/>
      <c r="D215" s="15"/>
      <c r="E215" s="15"/>
      <c r="F215" s="1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09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08"/>
    </row>
    <row r="216" spans="2:38" x14ac:dyDescent="0.2">
      <c r="B216" s="10" t="s">
        <v>264</v>
      </c>
      <c r="C216" s="128"/>
      <c r="D216" s="128"/>
      <c r="E216" s="128"/>
      <c r="F216" s="128"/>
      <c r="G216" s="128">
        <f t="shared" ref="G216" si="682">G64/G206</f>
        <v>0</v>
      </c>
      <c r="H216" s="128">
        <f t="shared" ref="H216:I216" si="683">H64/H206</f>
        <v>0</v>
      </c>
      <c r="I216" s="128">
        <f t="shared" si="683"/>
        <v>0</v>
      </c>
      <c r="J216" s="128">
        <f t="shared" ref="J216:Q216" si="684">J64/J206</f>
        <v>0</v>
      </c>
      <c r="K216" s="128">
        <f t="shared" si="684"/>
        <v>0</v>
      </c>
      <c r="L216" s="128" t="e">
        <f t="shared" si="684"/>
        <v>#VALUE!</v>
      </c>
      <c r="M216" s="128">
        <f t="shared" si="684"/>
        <v>0</v>
      </c>
      <c r="N216" s="128">
        <f t="shared" si="684"/>
        <v>0</v>
      </c>
      <c r="O216" s="128">
        <f t="shared" si="684"/>
        <v>0</v>
      </c>
      <c r="P216" s="128">
        <f t="shared" si="684"/>
        <v>0</v>
      </c>
      <c r="Q216" s="128">
        <f t="shared" si="684"/>
        <v>0</v>
      </c>
      <c r="R216" s="128">
        <f t="shared" ref="R216:W216" si="685">R64/R206</f>
        <v>0</v>
      </c>
      <c r="S216" s="128">
        <f t="shared" si="685"/>
        <v>0</v>
      </c>
      <c r="T216" s="128">
        <f t="shared" si="685"/>
        <v>0</v>
      </c>
      <c r="U216" s="128">
        <f t="shared" si="685"/>
        <v>0</v>
      </c>
      <c r="V216" s="128" t="e">
        <f t="shared" si="685"/>
        <v>#DIV/0!</v>
      </c>
      <c r="W216" s="128">
        <f t="shared" si="685"/>
        <v>0</v>
      </c>
      <c r="X216" s="101" t="e">
        <f t="shared" si="631"/>
        <v>#DIV/0!</v>
      </c>
      <c r="Y216" s="109"/>
      <c r="Z216" s="128">
        <f t="shared" ref="Z216:AI216" si="686">Z64/Z206</f>
        <v>0</v>
      </c>
      <c r="AA216" s="128">
        <f t="shared" si="686"/>
        <v>0</v>
      </c>
      <c r="AB216" s="128">
        <f t="shared" si="686"/>
        <v>0</v>
      </c>
      <c r="AC216" s="128">
        <f t="shared" si="686"/>
        <v>0</v>
      </c>
      <c r="AD216" s="128">
        <f t="shared" si="686"/>
        <v>0</v>
      </c>
      <c r="AE216" s="128">
        <f t="shared" si="686"/>
        <v>0</v>
      </c>
      <c r="AF216" s="128">
        <f t="shared" si="686"/>
        <v>0</v>
      </c>
      <c r="AG216" s="128">
        <f t="shared" si="686"/>
        <v>0</v>
      </c>
      <c r="AH216" s="128">
        <f t="shared" si="686"/>
        <v>0</v>
      </c>
      <c r="AI216" s="128">
        <f t="shared" si="686"/>
        <v>0</v>
      </c>
      <c r="AJ216" s="115" t="e">
        <f t="shared" ref="AJ216:AJ221" si="687">((AI216/J216)^(1/($AI$3-$K$1) ))-1</f>
        <v>#DIV/0!</v>
      </c>
      <c r="AK216" s="21">
        <f t="shared" si="681"/>
        <v>0.01</v>
      </c>
      <c r="AL216" s="108" t="e">
        <f t="shared" si="635"/>
        <v>#DIV/0!</v>
      </c>
    </row>
    <row r="217" spans="2:38" x14ac:dyDescent="0.2">
      <c r="B217" s="10" t="s">
        <v>132</v>
      </c>
      <c r="C217" s="128"/>
      <c r="D217" s="128"/>
      <c r="E217" s="128"/>
      <c r="F217" s="128"/>
      <c r="G217" s="138">
        <f t="shared" ref="G217" si="688">G206*G62</f>
        <v>0</v>
      </c>
      <c r="H217" s="138">
        <f t="shared" ref="H217:I217" si="689">H206*H62</f>
        <v>0</v>
      </c>
      <c r="I217" s="138">
        <f t="shared" si="689"/>
        <v>0</v>
      </c>
      <c r="J217" s="138" t="e">
        <f t="shared" ref="J217:Q217" si="690">J206*J62</f>
        <v>#VALUE!</v>
      </c>
      <c r="K217" s="138">
        <f t="shared" si="690"/>
        <v>0</v>
      </c>
      <c r="L217" s="138">
        <f t="shared" si="690"/>
        <v>0</v>
      </c>
      <c r="M217" s="138">
        <f t="shared" si="690"/>
        <v>0</v>
      </c>
      <c r="N217" s="138">
        <f t="shared" si="690"/>
        <v>0</v>
      </c>
      <c r="O217" s="138">
        <f t="shared" si="690"/>
        <v>0</v>
      </c>
      <c r="P217" s="138">
        <f t="shared" si="690"/>
        <v>0</v>
      </c>
      <c r="Q217" s="138">
        <f t="shared" si="690"/>
        <v>0</v>
      </c>
      <c r="R217" s="138">
        <f t="shared" ref="R217:W217" si="691">R206*R62</f>
        <v>0</v>
      </c>
      <c r="S217" s="138">
        <f t="shared" si="691"/>
        <v>0</v>
      </c>
      <c r="T217" s="138">
        <f t="shared" si="691"/>
        <v>0</v>
      </c>
      <c r="U217" s="138">
        <f t="shared" si="691"/>
        <v>0</v>
      </c>
      <c r="V217" s="138">
        <f t="shared" si="691"/>
        <v>0</v>
      </c>
      <c r="W217" s="138">
        <f t="shared" si="691"/>
        <v>887.11349999999993</v>
      </c>
      <c r="X217" s="101" t="e">
        <f t="shared" si="631"/>
        <v>#DIV/0!</v>
      </c>
      <c r="Y217" s="109"/>
      <c r="Z217" s="138">
        <f t="shared" ref="Z217:AI217" si="692">Z206*Z62</f>
        <v>1929.33</v>
      </c>
      <c r="AA217" s="138">
        <f t="shared" si="692"/>
        <v>2007.2749319999998</v>
      </c>
      <c r="AB217" s="138">
        <f t="shared" si="692"/>
        <v>2088.3688392528002</v>
      </c>
      <c r="AC217" s="138">
        <f t="shared" si="692"/>
        <v>2172.738940358613</v>
      </c>
      <c r="AD217" s="138">
        <f t="shared" si="692"/>
        <v>2260.5175935491011</v>
      </c>
      <c r="AE217" s="138">
        <f t="shared" si="692"/>
        <v>2351.8425043284851</v>
      </c>
      <c r="AF217" s="138">
        <f t="shared" si="692"/>
        <v>2446.8569415033558</v>
      </c>
      <c r="AG217" s="138">
        <f t="shared" si="692"/>
        <v>2545.709961940091</v>
      </c>
      <c r="AH217" s="138">
        <f t="shared" si="692"/>
        <v>2648.5566444024707</v>
      </c>
      <c r="AI217" s="138">
        <f t="shared" si="692"/>
        <v>2755.5583328363305</v>
      </c>
      <c r="AJ217" s="115" t="e">
        <f t="shared" si="687"/>
        <v>#VALUE!</v>
      </c>
      <c r="AK217" s="21">
        <f t="shared" si="681"/>
        <v>0.01</v>
      </c>
      <c r="AL217" s="108" t="e">
        <f t="shared" si="635"/>
        <v>#VALUE!</v>
      </c>
    </row>
    <row r="218" spans="2:38" x14ac:dyDescent="0.2">
      <c r="B218" s="10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55"/>
      <c r="Y218" s="109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12"/>
      <c r="AJ218" s="112"/>
      <c r="AK218" s="112"/>
      <c r="AL218" s="108"/>
    </row>
    <row r="219" spans="2:38" x14ac:dyDescent="0.2">
      <c r="B219" s="10" t="s">
        <v>313</v>
      </c>
      <c r="C219" s="135"/>
      <c r="D219" s="135"/>
      <c r="E219" s="135"/>
      <c r="F219" s="135"/>
      <c r="G219" s="135" t="e">
        <f t="shared" ref="G219" si="693">G77/G206</f>
        <v>#DIV/0!</v>
      </c>
      <c r="H219" s="135" t="e">
        <f t="shared" ref="H219:I219" si="694">H77/H206</f>
        <v>#DIV/0!</v>
      </c>
      <c r="I219" s="135" t="e">
        <f t="shared" si="694"/>
        <v>#DIV/0!</v>
      </c>
      <c r="J219" s="135" t="e">
        <f t="shared" ref="J219:Q219" si="695">J77/J206</f>
        <v>#VALUE!</v>
      </c>
      <c r="K219" s="135" t="e">
        <f t="shared" si="695"/>
        <v>#DIV/0!</v>
      </c>
      <c r="L219" s="135" t="e">
        <f t="shared" si="695"/>
        <v>#DIV/0!</v>
      </c>
      <c r="M219" s="135" t="e">
        <f t="shared" si="695"/>
        <v>#DIV/0!</v>
      </c>
      <c r="N219" s="135" t="e">
        <f t="shared" si="695"/>
        <v>#DIV/0!</v>
      </c>
      <c r="O219" s="135" t="e">
        <f t="shared" si="695"/>
        <v>#DIV/0!</v>
      </c>
      <c r="P219" s="135" t="e">
        <f t="shared" si="695"/>
        <v>#DIV/0!</v>
      </c>
      <c r="Q219" s="135" t="e">
        <f t="shared" si="695"/>
        <v>#DIV/0!</v>
      </c>
      <c r="R219" s="135" t="e">
        <f t="shared" ref="R219:W219" si="696">R77/R206</f>
        <v>#DIV/0!</v>
      </c>
      <c r="S219" s="135" t="e">
        <f t="shared" si="696"/>
        <v>#DIV/0!</v>
      </c>
      <c r="T219" s="135" t="e">
        <f t="shared" si="696"/>
        <v>#DIV/0!</v>
      </c>
      <c r="U219" s="135" t="e">
        <f t="shared" si="696"/>
        <v>#DIV/0!</v>
      </c>
      <c r="V219" s="135" t="e">
        <f t="shared" si="696"/>
        <v>#DIV/0!</v>
      </c>
      <c r="W219" s="135">
        <f t="shared" si="696"/>
        <v>3.4944795677216055E-2</v>
      </c>
      <c r="X219" s="101" t="e">
        <f t="shared" si="631"/>
        <v>#DIV/0!</v>
      </c>
      <c r="Y219" s="109"/>
      <c r="Z219" s="135">
        <f t="shared" ref="Z219:AI219" si="697">Z77/Z206</f>
        <v>1.8477917204418114E-2</v>
      </c>
      <c r="AA219" s="135">
        <f t="shared" si="697"/>
        <v>2.0424456733065005E-2</v>
      </c>
      <c r="AB219" s="135">
        <f t="shared" si="697"/>
        <v>2.2576052713403256E-2</v>
      </c>
      <c r="AC219" s="135">
        <f t="shared" si="697"/>
        <v>2.4954306632462266E-2</v>
      </c>
      <c r="AD219" s="135">
        <f t="shared" si="697"/>
        <v>2.7583095566447141E-2</v>
      </c>
      <c r="AE219" s="135">
        <f t="shared" si="697"/>
        <v>3.0488811900628809E-2</v>
      </c>
      <c r="AF219" s="135">
        <f t="shared" si="697"/>
        <v>3.3700628302309812E-2</v>
      </c>
      <c r="AG219" s="135">
        <f t="shared" si="697"/>
        <v>3.7250790607128305E-2</v>
      </c>
      <c r="AH219" s="135">
        <f t="shared" si="697"/>
        <v>4.117494155920564E-2</v>
      </c>
      <c r="AI219" s="135">
        <f t="shared" si="697"/>
        <v>4.5512478655408001E-2</v>
      </c>
      <c r="AJ219" s="115" t="e">
        <f t="shared" ref="AJ219" si="698">((AI219/J219)^(1/($AI$3-$K$1) ))-1</f>
        <v>#VALUE!</v>
      </c>
      <c r="AK219" s="21">
        <f t="shared" ref="AK219" si="699">$O$1</f>
        <v>0.01</v>
      </c>
      <c r="AL219" s="108" t="e">
        <f t="shared" ref="AL219" si="700">(AI219*(1+AJ219))/($C$1-AK219)</f>
        <v>#VALUE!</v>
      </c>
    </row>
    <row r="220" spans="2:38" x14ac:dyDescent="0.2">
      <c r="B220" s="10" t="str">
        <f>B208</f>
        <v>P/E (how many years it will take to recover invested amount)</v>
      </c>
      <c r="C220" s="128"/>
      <c r="D220" s="128"/>
      <c r="E220" s="128"/>
      <c r="F220" s="128"/>
      <c r="G220" s="154" t="e">
        <f t="shared" ref="G220" si="701">G208</f>
        <v>#DIV/0!</v>
      </c>
      <c r="H220" s="154" t="e">
        <f t="shared" ref="H220:I220" si="702">H208</f>
        <v>#DIV/0!</v>
      </c>
      <c r="I220" s="154" t="e">
        <f t="shared" si="702"/>
        <v>#DIV/0!</v>
      </c>
      <c r="J220" s="154" t="e">
        <f t="shared" ref="J220:Q220" si="703">J208</f>
        <v>#VALUE!</v>
      </c>
      <c r="K220" s="154" t="e">
        <f t="shared" si="703"/>
        <v>#DIV/0!</v>
      </c>
      <c r="L220" s="154" t="e">
        <f t="shared" si="703"/>
        <v>#DIV/0!</v>
      </c>
      <c r="M220" s="154" t="e">
        <f t="shared" si="703"/>
        <v>#DIV/0!</v>
      </c>
      <c r="N220" s="154" t="e">
        <f t="shared" si="703"/>
        <v>#DIV/0!</v>
      </c>
      <c r="O220" s="154" t="e">
        <f t="shared" si="703"/>
        <v>#DIV/0!</v>
      </c>
      <c r="P220" s="154" t="e">
        <f t="shared" si="703"/>
        <v>#DIV/0!</v>
      </c>
      <c r="Q220" s="154" t="e">
        <f t="shared" si="703"/>
        <v>#DIV/0!</v>
      </c>
      <c r="R220" s="154" t="e">
        <f t="shared" ref="R220:W220" si="704">R208</f>
        <v>#DIV/0!</v>
      </c>
      <c r="S220" s="154" t="e">
        <f t="shared" si="704"/>
        <v>#DIV/0!</v>
      </c>
      <c r="T220" s="154" t="e">
        <f t="shared" si="704"/>
        <v>#DIV/0!</v>
      </c>
      <c r="U220" s="154" t="e">
        <f t="shared" si="704"/>
        <v>#DIV/0!</v>
      </c>
      <c r="V220" s="154" t="e">
        <f t="shared" si="704"/>
        <v>#DIV/0!</v>
      </c>
      <c r="W220" s="154">
        <f t="shared" si="704"/>
        <v>28.616564516129028</v>
      </c>
      <c r="X220" s="101" t="e">
        <f t="shared" si="631"/>
        <v>#DIV/0!</v>
      </c>
      <c r="Y220" s="109"/>
      <c r="Z220" s="128">
        <f t="shared" ref="Z220:AI220" si="705">Z208</f>
        <v>54.118653576437588</v>
      </c>
      <c r="AA220" s="128">
        <f t="shared" si="705"/>
        <v>48.960910592109279</v>
      </c>
      <c r="AB220" s="128">
        <f t="shared" si="705"/>
        <v>44.294722939156962</v>
      </c>
      <c r="AC220" s="128">
        <f t="shared" si="705"/>
        <v>40.073243257303396</v>
      </c>
      <c r="AD220" s="128">
        <f t="shared" si="705"/>
        <v>36.254088943389966</v>
      </c>
      <c r="AE220" s="128">
        <f t="shared" si="705"/>
        <v>32.798916640611232</v>
      </c>
      <c r="AF220" s="128">
        <f t="shared" si="705"/>
        <v>29.673037280775585</v>
      </c>
      <c r="AG220" s="128">
        <f t="shared" si="705"/>
        <v>26.845067814712106</v>
      </c>
      <c r="AH220" s="128">
        <f t="shared" si="705"/>
        <v>24.286616134283889</v>
      </c>
      <c r="AI220" s="128">
        <f t="shared" si="705"/>
        <v>21.971996022703443</v>
      </c>
      <c r="AJ220" s="115" t="e">
        <f t="shared" ref="AJ220" si="706">((AI220/J220)^(1/($AI$3-$K$1) ))-1</f>
        <v>#VALUE!</v>
      </c>
      <c r="AK220" s="21">
        <f t="shared" ref="AK220:AK222" si="707">$O$1</f>
        <v>0.01</v>
      </c>
      <c r="AL220" s="154" t="e">
        <f>(AL207)/($O$2*100)</f>
        <v>#VALUE!</v>
      </c>
    </row>
    <row r="221" spans="2:38" x14ac:dyDescent="0.2">
      <c r="B221" s="10" t="s">
        <v>431</v>
      </c>
      <c r="C221" s="154"/>
      <c r="D221" s="154"/>
      <c r="E221" s="154"/>
      <c r="F221" s="154"/>
      <c r="G221" s="154" t="e">
        <f t="shared" ref="G221" si="708">(G208)/($O$2*100)</f>
        <v>#DIV/0!</v>
      </c>
      <c r="H221" s="154" t="e">
        <f t="shared" ref="H221:I221" si="709">(H208)/($O$2*100)</f>
        <v>#DIV/0!</v>
      </c>
      <c r="I221" s="154" t="e">
        <f t="shared" si="709"/>
        <v>#DIV/0!</v>
      </c>
      <c r="J221" s="154" t="e">
        <f t="shared" ref="J221:Q221" si="710">(J208)/($O$2*100)</f>
        <v>#VALUE!</v>
      </c>
      <c r="K221" s="154" t="e">
        <f t="shared" si="710"/>
        <v>#DIV/0!</v>
      </c>
      <c r="L221" s="154" t="e">
        <f t="shared" si="710"/>
        <v>#DIV/0!</v>
      </c>
      <c r="M221" s="154" t="e">
        <f t="shared" si="710"/>
        <v>#DIV/0!</v>
      </c>
      <c r="N221" s="154" t="e">
        <f t="shared" si="710"/>
        <v>#DIV/0!</v>
      </c>
      <c r="O221" s="154" t="e">
        <f t="shared" si="710"/>
        <v>#DIV/0!</v>
      </c>
      <c r="P221" s="154" t="e">
        <f t="shared" si="710"/>
        <v>#DIV/0!</v>
      </c>
      <c r="Q221" s="154" t="e">
        <f t="shared" si="710"/>
        <v>#DIV/0!</v>
      </c>
      <c r="R221" s="154" t="e">
        <f t="shared" ref="R221:W221" si="711">(R208)/($O$2*100)</f>
        <v>#DIV/0!</v>
      </c>
      <c r="S221" s="154" t="e">
        <f t="shared" si="711"/>
        <v>#DIV/0!</v>
      </c>
      <c r="T221" s="154" t="e">
        <f t="shared" si="711"/>
        <v>#DIV/0!</v>
      </c>
      <c r="U221" s="154" t="e">
        <f t="shared" si="711"/>
        <v>#DIV/0!</v>
      </c>
      <c r="V221" s="154" t="e">
        <f t="shared" si="711"/>
        <v>#DIV/0!</v>
      </c>
      <c r="W221" s="154">
        <f t="shared" si="711"/>
        <v>1.9077709677419352</v>
      </c>
      <c r="X221" s="101" t="e">
        <f t="shared" si="631"/>
        <v>#DIV/0!</v>
      </c>
      <c r="Y221" s="109"/>
      <c r="Z221" s="154">
        <f t="shared" ref="Z221:AI221" si="712">(Z208)/($O$2*100)</f>
        <v>3.6079102384291724</v>
      </c>
      <c r="AA221" s="154">
        <f t="shared" si="712"/>
        <v>3.2640607061406186</v>
      </c>
      <c r="AB221" s="154">
        <f t="shared" si="712"/>
        <v>2.9529815292771309</v>
      </c>
      <c r="AC221" s="154">
        <f t="shared" si="712"/>
        <v>2.6715495504868931</v>
      </c>
      <c r="AD221" s="154">
        <f t="shared" si="712"/>
        <v>2.4169392628926643</v>
      </c>
      <c r="AE221" s="154">
        <f t="shared" si="712"/>
        <v>2.1865944427074155</v>
      </c>
      <c r="AF221" s="154">
        <f t="shared" si="712"/>
        <v>1.9782024853850391</v>
      </c>
      <c r="AG221" s="154">
        <f t="shared" si="712"/>
        <v>1.7896711876474738</v>
      </c>
      <c r="AH221" s="154">
        <f t="shared" si="712"/>
        <v>1.6191077422855926</v>
      </c>
      <c r="AI221" s="154">
        <f t="shared" si="712"/>
        <v>1.4647997348468962</v>
      </c>
      <c r="AJ221" s="115" t="e">
        <f t="shared" si="687"/>
        <v>#VALUE!</v>
      </c>
      <c r="AK221" s="21">
        <f t="shared" si="707"/>
        <v>0.01</v>
      </c>
      <c r="AL221" s="154" t="e">
        <f>(AL208)/($O$2*100)</f>
        <v>#VALUE!</v>
      </c>
    </row>
    <row r="222" spans="2:38" x14ac:dyDescent="0.2">
      <c r="B222" s="10" t="s">
        <v>432</v>
      </c>
      <c r="C222" s="128"/>
      <c r="D222" s="128"/>
      <c r="E222" s="128"/>
      <c r="F222" s="128"/>
      <c r="G222" s="128" t="e">
        <f t="shared" ref="G222" si="713">G221-1</f>
        <v>#DIV/0!</v>
      </c>
      <c r="H222" s="128" t="e">
        <f t="shared" ref="H222:I222" si="714">H221-1</f>
        <v>#DIV/0!</v>
      </c>
      <c r="I222" s="128" t="e">
        <f t="shared" si="714"/>
        <v>#DIV/0!</v>
      </c>
      <c r="J222" s="128" t="e">
        <f t="shared" ref="J222:Q222" si="715">J221-1</f>
        <v>#VALUE!</v>
      </c>
      <c r="K222" s="128" t="e">
        <f t="shared" si="715"/>
        <v>#DIV/0!</v>
      </c>
      <c r="L222" s="128" t="e">
        <f t="shared" si="715"/>
        <v>#DIV/0!</v>
      </c>
      <c r="M222" s="128" t="e">
        <f t="shared" si="715"/>
        <v>#DIV/0!</v>
      </c>
      <c r="N222" s="128" t="e">
        <f t="shared" si="715"/>
        <v>#DIV/0!</v>
      </c>
      <c r="O222" s="128" t="e">
        <f t="shared" si="715"/>
        <v>#DIV/0!</v>
      </c>
      <c r="P222" s="128" t="e">
        <f t="shared" si="715"/>
        <v>#DIV/0!</v>
      </c>
      <c r="Q222" s="128" t="e">
        <f t="shared" si="715"/>
        <v>#DIV/0!</v>
      </c>
      <c r="R222" s="128" t="e">
        <f t="shared" ref="R222:W222" si="716">R221-1</f>
        <v>#DIV/0!</v>
      </c>
      <c r="S222" s="128" t="e">
        <f t="shared" si="716"/>
        <v>#DIV/0!</v>
      </c>
      <c r="T222" s="128" t="e">
        <f t="shared" si="716"/>
        <v>#DIV/0!</v>
      </c>
      <c r="U222" s="128" t="e">
        <f t="shared" si="716"/>
        <v>#DIV/0!</v>
      </c>
      <c r="V222" s="128" t="e">
        <f t="shared" si="716"/>
        <v>#DIV/0!</v>
      </c>
      <c r="W222" s="128">
        <f t="shared" si="716"/>
        <v>0.90777096774193522</v>
      </c>
      <c r="X222" s="101" t="e">
        <f t="shared" si="631"/>
        <v>#DIV/0!</v>
      </c>
      <c r="Y222" s="109"/>
      <c r="Z222" s="128">
        <f t="shared" ref="Z222:AI222" si="717">Z221-1</f>
        <v>2.6079102384291724</v>
      </c>
      <c r="AA222" s="128">
        <f t="shared" si="717"/>
        <v>2.2640607061406186</v>
      </c>
      <c r="AB222" s="128">
        <f t="shared" si="717"/>
        <v>1.9529815292771309</v>
      </c>
      <c r="AC222" s="128">
        <f t="shared" si="717"/>
        <v>1.6715495504868931</v>
      </c>
      <c r="AD222" s="128">
        <f t="shared" si="717"/>
        <v>1.4169392628926643</v>
      </c>
      <c r="AE222" s="128">
        <f t="shared" si="717"/>
        <v>1.1865944427074155</v>
      </c>
      <c r="AF222" s="128">
        <f t="shared" si="717"/>
        <v>0.97820248538503907</v>
      </c>
      <c r="AG222" s="128">
        <f t="shared" si="717"/>
        <v>0.78967118764747379</v>
      </c>
      <c r="AH222" s="128">
        <f t="shared" si="717"/>
        <v>0.61910774228559262</v>
      </c>
      <c r="AI222" s="128">
        <f t="shared" si="717"/>
        <v>0.46479973484689618</v>
      </c>
      <c r="AJ222" s="115" t="e">
        <f t="shared" ref="AJ222" si="718">((AI222/J222)^(1/($AI$3-$K$1) ))-1</f>
        <v>#VALUE!</v>
      </c>
      <c r="AK222" s="21">
        <f t="shared" si="707"/>
        <v>0.01</v>
      </c>
      <c r="AL222" s="154" t="e">
        <f>(AL209)/($O$2*100)</f>
        <v>#VALUE!</v>
      </c>
    </row>
    <row r="223" spans="2:38" x14ac:dyDescent="0.2">
      <c r="B223" s="10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55"/>
      <c r="Y223" s="109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12"/>
      <c r="AJ223" s="114"/>
      <c r="AK223" s="10"/>
      <c r="AL223" s="108"/>
    </row>
    <row r="224" spans="2:38" x14ac:dyDescent="0.2">
      <c r="B224" s="10" t="s">
        <v>502</v>
      </c>
      <c r="C224" s="128"/>
      <c r="D224" s="128"/>
      <c r="E224" s="128"/>
      <c r="F224" s="128"/>
      <c r="G224" s="128">
        <f t="shared" ref="G224:W224" si="719">1/G225</f>
        <v>2.0475662714428116E-2</v>
      </c>
      <c r="H224" s="128">
        <f t="shared" si="719"/>
        <v>2.2513524880319064E-2</v>
      </c>
      <c r="I224" s="128">
        <f t="shared" si="719"/>
        <v>1.6268334759408639E-2</v>
      </c>
      <c r="J224" s="128">
        <f t="shared" si="719"/>
        <v>1.8813282177217117E-2</v>
      </c>
      <c r="K224" s="128">
        <f t="shared" si="719"/>
        <v>9.7945438139120045E-2</v>
      </c>
      <c r="L224" s="128">
        <f t="shared" si="719"/>
        <v>0.28790022725741349</v>
      </c>
      <c r="M224" s="128">
        <f t="shared" si="719"/>
        <v>0.15574930327040401</v>
      </c>
      <c r="N224" s="128">
        <f t="shared" si="719"/>
        <v>0.1792586320659367</v>
      </c>
      <c r="O224" s="128">
        <f t="shared" si="719"/>
        <v>0.15574930327040401</v>
      </c>
      <c r="P224" s="128">
        <f t="shared" si="719"/>
        <v>0.19001414998989291</v>
      </c>
      <c r="Q224" s="128">
        <f t="shared" si="719"/>
        <v>0.10556341666105161</v>
      </c>
      <c r="R224" s="128">
        <f t="shared" si="719"/>
        <v>4.5457930619591601E-2</v>
      </c>
      <c r="S224" s="128">
        <f t="shared" si="719"/>
        <v>5.1079072577928201E-2</v>
      </c>
      <c r="T224" s="128">
        <f t="shared" si="719"/>
        <v>4.0601314100404469E-2</v>
      </c>
      <c r="U224" s="128">
        <f t="shared" si="719"/>
        <v>3.3931098212480873E-2</v>
      </c>
      <c r="V224" s="128" t="e">
        <f t="shared" si="719"/>
        <v>#DIV/0!</v>
      </c>
      <c r="W224" s="128">
        <f t="shared" si="719"/>
        <v>0.40514744134305525</v>
      </c>
      <c r="X224" s="101" t="e">
        <f t="shared" si="631"/>
        <v>#DIV/0!</v>
      </c>
      <c r="Y224" s="109"/>
      <c r="Z224" s="128">
        <f t="shared" ref="Z224:AI224" si="720">1/Z225</f>
        <v>0.19001414998989291</v>
      </c>
      <c r="AA224" s="128">
        <f t="shared" si="720"/>
        <v>0.18628838234303227</v>
      </c>
      <c r="AB224" s="128">
        <f t="shared" si="720"/>
        <v>0.1826356689637571</v>
      </c>
      <c r="AC224" s="128">
        <f t="shared" si="720"/>
        <v>0.17905457741544814</v>
      </c>
      <c r="AD224" s="128">
        <f t="shared" si="720"/>
        <v>0.17554370334847857</v>
      </c>
      <c r="AE224" s="128">
        <f t="shared" si="720"/>
        <v>0.17210166994948878</v>
      </c>
      <c r="AF224" s="128">
        <f t="shared" si="720"/>
        <v>0.16872712740145962</v>
      </c>
      <c r="AG224" s="128">
        <f t="shared" si="720"/>
        <v>0.16541875235437214</v>
      </c>
      <c r="AH224" s="128">
        <f t="shared" si="720"/>
        <v>0.1621752474062472</v>
      </c>
      <c r="AI224" s="128">
        <f t="shared" si="720"/>
        <v>0.15899534059435999</v>
      </c>
      <c r="AJ224" s="115">
        <f t="shared" ref="AJ224" si="721">((AI224/J224)^(1/($AI$3-$K$1) ))-1</f>
        <v>8.9122657902320546E-2</v>
      </c>
      <c r="AK224" s="21">
        <f t="shared" ref="AK224:AK227" si="722">$O$1</f>
        <v>0.01</v>
      </c>
      <c r="AL224" s="154" t="e">
        <f>(AL211)/($O$2*100)</f>
        <v>#VALUE!</v>
      </c>
    </row>
    <row r="225" spans="2:38" x14ac:dyDescent="0.2">
      <c r="B225" s="10" t="s">
        <v>509</v>
      </c>
      <c r="C225" s="110"/>
      <c r="D225" s="110"/>
      <c r="E225" s="110"/>
      <c r="F225" s="110"/>
      <c r="G225" s="112">
        <f t="shared" ref="G225:Q225" si="723">G206/$T$175</f>
        <v>48.838468085106371</v>
      </c>
      <c r="H225" s="112">
        <f t="shared" si="723"/>
        <v>44.417744680851058</v>
      </c>
      <c r="I225" s="112">
        <f t="shared" si="723"/>
        <v>61.469106382978715</v>
      </c>
      <c r="J225" s="112">
        <f t="shared" si="723"/>
        <v>53.153936170212759</v>
      </c>
      <c r="K225" s="112">
        <f t="shared" si="723"/>
        <v>10.209765957446807</v>
      </c>
      <c r="L225" s="112">
        <f t="shared" si="723"/>
        <v>3.4734255319148928</v>
      </c>
      <c r="M225" s="112">
        <f t="shared" si="723"/>
        <v>6.4205744680851051</v>
      </c>
      <c r="N225" s="112">
        <f t="shared" si="723"/>
        <v>5.5785319148936159</v>
      </c>
      <c r="O225" s="112">
        <f t="shared" si="723"/>
        <v>6.4205744680851051</v>
      </c>
      <c r="P225" s="112">
        <f t="shared" si="723"/>
        <v>5.2627659574468071</v>
      </c>
      <c r="Q225" s="112">
        <f t="shared" si="723"/>
        <v>9.4729787234042533</v>
      </c>
      <c r="R225" s="112">
        <f t="shared" ref="R225:W225" si="724">R206/$T$175</f>
        <v>21.998361702127657</v>
      </c>
      <c r="S225" s="112">
        <f t="shared" si="724"/>
        <v>19.577489361702124</v>
      </c>
      <c r="T225" s="112">
        <f t="shared" si="724"/>
        <v>24.629744680851058</v>
      </c>
      <c r="U225" s="112">
        <f t="shared" si="724"/>
        <v>29.471489361702123</v>
      </c>
      <c r="V225" s="112">
        <f t="shared" si="724"/>
        <v>0</v>
      </c>
      <c r="W225" s="112">
        <f t="shared" si="724"/>
        <v>2.4682372340425527</v>
      </c>
      <c r="X225" s="101">
        <f t="shared" si="631"/>
        <v>-1</v>
      </c>
      <c r="Y225" s="109"/>
      <c r="Z225" s="112">
        <f t="shared" ref="Z225:AI225" si="725">Z206/$T$175</f>
        <v>5.2627659574468071</v>
      </c>
      <c r="AA225" s="112">
        <f t="shared" si="725"/>
        <v>5.3680212765957434</v>
      </c>
      <c r="AB225" s="112">
        <f t="shared" si="725"/>
        <v>5.4753817021276587</v>
      </c>
      <c r="AC225" s="112">
        <f t="shared" si="725"/>
        <v>5.5848893361702121</v>
      </c>
      <c r="AD225" s="112">
        <f t="shared" si="725"/>
        <v>5.6965871228936162</v>
      </c>
      <c r="AE225" s="112">
        <f t="shared" si="725"/>
        <v>5.8105188653514892</v>
      </c>
      <c r="AF225" s="112">
        <f t="shared" si="725"/>
        <v>5.9267292426585181</v>
      </c>
      <c r="AG225" s="112">
        <f t="shared" si="725"/>
        <v>6.0452638275116888</v>
      </c>
      <c r="AH225" s="112">
        <f t="shared" si="725"/>
        <v>6.1661691040619226</v>
      </c>
      <c r="AI225" s="112">
        <f t="shared" si="725"/>
        <v>6.2894924861431614</v>
      </c>
      <c r="AJ225" s="115">
        <f t="shared" ref="AJ225:AJ227" si="726">((AI225/J225)^(1/($AI$3-$K$1) ))-1</f>
        <v>-8.182977119764745E-2</v>
      </c>
      <c r="AK225" s="21">
        <f t="shared" si="722"/>
        <v>0.01</v>
      </c>
      <c r="AL225" s="154" t="e">
        <f>(AL211)/($O$2*100)</f>
        <v>#VALUE!</v>
      </c>
    </row>
    <row r="226" spans="2:38" x14ac:dyDescent="0.2">
      <c r="B226" s="10" t="s">
        <v>431</v>
      </c>
      <c r="C226" s="110"/>
      <c r="D226" s="110"/>
      <c r="E226" s="110"/>
      <c r="F226" s="110"/>
      <c r="G226" s="154">
        <f t="shared" ref="G226" si="727">(G225)/($O$2*100)</f>
        <v>3.2558978723404248</v>
      </c>
      <c r="H226" s="154">
        <f t="shared" ref="H226:I226" si="728">(H225)/($O$2*100)</f>
        <v>2.9611829787234041</v>
      </c>
      <c r="I226" s="154">
        <f t="shared" si="728"/>
        <v>4.0979404255319141</v>
      </c>
      <c r="J226" s="154">
        <f t="shared" ref="J226:Q226" si="729">(J225)/($O$2*100)</f>
        <v>3.5435957446808506</v>
      </c>
      <c r="K226" s="154">
        <f t="shared" si="729"/>
        <v>0.68065106382978713</v>
      </c>
      <c r="L226" s="154">
        <f t="shared" si="729"/>
        <v>0.23156170212765953</v>
      </c>
      <c r="M226" s="154">
        <f t="shared" si="729"/>
        <v>0.42803829787234032</v>
      </c>
      <c r="N226" s="154">
        <f t="shared" si="729"/>
        <v>0.37190212765957437</v>
      </c>
      <c r="O226" s="154">
        <f t="shared" si="729"/>
        <v>0.42803829787234032</v>
      </c>
      <c r="P226" s="154">
        <f t="shared" si="729"/>
        <v>0.35085106382978715</v>
      </c>
      <c r="Q226" s="154">
        <f t="shared" si="729"/>
        <v>0.63153191489361693</v>
      </c>
      <c r="R226" s="154">
        <f t="shared" ref="R226:W226" si="730">(R225)/($O$2*100)</f>
        <v>1.4665574468085105</v>
      </c>
      <c r="S226" s="154">
        <f t="shared" si="730"/>
        <v>1.3051659574468082</v>
      </c>
      <c r="T226" s="154">
        <f t="shared" si="730"/>
        <v>1.6419829787234039</v>
      </c>
      <c r="U226" s="154">
        <f t="shared" si="730"/>
        <v>1.9647659574468082</v>
      </c>
      <c r="V226" s="154">
        <f t="shared" si="730"/>
        <v>0</v>
      </c>
      <c r="W226" s="154">
        <f t="shared" si="730"/>
        <v>0.16454914893617018</v>
      </c>
      <c r="X226" s="101">
        <f t="shared" si="631"/>
        <v>-1</v>
      </c>
      <c r="Y226" s="109"/>
      <c r="Z226" s="154">
        <f t="shared" ref="Z226:AI226" si="731">(Z225)/($O$2*100)</f>
        <v>0.35085106382978715</v>
      </c>
      <c r="AA226" s="154">
        <f t="shared" si="731"/>
        <v>0.3578680851063829</v>
      </c>
      <c r="AB226" s="154">
        <f t="shared" si="731"/>
        <v>0.36502544680851057</v>
      </c>
      <c r="AC226" s="154">
        <f t="shared" si="731"/>
        <v>0.3723259557446808</v>
      </c>
      <c r="AD226" s="154">
        <f t="shared" si="731"/>
        <v>0.37977247485957444</v>
      </c>
      <c r="AE226" s="154">
        <f t="shared" si="731"/>
        <v>0.38736792435676592</v>
      </c>
      <c r="AF226" s="154">
        <f t="shared" si="731"/>
        <v>0.39511528284390118</v>
      </c>
      <c r="AG226" s="154">
        <f t="shared" si="731"/>
        <v>0.40301758850077923</v>
      </c>
      <c r="AH226" s="154">
        <f t="shared" si="731"/>
        <v>0.41107794027079486</v>
      </c>
      <c r="AI226" s="154">
        <f t="shared" si="731"/>
        <v>0.41929949907621078</v>
      </c>
      <c r="AJ226" s="115">
        <f t="shared" si="726"/>
        <v>-8.182977119764745E-2</v>
      </c>
      <c r="AK226" s="21">
        <f t="shared" si="722"/>
        <v>0.01</v>
      </c>
      <c r="AL226" s="154" t="e">
        <f>(AL212)/($O$2*100)</f>
        <v>#VALUE!</v>
      </c>
    </row>
    <row r="227" spans="2:38" x14ac:dyDescent="0.2">
      <c r="B227" s="10" t="s">
        <v>433</v>
      </c>
      <c r="C227" s="110"/>
      <c r="D227" s="110"/>
      <c r="E227" s="110"/>
      <c r="F227" s="110"/>
      <c r="G227" s="128">
        <f t="shared" ref="G227" si="732">G226-1</f>
        <v>2.2558978723404248</v>
      </c>
      <c r="H227" s="128">
        <f t="shared" ref="H227:I227" si="733">H226-1</f>
        <v>1.9611829787234041</v>
      </c>
      <c r="I227" s="128">
        <f t="shared" si="733"/>
        <v>3.0979404255319141</v>
      </c>
      <c r="J227" s="128">
        <f t="shared" ref="J227:Q227" si="734">J226-1</f>
        <v>2.5435957446808506</v>
      </c>
      <c r="K227" s="128">
        <f t="shared" si="734"/>
        <v>-0.31934893617021287</v>
      </c>
      <c r="L227" s="128">
        <f t="shared" si="734"/>
        <v>-0.76843829787234053</v>
      </c>
      <c r="M227" s="128">
        <f t="shared" si="734"/>
        <v>-0.57196170212765973</v>
      </c>
      <c r="N227" s="128">
        <f t="shared" si="734"/>
        <v>-0.62809787234042558</v>
      </c>
      <c r="O227" s="128">
        <f t="shared" si="734"/>
        <v>-0.57196170212765973</v>
      </c>
      <c r="P227" s="128">
        <f t="shared" si="734"/>
        <v>-0.64914893617021285</v>
      </c>
      <c r="Q227" s="128">
        <f t="shared" si="734"/>
        <v>-0.36846808510638307</v>
      </c>
      <c r="R227" s="128">
        <f t="shared" ref="R227:W227" si="735">R226-1</f>
        <v>0.46655744680851052</v>
      </c>
      <c r="S227" s="128">
        <f t="shared" si="735"/>
        <v>0.30516595744680819</v>
      </c>
      <c r="T227" s="128">
        <f t="shared" si="735"/>
        <v>0.64198297872340393</v>
      </c>
      <c r="U227" s="128">
        <f t="shared" si="735"/>
        <v>0.96476595744680815</v>
      </c>
      <c r="V227" s="128">
        <f t="shared" si="735"/>
        <v>-1</v>
      </c>
      <c r="W227" s="128">
        <f t="shared" si="735"/>
        <v>-0.83545085106382988</v>
      </c>
      <c r="X227" s="101" t="e">
        <f t="shared" si="631"/>
        <v>#NUM!</v>
      </c>
      <c r="Y227" s="109"/>
      <c r="Z227" s="128">
        <f t="shared" ref="Z227:AI227" si="736">Z226-1</f>
        <v>-0.64914893617021285</v>
      </c>
      <c r="AA227" s="128">
        <f t="shared" si="736"/>
        <v>-0.6421319148936171</v>
      </c>
      <c r="AB227" s="128">
        <f t="shared" si="736"/>
        <v>-0.63497455319148943</v>
      </c>
      <c r="AC227" s="128">
        <f t="shared" si="736"/>
        <v>-0.62767404425531925</v>
      </c>
      <c r="AD227" s="128">
        <f t="shared" si="736"/>
        <v>-0.62022752514042556</v>
      </c>
      <c r="AE227" s="128">
        <f t="shared" si="736"/>
        <v>-0.61263207564323408</v>
      </c>
      <c r="AF227" s="128">
        <f t="shared" si="736"/>
        <v>-0.60488471715609882</v>
      </c>
      <c r="AG227" s="128">
        <f t="shared" si="736"/>
        <v>-0.59698241149922082</v>
      </c>
      <c r="AH227" s="128">
        <f t="shared" si="736"/>
        <v>-0.58892205972920508</v>
      </c>
      <c r="AI227" s="128">
        <f t="shared" si="736"/>
        <v>-0.58070050092378922</v>
      </c>
      <c r="AJ227" s="115">
        <f t="shared" si="726"/>
        <v>-1.9426276276666556</v>
      </c>
      <c r="AK227" s="21">
        <f t="shared" si="722"/>
        <v>0.01</v>
      </c>
      <c r="AL227" s="154" t="e">
        <f>(AL213)/($O$2*100)</f>
        <v>#VALUE!</v>
      </c>
    </row>
    <row r="228" spans="2:38" x14ac:dyDescent="0.2">
      <c r="B228" s="10"/>
      <c r="C228" s="110"/>
      <c r="D228" s="110"/>
      <c r="E228" s="110"/>
      <c r="F228" s="110"/>
      <c r="G228" s="112"/>
      <c r="H228" s="112"/>
      <c r="I228" s="112"/>
      <c r="J228" s="112"/>
      <c r="K228" s="112"/>
      <c r="L228" s="112"/>
      <c r="M228" s="112"/>
      <c r="N228" s="172"/>
      <c r="O228" s="173"/>
      <c r="P228" s="112"/>
      <c r="Q228" s="112"/>
      <c r="R228" s="112"/>
      <c r="S228" s="112"/>
      <c r="T228" s="112"/>
      <c r="U228" s="112"/>
      <c r="V228" s="112"/>
      <c r="W228" s="112"/>
      <c r="X228" s="155"/>
      <c r="Y228" s="109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4"/>
      <c r="AK228" s="10"/>
      <c r="AL228" s="10"/>
    </row>
    <row r="229" spans="2:38" x14ac:dyDescent="0.2">
      <c r="B229" s="10" t="s">
        <v>502</v>
      </c>
      <c r="C229" s="110"/>
      <c r="D229" s="110"/>
      <c r="E229" s="110"/>
      <c r="F229" s="110"/>
      <c r="G229" s="128">
        <f t="shared" ref="G229:W229" si="737">1/G230</f>
        <v>6.8341126819619541E-2</v>
      </c>
      <c r="H229" s="128">
        <f t="shared" si="737"/>
        <v>7.5142850341951339E-2</v>
      </c>
      <c r="I229" s="128">
        <f t="shared" si="737"/>
        <v>5.4298429527916893E-2</v>
      </c>
      <c r="J229" s="128">
        <f t="shared" si="737"/>
        <v>6.2792639295650418E-2</v>
      </c>
      <c r="K229" s="128">
        <f t="shared" si="737"/>
        <v>0.32691013241549965</v>
      </c>
      <c r="L229" s="128">
        <f t="shared" si="737"/>
        <v>0.96091766194858996</v>
      </c>
      <c r="M229" s="128">
        <f t="shared" si="737"/>
        <v>0.51984070236563051</v>
      </c>
      <c r="N229" s="128">
        <f t="shared" si="737"/>
        <v>0.59830722347742382</v>
      </c>
      <c r="O229" s="128">
        <f t="shared" si="737"/>
        <v>0.51984070236563051</v>
      </c>
      <c r="P229" s="128">
        <f t="shared" si="737"/>
        <v>0.63420565688606934</v>
      </c>
      <c r="Q229" s="128">
        <f t="shared" si="737"/>
        <v>0.35233647604781626</v>
      </c>
      <c r="R229" s="128">
        <f t="shared" si="737"/>
        <v>0.15172384136030365</v>
      </c>
      <c r="S229" s="128">
        <f t="shared" si="737"/>
        <v>0.17048539163604012</v>
      </c>
      <c r="T229" s="128">
        <f t="shared" si="737"/>
        <v>0.13551402924916012</v>
      </c>
      <c r="U229" s="128">
        <f t="shared" si="737"/>
        <v>0.11325101015822667</v>
      </c>
      <c r="V229" s="128" t="e">
        <f t="shared" si="737"/>
        <v>#DIV/0!</v>
      </c>
      <c r="W229" s="128">
        <f t="shared" si="737"/>
        <v>1.3522508675609155</v>
      </c>
      <c r="X229" s="101" t="e">
        <f t="shared" si="631"/>
        <v>#DIV/0!</v>
      </c>
      <c r="Y229" s="109"/>
      <c r="Z229" s="128">
        <f t="shared" ref="Z229:AI229" si="738">1/Z230</f>
        <v>0.63420565688606934</v>
      </c>
      <c r="AA229" s="128">
        <f t="shared" si="738"/>
        <v>0.62177025184908752</v>
      </c>
      <c r="AB229" s="128">
        <f t="shared" si="738"/>
        <v>0.60957867828341905</v>
      </c>
      <c r="AC229" s="128">
        <f t="shared" si="738"/>
        <v>0.59762615517982265</v>
      </c>
      <c r="AD229" s="128">
        <f t="shared" si="738"/>
        <v>0.58590799527433601</v>
      </c>
      <c r="AE229" s="128">
        <f t="shared" si="738"/>
        <v>0.5744196032101333</v>
      </c>
      <c r="AF229" s="128">
        <f t="shared" si="738"/>
        <v>0.56315647373542477</v>
      </c>
      <c r="AG229" s="128">
        <f t="shared" si="738"/>
        <v>0.55211418993669092</v>
      </c>
      <c r="AH229" s="128">
        <f t="shared" si="738"/>
        <v>0.54128842150655976</v>
      </c>
      <c r="AI229" s="128">
        <f t="shared" si="738"/>
        <v>0.5306749230456469</v>
      </c>
      <c r="AJ229" s="115">
        <f t="shared" ref="AJ229" si="739">((AI229/J229)^(1/($AI$3-$K$1) ))-1</f>
        <v>8.9122657902320546E-2</v>
      </c>
      <c r="AK229" s="21">
        <f t="shared" ref="AK229" si="740">$O$1</f>
        <v>0.01</v>
      </c>
      <c r="AL229" s="154">
        <f>(AL215)/($O$2*100)</f>
        <v>0</v>
      </c>
    </row>
    <row r="230" spans="2:38" x14ac:dyDescent="0.2">
      <c r="B230" s="10" t="s">
        <v>410</v>
      </c>
      <c r="C230" s="110"/>
      <c r="D230" s="110"/>
      <c r="E230" s="110"/>
      <c r="F230" s="110"/>
      <c r="G230" s="112">
        <f t="shared" ref="G230" si="741">G206/$U$175</f>
        <v>14.632477492497499</v>
      </c>
      <c r="H230" s="112">
        <f t="shared" ref="H230:Q230" si="742">H206/$U$175</f>
        <v>13.307985995331777</v>
      </c>
      <c r="I230" s="112">
        <f t="shared" si="742"/>
        <v>18.416738912970988</v>
      </c>
      <c r="J230" s="112">
        <f t="shared" si="742"/>
        <v>15.925433477825942</v>
      </c>
      <c r="K230" s="112">
        <f t="shared" si="742"/>
        <v>3.0589446482160718</v>
      </c>
      <c r="L230" s="112">
        <f t="shared" si="742"/>
        <v>1.0406718906302099</v>
      </c>
      <c r="M230" s="112">
        <f t="shared" si="742"/>
        <v>1.9236662220740246</v>
      </c>
      <c r="N230" s="112">
        <f t="shared" si="742"/>
        <v>1.6713821273757918</v>
      </c>
      <c r="O230" s="112">
        <f t="shared" si="742"/>
        <v>1.9236662220740246</v>
      </c>
      <c r="P230" s="112">
        <f t="shared" si="742"/>
        <v>1.5767755918639546</v>
      </c>
      <c r="Q230" s="112">
        <f t="shared" si="742"/>
        <v>2.8381960653551181</v>
      </c>
      <c r="R230" s="112">
        <f t="shared" ref="R230:W230" si="743">R206/$U$175</f>
        <v>6.5909219739913301</v>
      </c>
      <c r="S230" s="112">
        <f t="shared" si="743"/>
        <v>5.8656052017339109</v>
      </c>
      <c r="T230" s="112">
        <f t="shared" si="743"/>
        <v>7.3793097699233074</v>
      </c>
      <c r="U230" s="112">
        <f t="shared" si="743"/>
        <v>8.829943314438145</v>
      </c>
      <c r="V230" s="112">
        <f t="shared" si="743"/>
        <v>0</v>
      </c>
      <c r="W230" s="112">
        <f t="shared" si="743"/>
        <v>0.73950775258419466</v>
      </c>
      <c r="X230" s="101">
        <f t="shared" si="631"/>
        <v>-1</v>
      </c>
      <c r="Y230" s="109"/>
      <c r="Z230" s="112">
        <f t="shared" ref="Z230:AI230" si="744">Z206/$U$175</f>
        <v>1.5767755918639546</v>
      </c>
      <c r="AA230" s="112">
        <f t="shared" si="744"/>
        <v>1.6083111037012336</v>
      </c>
      <c r="AB230" s="112">
        <f t="shared" si="744"/>
        <v>1.6404773257752585</v>
      </c>
      <c r="AC230" s="112">
        <f t="shared" si="744"/>
        <v>1.6732868722907637</v>
      </c>
      <c r="AD230" s="112">
        <f t="shared" si="744"/>
        <v>1.7067526097365788</v>
      </c>
      <c r="AE230" s="112">
        <f t="shared" si="744"/>
        <v>1.7408876619313105</v>
      </c>
      <c r="AF230" s="112">
        <f t="shared" si="744"/>
        <v>1.7757054151699367</v>
      </c>
      <c r="AG230" s="112">
        <f t="shared" si="744"/>
        <v>1.8112195234733355</v>
      </c>
      <c r="AH230" s="112">
        <f t="shared" si="744"/>
        <v>1.8474439139428023</v>
      </c>
      <c r="AI230" s="112">
        <f t="shared" si="744"/>
        <v>1.8843927922216581</v>
      </c>
      <c r="AJ230" s="115">
        <f t="shared" ref="AJ230:AJ232" si="745">((AI230/J230)^(1/($AI$3-$K$1) ))-1</f>
        <v>-8.182977119764745E-2</v>
      </c>
      <c r="AK230" s="21">
        <f t="shared" ref="AK230:AK232" si="746">$O$1</f>
        <v>0.01</v>
      </c>
      <c r="AL230" s="154">
        <f>(AL215)/($O$2*100)</f>
        <v>0</v>
      </c>
    </row>
    <row r="231" spans="2:38" x14ac:dyDescent="0.2">
      <c r="B231" s="10" t="s">
        <v>431</v>
      </c>
      <c r="C231" s="110"/>
      <c r="D231" s="110"/>
      <c r="E231" s="110"/>
      <c r="F231" s="110"/>
      <c r="G231" s="154">
        <f t="shared" ref="G231" si="747">(G230)/($O$2*100)</f>
        <v>0.97549849949983325</v>
      </c>
      <c r="H231" s="154">
        <f t="shared" ref="H231:I231" si="748">(H230)/($O$2*100)</f>
        <v>0.88719906635545176</v>
      </c>
      <c r="I231" s="154">
        <f t="shared" si="748"/>
        <v>1.2277825941980658</v>
      </c>
      <c r="J231" s="154">
        <f t="shared" ref="J231:Q231" si="749">(J230)/($O$2*100)</f>
        <v>1.0616955651883961</v>
      </c>
      <c r="K231" s="154">
        <f t="shared" si="749"/>
        <v>0.20392964321440479</v>
      </c>
      <c r="L231" s="154">
        <f t="shared" si="749"/>
        <v>6.9378126042014002E-2</v>
      </c>
      <c r="M231" s="154">
        <f t="shared" si="749"/>
        <v>0.12824441480493498</v>
      </c>
      <c r="N231" s="154">
        <f t="shared" si="749"/>
        <v>0.11142547515838612</v>
      </c>
      <c r="O231" s="154">
        <f t="shared" si="749"/>
        <v>0.12824441480493498</v>
      </c>
      <c r="P231" s="154">
        <f t="shared" si="749"/>
        <v>0.10511837279093031</v>
      </c>
      <c r="Q231" s="154">
        <f t="shared" si="749"/>
        <v>0.18921307102367455</v>
      </c>
      <c r="R231" s="154">
        <f t="shared" ref="R231:W231" si="750">(R230)/($O$2*100)</f>
        <v>0.43939479826608868</v>
      </c>
      <c r="S231" s="154">
        <f t="shared" si="750"/>
        <v>0.39104034678226074</v>
      </c>
      <c r="T231" s="154">
        <f t="shared" si="750"/>
        <v>0.49195398466155382</v>
      </c>
      <c r="U231" s="154">
        <f t="shared" si="750"/>
        <v>0.58866288762920971</v>
      </c>
      <c r="V231" s="154">
        <f t="shared" si="750"/>
        <v>0</v>
      </c>
      <c r="W231" s="154">
        <f t="shared" si="750"/>
        <v>4.9300516838946311E-2</v>
      </c>
      <c r="X231" s="101">
        <f t="shared" si="631"/>
        <v>-1</v>
      </c>
      <c r="Y231" s="109"/>
      <c r="Z231" s="154">
        <f t="shared" ref="Z231:AI231" si="751">(Z230)/($O$2*100)</f>
        <v>0.10511837279093031</v>
      </c>
      <c r="AA231" s="154">
        <f t="shared" si="751"/>
        <v>0.10722074024674891</v>
      </c>
      <c r="AB231" s="154">
        <f t="shared" si="751"/>
        <v>0.1093651550516839</v>
      </c>
      <c r="AC231" s="154">
        <f t="shared" si="751"/>
        <v>0.11155245815271758</v>
      </c>
      <c r="AD231" s="154">
        <f t="shared" si="751"/>
        <v>0.11378350731577193</v>
      </c>
      <c r="AE231" s="154">
        <f t="shared" si="751"/>
        <v>0.11605917746208737</v>
      </c>
      <c r="AF231" s="154">
        <f t="shared" si="751"/>
        <v>0.11838036101132912</v>
      </c>
      <c r="AG231" s="154">
        <f t="shared" si="751"/>
        <v>0.1207479682315557</v>
      </c>
      <c r="AH231" s="154">
        <f t="shared" si="751"/>
        <v>0.12316292759618681</v>
      </c>
      <c r="AI231" s="154">
        <f t="shared" si="751"/>
        <v>0.12562618614811055</v>
      </c>
      <c r="AJ231" s="115">
        <f t="shared" si="745"/>
        <v>-8.182977119764745E-2</v>
      </c>
      <c r="AK231" s="21">
        <f t="shared" si="746"/>
        <v>0.01</v>
      </c>
      <c r="AL231" s="154" t="e">
        <f>(AL216)/($O$2*100)</f>
        <v>#DIV/0!</v>
      </c>
    </row>
    <row r="232" spans="2:38" x14ac:dyDescent="0.2">
      <c r="B232" s="10" t="s">
        <v>433</v>
      </c>
      <c r="C232" s="110"/>
      <c r="D232" s="110"/>
      <c r="E232" s="110"/>
      <c r="F232" s="110"/>
      <c r="G232" s="128">
        <f t="shared" ref="G232" si="752">G231-1</f>
        <v>-2.4501500500166751E-2</v>
      </c>
      <c r="H232" s="128">
        <f t="shared" ref="H232:I232" si="753">H231-1</f>
        <v>-0.11280093364454824</v>
      </c>
      <c r="I232" s="128">
        <f t="shared" si="753"/>
        <v>0.22778259419806579</v>
      </c>
      <c r="J232" s="128">
        <f t="shared" ref="J232:Q232" si="754">J231-1</f>
        <v>6.169556518839614E-2</v>
      </c>
      <c r="K232" s="128">
        <f t="shared" si="754"/>
        <v>-0.79607035678559523</v>
      </c>
      <c r="L232" s="128">
        <f t="shared" si="754"/>
        <v>-0.93062187395798601</v>
      </c>
      <c r="M232" s="128">
        <f t="shared" si="754"/>
        <v>-0.87175558519506502</v>
      </c>
      <c r="N232" s="128">
        <f t="shared" si="754"/>
        <v>-0.88857452484161392</v>
      </c>
      <c r="O232" s="128">
        <f t="shared" si="754"/>
        <v>-0.87175558519506502</v>
      </c>
      <c r="P232" s="128">
        <f t="shared" si="754"/>
        <v>-0.89488162720906972</v>
      </c>
      <c r="Q232" s="128">
        <f t="shared" si="754"/>
        <v>-0.81078692897632543</v>
      </c>
      <c r="R232" s="128">
        <f t="shared" ref="R232:W232" si="755">R231-1</f>
        <v>-0.56060520173391137</v>
      </c>
      <c r="S232" s="128">
        <f t="shared" si="755"/>
        <v>-0.60895965321773926</v>
      </c>
      <c r="T232" s="128">
        <f t="shared" si="755"/>
        <v>-0.50804601533844618</v>
      </c>
      <c r="U232" s="128">
        <f t="shared" si="755"/>
        <v>-0.41133711237079029</v>
      </c>
      <c r="V232" s="128">
        <f t="shared" si="755"/>
        <v>-1</v>
      </c>
      <c r="W232" s="128">
        <f t="shared" si="755"/>
        <v>-0.95069948316105368</v>
      </c>
      <c r="X232" s="101">
        <f t="shared" si="631"/>
        <v>0.26088493952596536</v>
      </c>
      <c r="Y232" s="109"/>
      <c r="Z232" s="128">
        <f t="shared" ref="Z232:AI232" si="756">Z231-1</f>
        <v>-0.89488162720906972</v>
      </c>
      <c r="AA232" s="128">
        <f t="shared" si="756"/>
        <v>-0.89277925975325112</v>
      </c>
      <c r="AB232" s="128">
        <f t="shared" si="756"/>
        <v>-0.89063484494831613</v>
      </c>
      <c r="AC232" s="128">
        <f t="shared" si="756"/>
        <v>-0.88844754184728236</v>
      </c>
      <c r="AD232" s="128">
        <f t="shared" si="756"/>
        <v>-0.88621649268422809</v>
      </c>
      <c r="AE232" s="128">
        <f t="shared" si="756"/>
        <v>-0.88394082253791262</v>
      </c>
      <c r="AF232" s="128">
        <f t="shared" si="756"/>
        <v>-0.88161963898867091</v>
      </c>
      <c r="AG232" s="128">
        <f t="shared" si="756"/>
        <v>-0.87925203176844424</v>
      </c>
      <c r="AH232" s="128">
        <f t="shared" si="756"/>
        <v>-0.87683707240381314</v>
      </c>
      <c r="AI232" s="128">
        <f t="shared" si="756"/>
        <v>-0.8743738138518895</v>
      </c>
      <c r="AJ232" s="115">
        <f t="shared" si="745"/>
        <v>-2.1118795120684553</v>
      </c>
      <c r="AK232" s="21">
        <f t="shared" si="746"/>
        <v>0.01</v>
      </c>
      <c r="AL232" s="154" t="e">
        <f>(AL217)/($O$2*100)</f>
        <v>#VALUE!</v>
      </c>
    </row>
    <row r="233" spans="2:38" x14ac:dyDescent="0.2">
      <c r="B233" s="10"/>
      <c r="C233" s="110"/>
      <c r="D233" s="110"/>
      <c r="E233" s="110"/>
      <c r="F233" s="110"/>
      <c r="G233" s="110"/>
      <c r="H233" s="110"/>
      <c r="I233" s="110"/>
      <c r="J233" s="112"/>
      <c r="K233" s="112"/>
      <c r="L233" s="112"/>
      <c r="M233" s="112"/>
      <c r="N233" s="172"/>
      <c r="O233" s="173"/>
      <c r="P233" s="112"/>
      <c r="Q233" s="112"/>
      <c r="R233" s="112"/>
      <c r="S233" s="112"/>
      <c r="T233" s="112"/>
      <c r="U233" s="112"/>
      <c r="V233" s="112"/>
      <c r="W233" s="112"/>
      <c r="X233" s="155"/>
      <c r="Y233" s="109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4"/>
      <c r="AK233" s="10"/>
      <c r="AL233" s="10"/>
    </row>
    <row r="234" spans="2:38" x14ac:dyDescent="0.2">
      <c r="B234" s="10" t="s">
        <v>503</v>
      </c>
      <c r="C234" s="110"/>
      <c r="D234" s="110"/>
      <c r="E234" s="110"/>
      <c r="F234" s="110"/>
      <c r="G234" s="128">
        <f t="shared" ref="G234:W234" si="757">1/G235</f>
        <v>9.789163491312554E-4</v>
      </c>
      <c r="H234" s="128">
        <f t="shared" si="757"/>
        <v>1.0763440426466884E-3</v>
      </c>
      <c r="I234" s="128">
        <f t="shared" si="757"/>
        <v>7.7776915410428509E-4</v>
      </c>
      <c r="J234" s="128">
        <f t="shared" si="757"/>
        <v>8.9943997227109407E-4</v>
      </c>
      <c r="K234" s="128">
        <f t="shared" si="757"/>
        <v>4.6826514020299227E-3</v>
      </c>
      <c r="L234" s="128">
        <f t="shared" si="757"/>
        <v>1.3764157151421288E-2</v>
      </c>
      <c r="M234" s="128">
        <f t="shared" si="757"/>
        <v>7.4461833769984016E-3</v>
      </c>
      <c r="N234" s="128">
        <f t="shared" si="757"/>
        <v>8.5701355848472171E-3</v>
      </c>
      <c r="O234" s="128">
        <f t="shared" si="757"/>
        <v>7.4461833769984016E-3</v>
      </c>
      <c r="P234" s="128">
        <f t="shared" si="757"/>
        <v>9.0843437199380501E-3</v>
      </c>
      <c r="Q234" s="128">
        <f t="shared" si="757"/>
        <v>5.0468576221878057E-3</v>
      </c>
      <c r="R234" s="128">
        <f t="shared" si="757"/>
        <v>2.1732879712770456E-3</v>
      </c>
      <c r="S234" s="128">
        <f t="shared" si="757"/>
        <v>2.4420278817037771E-3</v>
      </c>
      <c r="T234" s="128">
        <f t="shared" si="757"/>
        <v>1.9410990854568486E-3</v>
      </c>
      <c r="U234" s="128">
        <f t="shared" si="757"/>
        <v>1.6222042357032234E-3</v>
      </c>
      <c r="V234" s="128" t="e">
        <f t="shared" si="757"/>
        <v>#DIV/0!</v>
      </c>
      <c r="W234" s="128">
        <f t="shared" si="757"/>
        <v>1.9369602814366844E-2</v>
      </c>
      <c r="X234" s="101" t="e">
        <f t="shared" si="631"/>
        <v>#DIV/0!</v>
      </c>
      <c r="Y234" s="109"/>
      <c r="Z234" s="128">
        <f t="shared" ref="Z234:AI234" si="758">1/Z235</f>
        <v>115.3070223383352</v>
      </c>
      <c r="AA234" s="128">
        <f t="shared" si="758"/>
        <v>185.02335149445926</v>
      </c>
      <c r="AB234" s="128">
        <f t="shared" si="758"/>
        <v>204.51446964497126</v>
      </c>
      <c r="AC234" s="128">
        <f t="shared" si="758"/>
        <v>226.0588620643185</v>
      </c>
      <c r="AD234" s="128">
        <f t="shared" si="758"/>
        <v>249.8728290791679</v>
      </c>
      <c r="AE234" s="128">
        <f t="shared" si="758"/>
        <v>276.19545697908785</v>
      </c>
      <c r="AF234" s="128">
        <f t="shared" si="758"/>
        <v>305.29101838326704</v>
      </c>
      <c r="AG234" s="128">
        <f t="shared" si="758"/>
        <v>337.45162547170037</v>
      </c>
      <c r="AH234" s="128">
        <f t="shared" si="758"/>
        <v>373.00016271862307</v>
      </c>
      <c r="AI234" s="128">
        <f t="shared" si="758"/>
        <v>412.29352857210347</v>
      </c>
      <c r="AJ234" s="115">
        <f t="shared" ref="AJ234:AJ237" si="759">((AI234/J234)^(1/($AI$3-$K$1) ))-1</f>
        <v>0.68441605930653959</v>
      </c>
      <c r="AK234" s="21">
        <f t="shared" ref="AK234:AK237" si="760">$O$1</f>
        <v>0.01</v>
      </c>
      <c r="AL234" s="154" t="e">
        <f>(AL219)/($O$2*100)</f>
        <v>#VALUE!</v>
      </c>
    </row>
    <row r="235" spans="2:38" x14ac:dyDescent="0.2">
      <c r="B235" s="10" t="s">
        <v>499</v>
      </c>
      <c r="C235" s="110"/>
      <c r="D235" s="110"/>
      <c r="E235" s="110"/>
      <c r="F235" s="110"/>
      <c r="G235" s="112">
        <f t="shared" ref="G235" si="761">G206/$Z$176</f>
        <v>1021.5377451683745</v>
      </c>
      <c r="H235" s="112">
        <f t="shared" ref="H235:Q235" si="762">H206/$Z$176</f>
        <v>929.07096651089239</v>
      </c>
      <c r="I235" s="112">
        <f t="shared" si="762"/>
        <v>1285.7285413326094</v>
      </c>
      <c r="J235" s="112">
        <f t="shared" si="762"/>
        <v>1111.8029338578215</v>
      </c>
      <c r="K235" s="112">
        <f t="shared" si="762"/>
        <v>213.55422689942313</v>
      </c>
      <c r="L235" s="112">
        <f t="shared" si="762"/>
        <v>72.652468945164571</v>
      </c>
      <c r="M235" s="112">
        <f t="shared" si="762"/>
        <v>134.29698805015269</v>
      </c>
      <c r="N235" s="112">
        <f t="shared" si="762"/>
        <v>116.68426830587038</v>
      </c>
      <c r="O235" s="112">
        <f t="shared" si="762"/>
        <v>134.29698805015269</v>
      </c>
      <c r="P235" s="112">
        <f t="shared" si="762"/>
        <v>110.0794984017645</v>
      </c>
      <c r="Q235" s="112">
        <f t="shared" si="762"/>
        <v>198.14309712317609</v>
      </c>
      <c r="R235" s="112">
        <f t="shared" ref="R235:W235" si="763">R206/$Z$176</f>
        <v>460.13230331937558</v>
      </c>
      <c r="S235" s="112">
        <f t="shared" si="763"/>
        <v>409.49573405456391</v>
      </c>
      <c r="T235" s="112">
        <f t="shared" si="763"/>
        <v>515.17205252025781</v>
      </c>
      <c r="U235" s="112">
        <f t="shared" si="763"/>
        <v>616.44519104988115</v>
      </c>
      <c r="V235" s="112">
        <f t="shared" si="763"/>
        <v>0</v>
      </c>
      <c r="W235" s="112">
        <f t="shared" si="763"/>
        <v>51.627284750427549</v>
      </c>
      <c r="X235" s="101">
        <f t="shared" si="631"/>
        <v>-1</v>
      </c>
      <c r="Y235" s="109"/>
      <c r="Z235" s="112">
        <f t="shared" ref="Z235:AI235" si="764">Z211/$U$175</f>
        <v>8.672498688464857E-3</v>
      </c>
      <c r="AA235" s="112">
        <f t="shared" si="764"/>
        <v>5.4047231980334448E-3</v>
      </c>
      <c r="AB235" s="112">
        <f t="shared" si="764"/>
        <v>4.8896295784643454E-3</v>
      </c>
      <c r="AC235" s="112">
        <f t="shared" si="764"/>
        <v>4.4236266203776563E-3</v>
      </c>
      <c r="AD235" s="112">
        <f t="shared" si="764"/>
        <v>4.0020357702964466E-3</v>
      </c>
      <c r="AE235" s="112">
        <f t="shared" si="764"/>
        <v>3.6206243612316733E-3</v>
      </c>
      <c r="AF235" s="112">
        <f t="shared" si="764"/>
        <v>3.2755631177612461E-3</v>
      </c>
      <c r="AG235" s="112">
        <f t="shared" si="764"/>
        <v>2.9633877110598265E-3</v>
      </c>
      <c r="AH235" s="112">
        <f t="shared" si="764"/>
        <v>2.6809639779014289E-3</v>
      </c>
      <c r="AI235" s="112">
        <f t="shared" si="764"/>
        <v>2.4254564544423018E-3</v>
      </c>
      <c r="AJ235" s="115">
        <f t="shared" si="759"/>
        <v>-0.40632244956647356</v>
      </c>
      <c r="AK235" s="21">
        <f t="shared" si="760"/>
        <v>0.01</v>
      </c>
      <c r="AL235" s="154" t="e">
        <f>(AL220)/($O$2*100)</f>
        <v>#VALUE!</v>
      </c>
    </row>
    <row r="236" spans="2:38" x14ac:dyDescent="0.2">
      <c r="B236" s="10" t="s">
        <v>431</v>
      </c>
      <c r="C236" s="110"/>
      <c r="D236" s="110"/>
      <c r="E236" s="110"/>
      <c r="F236" s="110"/>
      <c r="G236" s="154">
        <f t="shared" ref="G236" si="765">(G235)/($O$2*100)</f>
        <v>68.102516344558296</v>
      </c>
      <c r="H236" s="154">
        <f t="shared" ref="H236:Q236" si="766">(H235)/($O$2*100)</f>
        <v>61.938064434059491</v>
      </c>
      <c r="I236" s="154">
        <f t="shared" si="766"/>
        <v>85.715236088840626</v>
      </c>
      <c r="J236" s="154">
        <f t="shared" si="766"/>
        <v>74.120195590521433</v>
      </c>
      <c r="K236" s="154">
        <f t="shared" si="766"/>
        <v>14.236948459961543</v>
      </c>
      <c r="L236" s="154">
        <f t="shared" si="766"/>
        <v>4.8434979296776381</v>
      </c>
      <c r="M236" s="154">
        <f t="shared" si="766"/>
        <v>8.9531325366768453</v>
      </c>
      <c r="N236" s="154">
        <f t="shared" si="766"/>
        <v>7.7789512203913587</v>
      </c>
      <c r="O236" s="154">
        <f t="shared" si="766"/>
        <v>8.9531325366768453</v>
      </c>
      <c r="P236" s="154">
        <f t="shared" si="766"/>
        <v>7.3386332267842995</v>
      </c>
      <c r="Q236" s="154">
        <f t="shared" si="766"/>
        <v>13.209539808211739</v>
      </c>
      <c r="R236" s="154">
        <f t="shared" ref="R236:W236" si="767">(R235)/($O$2*100)</f>
        <v>30.675486887958371</v>
      </c>
      <c r="S236" s="154">
        <f t="shared" si="767"/>
        <v>27.299715603637594</v>
      </c>
      <c r="T236" s="154">
        <f t="shared" si="767"/>
        <v>34.344803501350519</v>
      </c>
      <c r="U236" s="154">
        <f t="shared" si="767"/>
        <v>41.096346069992073</v>
      </c>
      <c r="V236" s="154">
        <f t="shared" si="767"/>
        <v>0</v>
      </c>
      <c r="W236" s="154">
        <f t="shared" si="767"/>
        <v>3.4418189833618364</v>
      </c>
      <c r="X236" s="101">
        <f t="shared" si="631"/>
        <v>-1</v>
      </c>
      <c r="Y236" s="109"/>
      <c r="Z236" s="154">
        <f t="shared" ref="Z236:AI236" si="768">(Z235)/($O$2*100)</f>
        <v>5.781665792309905E-4</v>
      </c>
      <c r="AA236" s="154">
        <f t="shared" si="768"/>
        <v>3.6031487986889631E-4</v>
      </c>
      <c r="AB236" s="154">
        <f t="shared" si="768"/>
        <v>3.2597530523095634E-4</v>
      </c>
      <c r="AC236" s="154">
        <f t="shared" si="768"/>
        <v>2.9490844135851042E-4</v>
      </c>
      <c r="AD236" s="154">
        <f t="shared" si="768"/>
        <v>2.6680238468642975E-4</v>
      </c>
      <c r="AE236" s="154">
        <f t="shared" si="768"/>
        <v>2.4137495741544489E-4</v>
      </c>
      <c r="AF236" s="154">
        <f t="shared" si="768"/>
        <v>2.1837087451741639E-4</v>
      </c>
      <c r="AG236" s="154">
        <f t="shared" si="768"/>
        <v>1.9755918073732177E-4</v>
      </c>
      <c r="AH236" s="154">
        <f t="shared" si="768"/>
        <v>1.7873093186009526E-4</v>
      </c>
      <c r="AI236" s="154">
        <f t="shared" si="768"/>
        <v>1.6169709696282013E-4</v>
      </c>
      <c r="AJ236" s="115">
        <f t="shared" si="759"/>
        <v>-0.40632244956647356</v>
      </c>
      <c r="AK236" s="21">
        <f t="shared" si="760"/>
        <v>0.01</v>
      </c>
      <c r="AL236" s="154" t="e">
        <f>(AL221)/($O$2*100)</f>
        <v>#VALUE!</v>
      </c>
    </row>
    <row r="237" spans="2:38" x14ac:dyDescent="0.2">
      <c r="B237" s="10" t="s">
        <v>433</v>
      </c>
      <c r="C237" s="110"/>
      <c r="D237" s="110"/>
      <c r="E237" s="110"/>
      <c r="F237" s="110"/>
      <c r="G237" s="128">
        <f t="shared" ref="G237" si="769">G236-1</f>
        <v>67.102516344558296</v>
      </c>
      <c r="H237" s="128">
        <f t="shared" ref="H237:Q237" si="770">H236-1</f>
        <v>60.938064434059491</v>
      </c>
      <c r="I237" s="128">
        <f t="shared" si="770"/>
        <v>84.715236088840626</v>
      </c>
      <c r="J237" s="128">
        <f t="shared" si="770"/>
        <v>73.120195590521433</v>
      </c>
      <c r="K237" s="128">
        <f t="shared" si="770"/>
        <v>13.236948459961543</v>
      </c>
      <c r="L237" s="128">
        <f t="shared" si="770"/>
        <v>3.8434979296776381</v>
      </c>
      <c r="M237" s="128">
        <f t="shared" si="770"/>
        <v>7.9531325366768453</v>
      </c>
      <c r="N237" s="128">
        <f t="shared" si="770"/>
        <v>6.7789512203913587</v>
      </c>
      <c r="O237" s="128">
        <f t="shared" si="770"/>
        <v>7.9531325366768453</v>
      </c>
      <c r="P237" s="128">
        <f t="shared" si="770"/>
        <v>6.3386332267842995</v>
      </c>
      <c r="Q237" s="128">
        <f t="shared" si="770"/>
        <v>12.209539808211739</v>
      </c>
      <c r="R237" s="128">
        <f t="shared" ref="R237:W237" si="771">R236-1</f>
        <v>29.675486887958371</v>
      </c>
      <c r="S237" s="128">
        <f t="shared" si="771"/>
        <v>26.299715603637594</v>
      </c>
      <c r="T237" s="128">
        <f t="shared" si="771"/>
        <v>33.344803501350519</v>
      </c>
      <c r="U237" s="128">
        <f t="shared" si="771"/>
        <v>40.096346069992073</v>
      </c>
      <c r="V237" s="128">
        <f t="shared" si="771"/>
        <v>-1</v>
      </c>
      <c r="W237" s="128">
        <f t="shared" si="771"/>
        <v>2.4418189833618364</v>
      </c>
      <c r="X237" s="101" t="e">
        <f t="shared" si="631"/>
        <v>#NUM!</v>
      </c>
      <c r="Y237" s="109"/>
      <c r="Z237" s="128">
        <f t="shared" ref="Z237:AI237" si="772">Z236-1</f>
        <v>-0.99942183342076896</v>
      </c>
      <c r="AA237" s="128">
        <f t="shared" si="772"/>
        <v>-0.99963968512013113</v>
      </c>
      <c r="AB237" s="128">
        <f t="shared" si="772"/>
        <v>-0.99967402469476907</v>
      </c>
      <c r="AC237" s="128">
        <f t="shared" si="772"/>
        <v>-0.99970509155864151</v>
      </c>
      <c r="AD237" s="128">
        <f t="shared" si="772"/>
        <v>-0.99973319761531354</v>
      </c>
      <c r="AE237" s="128">
        <f t="shared" si="772"/>
        <v>-0.9997586250425845</v>
      </c>
      <c r="AF237" s="128">
        <f t="shared" si="772"/>
        <v>-0.99978162912548263</v>
      </c>
      <c r="AG237" s="128">
        <f t="shared" si="772"/>
        <v>-0.99980244081926273</v>
      </c>
      <c r="AH237" s="128">
        <f t="shared" si="772"/>
        <v>-0.99982126906813995</v>
      </c>
      <c r="AI237" s="128">
        <f t="shared" si="772"/>
        <v>-0.99983830290303721</v>
      </c>
      <c r="AJ237" s="115">
        <f t="shared" si="759"/>
        <v>-1.8422396776206951</v>
      </c>
      <c r="AK237" s="21">
        <f t="shared" si="760"/>
        <v>0.01</v>
      </c>
      <c r="AL237" s="154" t="e">
        <f>(AL222)/($O$2*100)</f>
        <v>#VALUE!</v>
      </c>
    </row>
    <row r="238" spans="2:38" x14ac:dyDescent="0.2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2"/>
      <c r="O238" s="173"/>
      <c r="P238" s="112"/>
      <c r="Q238" s="112"/>
      <c r="R238" s="112"/>
      <c r="S238" s="112"/>
      <c r="T238" s="112"/>
      <c r="U238" s="112"/>
      <c r="V238" s="112"/>
      <c r="W238" s="112"/>
      <c r="X238" s="155"/>
      <c r="Y238" s="109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4"/>
      <c r="AK238" s="10"/>
      <c r="AL238" s="10"/>
    </row>
    <row r="239" spans="2:38" x14ac:dyDescent="0.2">
      <c r="B239" s="10" t="s">
        <v>510</v>
      </c>
      <c r="C239" s="110"/>
      <c r="D239" s="110"/>
      <c r="E239" s="110"/>
      <c r="F239" s="110"/>
      <c r="G239" s="110" t="e">
        <f>G217/L60</f>
        <v>#DIV/0!</v>
      </c>
      <c r="H239" s="110" t="e">
        <f t="shared" ref="H239:L239" si="773">H217/M60</f>
        <v>#DIV/0!</v>
      </c>
      <c r="I239" s="110" t="e">
        <f t="shared" si="773"/>
        <v>#DIV/0!</v>
      </c>
      <c r="J239" s="110" t="e">
        <f t="shared" si="773"/>
        <v>#VALUE!</v>
      </c>
      <c r="K239" s="110" t="e">
        <f t="shared" si="773"/>
        <v>#DIV/0!</v>
      </c>
      <c r="L239" s="110" t="e">
        <f t="shared" si="773"/>
        <v>#DIV/0!</v>
      </c>
      <c r="M239" s="110">
        <f>M217/S60</f>
        <v>0</v>
      </c>
      <c r="N239" s="110">
        <f>N217/T60</f>
        <v>0</v>
      </c>
      <c r="O239" s="110">
        <f>O217/U60</f>
        <v>0</v>
      </c>
      <c r="P239" s="110">
        <f>P217/V60</f>
        <v>0</v>
      </c>
      <c r="Q239" s="110">
        <f>Q217/W60</f>
        <v>0</v>
      </c>
      <c r="R239" s="110" t="e">
        <f t="shared" ref="R239:W239" si="774">R217/X60</f>
        <v>#DIV/0!</v>
      </c>
      <c r="S239" s="110">
        <f t="shared" si="774"/>
        <v>0</v>
      </c>
      <c r="T239" s="110">
        <f t="shared" si="774"/>
        <v>0</v>
      </c>
      <c r="U239" s="110">
        <f t="shared" si="774"/>
        <v>0</v>
      </c>
      <c r="V239" s="110">
        <f t="shared" si="774"/>
        <v>0</v>
      </c>
      <c r="W239" s="110">
        <f t="shared" si="774"/>
        <v>16.361613639819208</v>
      </c>
      <c r="X239" s="109"/>
      <c r="Y239" s="109"/>
      <c r="Z239" s="15">
        <f>Z217/AE60</f>
        <v>26.906535503872359</v>
      </c>
      <c r="AA239" s="15">
        <f t="shared" ref="AA239:AD239" si="775">AA217/AF60</f>
        <v>24.342225685416349</v>
      </c>
      <c r="AB239" s="15">
        <f t="shared" si="775"/>
        <v>22.022305741832326</v>
      </c>
      <c r="AC239" s="15">
        <f t="shared" si="775"/>
        <v>19.923484255480307</v>
      </c>
      <c r="AD239" s="15">
        <f t="shared" si="775"/>
        <v>18.024689582088445</v>
      </c>
      <c r="AE239" s="15"/>
      <c r="AF239" s="112"/>
      <c r="AG239" s="112"/>
      <c r="AH239" s="112"/>
      <c r="AI239" s="112"/>
      <c r="AJ239" s="114"/>
      <c r="AK239" s="10"/>
      <c r="AL239" s="10"/>
    </row>
    <row r="240" spans="2:38" x14ac:dyDescent="0.2">
      <c r="B240" s="10"/>
      <c r="C240" s="110"/>
      <c r="D240" s="110"/>
      <c r="E240" s="110"/>
      <c r="F240" s="110"/>
      <c r="G240" s="110"/>
      <c r="H240" s="110"/>
      <c r="I240" s="110"/>
      <c r="J240" s="112"/>
      <c r="K240" s="112"/>
      <c r="L240" s="112"/>
      <c r="M240" s="112"/>
      <c r="N240" s="172"/>
      <c r="O240" s="173"/>
      <c r="P240" s="112"/>
      <c r="Q240" s="112"/>
      <c r="R240" s="112"/>
      <c r="S240" s="112"/>
      <c r="T240" s="112"/>
      <c r="U240" s="112"/>
      <c r="V240" s="112"/>
      <c r="W240" s="112"/>
      <c r="X240" s="109"/>
      <c r="Y240" s="109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4"/>
      <c r="AK240" s="10"/>
      <c r="AL240" s="10"/>
    </row>
    <row r="241" spans="2:49" x14ac:dyDescent="0.2">
      <c r="B241" s="10"/>
      <c r="C241" s="110"/>
      <c r="D241" s="110"/>
      <c r="E241" s="110"/>
      <c r="F241" s="110"/>
      <c r="G241" s="110"/>
      <c r="H241" s="110"/>
      <c r="I241" s="110"/>
      <c r="J241" s="112"/>
      <c r="K241" s="112"/>
      <c r="L241" s="112"/>
      <c r="M241" s="112"/>
      <c r="N241" s="172"/>
      <c r="O241" s="173"/>
      <c r="P241" s="112"/>
      <c r="Q241" s="112"/>
      <c r="R241" s="112"/>
      <c r="S241" s="112"/>
      <c r="T241" s="112"/>
      <c r="U241" s="112"/>
      <c r="V241" s="112"/>
      <c r="W241" s="112"/>
      <c r="X241" s="109"/>
      <c r="Y241" s="109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4"/>
      <c r="AK241" s="10"/>
      <c r="AL241" s="10"/>
    </row>
    <row r="242" spans="2:49" x14ac:dyDescent="0.2">
      <c r="B242" s="93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311" t="s">
        <v>293</v>
      </c>
      <c r="O242" s="312"/>
      <c r="P242" s="10"/>
      <c r="Q242" s="10"/>
      <c r="R242" s="10"/>
      <c r="S242" s="10"/>
      <c r="T242" s="93" t="s">
        <v>372</v>
      </c>
      <c r="U242" s="167" t="s">
        <v>371</v>
      </c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14"/>
      <c r="AK242" s="10"/>
      <c r="AL242" s="10"/>
    </row>
    <row r="243" spans="2:49" x14ac:dyDescent="0.2">
      <c r="B243" s="10" t="s">
        <v>248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 t="s">
        <v>294</v>
      </c>
      <c r="O243" s="12">
        <v>1</v>
      </c>
      <c r="P243" s="10"/>
      <c r="Q243" s="10"/>
      <c r="R243" s="10"/>
      <c r="S243" s="10"/>
      <c r="T243" s="109" t="e">
        <f>(V206-AA193)/V206</f>
        <v>#DIV/0!</v>
      </c>
      <c r="U243" s="109" t="e">
        <f>(V206-Z193)/V206</f>
        <v>#DIV/0!</v>
      </c>
      <c r="V243" s="109"/>
      <c r="W243" s="109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14"/>
      <c r="AK243" s="10"/>
      <c r="AL243" s="10"/>
    </row>
    <row r="244" spans="2:49" x14ac:dyDescent="0.2">
      <c r="B244" s="10" t="s">
        <v>291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$O$243</f>
        <v>1</v>
      </c>
      <c r="O244" s="10"/>
      <c r="P244" s="109" t="e">
        <f>(T206-(N244*Y184))/T206</f>
        <v>#DIV/0!</v>
      </c>
      <c r="Q244" s="10"/>
      <c r="R244" s="10"/>
      <c r="S244" s="10"/>
      <c r="T244" s="109" t="e">
        <f>(V206-AA184)/V206</f>
        <v>#DIV/0!</v>
      </c>
      <c r="U244" s="109" t="e">
        <f>(V206-Z184)/V206</f>
        <v>#DIV/0!</v>
      </c>
      <c r="V244" s="109"/>
      <c r="W244" s="109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14"/>
      <c r="AK244" s="10"/>
      <c r="AL244" s="10"/>
    </row>
    <row r="245" spans="2:49" x14ac:dyDescent="0.2">
      <c r="B245" s="10" t="s">
        <v>292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$O$243</f>
        <v>1</v>
      </c>
      <c r="O245" s="10"/>
      <c r="P245" s="109" t="e">
        <f>(T206-(N245*Y177))/T206</f>
        <v>#DIV/0!</v>
      </c>
      <c r="Q245" s="10"/>
      <c r="R245" s="10"/>
      <c r="S245" s="10"/>
      <c r="T245" s="109" t="e">
        <f>(V206-AA177)/V206</f>
        <v>#DIV/0!</v>
      </c>
      <c r="U245" s="109" t="e">
        <f>(V206-Z177)/V206</f>
        <v>#DIV/0!</v>
      </c>
      <c r="V245" s="109"/>
      <c r="W245" s="109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14"/>
      <c r="AK245" s="10"/>
      <c r="AL245" s="10"/>
    </row>
    <row r="246" spans="2:49" x14ac:dyDescent="0.2">
      <c r="B246" s="10" t="s">
        <v>295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5">
        <f>$O$243</f>
        <v>1</v>
      </c>
      <c r="O246" s="10"/>
      <c r="P246" s="109" t="e">
        <f>(T206-(N246*Y190))/T206</f>
        <v>#DIV/0!</v>
      </c>
      <c r="Q246" s="10"/>
      <c r="R246" s="10"/>
      <c r="S246" s="10"/>
      <c r="T246" s="109" t="e">
        <f>(V206-AA190)/V206</f>
        <v>#DIV/0!</v>
      </c>
      <c r="U246" s="109" t="e">
        <f>(V206-Z190)/V206</f>
        <v>#DIV/0!</v>
      </c>
      <c r="V246" s="109"/>
      <c r="W246" s="109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14"/>
      <c r="AK246" s="10"/>
      <c r="AL246" s="10"/>
    </row>
    <row r="247" spans="2:49" x14ac:dyDescent="0.2">
      <c r="B247" s="10" t="s">
        <v>341</v>
      </c>
      <c r="C247" s="10" t="s">
        <v>260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45">
        <f>$O$243</f>
        <v>1</v>
      </c>
      <c r="O247" s="10"/>
      <c r="P247" s="109" t="e">
        <f>(T206-(N247*Y203))/T206</f>
        <v>#DIV/0!</v>
      </c>
      <c r="Q247" s="10"/>
      <c r="R247" s="10"/>
      <c r="S247" s="10"/>
      <c r="T247" s="109" t="e">
        <f>(V206-AA203)/V206</f>
        <v>#DIV/0!</v>
      </c>
      <c r="U247" s="109" t="e">
        <f>(V206-Z203)/V206</f>
        <v>#DIV/0!</v>
      </c>
      <c r="V247" s="109"/>
      <c r="W247" s="109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14"/>
      <c r="AK247" s="10"/>
      <c r="AL247" s="10"/>
    </row>
    <row r="248" spans="2:49" x14ac:dyDescent="0.2">
      <c r="B248" s="10" t="s">
        <v>249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5" t="e">
        <f>V206/AA176</f>
        <v>#DIV/0!</v>
      </c>
      <c r="U248" s="15">
        <f>V206/Z176</f>
        <v>0</v>
      </c>
      <c r="V248" s="15"/>
      <c r="W248" s="98" t="s">
        <v>5</v>
      </c>
      <c r="X248" s="98" t="s">
        <v>6</v>
      </c>
      <c r="Y248" s="98" t="s">
        <v>7</v>
      </c>
      <c r="Z248" s="98" t="s">
        <v>8</v>
      </c>
      <c r="AA248" s="98" t="s">
        <v>9</v>
      </c>
      <c r="AB248" s="98" t="s">
        <v>192</v>
      </c>
      <c r="AC248" s="98" t="s">
        <v>193</v>
      </c>
      <c r="AD248" s="98" t="s">
        <v>194</v>
      </c>
      <c r="AE248" s="98" t="s">
        <v>195</v>
      </c>
      <c r="AF248" s="98" t="s">
        <v>196</v>
      </c>
      <c r="AG248" s="98" t="s">
        <v>349</v>
      </c>
      <c r="AH248" s="98" t="s">
        <v>350</v>
      </c>
      <c r="AI248" s="98" t="s">
        <v>351</v>
      </c>
      <c r="AJ248" s="98" t="s">
        <v>352</v>
      </c>
      <c r="AK248" s="98" t="s">
        <v>353</v>
      </c>
      <c r="AL248" s="98" t="s">
        <v>354</v>
      </c>
      <c r="AM248" s="98" t="s">
        <v>355</v>
      </c>
      <c r="AN248" s="98" t="s">
        <v>356</v>
      </c>
      <c r="AO248" s="98" t="s">
        <v>357</v>
      </c>
      <c r="AP248" s="98" t="s">
        <v>358</v>
      </c>
      <c r="AQ248" s="98" t="s">
        <v>359</v>
      </c>
      <c r="AR248" s="98" t="s">
        <v>360</v>
      </c>
      <c r="AS248" s="98" t="s">
        <v>361</v>
      </c>
      <c r="AT248" s="98" t="s">
        <v>362</v>
      </c>
      <c r="AU248" s="98" t="s">
        <v>363</v>
      </c>
      <c r="AV248" s="98" t="s">
        <v>364</v>
      </c>
      <c r="AW248" s="98" t="s">
        <v>365</v>
      </c>
    </row>
    <row r="249" spans="2:49" x14ac:dyDescent="0.2">
      <c r="B249" s="10" t="s">
        <v>313</v>
      </c>
      <c r="C249" s="10"/>
      <c r="D249" s="10"/>
      <c r="E249" s="10"/>
      <c r="F249" s="10"/>
      <c r="G249" s="10"/>
      <c r="H249" s="10"/>
      <c r="I249" s="10"/>
      <c r="J249" s="162" t="s">
        <v>388</v>
      </c>
      <c r="K249" s="163"/>
      <c r="L249" s="162" t="s">
        <v>389</v>
      </c>
      <c r="M249" s="163"/>
      <c r="N249" s="10"/>
      <c r="O249" s="162" t="s">
        <v>390</v>
      </c>
      <c r="P249" s="163"/>
      <c r="Q249" s="162" t="s">
        <v>391</v>
      </c>
      <c r="R249" s="162"/>
      <c r="S249" s="163"/>
      <c r="T249" s="128" t="e">
        <f>1/T248</f>
        <v>#DIV/0!</v>
      </c>
      <c r="U249" s="128" t="e">
        <f>1/U248</f>
        <v>#DIV/0!</v>
      </c>
      <c r="V249" s="128"/>
      <c r="W249" s="110" t="e">
        <f>V206-W250</f>
        <v>#DIV/0!</v>
      </c>
      <c r="X249" s="158" t="e">
        <f>W249-X250</f>
        <v>#DIV/0!</v>
      </c>
      <c r="Y249" s="158" t="e">
        <f t="shared" ref="Y249:AA249" si="776">X249-Y250</f>
        <v>#DIV/0!</v>
      </c>
      <c r="Z249" s="158" t="e">
        <f t="shared" si="776"/>
        <v>#DIV/0!</v>
      </c>
      <c r="AA249" s="158" t="e">
        <f t="shared" si="776"/>
        <v>#DIV/0!</v>
      </c>
      <c r="AB249" s="158" t="e">
        <f>AA249-AB250</f>
        <v>#DIV/0!</v>
      </c>
      <c r="AC249" s="158" t="e">
        <f t="shared" ref="AC249:AF249" si="777">AB249-AC250</f>
        <v>#DIV/0!</v>
      </c>
      <c r="AD249" s="158" t="e">
        <f t="shared" si="777"/>
        <v>#DIV/0!</v>
      </c>
      <c r="AE249" s="158" t="e">
        <f t="shared" si="777"/>
        <v>#DIV/0!</v>
      </c>
      <c r="AF249" s="158" t="e">
        <f t="shared" si="777"/>
        <v>#DIV/0!</v>
      </c>
      <c r="AG249" s="158" t="e">
        <f t="shared" ref="AG249" si="778">AF249-AG250</f>
        <v>#DIV/0!</v>
      </c>
      <c r="AH249" s="158" t="e">
        <f t="shared" ref="AH249" si="779">AG249-AH250</f>
        <v>#DIV/0!</v>
      </c>
      <c r="AI249" s="158" t="e">
        <f t="shared" ref="AI249" si="780">AH249-AI250</f>
        <v>#DIV/0!</v>
      </c>
      <c r="AJ249" s="158" t="e">
        <f t="shared" ref="AJ249" si="781">AI249-AJ250</f>
        <v>#DIV/0!</v>
      </c>
      <c r="AK249" s="158" t="e">
        <f t="shared" ref="AK249" si="782">AJ249-AK250</f>
        <v>#DIV/0!</v>
      </c>
      <c r="AL249" s="158" t="e">
        <f t="shared" ref="AL249" si="783">AK249-AL250</f>
        <v>#DIV/0!</v>
      </c>
      <c r="AM249" s="158" t="e">
        <f t="shared" ref="AM249" si="784">AL249-AM250</f>
        <v>#DIV/0!</v>
      </c>
      <c r="AN249" s="158" t="e">
        <f t="shared" ref="AN249" si="785">AM249-AN250</f>
        <v>#DIV/0!</v>
      </c>
      <c r="AO249" s="158" t="e">
        <f t="shared" ref="AO249" si="786">AN249-AO250</f>
        <v>#DIV/0!</v>
      </c>
      <c r="AP249" s="158" t="e">
        <f t="shared" ref="AP249" si="787">AO249-AP250</f>
        <v>#DIV/0!</v>
      </c>
      <c r="AQ249" s="158" t="e">
        <f t="shared" ref="AQ249" si="788">AP249-AQ250</f>
        <v>#DIV/0!</v>
      </c>
      <c r="AR249" s="158" t="e">
        <f t="shared" ref="AR249" si="789">AQ249-AR250</f>
        <v>#DIV/0!</v>
      </c>
      <c r="AS249" s="158" t="e">
        <f t="shared" ref="AS249" si="790">AR249-AS250</f>
        <v>#DIV/0!</v>
      </c>
      <c r="AT249" s="158" t="e">
        <f t="shared" ref="AT249" si="791">AS249-AT250</f>
        <v>#DIV/0!</v>
      </c>
      <c r="AU249" s="158" t="e">
        <f t="shared" ref="AU249" si="792">AT249-AU250</f>
        <v>#DIV/0!</v>
      </c>
      <c r="AV249" s="158" t="e">
        <f t="shared" ref="AV249" si="793">AU249-AV250</f>
        <v>#DIV/0!</v>
      </c>
      <c r="AW249" s="158" t="e">
        <f t="shared" ref="AW249" si="794">AV249-AW250</f>
        <v>#DIV/0!</v>
      </c>
    </row>
    <row r="250" spans="2:49" x14ac:dyDescent="0.2">
      <c r="B250" s="10" t="s">
        <v>338</v>
      </c>
      <c r="C250" s="10"/>
      <c r="D250" s="10"/>
      <c r="E250" s="10"/>
      <c r="F250" s="10"/>
      <c r="G250" s="10"/>
      <c r="H250" s="10"/>
      <c r="I250" s="10"/>
      <c r="J250" s="164">
        <v>0</v>
      </c>
      <c r="K250" s="163"/>
      <c r="L250" s="164">
        <v>0.05</v>
      </c>
      <c r="M250" s="163"/>
      <c r="N250" s="157">
        <v>0.15</v>
      </c>
      <c r="O250" s="164">
        <v>0.12</v>
      </c>
      <c r="P250" s="163"/>
      <c r="Q250" s="164">
        <v>0.2</v>
      </c>
      <c r="R250" s="164"/>
      <c r="S250" s="171" t="s">
        <v>230</v>
      </c>
      <c r="T250" s="154">
        <f>V206/T175</f>
        <v>0</v>
      </c>
      <c r="U250" s="154" t="s">
        <v>408</v>
      </c>
      <c r="V250" s="154"/>
      <c r="W250" s="159" t="e">
        <f>X175*(1+$N$250)</f>
        <v>#DIV/0!</v>
      </c>
      <c r="X250" s="159" t="e">
        <f>W250*(1+$N$250)</f>
        <v>#DIV/0!</v>
      </c>
      <c r="Y250" s="159" t="e">
        <f t="shared" ref="Y250:AF250" si="795">X250*(1+$N$250)</f>
        <v>#DIV/0!</v>
      </c>
      <c r="Z250" s="159" t="e">
        <f t="shared" si="795"/>
        <v>#DIV/0!</v>
      </c>
      <c r="AA250" s="159" t="e">
        <f t="shared" si="795"/>
        <v>#DIV/0!</v>
      </c>
      <c r="AB250" s="159" t="e">
        <f t="shared" si="795"/>
        <v>#DIV/0!</v>
      </c>
      <c r="AC250" s="159" t="e">
        <f t="shared" si="795"/>
        <v>#DIV/0!</v>
      </c>
      <c r="AD250" s="159" t="e">
        <f t="shared" si="795"/>
        <v>#DIV/0!</v>
      </c>
      <c r="AE250" s="159" t="e">
        <f t="shared" si="795"/>
        <v>#DIV/0!</v>
      </c>
      <c r="AF250" s="159" t="e">
        <f t="shared" si="795"/>
        <v>#DIV/0!</v>
      </c>
      <c r="AG250" s="159" t="e">
        <f t="shared" ref="AG250" si="796">AF250*(1+$N$250)</f>
        <v>#DIV/0!</v>
      </c>
      <c r="AH250" s="159" t="e">
        <f t="shared" ref="AH250" si="797">AG250*(1+$N$250)</f>
        <v>#DIV/0!</v>
      </c>
      <c r="AI250" s="159" t="e">
        <f t="shared" ref="AI250" si="798">AH250*(1+$N$250)</f>
        <v>#DIV/0!</v>
      </c>
      <c r="AJ250" s="159" t="e">
        <f t="shared" ref="AJ250" si="799">AI250*(1+$N$250)</f>
        <v>#DIV/0!</v>
      </c>
      <c r="AK250" s="159" t="e">
        <f t="shared" ref="AK250" si="800">AJ250*(1+$N$250)</f>
        <v>#DIV/0!</v>
      </c>
      <c r="AL250" s="159" t="e">
        <f t="shared" ref="AL250" si="801">AK250*(1+$N$250)</f>
        <v>#DIV/0!</v>
      </c>
      <c r="AM250" s="159" t="e">
        <f t="shared" ref="AM250" si="802">AL250*(1+$N$250)</f>
        <v>#DIV/0!</v>
      </c>
      <c r="AN250" s="159" t="e">
        <f t="shared" ref="AN250" si="803">AM250*(1+$N$250)</f>
        <v>#DIV/0!</v>
      </c>
      <c r="AO250" s="159" t="e">
        <f t="shared" ref="AO250" si="804">AN250*(1+$N$250)</f>
        <v>#DIV/0!</v>
      </c>
      <c r="AP250" s="159" t="e">
        <f t="shared" ref="AP250" si="805">AO250*(1+$N$250)</f>
        <v>#DIV/0!</v>
      </c>
      <c r="AQ250" s="159" t="e">
        <f t="shared" ref="AQ250" si="806">AP250*(1+$N$250)</f>
        <v>#DIV/0!</v>
      </c>
      <c r="AR250" s="159" t="e">
        <f t="shared" ref="AR250" si="807">AQ250*(1+$N$250)</f>
        <v>#DIV/0!</v>
      </c>
      <c r="AS250" s="159" t="e">
        <f t="shared" ref="AS250" si="808">AR250*(1+$N$250)</f>
        <v>#DIV/0!</v>
      </c>
      <c r="AT250" s="159" t="e">
        <f t="shared" ref="AT250" si="809">AS250*(1+$N$250)</f>
        <v>#DIV/0!</v>
      </c>
      <c r="AU250" s="159" t="e">
        <f t="shared" ref="AU250" si="810">AT250*(1+$N$250)</f>
        <v>#DIV/0!</v>
      </c>
      <c r="AV250" s="159" t="e">
        <f t="shared" ref="AV250" si="811">AU250*(1+$N$250)</f>
        <v>#DIV/0!</v>
      </c>
      <c r="AW250" s="159" t="e">
        <f t="shared" ref="AW250" si="812">AV250*(1+$N$250)</f>
        <v>#DIV/0!</v>
      </c>
    </row>
    <row r="251" spans="2:49" x14ac:dyDescent="0.2">
      <c r="B251" s="10" t="s">
        <v>337</v>
      </c>
      <c r="C251" s="10"/>
      <c r="D251" s="10"/>
      <c r="E251" s="13" t="s">
        <v>333</v>
      </c>
      <c r="F251" s="13"/>
      <c r="G251" s="13"/>
      <c r="H251" s="13"/>
      <c r="I251" s="12"/>
      <c r="J251" s="164">
        <v>0</v>
      </c>
      <c r="K251" s="165" t="e">
        <f>U208</f>
        <v>#DIV/0!</v>
      </c>
      <c r="L251" s="164">
        <v>0.05</v>
      </c>
      <c r="M251" s="163"/>
      <c r="N251" s="157">
        <v>0.15</v>
      </c>
      <c r="O251" s="164">
        <v>0.12</v>
      </c>
      <c r="P251" s="163"/>
      <c r="Q251" s="164">
        <v>0.2</v>
      </c>
      <c r="R251" s="164"/>
      <c r="S251" s="171" t="s">
        <v>407</v>
      </c>
      <c r="T251" s="154" t="e">
        <f>V206/V77</f>
        <v>#DIV/0!</v>
      </c>
      <c r="U251" s="154" t="s">
        <v>408</v>
      </c>
      <c r="V251" s="154"/>
      <c r="W251" s="159" t="e">
        <f>U77*(1+$N$251)</f>
        <v>#DIV/0!</v>
      </c>
      <c r="X251" s="159" t="e">
        <f>W251*(1+$N$251)</f>
        <v>#DIV/0!</v>
      </c>
      <c r="Y251" s="159" t="e">
        <f t="shared" ref="Y251:AF251" si="813">X251*(1+$N$251)</f>
        <v>#DIV/0!</v>
      </c>
      <c r="Z251" s="159" t="e">
        <f t="shared" si="813"/>
        <v>#DIV/0!</v>
      </c>
      <c r="AA251" s="159" t="e">
        <f t="shared" si="813"/>
        <v>#DIV/0!</v>
      </c>
      <c r="AB251" s="159" t="e">
        <f t="shared" si="813"/>
        <v>#DIV/0!</v>
      </c>
      <c r="AC251" s="159" t="e">
        <f t="shared" si="813"/>
        <v>#DIV/0!</v>
      </c>
      <c r="AD251" s="159" t="e">
        <f t="shared" si="813"/>
        <v>#DIV/0!</v>
      </c>
      <c r="AE251" s="159" t="e">
        <f t="shared" si="813"/>
        <v>#DIV/0!</v>
      </c>
      <c r="AF251" s="159" t="e">
        <f t="shared" si="813"/>
        <v>#DIV/0!</v>
      </c>
      <c r="AG251" s="159" t="e">
        <f t="shared" ref="AG251" si="814">AF251*(1+$N$251)</f>
        <v>#DIV/0!</v>
      </c>
      <c r="AH251" s="159" t="e">
        <f t="shared" ref="AH251" si="815">AG251*(1+$N$251)</f>
        <v>#DIV/0!</v>
      </c>
      <c r="AI251" s="159" t="e">
        <f t="shared" ref="AI251" si="816">AH251*(1+$N$251)</f>
        <v>#DIV/0!</v>
      </c>
      <c r="AJ251" s="159" t="e">
        <f t="shared" ref="AJ251" si="817">AI251*(1+$N$251)</f>
        <v>#DIV/0!</v>
      </c>
      <c r="AK251" s="159" t="e">
        <f t="shared" ref="AK251" si="818">AJ251*(1+$N$251)</f>
        <v>#DIV/0!</v>
      </c>
      <c r="AL251" s="159" t="e">
        <f t="shared" ref="AL251" si="819">AK251*(1+$N$251)</f>
        <v>#DIV/0!</v>
      </c>
      <c r="AM251" s="159" t="e">
        <f t="shared" ref="AM251" si="820">AL251*(1+$N$251)</f>
        <v>#DIV/0!</v>
      </c>
      <c r="AN251" s="159" t="e">
        <f t="shared" ref="AN251" si="821">AM251*(1+$N$251)</f>
        <v>#DIV/0!</v>
      </c>
      <c r="AO251" s="159" t="e">
        <f t="shared" ref="AO251" si="822">AN251*(1+$N$251)</f>
        <v>#DIV/0!</v>
      </c>
      <c r="AP251" s="159" t="e">
        <f t="shared" ref="AP251" si="823">AO251*(1+$N$251)</f>
        <v>#DIV/0!</v>
      </c>
      <c r="AQ251" s="159" t="e">
        <f t="shared" ref="AQ251" si="824">AP251*(1+$N$251)</f>
        <v>#DIV/0!</v>
      </c>
      <c r="AR251" s="159" t="e">
        <f t="shared" ref="AR251" si="825">AQ251*(1+$N$251)</f>
        <v>#DIV/0!</v>
      </c>
      <c r="AS251" s="159" t="e">
        <f t="shared" ref="AS251" si="826">AR251*(1+$N$251)</f>
        <v>#DIV/0!</v>
      </c>
      <c r="AT251" s="159" t="e">
        <f t="shared" ref="AT251" si="827">AS251*(1+$N$251)</f>
        <v>#DIV/0!</v>
      </c>
      <c r="AU251" s="159" t="e">
        <f t="shared" ref="AU251" si="828">AT251*(1+$N$251)</f>
        <v>#DIV/0!</v>
      </c>
      <c r="AV251" s="159" t="e">
        <f t="shared" ref="AV251" si="829">AU251*(1+$N$251)</f>
        <v>#DIV/0!</v>
      </c>
      <c r="AW251" s="159" t="e">
        <f t="shared" ref="AW251" si="830">AV251*(1+$N$251)</f>
        <v>#DIV/0!</v>
      </c>
    </row>
    <row r="252" spans="2:49" x14ac:dyDescent="0.2">
      <c r="B252" s="10"/>
      <c r="C252" s="10"/>
      <c r="D252" s="10"/>
      <c r="E252" s="13" t="s">
        <v>393</v>
      </c>
      <c r="F252" s="13"/>
      <c r="G252" s="13"/>
      <c r="H252" s="13"/>
      <c r="I252" s="12"/>
      <c r="J252" s="164">
        <v>0</v>
      </c>
      <c r="K252" s="165"/>
      <c r="L252" s="164">
        <v>0.05</v>
      </c>
      <c r="M252" s="163"/>
      <c r="N252" s="163"/>
      <c r="O252" s="164">
        <v>0.12</v>
      </c>
      <c r="P252" s="163"/>
      <c r="Q252" s="164">
        <v>0.2</v>
      </c>
      <c r="R252" s="164"/>
      <c r="S252" s="10"/>
      <c r="T252" s="10"/>
      <c r="U252" s="10"/>
      <c r="V252" s="10"/>
      <c r="W252" s="110" t="e">
        <f>V206-W251</f>
        <v>#DIV/0!</v>
      </c>
      <c r="X252" s="158" t="e">
        <f>W252-X251</f>
        <v>#DIV/0!</v>
      </c>
      <c r="Y252" s="158" t="e">
        <f t="shared" ref="Y252:AD252" si="831">X252-Y251</f>
        <v>#DIV/0!</v>
      </c>
      <c r="Z252" s="158" t="e">
        <f t="shared" si="831"/>
        <v>#DIV/0!</v>
      </c>
      <c r="AA252" s="158" t="e">
        <f t="shared" si="831"/>
        <v>#DIV/0!</v>
      </c>
      <c r="AB252" s="158" t="e">
        <f t="shared" si="831"/>
        <v>#DIV/0!</v>
      </c>
      <c r="AC252" s="158" t="e">
        <f t="shared" si="831"/>
        <v>#DIV/0!</v>
      </c>
      <c r="AD252" s="158" t="e">
        <f t="shared" si="831"/>
        <v>#DIV/0!</v>
      </c>
      <c r="AE252" s="158" t="e">
        <f>AD252-AE251</f>
        <v>#DIV/0!</v>
      </c>
      <c r="AF252" s="158" t="e">
        <f t="shared" ref="AF252" si="832">AE252-AF251</f>
        <v>#DIV/0!</v>
      </c>
      <c r="AG252" s="158" t="e">
        <f t="shared" ref="AG252" si="833">AF252-AG251</f>
        <v>#DIV/0!</v>
      </c>
      <c r="AH252" s="158" t="e">
        <f t="shared" ref="AH252" si="834">AG252-AH251</f>
        <v>#DIV/0!</v>
      </c>
      <c r="AI252" s="158" t="e">
        <f t="shared" ref="AI252" si="835">AH252-AI251</f>
        <v>#DIV/0!</v>
      </c>
      <c r="AJ252" s="158" t="e">
        <f t="shared" ref="AJ252" si="836">AI252-AJ251</f>
        <v>#DIV/0!</v>
      </c>
      <c r="AK252" s="158" t="e">
        <f t="shared" ref="AK252" si="837">AJ252-AK251</f>
        <v>#DIV/0!</v>
      </c>
      <c r="AL252" s="158" t="e">
        <f t="shared" ref="AL252" si="838">AK252-AL251</f>
        <v>#DIV/0!</v>
      </c>
      <c r="AM252" s="158" t="e">
        <f t="shared" ref="AM252" si="839">AL252-AM251</f>
        <v>#DIV/0!</v>
      </c>
      <c r="AN252" s="158" t="e">
        <f t="shared" ref="AN252" si="840">AM252-AN251</f>
        <v>#DIV/0!</v>
      </c>
      <c r="AO252" s="158" t="e">
        <f t="shared" ref="AO252" si="841">AN252-AO251</f>
        <v>#DIV/0!</v>
      </c>
      <c r="AP252" s="158" t="e">
        <f t="shared" ref="AP252" si="842">AO252-AP251</f>
        <v>#DIV/0!</v>
      </c>
      <c r="AQ252" s="158" t="e">
        <f t="shared" ref="AQ252" si="843">AP252-AQ251</f>
        <v>#DIV/0!</v>
      </c>
      <c r="AR252" s="158" t="e">
        <f t="shared" ref="AR252" si="844">AQ252-AR251</f>
        <v>#DIV/0!</v>
      </c>
      <c r="AS252" s="158" t="e">
        <f t="shared" ref="AS252" si="845">AR252-AS251</f>
        <v>#DIV/0!</v>
      </c>
      <c r="AT252" s="158" t="e">
        <f t="shared" ref="AT252" si="846">AS252-AT251</f>
        <v>#DIV/0!</v>
      </c>
      <c r="AU252" s="158" t="e">
        <f t="shared" ref="AU252" si="847">AT252-AU251</f>
        <v>#DIV/0!</v>
      </c>
      <c r="AV252" s="158" t="e">
        <f t="shared" ref="AV252" si="848">AU252-AV251</f>
        <v>#DIV/0!</v>
      </c>
      <c r="AW252" s="158" t="e">
        <f t="shared" ref="AW252" si="849">AV252-AW251</f>
        <v>#DIV/0!</v>
      </c>
    </row>
    <row r="253" spans="2:49" x14ac:dyDescent="0.2">
      <c r="B253" s="93" t="s">
        <v>251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2:49" x14ac:dyDescent="0.2">
      <c r="B254" s="10" t="s">
        <v>254</v>
      </c>
      <c r="C254" s="15"/>
      <c r="D254" s="15"/>
      <c r="E254" s="15"/>
      <c r="F254" s="15"/>
      <c r="G254" s="15"/>
      <c r="H254" s="15">
        <f t="shared" ref="H254:I254" si="850">H10/H7</f>
        <v>1.2048192771084338E-3</v>
      </c>
      <c r="I254" s="15">
        <f t="shared" si="850"/>
        <v>4.666666666666667</v>
      </c>
      <c r="J254" s="15">
        <f t="shared" ref="J254:U254" si="851">J10/J7</f>
        <v>1.4666666666666666</v>
      </c>
      <c r="K254" s="15">
        <f t="shared" si="851"/>
        <v>1.1659192825112108</v>
      </c>
      <c r="L254" s="15">
        <f t="shared" si="851"/>
        <v>0.5629139072847682</v>
      </c>
      <c r="M254" s="15">
        <f t="shared" si="851"/>
        <v>0.5911764705882353</v>
      </c>
      <c r="N254" s="15">
        <f t="shared" si="851"/>
        <v>0.57397959183673475</v>
      </c>
      <c r="O254" s="15">
        <f t="shared" si="851"/>
        <v>0.42465753424657532</v>
      </c>
      <c r="P254" s="15">
        <f t="shared" si="851"/>
        <v>0.26162790697674421</v>
      </c>
      <c r="Q254" s="15" t="e">
        <f t="shared" si="851"/>
        <v>#DIV/0!</v>
      </c>
      <c r="R254" s="15"/>
      <c r="S254" s="15">
        <f t="shared" si="851"/>
        <v>0.59329446064139946</v>
      </c>
      <c r="T254" s="15">
        <f t="shared" si="851"/>
        <v>0.55992420653718622</v>
      </c>
      <c r="U254" s="15">
        <f t="shared" si="851"/>
        <v>3.4252104716872331E-2</v>
      </c>
      <c r="V254" s="15">
        <f t="shared" ref="V254:W254" si="852">V10/V7</f>
        <v>3.3397053862588552E-2</v>
      </c>
      <c r="W254" s="15">
        <f t="shared" si="852"/>
        <v>3.3397053862588552E-2</v>
      </c>
      <c r="X254" s="101" t="e">
        <f t="shared" ref="X254:X256" si="853">((V254/G254)^(1/($K$2-$K$1) ))-1</f>
        <v>#DIV/0!</v>
      </c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spans="2:49" x14ac:dyDescent="0.2">
      <c r="B255" s="10" t="s">
        <v>255</v>
      </c>
      <c r="C255" s="96"/>
      <c r="D255" s="96"/>
      <c r="E255" s="96"/>
      <c r="F255" s="96"/>
      <c r="G255" s="96"/>
      <c r="H255" s="96">
        <f t="shared" ref="H255:I255" si="854">H10/H12</f>
        <v>2.3529411764705885E-3</v>
      </c>
      <c r="I255" s="96">
        <f t="shared" si="854"/>
        <v>1.4</v>
      </c>
      <c r="J255" s="96">
        <f t="shared" ref="J255:U255" si="855">J10/J12</f>
        <v>1.7023809523809523</v>
      </c>
      <c r="K255" s="96">
        <f t="shared" si="855"/>
        <v>1.6455696202531647</v>
      </c>
      <c r="L255" s="96">
        <f t="shared" si="855"/>
        <v>1.1805555555555556</v>
      </c>
      <c r="M255" s="96">
        <f t="shared" si="855"/>
        <v>1.4779411764705883</v>
      </c>
      <c r="N255" s="96">
        <f t="shared" si="855"/>
        <v>0.82720588235294112</v>
      </c>
      <c r="O255" s="96">
        <f t="shared" si="855"/>
        <v>0.89423076923076927</v>
      </c>
      <c r="P255" s="96">
        <f t="shared" si="855"/>
        <v>0.54545454545454541</v>
      </c>
      <c r="Q255" s="96" t="e">
        <f t="shared" si="855"/>
        <v>#DIV/0!</v>
      </c>
      <c r="R255" s="96"/>
      <c r="S255" s="96">
        <f t="shared" si="855"/>
        <v>0.82807731434384535</v>
      </c>
      <c r="T255" s="96">
        <f t="shared" si="855"/>
        <v>0.8571428571428571</v>
      </c>
      <c r="U255" s="96">
        <f t="shared" si="855"/>
        <v>0.27197802197802196</v>
      </c>
      <c r="V255" s="96">
        <f t="shared" ref="V255:W255" si="856">V10/V12</f>
        <v>0.28723404255319152</v>
      </c>
      <c r="W255" s="96">
        <f t="shared" si="856"/>
        <v>0.28723404255319152</v>
      </c>
      <c r="X255" s="101" t="e">
        <f t="shared" si="853"/>
        <v>#DIV/0!</v>
      </c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spans="2:49" x14ac:dyDescent="0.2">
      <c r="B256" s="10" t="s">
        <v>256</v>
      </c>
      <c r="C256" s="15"/>
      <c r="D256" s="15"/>
      <c r="E256" s="15"/>
      <c r="F256" s="15"/>
      <c r="G256" s="15"/>
      <c r="H256" s="15">
        <f t="shared" ref="H256:I256" si="857">H10/(H12+H13)</f>
        <v>2.0202020202020202E-3</v>
      </c>
      <c r="I256" s="15">
        <f t="shared" si="857"/>
        <v>1.3125</v>
      </c>
      <c r="J256" s="15">
        <f t="shared" ref="J256:U256" si="858">J10/(J12+J13)</f>
        <v>1.6953171310017785</v>
      </c>
      <c r="K256" s="15">
        <f t="shared" si="858"/>
        <v>1.6432815067627355</v>
      </c>
      <c r="L256" s="15">
        <f t="shared" si="858"/>
        <v>0.94972067039106145</v>
      </c>
      <c r="M256" s="15">
        <f t="shared" si="858"/>
        <v>1.3223684210526316</v>
      </c>
      <c r="N256" s="15">
        <f t="shared" si="858"/>
        <v>0.72580645161290325</v>
      </c>
      <c r="O256" s="15">
        <f t="shared" si="858"/>
        <v>0.58675078864353314</v>
      </c>
      <c r="P256" s="15">
        <f t="shared" si="858"/>
        <v>0.33457249070631973</v>
      </c>
      <c r="Q256" s="15" t="e">
        <f t="shared" si="858"/>
        <v>#DIV/0!</v>
      </c>
      <c r="R256" s="15"/>
      <c r="S256" s="15">
        <f t="shared" si="858"/>
        <v>0.72939068100358428</v>
      </c>
      <c r="T256" s="15">
        <f t="shared" si="858"/>
        <v>0.73967459324155194</v>
      </c>
      <c r="U256" s="15">
        <f t="shared" si="858"/>
        <v>3.4982332155477032E-2</v>
      </c>
      <c r="V256" s="15">
        <f t="shared" ref="V256:W256" si="859">V10/(V12+V13)</f>
        <v>3.5147928994082839E-2</v>
      </c>
      <c r="W256" s="15">
        <f t="shared" si="859"/>
        <v>3.5147928994082839E-2</v>
      </c>
      <c r="X256" s="101" t="e">
        <f t="shared" si="853"/>
        <v>#DIV/0!</v>
      </c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spans="2:38" x14ac:dyDescent="0.2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2:38" x14ac:dyDescent="0.2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2:38" ht="15" customHeight="1" x14ac:dyDescent="0.2">
      <c r="B259" s="10"/>
      <c r="C259" s="147" t="s">
        <v>319</v>
      </c>
      <c r="D259" s="148"/>
      <c r="E259" s="148"/>
      <c r="F259" s="148"/>
      <c r="G259" s="148"/>
      <c r="H259" s="148"/>
      <c r="I259" s="148"/>
      <c r="J259" s="148"/>
      <c r="K259" s="148"/>
      <c r="L259" s="148"/>
      <c r="M259" s="313" t="s">
        <v>281</v>
      </c>
      <c r="N259" s="313"/>
      <c r="O259" s="313"/>
      <c r="P259" s="314"/>
      <c r="Q259" s="10"/>
      <c r="R259" s="10"/>
      <c r="S259" s="13"/>
      <c r="T259" s="140"/>
      <c r="U259" s="140"/>
      <c r="V259" s="140"/>
      <c r="W259" s="140"/>
      <c r="X259" s="141"/>
      <c r="Y259" s="141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spans="2:38" x14ac:dyDescent="0.2">
      <c r="B260" s="10"/>
      <c r="C260" s="139" t="s">
        <v>282</v>
      </c>
      <c r="D260" s="139" t="s">
        <v>0</v>
      </c>
      <c r="E260" s="139" t="s">
        <v>320</v>
      </c>
      <c r="F260" s="139"/>
      <c r="G260" s="139" t="s">
        <v>321</v>
      </c>
      <c r="H260" s="139" t="s">
        <v>322</v>
      </c>
      <c r="I260" s="139" t="s">
        <v>323</v>
      </c>
      <c r="J260" s="139" t="s">
        <v>324</v>
      </c>
      <c r="K260" s="139" t="s">
        <v>325</v>
      </c>
      <c r="L260" s="10"/>
      <c r="M260" s="139" t="s">
        <v>282</v>
      </c>
      <c r="N260" s="139"/>
      <c r="O260" s="139" t="s">
        <v>0</v>
      </c>
      <c r="P260" s="139" t="s">
        <v>314</v>
      </c>
      <c r="Q260" s="10"/>
      <c r="R260" s="10"/>
      <c r="S260" s="10"/>
      <c r="T260" s="142"/>
      <c r="U260" s="142"/>
      <c r="V260" s="142"/>
      <c r="W260" s="142"/>
      <c r="X260" s="143"/>
      <c r="Y260" s="143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2:38" x14ac:dyDescent="0.2">
      <c r="B261" s="10"/>
      <c r="C261" s="140" t="s">
        <v>283</v>
      </c>
      <c r="D261" s="11">
        <v>464</v>
      </c>
      <c r="E261" s="149" t="s">
        <v>326</v>
      </c>
      <c r="F261" s="149"/>
      <c r="G261" s="12">
        <v>1</v>
      </c>
      <c r="H261" s="12">
        <v>1</v>
      </c>
      <c r="I261" s="140">
        <f>G261/H261</f>
        <v>1</v>
      </c>
      <c r="J261" s="140">
        <f>I261*D262</f>
        <v>1</v>
      </c>
      <c r="K261" s="150">
        <f>J261+D262</f>
        <v>2</v>
      </c>
      <c r="L261" s="10"/>
      <c r="M261" s="140" t="s">
        <v>283</v>
      </c>
      <c r="N261" s="140"/>
      <c r="O261" s="11">
        <v>48</v>
      </c>
      <c r="P261" s="146">
        <f>O261</f>
        <v>48</v>
      </c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2:38" x14ac:dyDescent="0.2">
      <c r="B262" s="10"/>
      <c r="C262" s="140" t="s">
        <v>284</v>
      </c>
      <c r="D262" s="11">
        <v>1</v>
      </c>
      <c r="E262" s="149" t="s">
        <v>327</v>
      </c>
      <c r="F262" s="149"/>
      <c r="G262" s="12">
        <v>0</v>
      </c>
      <c r="H262" s="12">
        <v>1</v>
      </c>
      <c r="I262" s="140">
        <f>G262/H262</f>
        <v>0</v>
      </c>
      <c r="J262" s="140">
        <f>I262*K261</f>
        <v>0</v>
      </c>
      <c r="K262" s="140">
        <f>J262+K261</f>
        <v>2</v>
      </c>
      <c r="L262" s="10"/>
      <c r="M262" s="140" t="s">
        <v>284</v>
      </c>
      <c r="N262" s="140"/>
      <c r="O262" s="11">
        <v>1</v>
      </c>
      <c r="P262" s="146">
        <f>O262</f>
        <v>1</v>
      </c>
      <c r="Q262" s="10"/>
      <c r="R262" s="10"/>
      <c r="S262" s="10"/>
      <c r="T262" s="140"/>
      <c r="U262" s="140"/>
      <c r="V262" s="140"/>
      <c r="W262" s="140"/>
      <c r="X262" s="141"/>
      <c r="Y262" s="141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2:38" x14ac:dyDescent="0.2">
      <c r="B263" s="10"/>
      <c r="C263" s="140" t="s">
        <v>286</v>
      </c>
      <c r="D263" s="141">
        <f>D261*D262</f>
        <v>464</v>
      </c>
      <c r="E263" s="149" t="s">
        <v>339</v>
      </c>
      <c r="F263" s="149"/>
      <c r="G263" s="12">
        <v>0</v>
      </c>
      <c r="H263" s="12">
        <v>1</v>
      </c>
      <c r="I263" s="140">
        <f>G263/H263</f>
        <v>0</v>
      </c>
      <c r="J263" s="140">
        <f>I263*K262</f>
        <v>0</v>
      </c>
      <c r="K263" s="140">
        <f>J263+K262</f>
        <v>2</v>
      </c>
      <c r="L263" s="10"/>
      <c r="M263" s="140" t="s">
        <v>285</v>
      </c>
      <c r="N263" s="140"/>
      <c r="O263" s="141">
        <f>O261*O262</f>
        <v>48</v>
      </c>
      <c r="P263" s="146">
        <f>O263</f>
        <v>48</v>
      </c>
      <c r="Q263" s="10"/>
      <c r="R263" s="10"/>
      <c r="S263" s="10"/>
      <c r="T263" s="142"/>
      <c r="U263" s="142"/>
      <c r="V263" s="142"/>
      <c r="W263" s="142"/>
      <c r="X263" s="143"/>
      <c r="Y263" s="143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2:38" x14ac:dyDescent="0.2">
      <c r="B264" s="10"/>
      <c r="C264" s="140"/>
      <c r="D264" s="141"/>
      <c r="E264" s="149" t="s">
        <v>394</v>
      </c>
      <c r="F264" s="149"/>
      <c r="G264" s="12">
        <v>0</v>
      </c>
      <c r="H264" s="12">
        <v>1</v>
      </c>
      <c r="I264" s="140">
        <f t="shared" ref="I264:I267" si="860">G264/H264</f>
        <v>0</v>
      </c>
      <c r="J264" s="140">
        <f t="shared" ref="J264:J266" si="861">I264*K263</f>
        <v>0</v>
      </c>
      <c r="K264" s="140">
        <f t="shared" ref="K264:K266" si="862">J264+K263</f>
        <v>2</v>
      </c>
      <c r="L264" s="10"/>
      <c r="M264" s="140" t="s">
        <v>287</v>
      </c>
      <c r="N264" s="140"/>
      <c r="O264" s="11">
        <v>280</v>
      </c>
      <c r="P264" s="11">
        <v>290</v>
      </c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2:38" x14ac:dyDescent="0.2">
      <c r="B265" s="10"/>
      <c r="C265" s="140"/>
      <c r="D265" s="141"/>
      <c r="E265" s="149" t="s">
        <v>395</v>
      </c>
      <c r="F265" s="149"/>
      <c r="G265" s="12">
        <v>0</v>
      </c>
      <c r="H265" s="12">
        <v>1</v>
      </c>
      <c r="I265" s="140">
        <f t="shared" si="860"/>
        <v>0</v>
      </c>
      <c r="J265" s="140">
        <f t="shared" si="861"/>
        <v>0</v>
      </c>
      <c r="K265" s="140">
        <f t="shared" si="862"/>
        <v>2</v>
      </c>
      <c r="L265" s="10"/>
      <c r="M265" s="140" t="s">
        <v>288</v>
      </c>
      <c r="N265" s="140"/>
      <c r="O265" s="141">
        <f>O264*O262</f>
        <v>280</v>
      </c>
      <c r="P265" s="141">
        <f>P264*P262</f>
        <v>290</v>
      </c>
      <c r="Q265" s="10"/>
      <c r="R265" s="10"/>
      <c r="S265" s="10"/>
      <c r="T265" s="140"/>
      <c r="U265" s="140"/>
      <c r="V265" s="140"/>
      <c r="W265" s="140"/>
      <c r="X265" s="141"/>
      <c r="Y265" s="141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2:38" x14ac:dyDescent="0.2">
      <c r="B266" s="10"/>
      <c r="C266" s="140"/>
      <c r="D266" s="141"/>
      <c r="E266" s="149" t="s">
        <v>396</v>
      </c>
      <c r="F266" s="149"/>
      <c r="G266" s="12">
        <v>0</v>
      </c>
      <c r="H266" s="12">
        <v>1</v>
      </c>
      <c r="I266" s="140">
        <f t="shared" si="860"/>
        <v>0</v>
      </c>
      <c r="J266" s="140">
        <f t="shared" si="861"/>
        <v>0</v>
      </c>
      <c r="K266" s="140">
        <f t="shared" si="862"/>
        <v>2</v>
      </c>
      <c r="L266" s="10"/>
      <c r="M266" s="140"/>
      <c r="N266" s="140"/>
      <c r="O266" s="141"/>
      <c r="P266" s="141"/>
      <c r="Q266" s="10"/>
      <c r="R266" s="10"/>
      <c r="S266" s="10"/>
      <c r="T266" s="142"/>
      <c r="U266" s="142"/>
      <c r="V266" s="142"/>
      <c r="W266" s="142"/>
      <c r="X266" s="143"/>
      <c r="Y266" s="143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2:38" x14ac:dyDescent="0.2">
      <c r="B267" s="10"/>
      <c r="C267" s="140"/>
      <c r="D267" s="141"/>
      <c r="E267" s="149" t="s">
        <v>328</v>
      </c>
      <c r="F267" s="149"/>
      <c r="G267" s="12">
        <v>10</v>
      </c>
      <c r="H267" s="12">
        <v>1</v>
      </c>
      <c r="I267" s="140">
        <f t="shared" si="860"/>
        <v>10</v>
      </c>
      <c r="J267" s="140">
        <f>I267*K266</f>
        <v>20</v>
      </c>
      <c r="K267" s="140">
        <f>J267</f>
        <v>20</v>
      </c>
      <c r="L267" s="10"/>
      <c r="M267" s="140"/>
      <c r="N267" s="140"/>
      <c r="O267" s="141"/>
      <c r="P267" s="141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2:38" x14ac:dyDescent="0.2">
      <c r="B268" s="10"/>
      <c r="C268" s="140"/>
      <c r="D268" s="141"/>
      <c r="E268" s="149" t="s">
        <v>397</v>
      </c>
      <c r="F268" s="149"/>
      <c r="G268" s="12">
        <v>0</v>
      </c>
      <c r="H268" s="12">
        <v>1</v>
      </c>
      <c r="I268" s="140">
        <f>G268/H268</f>
        <v>0</v>
      </c>
      <c r="J268" s="140">
        <f>I268*K267</f>
        <v>0</v>
      </c>
      <c r="K268" s="140">
        <f>J268</f>
        <v>0</v>
      </c>
      <c r="L268" s="10"/>
      <c r="M268" s="142" t="s">
        <v>289</v>
      </c>
      <c r="N268" s="142"/>
      <c r="O268" s="143">
        <f>O265/O263</f>
        <v>5.833333333333333</v>
      </c>
      <c r="P268" s="143">
        <f>P265/P263</f>
        <v>6.041666666666667</v>
      </c>
      <c r="Q268" s="10"/>
      <c r="R268" s="10"/>
      <c r="S268" s="10"/>
      <c r="T268" s="142"/>
      <c r="U268" s="142"/>
      <c r="V268" s="142"/>
      <c r="W268" s="142"/>
      <c r="X268" s="143"/>
      <c r="Y268" s="143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2:38" x14ac:dyDescent="0.2">
      <c r="B269" s="10"/>
      <c r="C269" s="140" t="s">
        <v>287</v>
      </c>
      <c r="D269" s="11">
        <v>280</v>
      </c>
      <c r="E269" s="149"/>
      <c r="F269" s="149"/>
      <c r="G269" s="140"/>
      <c r="H269" s="140"/>
      <c r="I269" s="142" t="s">
        <v>329</v>
      </c>
      <c r="J269" s="140"/>
      <c r="K269" s="140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2:38" x14ac:dyDescent="0.2">
      <c r="B270" s="10"/>
      <c r="C270" s="140" t="s">
        <v>284</v>
      </c>
      <c r="D270" s="11">
        <v>10</v>
      </c>
      <c r="E270" s="149" t="s">
        <v>328</v>
      </c>
      <c r="F270" s="149"/>
      <c r="G270" s="12">
        <v>10</v>
      </c>
      <c r="H270" s="12">
        <v>2</v>
      </c>
      <c r="I270" s="140">
        <f>G270/H270</f>
        <v>5</v>
      </c>
      <c r="J270" s="150">
        <f>I270*D262</f>
        <v>5</v>
      </c>
      <c r="K270" s="150">
        <f>J270</f>
        <v>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2:38" x14ac:dyDescent="0.2">
      <c r="B271" s="10"/>
      <c r="C271" s="140" t="s">
        <v>286</v>
      </c>
      <c r="D271" s="141">
        <f>D270*D269</f>
        <v>2800</v>
      </c>
      <c r="E271" s="140"/>
      <c r="F271" s="140"/>
      <c r="G271" s="140"/>
      <c r="H271" s="140"/>
      <c r="I271" s="142" t="s">
        <v>329</v>
      </c>
      <c r="J271" s="140"/>
      <c r="K271" s="140">
        <f>K270</f>
        <v>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2:38" x14ac:dyDescent="0.2">
      <c r="B272" s="10"/>
      <c r="C272" s="140"/>
      <c r="D272" s="141"/>
      <c r="E272" s="149" t="s">
        <v>328</v>
      </c>
      <c r="F272" s="149"/>
      <c r="G272" s="12">
        <v>10</v>
      </c>
      <c r="H272" s="12">
        <v>2</v>
      </c>
      <c r="I272" s="140">
        <f>G272/H272</f>
        <v>5</v>
      </c>
      <c r="J272" s="140">
        <f>I272*K271</f>
        <v>25</v>
      </c>
      <c r="K272" s="140">
        <f>J272</f>
        <v>25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2:36" x14ac:dyDescent="0.2">
      <c r="B273" s="10"/>
      <c r="C273" s="142" t="s">
        <v>289</v>
      </c>
      <c r="D273" s="143">
        <f>D271/D263</f>
        <v>6.0344827586206895</v>
      </c>
      <c r="E273" s="149"/>
      <c r="F273" s="149"/>
      <c r="G273" s="140"/>
      <c r="H273" s="140"/>
      <c r="I273" s="142" t="s">
        <v>329</v>
      </c>
      <c r="J273" s="140"/>
      <c r="K273" s="140">
        <f>K272</f>
        <v>25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2:36" x14ac:dyDescent="0.2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2:36" x14ac:dyDescent="0.2">
      <c r="B275" s="10"/>
      <c r="C275" s="10"/>
      <c r="D275" s="114"/>
      <c r="E275" s="151"/>
      <c r="F275" s="151"/>
      <c r="G275" s="151"/>
      <c r="H275" s="151"/>
      <c r="I275" s="151"/>
      <c r="J275" s="152"/>
      <c r="K275" s="10"/>
      <c r="L275" s="114"/>
      <c r="M275" s="151"/>
      <c r="N275" s="152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2:36" ht="14.25" x14ac:dyDescent="0.2">
      <c r="B276" s="10"/>
      <c r="C276" s="10"/>
      <c r="D276" s="304" t="s">
        <v>15</v>
      </c>
      <c r="E276" s="305"/>
      <c r="F276" s="305"/>
      <c r="G276" s="305"/>
      <c r="H276" s="305"/>
      <c r="I276" s="305"/>
      <c r="J276" s="306"/>
      <c r="K276" s="10"/>
      <c r="L276" s="304" t="s">
        <v>334</v>
      </c>
      <c r="M276" s="305"/>
      <c r="N276" s="306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2:36" x14ac:dyDescent="0.2">
      <c r="B277" s="10"/>
      <c r="C277" s="10"/>
      <c r="D277" s="10" t="s">
        <v>16</v>
      </c>
      <c r="E277" s="108"/>
      <c r="F277" s="108"/>
      <c r="G277" s="108">
        <f>D263</f>
        <v>464</v>
      </c>
      <c r="H277" s="11">
        <f>D263</f>
        <v>464</v>
      </c>
      <c r="I277" s="10"/>
      <c r="J277" s="10"/>
      <c r="K277" s="10"/>
      <c r="L277" s="10" t="s">
        <v>16</v>
      </c>
      <c r="M277" s="108"/>
      <c r="N277" s="11">
        <f>H277</f>
        <v>464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2:36" x14ac:dyDescent="0.2">
      <c r="B278" s="10"/>
      <c r="C278" s="10"/>
      <c r="D278" s="10" t="s">
        <v>17</v>
      </c>
      <c r="E278" s="108"/>
      <c r="F278" s="108"/>
      <c r="G278" s="108">
        <f>D271</f>
        <v>2800</v>
      </c>
      <c r="H278" s="11">
        <f>D271</f>
        <v>2800</v>
      </c>
      <c r="I278" s="10"/>
      <c r="J278" s="10"/>
      <c r="K278" s="10"/>
      <c r="L278" s="10" t="s">
        <v>17</v>
      </c>
      <c r="M278" s="10"/>
      <c r="N278" s="11">
        <f>H278</f>
        <v>2800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2:36" x14ac:dyDescent="0.2">
      <c r="B279" s="10"/>
      <c r="C279" s="10"/>
      <c r="D279" s="10" t="s">
        <v>18</v>
      </c>
      <c r="E279" s="10"/>
      <c r="F279" s="10"/>
      <c r="G279" s="12">
        <v>15</v>
      </c>
      <c r="H279" s="12">
        <v>15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2:36" x14ac:dyDescent="0.2">
      <c r="B280" s="10"/>
      <c r="C280" s="10"/>
      <c r="D280" s="13" t="s">
        <v>19</v>
      </c>
      <c r="E280" s="3"/>
      <c r="F280" s="3"/>
      <c r="G280" s="3">
        <f>((G278/G277)^(1/G279))-1</f>
        <v>0.12730821037463125</v>
      </c>
      <c r="H280" s="3">
        <f>((H278/H277)^(1/H279))-1</f>
        <v>0.12730821037463125</v>
      </c>
      <c r="I280" s="10"/>
      <c r="J280" s="10"/>
      <c r="K280" s="10"/>
      <c r="L280" s="13" t="s">
        <v>335</v>
      </c>
      <c r="M280" s="13"/>
      <c r="N280" s="166">
        <f>(N278-N277)/N277</f>
        <v>5.0344827586206895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2:36" x14ac:dyDescent="0.2">
      <c r="B281" s="10"/>
      <c r="C281" s="10"/>
      <c r="D281" s="13" t="s">
        <v>20</v>
      </c>
      <c r="E281" s="138"/>
      <c r="F281" s="138"/>
      <c r="G281" s="138">
        <f>G279*12</f>
        <v>180</v>
      </c>
      <c r="H281" s="14">
        <f>H279*12</f>
        <v>180</v>
      </c>
      <c r="I281" s="10"/>
      <c r="J281" s="10"/>
      <c r="K281" s="10"/>
      <c r="L281" s="13" t="s">
        <v>336</v>
      </c>
      <c r="M281" s="13"/>
      <c r="N281" s="267">
        <f>N278/N277</f>
        <v>6.0344827586206895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2:36" x14ac:dyDescent="0.2">
      <c r="B282" s="10"/>
      <c r="C282" s="10"/>
      <c r="D282" s="10" t="s">
        <v>18</v>
      </c>
      <c r="E282" s="15"/>
      <c r="F282" s="15"/>
      <c r="G282" s="15">
        <f>G281/12</f>
        <v>15</v>
      </c>
      <c r="H282" s="15">
        <f>H281/12</f>
        <v>15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2:36" x14ac:dyDescent="0.2">
      <c r="B283" s="10"/>
      <c r="C283" s="10"/>
      <c r="D283" s="13" t="s">
        <v>21</v>
      </c>
      <c r="E283" s="3"/>
      <c r="F283" s="3"/>
      <c r="G283" s="3">
        <f>((G278/G277)^(1/G282))-1</f>
        <v>0.12730821037463125</v>
      </c>
      <c r="H283" s="3">
        <f>((H278/H277)^(1/H282))-1</f>
        <v>0.12730821037463125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2:36" x14ac:dyDescent="0.2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2:36" x14ac:dyDescent="0.2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</sheetData>
  <mergeCells count="8">
    <mergeCell ref="A36:A45"/>
    <mergeCell ref="A129:A137"/>
    <mergeCell ref="D276:J276"/>
    <mergeCell ref="L276:N276"/>
    <mergeCell ref="AK2:AL2"/>
    <mergeCell ref="AK3:AL3"/>
    <mergeCell ref="N242:O242"/>
    <mergeCell ref="M259:P25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7" t="s">
        <v>15</v>
      </c>
      <c r="K5" s="277"/>
      <c r="M5" s="277" t="s">
        <v>53</v>
      </c>
      <c r="N5" s="277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7" t="s">
        <v>24</v>
      </c>
      <c r="K14" s="277"/>
      <c r="L14" s="277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77" t="s">
        <v>15</v>
      </c>
      <c r="S5" s="277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7" t="s">
        <v>24</v>
      </c>
      <c r="S14" s="277"/>
      <c r="T14" s="277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77" t="s">
        <v>15</v>
      </c>
      <c r="C2" s="277"/>
      <c r="E2" s="277" t="s">
        <v>53</v>
      </c>
      <c r="F2" s="277"/>
      <c r="H2" s="318" t="s">
        <v>24</v>
      </c>
      <c r="I2" s="319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20" t="s">
        <v>373</v>
      </c>
      <c r="C3" s="321"/>
      <c r="F3" s="320" t="s">
        <v>374</v>
      </c>
      <c r="G3" s="321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2020-04-02T12:37:16Z</dcterms:modified>
</cp:coreProperties>
</file>
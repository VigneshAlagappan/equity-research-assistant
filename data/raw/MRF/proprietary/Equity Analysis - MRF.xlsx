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V21" i="18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1"/>
  <c r="V53"/>
  <c r="V55"/>
  <c r="V57"/>
  <c r="V59"/>
  <c r="V6"/>
  <c r="V7"/>
  <c r="V9"/>
  <c r="V10"/>
  <c r="V12"/>
  <c r="V13"/>
  <c r="V14"/>
  <c r="V15"/>
  <c r="V16"/>
  <c r="V18"/>
  <c r="V20"/>
  <c r="S23"/>
  <c r="S22"/>
  <c r="S21"/>
  <c r="S20"/>
  <c r="S16"/>
  <c r="Q16"/>
  <c r="P16"/>
  <c r="O60"/>
  <c r="N60"/>
  <c r="M60"/>
  <c r="L60"/>
  <c r="K60"/>
  <c r="J60"/>
  <c r="I60"/>
  <c r="H60"/>
  <c r="G60"/>
  <c r="O58"/>
  <c r="N58"/>
  <c r="M58"/>
  <c r="L58"/>
  <c r="K58"/>
  <c r="J58"/>
  <c r="I58"/>
  <c r="H58"/>
  <c r="G58"/>
  <c r="O56"/>
  <c r="N56"/>
  <c r="M56"/>
  <c r="L56"/>
  <c r="K56"/>
  <c r="J56"/>
  <c r="I56"/>
  <c r="H56"/>
  <c r="G56"/>
  <c r="O54"/>
  <c r="N54"/>
  <c r="M54"/>
  <c r="L54"/>
  <c r="K54"/>
  <c r="J54"/>
  <c r="I54"/>
  <c r="H54"/>
  <c r="G54"/>
  <c r="O52"/>
  <c r="N52"/>
  <c r="M52"/>
  <c r="L52"/>
  <c r="K52"/>
  <c r="J52"/>
  <c r="I52"/>
  <c r="H52"/>
  <c r="G52"/>
  <c r="O28"/>
  <c r="N28"/>
  <c r="M28"/>
  <c r="L28"/>
  <c r="K28"/>
  <c r="J28"/>
  <c r="I28"/>
  <c r="H28"/>
  <c r="G28"/>
  <c r="O26"/>
  <c r="N26"/>
  <c r="M26"/>
  <c r="L26"/>
  <c r="K26"/>
  <c r="J26"/>
  <c r="I26"/>
  <c r="H26"/>
  <c r="G26"/>
  <c r="O11"/>
  <c r="N11"/>
  <c r="M11"/>
  <c r="L11"/>
  <c r="K11"/>
  <c r="J11"/>
  <c r="I11"/>
  <c r="H11"/>
  <c r="G11"/>
  <c r="O8"/>
  <c r="N8"/>
  <c r="M8"/>
  <c r="L8"/>
  <c r="K8"/>
  <c r="J8"/>
  <c r="I8"/>
  <c r="H8"/>
  <c r="G8"/>
  <c r="H266" l="1"/>
  <c r="H268" s="1"/>
  <c r="H269" s="1"/>
  <c r="H265"/>
  <c r="H264"/>
  <c r="T201"/>
  <c r="T126"/>
  <c r="T127"/>
  <c r="T128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H30"/>
  <c r="G30"/>
  <c r="G31"/>
  <c r="H31"/>
  <c r="G32"/>
  <c r="H32"/>
  <c r="G33"/>
  <c r="H33"/>
  <c r="G34"/>
  <c r="H34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G66"/>
  <c r="H66"/>
  <c r="H202" s="1"/>
  <c r="G67"/>
  <c r="H67"/>
  <c r="G68"/>
  <c r="H68"/>
  <c r="G70"/>
  <c r="G204" s="1"/>
  <c r="H70"/>
  <c r="H204" s="1"/>
  <c r="G71"/>
  <c r="G205" s="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H164"/>
  <c r="G166"/>
  <c r="H166"/>
  <c r="G167"/>
  <c r="H167"/>
  <c r="I47"/>
  <c r="I45"/>
  <c r="I43"/>
  <c r="I42"/>
  <c r="I41"/>
  <c r="I40"/>
  <c r="I38"/>
  <c r="I36"/>
  <c r="I34"/>
  <c r="I33"/>
  <c r="T129" l="1"/>
  <c r="H215"/>
  <c r="H216"/>
  <c r="H217" s="1"/>
  <c r="H214"/>
  <c r="G214"/>
  <c r="G203"/>
  <c r="G209"/>
  <c r="G202"/>
  <c r="H267"/>
  <c r="H270"/>
  <c r="G100"/>
  <c r="G75"/>
  <c r="S129"/>
  <c r="R129"/>
  <c r="Q129"/>
  <c r="P129"/>
  <c r="O129"/>
  <c r="N129"/>
  <c r="M129"/>
  <c r="L129"/>
  <c r="K129"/>
  <c r="J129"/>
  <c r="I129"/>
  <c r="AG47"/>
  <c r="U47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T130" s="1"/>
  <c r="R130"/>
  <c r="Q130"/>
  <c r="P130"/>
  <c r="O130"/>
  <c r="N130"/>
  <c r="M130"/>
  <c r="L130"/>
  <c r="K130"/>
  <c r="J130"/>
  <c r="I130"/>
  <c r="G215" l="1"/>
  <c r="G216"/>
  <c r="G206"/>
  <c r="AF47"/>
  <c r="S126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I32"/>
  <c r="I31"/>
  <c r="G217" l="1"/>
  <c r="I37"/>
  <c r="J37"/>
  <c r="S132"/>
  <c r="T132" s="1"/>
  <c r="S131"/>
  <c r="T131" s="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W40" s="1"/>
  <c r="X40" s="1"/>
  <c r="Y40" s="1"/>
  <c r="Z40" s="1"/>
  <c r="AA40" s="1"/>
  <c r="AB40" s="1"/>
  <c r="AC40" s="1"/>
  <c r="AD40" s="1"/>
  <c r="AE40" s="1"/>
  <c r="W49"/>
  <c r="X49" s="1"/>
  <c r="Y49" s="1"/>
  <c r="Z49" s="1"/>
  <c r="AA49" s="1"/>
  <c r="AB49" s="1"/>
  <c r="AC49" s="1"/>
  <c r="AD49" s="1"/>
  <c r="AE49" s="1"/>
  <c r="U45"/>
  <c r="W45" s="1"/>
  <c r="X45" s="1"/>
  <c r="Y45" s="1"/>
  <c r="Z45" s="1"/>
  <c r="AA45" s="1"/>
  <c r="AB45" s="1"/>
  <c r="AC45" s="1"/>
  <c r="AD45" s="1"/>
  <c r="AE45" s="1"/>
  <c r="AF49" l="1"/>
  <c r="AF45"/>
  <c r="AF40"/>
  <c r="U43"/>
  <c r="W43" s="1"/>
  <c r="X43" s="1"/>
  <c r="Y43" s="1"/>
  <c r="Z43" s="1"/>
  <c r="AA43" s="1"/>
  <c r="AB43" s="1"/>
  <c r="AC43" s="1"/>
  <c r="AD43" s="1"/>
  <c r="AE43" s="1"/>
  <c r="AF43" s="1"/>
  <c r="U42"/>
  <c r="W42" s="1"/>
  <c r="X42" s="1"/>
  <c r="Y42" s="1"/>
  <c r="Z42" s="1"/>
  <c r="AA42" s="1"/>
  <c r="AB42" s="1"/>
  <c r="AC42" s="1"/>
  <c r="AD42" s="1"/>
  <c r="AE42" s="1"/>
  <c r="AF42" s="1"/>
  <c r="U41"/>
  <c r="W41" s="1"/>
  <c r="X41" s="1"/>
  <c r="Y41" s="1"/>
  <c r="Z41" s="1"/>
  <c r="AA41" s="1"/>
  <c r="AB41" s="1"/>
  <c r="AC41" s="1"/>
  <c r="AD41" s="1"/>
  <c r="AE41" s="1"/>
  <c r="U38"/>
  <c r="U36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Q60"/>
  <c r="P60"/>
  <c r="S58"/>
  <c r="R58"/>
  <c r="Q58"/>
  <c r="P58"/>
  <c r="S56"/>
  <c r="R56"/>
  <c r="Q56"/>
  <c r="P56"/>
  <c r="S54"/>
  <c r="R54"/>
  <c r="Q54"/>
  <c r="P54"/>
  <c r="S52"/>
  <c r="R52"/>
  <c r="Q52"/>
  <c r="P52"/>
  <c r="S30"/>
  <c r="R30"/>
  <c r="Q30"/>
  <c r="P30"/>
  <c r="O30"/>
  <c r="N30"/>
  <c r="M30"/>
  <c r="L30"/>
  <c r="K30"/>
  <c r="J30"/>
  <c r="I30"/>
  <c r="S28"/>
  <c r="R28"/>
  <c r="Q28"/>
  <c r="P28"/>
  <c r="S26"/>
  <c r="R26"/>
  <c r="Q26"/>
  <c r="P26"/>
  <c r="S11"/>
  <c r="R11"/>
  <c r="Q11"/>
  <c r="P11"/>
  <c r="S8"/>
  <c r="R8"/>
  <c r="Q8"/>
  <c r="P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AH47" s="1"/>
  <c r="V220" l="1"/>
  <c r="G220"/>
  <c r="H220"/>
  <c r="V225"/>
  <c r="V226" s="1"/>
  <c r="V227" s="1"/>
  <c r="G225"/>
  <c r="H225"/>
  <c r="AB38"/>
  <c r="AA127"/>
  <c r="AB36"/>
  <c r="AA126"/>
  <c r="AA128"/>
  <c r="AH45"/>
  <c r="AH40"/>
  <c r="AH49"/>
  <c r="AH41"/>
  <c r="AH42"/>
  <c r="AH43"/>
  <c r="M225"/>
  <c r="M226" s="1"/>
  <c r="M227" s="1"/>
  <c r="V221"/>
  <c r="V222" s="1"/>
  <c r="V219"/>
  <c r="S225"/>
  <c r="T225" s="1"/>
  <c r="R225"/>
  <c r="R224" s="1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24" l="1"/>
  <c r="S205"/>
  <c r="T205" s="1"/>
  <c r="T71"/>
  <c r="S204"/>
  <c r="T204" s="1"/>
  <c r="T70"/>
  <c r="G219"/>
  <c r="G221"/>
  <c r="G224"/>
  <c r="G226"/>
  <c r="H219"/>
  <c r="H221"/>
  <c r="H222" s="1"/>
  <c r="T220"/>
  <c r="H224"/>
  <c r="H226"/>
  <c r="H227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24" l="1"/>
  <c r="T219"/>
  <c r="T226"/>
  <c r="G227"/>
  <c r="T227" s="1"/>
  <c r="T221"/>
  <c r="G222"/>
  <c r="T222" s="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S92" l="1"/>
  <c r="T92" s="1"/>
  <c r="T90"/>
  <c r="S163"/>
  <c r="T163" s="1"/>
  <c r="T162"/>
  <c r="S139"/>
  <c r="T88"/>
  <c r="S140"/>
  <c r="T140" s="1"/>
  <c r="T139"/>
  <c r="S208"/>
  <c r="T208" s="1"/>
  <c r="T86"/>
  <c r="S209"/>
  <c r="T209" s="1"/>
  <c r="T80"/>
  <c r="S206"/>
  <c r="T206" s="1"/>
  <c r="T75"/>
  <c r="S214"/>
  <c r="T214" s="1"/>
  <c r="T72"/>
  <c r="S110"/>
  <c r="T110" s="1"/>
  <c r="T68"/>
  <c r="S164"/>
  <c r="T164" s="1"/>
  <c r="T98"/>
  <c r="S121"/>
  <c r="T121" s="1"/>
  <c r="T115"/>
  <c r="S119"/>
  <c r="T119" s="1"/>
  <c r="T113"/>
  <c r="S122"/>
  <c r="T122" s="1"/>
  <c r="T116"/>
  <c r="S120"/>
  <c r="T120" s="1"/>
  <c r="T114"/>
  <c r="S118"/>
  <c r="T118" s="1"/>
  <c r="T112"/>
  <c r="S202"/>
  <c r="T202" s="1"/>
  <c r="T66"/>
  <c r="R238"/>
  <c r="S203"/>
  <c r="T203" s="1"/>
  <c r="S84"/>
  <c r="S141"/>
  <c r="S143"/>
  <c r="T143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07" l="1"/>
  <c r="T207" s="1"/>
  <c r="T84"/>
  <c r="S142"/>
  <c r="T142" s="1"/>
  <c r="T141"/>
  <c r="S216"/>
  <c r="S215"/>
  <c r="T215" s="1"/>
  <c r="J238"/>
  <c r="U59"/>
  <c r="S217" l="1"/>
  <c r="T217" s="1"/>
  <c r="T216"/>
  <c r="M234"/>
  <c r="M233"/>
  <c r="M232"/>
  <c r="M231"/>
  <c r="AG53" l="1"/>
  <c r="U53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W14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W32"/>
  <c r="X32" s="1"/>
  <c r="Y32" s="1"/>
  <c r="Z32" s="1"/>
  <c r="AA32" s="1"/>
  <c r="AB32" s="1"/>
  <c r="AC32" s="1"/>
  <c r="AD32" s="1"/>
  <c r="AE32" s="1"/>
  <c r="AF32" s="1"/>
  <c r="P255"/>
  <c r="V255"/>
  <c r="U9"/>
  <c r="U10"/>
  <c r="U12"/>
  <c r="U13"/>
  <c r="U15"/>
  <c r="U16"/>
  <c r="U18"/>
  <c r="U20"/>
  <c r="U21"/>
  <c r="U22"/>
  <c r="U23"/>
  <c r="U25"/>
  <c r="V129" s="1"/>
  <c r="U27"/>
  <c r="U29"/>
  <c r="U31"/>
  <c r="U33"/>
  <c r="U34"/>
  <c r="U51"/>
  <c r="U55"/>
  <c r="V130" s="1"/>
  <c r="U7"/>
  <c r="U6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<sst xmlns="http://schemas.openxmlformats.org/spreadsheetml/2006/main" count="698" uniqueCount="496">
  <si>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</si>
  <si>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</si>
  <si>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</si>
  <si>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</si>
  <si>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</si>
  <si>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</si>
  <si>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</si>
  <si>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</si>
  <si>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</si>
  <si>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</si>
  <si>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</si>
  <si>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</si>
  <si>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</si>
  <si>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</si>
  <si>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</si>
  <si>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</si>
  <si>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</si>
  <si>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</si>
  <si>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</si>
  <si>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</si>
  <si>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</si>
  <si>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</si>
  <si>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</si>
  <si>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</si>
  <si>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</si>
  <si>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</si>
  <si>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</si>
  <si>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</si>
  <si>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</si>
  <si>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</si>
  <si>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</si>
  <si>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</si>
  <si>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</si>
  <si>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</si>
  <si>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</si>
  <si>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</si>
  <si>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</si>
  <si>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</si>
  <si>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</si>
  <si>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</si>
  <si>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</si>
  <si>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</si>
  <si>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</si>
  <si>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</si>
  <si>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</si>
  <si>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</si>
  <si>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</si>
  <si>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</si>
  <si>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</si>
  <si>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</si>
  <si>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</si>
  <si>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</si>
  <si>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</si>
  <si>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</si>
  <si>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</si>
  <si>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</si>
  <si>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</si>
  <si>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</si>
  <si>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</si>
  <si>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</si>
  <si>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</si>
  <si>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</si>
  <si>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</si>
  <si>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</si>
  <si>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</si>
  <si>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</si>
  <si>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</si>
  <si>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</si>
  <si>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</si>
  <si>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</si>
  <si>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</si>
  <si>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</si>
  <si>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</si>
  <si>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</si>
  <si>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</si>
  <si>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</si>
  <si>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</si>
  <si>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</si>
  <si>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</si>
  <si>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</si>
  <si>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</si>
  <si>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</si>
  <si>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</si>
  <si>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</si>
  <si>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</si>
  <si>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</si>
  <si>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</si>
  <si>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</si>
  <si>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</si>
  <si>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</si>
  <si>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</si>
  <si>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</si>
  <si>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</si>
  <si>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</si>
  <si>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</si>
  <si>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</si>
  <si>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</si>
  <si>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</si>
  <si>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</si>
  <si>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</si>
  <si>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</si>
  <si>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</si>
  <si>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</si>
  <si>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</si>
  <si>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</si>
  <si>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</si>
  <si>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</si>
  <si>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</si>
  <si>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</si>
  <si>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</si>
  <si>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</si>
  <si>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</si>
  <si>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</si>
  <si>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</si>
  <si>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</si>
  <si>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</si>
  <si>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</si>
  <si>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</si>
  <si>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</si>
  <si>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</si>
  <si>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</si>
  <si>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</si>
  <si>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</si>
  <si>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</si>
  <si>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</si>
  <si>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</si>
  <si>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</si>
  <si>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</si>
  <si>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</si>
  <si>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</si>
  <si>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</si>
  <si>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</si>
  <si>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</si>
  <si>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</si>
  <si>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</si>
  <si>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</si>
  <si>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</si>
  <si>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</si>
  <si>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</si>
  <si>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</si>
  <si>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</si>
  <si>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</si>
  <si>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</si>
  <si>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</si>
  <si>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</si>
  <si>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</si>
  <si>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</si>
  <si>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</si>
  <si>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</si>
  <si>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</si>
  <si>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</si>
  <si>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</si>
  <si>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</si>
  <si>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</si>
  <si>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</si>
  <si>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</si>
  <si>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</si>
  <si>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</si>
  <si>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</si>
  <si>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</si>
  <si>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</si>
  <si>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</si>
  <si>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</si>
  <si>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</si>
  <si>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</si>
  <si>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</si>
  <si>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</si>
  <si>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</si>
  <si>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</si>
  <si>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</si>
  <si>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</si>
  <si>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</si>
  <si>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</si>
  <si>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</si>
  <si>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</si>
  <si>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</si>
  <si>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</si>
  <si>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</si>
  <si>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</si>
  <si>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</si>
  <si>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</si>
  <si>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</si>
  <si>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</si>
  <si>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</si>
  <si>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</si>
  <si>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</si>
  <si>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</si>
  <si>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</si>
  <si>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</si>
  <si>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</si>
  <si>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</si>
  <si>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</si>
  <si>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</si>
  <si>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</si>
  <si>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</si>
  <si>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</si>
  <si>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</si>
  <si>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</si>
  <si>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</si>
  <si>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</si>
  <si>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</si>
  <si>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</si>
  <si>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</si>
  <si>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</si>
  <si>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</si>
  <si>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</si>
  <si>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</si>
  <si>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</si>
  <si>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</si>
  <si>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</si>
  <si>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</si>
  <si>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</si>
  <si>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</si>
  <si>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</si>
  <si>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</si>
  <si>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</si>
  <si>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</si>
  <si>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</si>
  <si>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</si>
  <si>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</si>
  <si>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</si>
  <si>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</si>
  <si>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</si>
  <si>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</si>
  <si>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</si>
  <si>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</si>
  <si>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</si>
  <si>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</si>
  <si>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</si>
  <si>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</si>
  <si>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</si>
  <si>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</si>
  <si>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</si>
  <si>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</si>
  <si>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</si>
  <si>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</si>
  <si>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</si>
  <si>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</si>
  <si>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</si>
  <si>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</si>
  <si>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</si>
  <si>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</si>
  <si>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</si>
  <si>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</si>
  <si>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</si>
  <si>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</si>
  <si>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</si>
  <si>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</si>
  <si>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</si>
  <si>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</si>
  <si>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</si>
  <si>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</si>
  <si>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</si>
  <si>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</si>
  <si>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</si>
  <si>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</si>
  <si>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</si>
  <si>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</si>
  <si>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</si>
  <si>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</si>
  <si>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</si>
  <si>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</si>
  <si>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</si>
  <si>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</si>
  <si>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</si>
  <si>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</si>
  <si>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</si>
  <si>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</si>
  <si>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</si>
  <si>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</si>
  <si>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</si>
  <si>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</si>
  <si>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</si>
  <si>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</si>
  <si>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</si>
  <si>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</si>
  <si>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</si>
  <si>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</si>
  <si>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</si>
  <si>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</si>
  <si>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</si>
  <si>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</si>
  <si>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</si>
  <si>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</si>
  <si>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</si>
  <si>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</si>
  <si>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</si>
  <si>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</si>
  <si>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</si>
  <si>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</si>
  <si>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</si>
  <si>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</si>
  <si>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</si>
  <si>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</si>
  <si>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</si>
  <si>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</si>
  <si>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</si>
  <si>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</si>
  <si>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</si>
  <si>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</si>
  <si>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</si>
  <si>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</si>
  <si>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</si>
  <si>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</si>
  <si>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</si>
  <si>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</si>
  <si>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</si>
  <si>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</si>
  <si>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</si>
  <si>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</si>
  <si>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</si>
  <si>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</si>
  <si>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</si>
  <si>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</si>
  <si>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</si>
  <si>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</si>
  <si>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</si>
  <si>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</si>
  <si>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</si>
  <si>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</si>
  <si>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</si>
  <si>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</si>
  <si>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</si>
  <si>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</si>
  <si>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</si>
  <si>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</si>
  <si>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</si>
  <si>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</si>
  <si>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</si>
  <si>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</si>
  <si>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</si>
  <si>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</si>
  <si>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</si>
  <si>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</si>
  <si>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</si>
  <si>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</si>
  <si>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</si>
  <si>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</si>
  <si>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</si>
  <si>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</si>
  <si>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</si>
  <si>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</si>
  <si>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</si>
  <si>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</si>
  <si>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</si>
  <si>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</si>
  <si>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</si>
  <si>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</si>
  <si>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</si>
  <si>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</si>
  <si>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</si>
  <si>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</si>
  <si>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</si>
  <si>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</si>
  <si>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</si>
  <si>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</si>
  <si>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</si>
  <si>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</si>
  <si>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</si>
  <si>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</si>
  <si>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</si>
  <si>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</si>
  <si>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</si>
  <si>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</si>
  <si>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</si>
  <si>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</si>
  <si>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</si>
  <si>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</si>
  <si>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</si>
  <si>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</si>
  <si>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</si>
  <si>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</si>
  <si>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</si>
  <si>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</si>
  <si>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</si>
  <si>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</si>
  <si>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</si>
  <si>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</si>
  <si>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</si>
  <si>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</si>
  <si>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</si>
  <si>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</si>
  <si>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</si>
  <si>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</si>
  <si>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</si>
  <si>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</si>
  <si>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</si>
  <si>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</si>
  <si>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</si>
  <si>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</si>
  <si>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</si>
  <si>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</si>
  <si>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</si>
  <si>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</si>
  <si>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</si>
  <si>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</si>
  <si>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</si>
  <si>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</si>
  <si>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</si>
  <si>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</si>
  <si>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</si>
  <si>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</si>
  <si>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</si>
  <si>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</si>
  <si>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</si>
  <si>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</si>
  <si>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</si>
  <si>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</si>
  <si>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</si>
  <si>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</si>
  <si>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</si>
  <si>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</si>
  <si>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</si>
  <si>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</si>
  <si>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</si>
  <si>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</si>
  <si>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</si>
  <si>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</si>
  <si>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</si>
  <si>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</si>
  <si>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</si>
  <si>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</si>
  <si>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</si>
  <si>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</si>
  <si>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</si>
  <si>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</si>
  <si>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</si>
  <si>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</si>
  <si>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</si>
  <si>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</si>
  <si>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</si>
  <si>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</si>
  <si>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</si>
  <si>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</si>
  <si>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</si>
  <si>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</si>
  <si>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</si>
  <si>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</si>
  <si>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</si>
  <si>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</si>
  <si>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</si>
  <si>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</si>
  <si>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</si>
  <si>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</si>
  <si>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</si>
  <si>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</si>
  <si>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</si>
  <si>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</si>
  <si>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</si>
  <si>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</si>
  <si>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</si>
  <si>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</si>
  <si>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</si>
  <si>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</si>
  <si>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</si>
  <si>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</si>
  <si>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</si>
  <si>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</si>
  <si>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</si>
  <si>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</si>
  <si>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</si>
  <si>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</si>
  <si>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</si>
  <si>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</si>
  <si>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</si>
  <si>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</si>
  <si>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</si>
  <si>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</si>
  <si>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</si>
  <si>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</si>
  <si>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</si>
  <si>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</si>
  <si>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</si>
  <si>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</si>
  <si>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</si>
  <si>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</si>
  <si>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</si>
  <si>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</si>
  <si>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</si>
  <si>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</si>
  <si>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</si>
  <si>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</si>
  <si>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</si>
  <si>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</si>
  <si>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</si>
  <si>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</si>
  <si>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</si>
  <si>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</si>
  <si>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</si>
  <si>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</si>
  <si>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</si>
  <si>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</si>
  <si>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</si>
  <si>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</si>
  <si>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</si>
  <si>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Re-allocation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</si>
</sst>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  <xf numFmtId="175" fontId="4" fillId="15" borderId="1" xfId="0" applyNumberFormat="1" applyFont="1" applyFill="1" applyBorder="1"/>
    <xf numFmtId="174" fontId="4" fillId="1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2555136"/>
        <c:axId val="72556928"/>
      </c:lineChart>
      <c:catAx>
        <c:axId val="72555136"/>
        <c:scaling>
          <c:orientation val="minMax"/>
        </c:scaling>
        <c:axPos val="b"/>
        <c:tickLblPos val="nextTo"/>
        <c:crossAx val="72556928"/>
        <c:crosses val="autoZero"/>
        <c:auto val="1"/>
        <c:lblAlgn val="ctr"/>
        <c:lblOffset val="100"/>
      </c:catAx>
      <c:valAx>
        <c:axId val="72556928"/>
        <c:scaling>
          <c:orientation val="minMax"/>
        </c:scaling>
        <c:axPos val="l"/>
        <c:majorGridlines/>
        <c:numFmt formatCode="General" sourceLinked="1"/>
        <c:tickLblPos val="nextTo"/>
        <c:crossAx val="7255513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315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C196" activePane="bottomRight" state="frozen"/>
      <selection pane="topRight" activeCell="C1" sqref="C1"/>
      <selection pane="bottomLeft" activeCell="A5" sqref="A5"/>
      <selection pane="bottomRight" activeCell="A200" sqref="A200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8" width="9.7109375" style="104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2" width="9.7109375" style="104" bestFit="1" customWidth="1"/>
    <col min="23" max="23" width="14.4257812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323</v>
      </c>
      <c r="N1" s="162">
        <v>0.02</v>
      </c>
      <c r="P1" s="104" t="s">
        <v>394</v>
      </c>
      <c r="R1" s="162">
        <v>0.05</v>
      </c>
    </row>
    <row r="2" spans="2:34">
      <c r="B2" s="151" t="s">
        <v>312</v>
      </c>
      <c r="C2" s="120"/>
      <c r="H2" s="104" t="s">
        <v>253</v>
      </c>
      <c r="J2" s="126">
        <v>2016</v>
      </c>
      <c r="L2" s="104" t="s">
        <v>324</v>
      </c>
      <c r="N2" s="162">
        <v>0.08</v>
      </c>
      <c r="P2" s="104" t="s">
        <v>462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09" t="s">
        <v>290</v>
      </c>
      <c r="AH2" s="210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1" t="s">
        <v>291</v>
      </c>
      <c r="AH3" s="212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 t="s">
        <v>495</v>
      </c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700</v>
      </c>
      <c r="H6" s="146">
        <v>719</v>
      </c>
      <c r="I6" s="146">
        <v>820</v>
      </c>
      <c r="J6" s="146">
        <v>979</v>
      </c>
      <c r="K6" s="146">
        <v>1112</v>
      </c>
      <c r="L6" s="146">
        <v>1351</v>
      </c>
      <c r="M6" s="146">
        <v>1684</v>
      </c>
      <c r="N6" s="146">
        <v>2289</v>
      </c>
      <c r="O6" s="146">
        <v>2856</v>
      </c>
      <c r="P6" s="203">
        <v>3651</v>
      </c>
      <c r="Q6" s="203">
        <v>4535</v>
      </c>
      <c r="R6" s="203">
        <v>0</v>
      </c>
      <c r="S6" s="203">
        <v>6851</v>
      </c>
      <c r="T6" s="118">
        <f>((S6/G6)^(1/($J$2-$J$1) ))-1</f>
        <v>0.20935738398176307</v>
      </c>
      <c r="U6" s="31">
        <f>$N$2</f>
        <v>0.08</v>
      </c>
      <c r="V6" s="227">
        <f t="shared" ref="V6:V59" si="0">S6*0.7</f>
        <v>4795.7</v>
      </c>
      <c r="W6" s="152">
        <f>V6*(1+$U6)</f>
        <v>5179.3559999999998</v>
      </c>
      <c r="X6" s="152">
        <f t="shared" ref="X6:AE6" si="1">W6*(1+$U6)</f>
        <v>5593.7044800000003</v>
      </c>
      <c r="Y6" s="152">
        <f t="shared" si="1"/>
        <v>6041.200838400001</v>
      </c>
      <c r="Z6" s="152">
        <f t="shared" si="1"/>
        <v>6524.4969054720013</v>
      </c>
      <c r="AA6" s="152">
        <f t="shared" si="1"/>
        <v>7046.4566579097618</v>
      </c>
      <c r="AB6" s="152">
        <f t="shared" si="1"/>
        <v>7610.1731905425431</v>
      </c>
      <c r="AC6" s="152">
        <f t="shared" si="1"/>
        <v>8218.987045785947</v>
      </c>
      <c r="AD6" s="152">
        <f t="shared" si="1"/>
        <v>8876.5060094488235</v>
      </c>
      <c r="AE6" s="152">
        <f t="shared" si="1"/>
        <v>9586.6264902047296</v>
      </c>
      <c r="AF6" s="137">
        <f>((AE6/I6)^(1/($AE$3-$J$1) ))-1</f>
        <v>0.12421685716964603</v>
      </c>
      <c r="AG6" s="31">
        <f>$N$1</f>
        <v>0.02</v>
      </c>
      <c r="AH6" s="145">
        <f t="shared" ref="AH6:AH59" si="2">(AE6*(1+AG6))/($C$1-AG6)</f>
        <v>48891.795100044117</v>
      </c>
    </row>
    <row r="7" spans="2:34">
      <c r="B7" s="20" t="s">
        <v>240</v>
      </c>
      <c r="C7" s="140"/>
      <c r="D7" s="140"/>
      <c r="E7" s="146"/>
      <c r="F7" s="146"/>
      <c r="G7" s="146">
        <v>704</v>
      </c>
      <c r="H7" s="146">
        <v>723</v>
      </c>
      <c r="I7" s="146">
        <v>824</v>
      </c>
      <c r="J7" s="146">
        <v>983</v>
      </c>
      <c r="K7" s="146">
        <v>1117</v>
      </c>
      <c r="L7" s="146">
        <v>1355</v>
      </c>
      <c r="M7" s="146">
        <v>1688</v>
      </c>
      <c r="N7" s="146">
        <v>2294</v>
      </c>
      <c r="O7" s="146">
        <v>2861</v>
      </c>
      <c r="P7" s="203">
        <v>3655</v>
      </c>
      <c r="Q7" s="203">
        <v>45439</v>
      </c>
      <c r="R7" s="203">
        <v>0</v>
      </c>
      <c r="S7" s="203">
        <v>6855</v>
      </c>
      <c r="T7" s="118">
        <f>((S7/G7)^(1/($J$2-$J$1) ))-1</f>
        <v>0.20884207222253215</v>
      </c>
      <c r="U7" s="31">
        <f>$N$2</f>
        <v>0.08</v>
      </c>
      <c r="V7" s="227">
        <f t="shared" si="0"/>
        <v>4798.5</v>
      </c>
      <c r="W7" s="152">
        <f t="shared" ref="W7:AE7" si="3">V7*(1+$U7)</f>
        <v>5182.38</v>
      </c>
      <c r="X7" s="152">
        <f t="shared" si="3"/>
        <v>5596.9704000000002</v>
      </c>
      <c r="Y7" s="152">
        <f t="shared" si="3"/>
        <v>6044.7280320000009</v>
      </c>
      <c r="Z7" s="152">
        <f t="shared" si="3"/>
        <v>6528.3062745600018</v>
      </c>
      <c r="AA7" s="152">
        <f t="shared" si="3"/>
        <v>7050.5707765248026</v>
      </c>
      <c r="AB7" s="152">
        <f t="shared" si="3"/>
        <v>7614.6164386467872</v>
      </c>
      <c r="AC7" s="152">
        <f t="shared" si="3"/>
        <v>8223.7857537385298</v>
      </c>
      <c r="AD7" s="152">
        <f t="shared" si="3"/>
        <v>8881.6886140376137</v>
      </c>
      <c r="AE7" s="152">
        <f t="shared" si="3"/>
        <v>9592.2237031606237</v>
      </c>
      <c r="AF7" s="137">
        <f>((AE7/I7)^(1/($AE$3-$J$1) ))-1</f>
        <v>0.12398762041095468</v>
      </c>
      <c r="AG7" s="31">
        <f>$N$1</f>
        <v>0.02</v>
      </c>
      <c r="AH7" s="145">
        <f t="shared" si="2"/>
        <v>48920.340886119178</v>
      </c>
    </row>
    <row r="8" spans="2:34">
      <c r="B8" s="20"/>
      <c r="C8" s="140"/>
      <c r="D8" s="140"/>
      <c r="E8" s="146"/>
      <c r="F8" s="146"/>
      <c r="G8" s="226">
        <f>(G7-F7)/G7</f>
        <v>1</v>
      </c>
      <c r="H8" s="149">
        <f>(H7-G7)/H7</f>
        <v>2.6279391424619641E-2</v>
      </c>
      <c r="I8" s="149">
        <f t="shared" ref="I8:O8" si="4">(I7-H7)/I7</f>
        <v>0.12257281553398058</v>
      </c>
      <c r="J8" s="149">
        <f t="shared" si="4"/>
        <v>0.16174974567650049</v>
      </c>
      <c r="K8" s="149">
        <f t="shared" si="4"/>
        <v>0.11996418979409132</v>
      </c>
      <c r="L8" s="149">
        <f t="shared" si="4"/>
        <v>0.17564575645756458</v>
      </c>
      <c r="M8" s="149">
        <f t="shared" si="4"/>
        <v>0.19727488151658767</v>
      </c>
      <c r="N8" s="149">
        <f t="shared" si="4"/>
        <v>0.26416739319965127</v>
      </c>
      <c r="O8" s="149">
        <f t="shared" si="4"/>
        <v>0.19818245368752185</v>
      </c>
      <c r="P8" s="149">
        <f t="shared" ref="I8:S8" si="5">(P7-O7)/O7</f>
        <v>0.27752534078993357</v>
      </c>
      <c r="Q8" s="149">
        <f t="shared" si="5"/>
        <v>11.432010943912449</v>
      </c>
      <c r="R8" s="149">
        <f t="shared" si="5"/>
        <v>-1</v>
      </c>
      <c r="S8" s="149" t="e">
        <f t="shared" si="5"/>
        <v>#DIV/0!</v>
      </c>
      <c r="T8" s="128"/>
      <c r="U8" s="20"/>
      <c r="V8" s="153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460</v>
      </c>
      <c r="H9" s="146">
        <v>462</v>
      </c>
      <c r="I9" s="146">
        <v>670</v>
      </c>
      <c r="J9" s="146">
        <v>745</v>
      </c>
      <c r="K9" s="146">
        <v>1033</v>
      </c>
      <c r="L9" s="146">
        <v>967</v>
      </c>
      <c r="M9" s="146">
        <v>1202</v>
      </c>
      <c r="N9" s="146">
        <v>2318</v>
      </c>
      <c r="O9" s="146">
        <v>2499</v>
      </c>
      <c r="P9" s="203">
        <v>2329</v>
      </c>
      <c r="Q9" s="203">
        <v>2623</v>
      </c>
      <c r="R9" s="203">
        <v>0</v>
      </c>
      <c r="S9" s="203">
        <v>2894</v>
      </c>
      <c r="T9" s="118">
        <f>((S9/G9)^(1/($J$2-$J$1) ))-1</f>
        <v>0.16563270592453372</v>
      </c>
      <c r="U9" s="31">
        <f t="shared" ref="U9:U55" si="6">$N$2</f>
        <v>0.08</v>
      </c>
      <c r="V9" s="227">
        <f t="shared" si="0"/>
        <v>2025.8</v>
      </c>
      <c r="W9" s="152">
        <f t="shared" ref="W9" si="7">V9*(1+$U9)</f>
        <v>2187.864</v>
      </c>
      <c r="X9" s="152">
        <f t="shared" ref="X9" si="8">W9*(1+$U9)</f>
        <v>2362.8931200000002</v>
      </c>
      <c r="Y9" s="152">
        <f t="shared" ref="Y9" si="9">X9*(1+$U9)</f>
        <v>2551.9245696000003</v>
      </c>
      <c r="Z9" s="152">
        <f t="shared" ref="Z9" si="10">Y9*(1+$U9)</f>
        <v>2756.0785351680006</v>
      </c>
      <c r="AA9" s="152">
        <f t="shared" ref="AA9" si="11">Z9*(1+$U9)</f>
        <v>2976.5648179814407</v>
      </c>
      <c r="AB9" s="152">
        <f t="shared" ref="AB9" si="12">AA9*(1+$U9)</f>
        <v>3214.6900034199562</v>
      </c>
      <c r="AC9" s="152">
        <f t="shared" ref="AC9" si="13">AB9*(1+$U9)</f>
        <v>3471.8652036935528</v>
      </c>
      <c r="AD9" s="152">
        <f t="shared" ref="AD9" si="14">AC9*(1+$U9)</f>
        <v>3749.6144199890373</v>
      </c>
      <c r="AE9" s="152">
        <f t="shared" ref="AE9" si="15">AD9*(1+$U9)</f>
        <v>4049.5835735881606</v>
      </c>
      <c r="AF9" s="137">
        <f>((AE9/I9)^(1/($AE$3-$J$1) ))-1</f>
        <v>8.9447873218857943E-2</v>
      </c>
      <c r="AG9" s="31">
        <f t="shared" ref="AG9:AG99" si="16">$N$1</f>
        <v>0.02</v>
      </c>
      <c r="AH9" s="145">
        <f t="shared" si="2"/>
        <v>20652.876225299617</v>
      </c>
    </row>
    <row r="10" spans="2:34">
      <c r="B10" s="20" t="s">
        <v>4</v>
      </c>
      <c r="C10" s="140"/>
      <c r="D10" s="140"/>
      <c r="E10" s="146"/>
      <c r="F10" s="146"/>
      <c r="G10" s="146">
        <v>292</v>
      </c>
      <c r="H10" s="146">
        <v>400</v>
      </c>
      <c r="I10" s="146">
        <v>540</v>
      </c>
      <c r="J10" s="146">
        <v>607</v>
      </c>
      <c r="K10" s="146">
        <v>962</v>
      </c>
      <c r="L10" s="146">
        <v>292</v>
      </c>
      <c r="M10" s="146">
        <v>952</v>
      </c>
      <c r="N10" s="146">
        <v>1516</v>
      </c>
      <c r="O10" s="146">
        <v>1631</v>
      </c>
      <c r="P10" s="203">
        <v>2293</v>
      </c>
      <c r="Q10" s="203">
        <v>2671</v>
      </c>
      <c r="R10" s="203">
        <v>0</v>
      </c>
      <c r="S10" s="203">
        <v>3140</v>
      </c>
      <c r="T10" s="118">
        <f>((S10/G10)^(1/($J$2-$J$1) ))-1</f>
        <v>0.2188835982342241</v>
      </c>
      <c r="U10" s="31">
        <f t="shared" si="6"/>
        <v>0.08</v>
      </c>
      <c r="V10" s="227">
        <f t="shared" si="0"/>
        <v>2198</v>
      </c>
      <c r="W10" s="152">
        <f t="shared" ref="W10:AE10" si="17">V10*(1+$U10)</f>
        <v>2373.84</v>
      </c>
      <c r="X10" s="152">
        <f t="shared" si="17"/>
        <v>2563.7472000000002</v>
      </c>
      <c r="Y10" s="152">
        <f t="shared" si="17"/>
        <v>2768.8469760000003</v>
      </c>
      <c r="Z10" s="152">
        <f t="shared" si="17"/>
        <v>2990.3547340800005</v>
      </c>
      <c r="AA10" s="152">
        <f t="shared" si="17"/>
        <v>3229.583112806401</v>
      </c>
      <c r="AB10" s="152">
        <f t="shared" si="17"/>
        <v>3487.9497618309133</v>
      </c>
      <c r="AC10" s="152">
        <f t="shared" si="17"/>
        <v>3766.9857427773868</v>
      </c>
      <c r="AD10" s="152">
        <f t="shared" si="17"/>
        <v>4068.3446021995778</v>
      </c>
      <c r="AE10" s="152">
        <f t="shared" si="17"/>
        <v>4393.8121703755442</v>
      </c>
      <c r="AF10" s="137">
        <f t="shared" ref="AF10:AF57" si="18">((AE10/I10)^(1/($AE$3-$J$1) ))-1</f>
        <v>0.10498060117262908</v>
      </c>
      <c r="AG10" s="31">
        <f t="shared" si="16"/>
        <v>0.02</v>
      </c>
      <c r="AH10" s="145">
        <f t="shared" si="2"/>
        <v>22408.442068915272</v>
      </c>
    </row>
    <row r="11" spans="2:34">
      <c r="B11" s="20"/>
      <c r="C11" s="140"/>
      <c r="D11" s="140"/>
      <c r="E11" s="146"/>
      <c r="F11" s="146"/>
      <c r="G11" s="226">
        <f>(G10-F10)/G10</f>
        <v>1</v>
      </c>
      <c r="H11" s="226">
        <f t="shared" ref="H11:O11" si="19">(H10-G10)/H10</f>
        <v>0.27</v>
      </c>
      <c r="I11" s="226">
        <f t="shared" si="19"/>
        <v>0.25925925925925924</v>
      </c>
      <c r="J11" s="226">
        <f t="shared" si="19"/>
        <v>0.11037891268533773</v>
      </c>
      <c r="K11" s="226">
        <f t="shared" si="19"/>
        <v>0.36902286902286902</v>
      </c>
      <c r="L11" s="226">
        <f t="shared" si="19"/>
        <v>-2.2945205479452055</v>
      </c>
      <c r="M11" s="226">
        <f t="shared" si="19"/>
        <v>0.69327731092436973</v>
      </c>
      <c r="N11" s="226">
        <f t="shared" si="19"/>
        <v>0.37203166226912932</v>
      </c>
      <c r="O11" s="226">
        <f t="shared" si="19"/>
        <v>7.0508890251379519E-2</v>
      </c>
      <c r="P11" s="149">
        <f t="shared" ref="I11:S11" si="20">(P10-O10)/O10</f>
        <v>0.40588595953402823</v>
      </c>
      <c r="Q11" s="149">
        <f t="shared" si="20"/>
        <v>0.16484954208460531</v>
      </c>
      <c r="R11" s="149">
        <f t="shared" si="20"/>
        <v>-1</v>
      </c>
      <c r="S11" s="149" t="e">
        <f t="shared" si="20"/>
        <v>#DIV/0!</v>
      </c>
      <c r="T11" s="128"/>
      <c r="U11" s="20"/>
      <c r="V11" s="153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0.02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40</v>
      </c>
      <c r="H12" s="146">
        <v>36</v>
      </c>
      <c r="I12" s="146">
        <v>53</v>
      </c>
      <c r="J12" s="146">
        <v>73</v>
      </c>
      <c r="K12" s="146">
        <v>102</v>
      </c>
      <c r="L12" s="146">
        <v>60</v>
      </c>
      <c r="M12" s="146">
        <v>54</v>
      </c>
      <c r="N12" s="146">
        <v>58</v>
      </c>
      <c r="O12" s="146">
        <v>65</v>
      </c>
      <c r="P12" s="203">
        <v>337</v>
      </c>
      <c r="Q12" s="203">
        <v>727</v>
      </c>
      <c r="R12" s="203">
        <v>0</v>
      </c>
      <c r="S12" s="203">
        <v>126</v>
      </c>
      <c r="T12" s="118">
        <f>((S12/G12)^(1/($J$2-$J$1) ))-1</f>
        <v>0.1003374121300491</v>
      </c>
      <c r="U12" s="31">
        <f t="shared" si="6"/>
        <v>0.08</v>
      </c>
      <c r="V12" s="227">
        <f t="shared" si="0"/>
        <v>88.199999999999989</v>
      </c>
      <c r="W12" s="152">
        <f t="shared" ref="W12:AE12" si="21">V12*(1+$U12)</f>
        <v>95.256</v>
      </c>
      <c r="X12" s="152">
        <f t="shared" si="21"/>
        <v>102.87648</v>
      </c>
      <c r="Y12" s="152">
        <f t="shared" si="21"/>
        <v>111.10659840000001</v>
      </c>
      <c r="Z12" s="152">
        <f t="shared" si="21"/>
        <v>119.99512627200002</v>
      </c>
      <c r="AA12" s="152">
        <f t="shared" si="21"/>
        <v>129.59473637376004</v>
      </c>
      <c r="AB12" s="152">
        <f t="shared" si="21"/>
        <v>139.96231528366084</v>
      </c>
      <c r="AC12" s="152">
        <f t="shared" si="21"/>
        <v>151.15930050635373</v>
      </c>
      <c r="AD12" s="152">
        <f t="shared" si="21"/>
        <v>163.25204454686204</v>
      </c>
      <c r="AE12" s="152">
        <f t="shared" si="21"/>
        <v>176.31220811061101</v>
      </c>
      <c r="AF12" s="137">
        <f t="shared" si="18"/>
        <v>5.8906107205515257E-2</v>
      </c>
      <c r="AG12" s="31">
        <f t="shared" si="16"/>
        <v>0.02</v>
      </c>
      <c r="AH12" s="145">
        <f t="shared" si="2"/>
        <v>899.19226136411623</v>
      </c>
    </row>
    <row r="13" spans="2:34">
      <c r="B13" s="20" t="s">
        <v>218</v>
      </c>
      <c r="C13" s="140"/>
      <c r="D13" s="140"/>
      <c r="E13" s="146"/>
      <c r="F13" s="146"/>
      <c r="G13" s="146">
        <v>75</v>
      </c>
      <c r="H13" s="146">
        <v>76</v>
      </c>
      <c r="I13" s="146">
        <v>65</v>
      </c>
      <c r="J13" s="146">
        <v>67</v>
      </c>
      <c r="K13" s="146">
        <v>64</v>
      </c>
      <c r="L13" s="146">
        <v>144</v>
      </c>
      <c r="M13" s="146">
        <v>73</v>
      </c>
      <c r="N13" s="146">
        <v>73</v>
      </c>
      <c r="O13" s="146">
        <v>430</v>
      </c>
      <c r="P13" s="203">
        <v>827</v>
      </c>
      <c r="Q13" s="203">
        <v>945</v>
      </c>
      <c r="R13" s="203">
        <v>0</v>
      </c>
      <c r="S13" s="203">
        <v>1854</v>
      </c>
      <c r="T13" s="118">
        <f t="shared" ref="T13:T59" si="22">((S13/G13)^(1/($J$2-$J$1) ))-1</f>
        <v>0.30643369254490516</v>
      </c>
      <c r="U13" s="31">
        <f t="shared" si="6"/>
        <v>0.08</v>
      </c>
      <c r="V13" s="227">
        <f t="shared" si="0"/>
        <v>1297.8</v>
      </c>
      <c r="W13" s="152">
        <f t="shared" ref="W13:AE13" si="23">V13*(1+$U13)</f>
        <v>1401.624</v>
      </c>
      <c r="X13" s="152">
        <f t="shared" si="23"/>
        <v>1513.7539200000001</v>
      </c>
      <c r="Y13" s="152">
        <f t="shared" si="23"/>
        <v>1634.8542336000003</v>
      </c>
      <c r="Z13" s="152">
        <f t="shared" si="23"/>
        <v>1765.6425722880003</v>
      </c>
      <c r="AA13" s="152">
        <f t="shared" si="23"/>
        <v>1906.8939780710405</v>
      </c>
      <c r="AB13" s="152">
        <f t="shared" si="23"/>
        <v>2059.4454963167236</v>
      </c>
      <c r="AC13" s="152">
        <f t="shared" si="23"/>
        <v>2224.2011360220617</v>
      </c>
      <c r="AD13" s="152">
        <f t="shared" si="23"/>
        <v>2402.137226903827</v>
      </c>
      <c r="AE13" s="152">
        <f t="shared" si="23"/>
        <v>2594.3082050561334</v>
      </c>
      <c r="AF13" s="137">
        <f t="shared" si="18"/>
        <v>0.19190940922944555</v>
      </c>
      <c r="AG13" s="31">
        <f t="shared" si="16"/>
        <v>0.02</v>
      </c>
      <c r="AH13" s="145">
        <f t="shared" si="2"/>
        <v>13230.97184578628</v>
      </c>
    </row>
    <row r="14" spans="2:34">
      <c r="B14" s="20" t="s">
        <v>369</v>
      </c>
      <c r="C14" s="140"/>
      <c r="D14" s="140"/>
      <c r="E14" s="146"/>
      <c r="F14" s="146"/>
      <c r="G14" s="146">
        <v>403</v>
      </c>
      <c r="H14" s="146">
        <v>482</v>
      </c>
      <c r="I14" s="146">
        <v>565</v>
      </c>
      <c r="J14" s="146">
        <v>694</v>
      </c>
      <c r="K14" s="146">
        <v>985</v>
      </c>
      <c r="L14" s="146">
        <v>652</v>
      </c>
      <c r="M14" s="146">
        <v>1112</v>
      </c>
      <c r="N14" s="146">
        <v>1528</v>
      </c>
      <c r="O14" s="146">
        <v>1664</v>
      </c>
      <c r="P14" s="203">
        <v>1816</v>
      </c>
      <c r="Q14" s="203">
        <v>1826</v>
      </c>
      <c r="R14" s="203">
        <v>0</v>
      </c>
      <c r="S14" s="203">
        <v>1899</v>
      </c>
      <c r="T14" s="118">
        <f t="shared" si="22"/>
        <v>0.1378936133925619</v>
      </c>
      <c r="U14" s="31">
        <f t="shared" si="6"/>
        <v>0.08</v>
      </c>
      <c r="V14" s="227">
        <f t="shared" si="0"/>
        <v>1329.3</v>
      </c>
      <c r="W14" s="152">
        <f t="shared" ref="W14" si="24">V14*(1+$U14)</f>
        <v>1435.644</v>
      </c>
      <c r="X14" s="152">
        <f t="shared" ref="X14" si="25">W14*(1+$U14)</f>
        <v>1550.4955200000002</v>
      </c>
      <c r="Y14" s="152">
        <f t="shared" ref="Y14" si="26">X14*(1+$U14)</f>
        <v>1674.5351616000003</v>
      </c>
      <c r="Z14" s="152">
        <f t="shared" ref="Z14" si="27">Y14*(1+$U14)</f>
        <v>1808.4979745280004</v>
      </c>
      <c r="AA14" s="152">
        <f t="shared" ref="AA14" si="28">Z14*(1+$U14)</f>
        <v>1953.1778124902405</v>
      </c>
      <c r="AB14" s="152">
        <f t="shared" ref="AB14" si="29">AA14*(1+$U14)</f>
        <v>2109.4320374894601</v>
      </c>
      <c r="AC14" s="152">
        <f t="shared" ref="AC14" si="30">AB14*(1+$U14)</f>
        <v>2278.1866004886169</v>
      </c>
      <c r="AD14" s="152">
        <f t="shared" ref="AD14" si="31">AC14*(1+$U14)</f>
        <v>2460.4415285277064</v>
      </c>
      <c r="AE14" s="152">
        <f t="shared" ref="AE14" si="32">AD14*(1+$U14)</f>
        <v>2657.276850809923</v>
      </c>
      <c r="AF14" s="137">
        <f t="shared" ref="AF14" si="33">((AE14/I14)^(1/($AE$3-$J$1) ))-1</f>
        <v>7.6511052722370243E-2</v>
      </c>
      <c r="AG14" s="31">
        <f t="shared" si="16"/>
        <v>0.02</v>
      </c>
      <c r="AH14" s="145">
        <f t="shared" ref="AH14" si="34">(AE14*(1+AG14))/($C$1-AG14)</f>
        <v>13552.111939130606</v>
      </c>
    </row>
    <row r="15" spans="2:34">
      <c r="B15" s="20" t="s">
        <v>19</v>
      </c>
      <c r="C15" s="140"/>
      <c r="D15" s="140"/>
      <c r="E15" s="146"/>
      <c r="F15" s="146"/>
      <c r="G15" s="146">
        <v>839</v>
      </c>
      <c r="H15" s="146">
        <v>917</v>
      </c>
      <c r="I15" s="146">
        <v>1158</v>
      </c>
      <c r="J15" s="146">
        <v>1319</v>
      </c>
      <c r="K15" s="146">
        <v>1695</v>
      </c>
      <c r="L15" s="146">
        <v>1289</v>
      </c>
      <c r="M15" s="146">
        <v>1972</v>
      </c>
      <c r="N15" s="146">
        <v>2887</v>
      </c>
      <c r="O15" s="146">
        <v>3183</v>
      </c>
      <c r="P15" s="203">
        <v>4709</v>
      </c>
      <c r="Q15" s="203">
        <v>5378</v>
      </c>
      <c r="R15" s="203">
        <v>0</v>
      </c>
      <c r="S15" s="203">
        <v>6056</v>
      </c>
      <c r="T15" s="118">
        <f t="shared" si="22"/>
        <v>0.17905842384376136</v>
      </c>
      <c r="U15" s="31">
        <f t="shared" si="6"/>
        <v>0.08</v>
      </c>
      <c r="V15" s="227">
        <f t="shared" si="0"/>
        <v>4239.2</v>
      </c>
      <c r="W15" s="152">
        <f t="shared" ref="W15:AE15" si="35">V15*(1+$U15)</f>
        <v>4578.3360000000002</v>
      </c>
      <c r="X15" s="152">
        <f t="shared" si="35"/>
        <v>4944.6028800000004</v>
      </c>
      <c r="Y15" s="152">
        <f t="shared" si="35"/>
        <v>5340.1711104000005</v>
      </c>
      <c r="Z15" s="152">
        <f t="shared" si="35"/>
        <v>5767.3847992320007</v>
      </c>
      <c r="AA15" s="152">
        <f t="shared" si="35"/>
        <v>6228.7755831705608</v>
      </c>
      <c r="AB15" s="152">
        <f t="shared" si="35"/>
        <v>6727.0776298242063</v>
      </c>
      <c r="AC15" s="152">
        <f t="shared" si="35"/>
        <v>7265.2438402101434</v>
      </c>
      <c r="AD15" s="152">
        <f t="shared" si="35"/>
        <v>7846.4633474269558</v>
      </c>
      <c r="AE15" s="152">
        <f t="shared" si="35"/>
        <v>8474.1804152211134</v>
      </c>
      <c r="AF15" s="137">
        <f t="shared" si="18"/>
        <v>9.94143162673502E-2</v>
      </c>
      <c r="AG15" s="31">
        <f t="shared" si="16"/>
        <v>0.02</v>
      </c>
      <c r="AH15" s="145">
        <f t="shared" si="2"/>
        <v>43218.320117627678</v>
      </c>
    </row>
    <row r="16" spans="2:34">
      <c r="B16" s="20" t="s">
        <v>23</v>
      </c>
      <c r="C16" s="140"/>
      <c r="D16" s="140"/>
      <c r="E16" s="146"/>
      <c r="F16" s="146"/>
      <c r="G16" s="146">
        <v>469</v>
      </c>
      <c r="H16" s="146">
        <v>503</v>
      </c>
      <c r="I16" s="146">
        <v>578</v>
      </c>
      <c r="J16" s="146">
        <v>620</v>
      </c>
      <c r="K16" s="146">
        <v>701</v>
      </c>
      <c r="L16" s="146">
        <v>282</v>
      </c>
      <c r="M16" s="146">
        <v>740</v>
      </c>
      <c r="N16" s="146">
        <v>629</v>
      </c>
      <c r="O16" s="146">
        <v>730</v>
      </c>
      <c r="P16" s="203">
        <f>P15-P9</f>
        <v>2380</v>
      </c>
      <c r="Q16" s="203">
        <f>Q15-Q9</f>
        <v>2755</v>
      </c>
      <c r="R16" s="203">
        <v>0</v>
      </c>
      <c r="S16" s="203">
        <f>S15-S9</f>
        <v>3162</v>
      </c>
      <c r="T16" s="118">
        <f t="shared" si="22"/>
        <v>0.17237284861173885</v>
      </c>
      <c r="U16" s="31">
        <f t="shared" si="6"/>
        <v>0.08</v>
      </c>
      <c r="V16" s="227">
        <f t="shared" si="0"/>
        <v>2213.3999999999996</v>
      </c>
      <c r="W16" s="152">
        <f t="shared" ref="W16:AE16" si="36">V16*(1+$U16)</f>
        <v>2390.4719999999998</v>
      </c>
      <c r="X16" s="152">
        <f t="shared" si="36"/>
        <v>2581.7097599999997</v>
      </c>
      <c r="Y16" s="152">
        <f t="shared" si="36"/>
        <v>2788.2465407999998</v>
      </c>
      <c r="Z16" s="152">
        <f t="shared" si="36"/>
        <v>3011.3062640640001</v>
      </c>
      <c r="AA16" s="152">
        <f t="shared" si="36"/>
        <v>3252.2107651891201</v>
      </c>
      <c r="AB16" s="152">
        <f t="shared" si="36"/>
        <v>3512.3876264042501</v>
      </c>
      <c r="AC16" s="152">
        <f t="shared" si="36"/>
        <v>3793.3786365165902</v>
      </c>
      <c r="AD16" s="152">
        <f t="shared" si="36"/>
        <v>4096.8489274379181</v>
      </c>
      <c r="AE16" s="152">
        <f t="shared" si="36"/>
        <v>4424.5968416329515</v>
      </c>
      <c r="AF16" s="137">
        <f t="shared" si="18"/>
        <v>0.10177435712049632</v>
      </c>
      <c r="AG16" s="31">
        <f t="shared" si="16"/>
        <v>0.02</v>
      </c>
      <c r="AH16" s="145">
        <f t="shared" si="2"/>
        <v>22565.44389232805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3"/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398</v>
      </c>
      <c r="H18" s="146">
        <v>419</v>
      </c>
      <c r="I18" s="146">
        <v>654</v>
      </c>
      <c r="J18" s="146">
        <v>660</v>
      </c>
      <c r="K18" s="146">
        <v>870</v>
      </c>
      <c r="L18" s="146">
        <v>936</v>
      </c>
      <c r="M18" s="146">
        <v>1330</v>
      </c>
      <c r="N18" s="146">
        <v>1972</v>
      </c>
      <c r="O18" s="146">
        <v>2918</v>
      </c>
      <c r="P18" s="203">
        <v>3333</v>
      </c>
      <c r="Q18" s="203">
        <v>4063</v>
      </c>
      <c r="R18" s="203">
        <v>0</v>
      </c>
      <c r="S18" s="203">
        <v>5667</v>
      </c>
      <c r="T18" s="118">
        <f t="shared" si="22"/>
        <v>0.24773544284293325</v>
      </c>
      <c r="U18" s="31">
        <f t="shared" si="6"/>
        <v>0.08</v>
      </c>
      <c r="V18" s="227">
        <f t="shared" si="0"/>
        <v>3966.8999999999996</v>
      </c>
      <c r="W18" s="152">
        <f t="shared" ref="W18:W34" si="37">V18*(1+$U18)</f>
        <v>4284.2519999999995</v>
      </c>
      <c r="X18" s="152">
        <f t="shared" ref="X18:X34" si="38">W18*(1+$U18)</f>
        <v>4626.9921599999998</v>
      </c>
      <c r="Y18" s="152">
        <f t="shared" ref="Y18:Y34" si="39">X18*(1+$U18)</f>
        <v>4997.1515328000005</v>
      </c>
      <c r="Z18" s="152">
        <f t="shared" ref="Z18:Z51" si="40">Y18*(1+$U18)</f>
        <v>5396.9236554240006</v>
      </c>
      <c r="AA18" s="152">
        <f t="shared" ref="AA18:AA51" si="41">Z18*(1+$U18)</f>
        <v>5828.6775478579211</v>
      </c>
      <c r="AB18" s="152">
        <f t="shared" ref="AB18:AB51" si="42">AA18*(1+$U18)</f>
        <v>6294.9717516865549</v>
      </c>
      <c r="AC18" s="152">
        <f t="shared" ref="AC18:AC51" si="43">AB18*(1+$U18)</f>
        <v>6798.5694918214795</v>
      </c>
      <c r="AD18" s="152">
        <f t="shared" ref="AD18:AD51" si="44">AC18*(1+$U18)</f>
        <v>7342.4550511671987</v>
      </c>
      <c r="AE18" s="152">
        <f t="shared" ref="AE18:AE51" si="45">AD18*(1+$U18)</f>
        <v>7929.8514552605748</v>
      </c>
      <c r="AF18" s="137">
        <f t="shared" si="18"/>
        <v>0.12617052721644151</v>
      </c>
      <c r="AG18" s="31">
        <f t="shared" si="16"/>
        <v>0.02</v>
      </c>
      <c r="AH18" s="145">
        <f t="shared" si="2"/>
        <v>40442.242421828931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3"/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100</v>
      </c>
      <c r="H20" s="146">
        <v>62</v>
      </c>
      <c r="I20" s="146">
        <v>275</v>
      </c>
      <c r="J20" s="146">
        <v>306</v>
      </c>
      <c r="K20" s="146">
        <v>269</v>
      </c>
      <c r="L20" s="146">
        <v>862</v>
      </c>
      <c r="M20" s="146">
        <v>157</v>
      </c>
      <c r="N20" s="146">
        <v>277</v>
      </c>
      <c r="O20" s="146">
        <v>1022</v>
      </c>
      <c r="P20" s="146">
        <v>1226</v>
      </c>
      <c r="Q20" s="146">
        <v>1665</v>
      </c>
      <c r="R20" s="146">
        <v>0</v>
      </c>
      <c r="S20" s="146">
        <f>Q20</f>
        <v>1665</v>
      </c>
      <c r="T20" s="118">
        <f t="shared" si="22"/>
        <v>0.26410898969954655</v>
      </c>
      <c r="U20" s="31">
        <f t="shared" si="6"/>
        <v>0.08</v>
      </c>
      <c r="V20" s="227">
        <f t="shared" si="0"/>
        <v>1165.5</v>
      </c>
      <c r="W20" s="152">
        <f t="shared" ref="W20:W22" si="46">V20*(1+$U20)</f>
        <v>1258.74</v>
      </c>
      <c r="X20" s="152">
        <f t="shared" ref="X20:X22" si="47">W20*(1+$U20)</f>
        <v>1359.4392</v>
      </c>
      <c r="Y20" s="152">
        <f t="shared" ref="Y20:Y22" si="48">X20*(1+$U20)</f>
        <v>1468.194336</v>
      </c>
      <c r="Z20" s="152">
        <f t="shared" ref="Z20:Z22" si="49">Y20*(1+$U20)</f>
        <v>1585.6498828800002</v>
      </c>
      <c r="AA20" s="152">
        <f t="shared" ref="AA20:AA22" si="50">Z20*(1+$U20)</f>
        <v>1712.5018735104004</v>
      </c>
      <c r="AB20" s="152">
        <f t="shared" ref="AB20:AB22" si="51">AA20*(1+$U20)</f>
        <v>1849.5020233912326</v>
      </c>
      <c r="AC20" s="152">
        <f t="shared" ref="AC20:AC22" si="52">AB20*(1+$U20)</f>
        <v>1997.4621852625312</v>
      </c>
      <c r="AD20" s="152">
        <f t="shared" ref="AD20:AD22" si="53">AC20*(1+$U20)</f>
        <v>2157.259160083534</v>
      </c>
      <c r="AE20" s="152">
        <f t="shared" ref="AE20:AE22" si="54">AD20*(1+$U20)</f>
        <v>2329.839892890217</v>
      </c>
      <c r="AF20" s="137">
        <f t="shared" ref="AF20:AF22" si="55">((AE20/I20)^(1/($AE$3-$J$1) ))-1</f>
        <v>0.10710843874298637</v>
      </c>
      <c r="AG20" s="31">
        <f t="shared" si="16"/>
        <v>0.02</v>
      </c>
      <c r="AH20" s="145">
        <f t="shared" si="2"/>
        <v>11882.183453740105</v>
      </c>
    </row>
    <row r="21" spans="2:34">
      <c r="B21" s="20" t="s">
        <v>284</v>
      </c>
      <c r="C21" s="140"/>
      <c r="D21" s="140"/>
      <c r="E21" s="146"/>
      <c r="F21" s="146"/>
      <c r="G21" s="146">
        <v>-185</v>
      </c>
      <c r="H21" s="146">
        <v>-231</v>
      </c>
      <c r="I21" s="146">
        <v>-227</v>
      </c>
      <c r="J21" s="146">
        <v>-335</v>
      </c>
      <c r="K21" s="146">
        <v>-566</v>
      </c>
      <c r="L21" s="146">
        <v>-233</v>
      </c>
      <c r="M21" s="146">
        <v>-786</v>
      </c>
      <c r="N21" s="146">
        <v>-1110</v>
      </c>
      <c r="O21" s="146">
        <v>-966</v>
      </c>
      <c r="P21" s="146">
        <v>-883</v>
      </c>
      <c r="Q21" s="146">
        <v>-1784</v>
      </c>
      <c r="R21" s="146">
        <v>0</v>
      </c>
      <c r="S21" s="146">
        <f>Q21</f>
        <v>-1784</v>
      </c>
      <c r="T21" s="118">
        <f t="shared" si="22"/>
        <v>0.2078655464033643</v>
      </c>
      <c r="U21" s="31">
        <f t="shared" si="6"/>
        <v>0.08</v>
      </c>
      <c r="V21" s="227">
        <f t="shared" si="0"/>
        <v>-1248.8</v>
      </c>
      <c r="W21" s="152">
        <f t="shared" si="46"/>
        <v>-1348.704</v>
      </c>
      <c r="X21" s="152">
        <f t="shared" si="47"/>
        <v>-1456.60032</v>
      </c>
      <c r="Y21" s="152">
        <f t="shared" si="48"/>
        <v>-1573.1283456000001</v>
      </c>
      <c r="Z21" s="152">
        <f t="shared" si="49"/>
        <v>-1698.9786132480003</v>
      </c>
      <c r="AA21" s="152">
        <f t="shared" si="50"/>
        <v>-1834.8969023078405</v>
      </c>
      <c r="AB21" s="152">
        <f t="shared" si="51"/>
        <v>-1981.6886544924678</v>
      </c>
      <c r="AC21" s="152">
        <f t="shared" si="52"/>
        <v>-2140.2237468518651</v>
      </c>
      <c r="AD21" s="152">
        <f t="shared" si="53"/>
        <v>-2311.4416466000143</v>
      </c>
      <c r="AE21" s="152">
        <f t="shared" si="54"/>
        <v>-2496.3569783280154</v>
      </c>
      <c r="AF21" s="137">
        <f t="shared" si="55"/>
        <v>0.12094628382403361</v>
      </c>
      <c r="AG21" s="31">
        <f t="shared" si="16"/>
        <v>0.02</v>
      </c>
      <c r="AH21" s="145">
        <f t="shared" si="2"/>
        <v>-12731.420589472878</v>
      </c>
    </row>
    <row r="22" spans="2:34">
      <c r="B22" s="20" t="s">
        <v>285</v>
      </c>
      <c r="C22" s="140"/>
      <c r="D22" s="140"/>
      <c r="E22" s="146"/>
      <c r="F22" s="146"/>
      <c r="G22" s="146">
        <v>83</v>
      </c>
      <c r="H22" s="146">
        <v>117</v>
      </c>
      <c r="I22" s="146">
        <v>-40</v>
      </c>
      <c r="J22" s="146">
        <v>49</v>
      </c>
      <c r="K22" s="146">
        <v>326</v>
      </c>
      <c r="L22" s="146">
        <v>-672</v>
      </c>
      <c r="M22" s="146">
        <v>623</v>
      </c>
      <c r="N22" s="146">
        <v>845</v>
      </c>
      <c r="O22" s="146">
        <v>-51</v>
      </c>
      <c r="P22" s="146">
        <v>-313</v>
      </c>
      <c r="Q22" s="146">
        <v>68</v>
      </c>
      <c r="R22" s="146">
        <v>0</v>
      </c>
      <c r="S22" s="146">
        <f>Q22</f>
        <v>68</v>
      </c>
      <c r="T22" s="118">
        <f t="shared" si="22"/>
        <v>-1.6473872056217642E-2</v>
      </c>
      <c r="U22" s="31">
        <f t="shared" si="6"/>
        <v>0.08</v>
      </c>
      <c r="V22" s="227">
        <f t="shared" si="0"/>
        <v>47.599999999999994</v>
      </c>
      <c r="W22" s="152">
        <f t="shared" si="46"/>
        <v>51.407999999999994</v>
      </c>
      <c r="X22" s="152">
        <f t="shared" si="47"/>
        <v>55.52064</v>
      </c>
      <c r="Y22" s="152">
        <f t="shared" si="48"/>
        <v>59.962291200000003</v>
      </c>
      <c r="Z22" s="152">
        <f t="shared" si="49"/>
        <v>64.759274496000003</v>
      </c>
      <c r="AA22" s="152">
        <f t="shared" si="50"/>
        <v>69.940016455680009</v>
      </c>
      <c r="AB22" s="152">
        <f t="shared" si="51"/>
        <v>75.535217772134416</v>
      </c>
      <c r="AC22" s="152">
        <f t="shared" si="52"/>
        <v>81.57803519390518</v>
      </c>
      <c r="AD22" s="152">
        <f t="shared" si="53"/>
        <v>88.104278009417598</v>
      </c>
      <c r="AE22" s="152">
        <f t="shared" si="54"/>
        <v>95.152620250171012</v>
      </c>
      <c r="AF22" s="137">
        <f t="shared" si="55"/>
        <v>-2.0421301026846144</v>
      </c>
      <c r="AG22" s="31">
        <f t="shared" si="16"/>
        <v>0.02</v>
      </c>
      <c r="AH22" s="145">
        <f t="shared" si="2"/>
        <v>485.27836327587215</v>
      </c>
    </row>
    <row r="23" spans="2:34">
      <c r="B23" s="20" t="s">
        <v>294</v>
      </c>
      <c r="C23" s="140"/>
      <c r="D23" s="140"/>
      <c r="E23" s="146"/>
      <c r="F23" s="146"/>
      <c r="G23" s="146">
        <v>112</v>
      </c>
      <c r="H23" s="146">
        <v>58</v>
      </c>
      <c r="I23" s="146">
        <v>53</v>
      </c>
      <c r="J23" s="146">
        <v>73</v>
      </c>
      <c r="K23" s="146">
        <v>102</v>
      </c>
      <c r="L23" s="146">
        <v>60</v>
      </c>
      <c r="M23" s="146">
        <v>53</v>
      </c>
      <c r="N23" s="146">
        <v>57</v>
      </c>
      <c r="O23" s="146">
        <v>59</v>
      </c>
      <c r="P23" s="146">
        <v>286</v>
      </c>
      <c r="Q23" s="146">
        <v>255</v>
      </c>
      <c r="R23" s="146">
        <v>0</v>
      </c>
      <c r="S23" s="146">
        <f>Q23</f>
        <v>255</v>
      </c>
      <c r="T23" s="118">
        <f t="shared" si="22"/>
        <v>7.0968867935117919E-2</v>
      </c>
      <c r="U23" s="31">
        <f t="shared" si="6"/>
        <v>0.08</v>
      </c>
      <c r="V23" s="227">
        <f t="shared" si="0"/>
        <v>178.5</v>
      </c>
      <c r="W23" s="152">
        <f t="shared" ref="W23" si="56">V23*(1+$U23)</f>
        <v>192.78</v>
      </c>
      <c r="X23" s="152">
        <f t="shared" ref="X23" si="57">W23*(1+$U23)</f>
        <v>208.20240000000001</v>
      </c>
      <c r="Y23" s="152">
        <f t="shared" ref="Y23" si="58">X23*(1+$U23)</f>
        <v>224.85859200000002</v>
      </c>
      <c r="Z23" s="152">
        <f t="shared" ref="Z23" si="59">Y23*(1+$U23)</f>
        <v>242.84727936000004</v>
      </c>
      <c r="AA23" s="152">
        <f t="shared" ref="AA23" si="60">Z23*(1+$U23)</f>
        <v>262.27506170880008</v>
      </c>
      <c r="AB23" s="152">
        <f t="shared" ref="AB23" si="61">AA23*(1+$U23)</f>
        <v>283.2570666455041</v>
      </c>
      <c r="AC23" s="152">
        <f t="shared" ref="AC23" si="62">AB23*(1+$U23)</f>
        <v>305.91763197714442</v>
      </c>
      <c r="AD23" s="152">
        <f t="shared" ref="AD23" si="63">AC23*(1+$U23)</f>
        <v>330.39104253531599</v>
      </c>
      <c r="AE23" s="152">
        <f t="shared" ref="AE23" si="64">AD23*(1+$U23)</f>
        <v>356.82232593814132</v>
      </c>
      <c r="AF23" s="137">
        <f t="shared" ref="AF23" si="65">((AE23/I23)^(1/($AE$3-$J$1) ))-1</f>
        <v>9.5057589611226234E-2</v>
      </c>
      <c r="AG23" s="31">
        <f t="shared" si="16"/>
        <v>0.02</v>
      </c>
      <c r="AH23" s="145">
        <f t="shared" si="2"/>
        <v>1819.7938622845209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3"/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2309</v>
      </c>
      <c r="H25" s="146">
        <v>2575</v>
      </c>
      <c r="I25" s="146">
        <v>3781</v>
      </c>
      <c r="J25" s="146">
        <v>4502</v>
      </c>
      <c r="K25" s="146">
        <v>5152</v>
      </c>
      <c r="L25" s="146">
        <v>5481</v>
      </c>
      <c r="M25" s="146">
        <v>7651</v>
      </c>
      <c r="N25" s="146">
        <v>10477</v>
      </c>
      <c r="O25" s="146">
        <v>12027</v>
      </c>
      <c r="P25" s="203">
        <v>12273</v>
      </c>
      <c r="Q25" s="203">
        <v>13396</v>
      </c>
      <c r="R25" s="203">
        <v>0</v>
      </c>
      <c r="S25" s="203">
        <v>20729</v>
      </c>
      <c r="T25" s="118">
        <f t="shared" si="22"/>
        <v>0.20068624355790488</v>
      </c>
      <c r="U25" s="31">
        <f t="shared" si="6"/>
        <v>0.08</v>
      </c>
      <c r="V25" s="227">
        <f t="shared" si="0"/>
        <v>14510.3</v>
      </c>
      <c r="W25" s="152">
        <f t="shared" si="37"/>
        <v>15671.124</v>
      </c>
      <c r="X25" s="152">
        <f t="shared" si="38"/>
        <v>16924.813920000001</v>
      </c>
      <c r="Y25" s="152">
        <f t="shared" si="39"/>
        <v>18278.7990336</v>
      </c>
      <c r="Z25" s="152">
        <f t="shared" si="40"/>
        <v>19741.102956288003</v>
      </c>
      <c r="AA25" s="152">
        <f t="shared" si="41"/>
        <v>21320.391192791045</v>
      </c>
      <c r="AB25" s="152">
        <f t="shared" si="42"/>
        <v>23026.02248821433</v>
      </c>
      <c r="AC25" s="152">
        <f t="shared" si="43"/>
        <v>24868.104287271479</v>
      </c>
      <c r="AD25" s="152">
        <f t="shared" si="44"/>
        <v>26857.552630253198</v>
      </c>
      <c r="AE25" s="152">
        <f t="shared" si="45"/>
        <v>29006.156840673455</v>
      </c>
      <c r="AF25" s="137">
        <f t="shared" si="18"/>
        <v>0.10188763647071886</v>
      </c>
      <c r="AG25" s="31">
        <f t="shared" si="16"/>
        <v>0.02</v>
      </c>
      <c r="AH25" s="145">
        <f t="shared" si="2"/>
        <v>147931.39988743461</v>
      </c>
    </row>
    <row r="26" spans="2:34" s="123" customFormat="1">
      <c r="B26" s="23"/>
      <c r="C26" s="147"/>
      <c r="D26" s="147"/>
      <c r="E26" s="148"/>
      <c r="F26" s="148"/>
      <c r="G26" s="226">
        <f>(G25-F25)/G25</f>
        <v>1</v>
      </c>
      <c r="H26" s="226">
        <f>(H25-G25)/H25</f>
        <v>0.10330097087378641</v>
      </c>
      <c r="I26" s="226">
        <f t="shared" ref="I26:O26" si="66">(I25-H25)/I25</f>
        <v>0.31896323723882569</v>
      </c>
      <c r="J26" s="226">
        <f t="shared" si="66"/>
        <v>0.16015104398045313</v>
      </c>
      <c r="K26" s="226">
        <f t="shared" si="66"/>
        <v>0.12616459627329193</v>
      </c>
      <c r="L26" s="226">
        <f t="shared" si="66"/>
        <v>6.0025542784163471E-2</v>
      </c>
      <c r="M26" s="226">
        <f t="shared" si="66"/>
        <v>0.2836230558096981</v>
      </c>
      <c r="N26" s="226">
        <f t="shared" si="66"/>
        <v>0.26973370239572397</v>
      </c>
      <c r="O26" s="226">
        <f t="shared" si="66"/>
        <v>0.12887669410493058</v>
      </c>
      <c r="P26" s="149">
        <f t="shared" ref="I26:S26" si="67">(P25-O25)/O25</f>
        <v>2.0453978548266402E-2</v>
      </c>
      <c r="Q26" s="149">
        <f t="shared" si="67"/>
        <v>9.150167033325185E-2</v>
      </c>
      <c r="R26" s="149">
        <f t="shared" si="67"/>
        <v>-1</v>
      </c>
      <c r="S26" s="149" t="e">
        <f t="shared" si="67"/>
        <v>#DIV/0!</v>
      </c>
      <c r="T26" s="128"/>
      <c r="U26" s="20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2009</v>
      </c>
      <c r="H27" s="146">
        <v>2404</v>
      </c>
      <c r="I27" s="146">
        <v>3483</v>
      </c>
      <c r="J27" s="146">
        <v>4039</v>
      </c>
      <c r="K27" s="146">
        <v>4716</v>
      </c>
      <c r="L27" s="146">
        <v>4765</v>
      </c>
      <c r="M27" s="146">
        <v>6790</v>
      </c>
      <c r="N27" s="146">
        <v>9243</v>
      </c>
      <c r="O27" s="146">
        <v>10723</v>
      </c>
      <c r="P27" s="203">
        <v>11155</v>
      </c>
      <c r="Q27" s="203">
        <v>11037</v>
      </c>
      <c r="R27" s="203">
        <v>0</v>
      </c>
      <c r="S27" s="203">
        <v>17266</v>
      </c>
      <c r="T27" s="118">
        <f t="shared" si="22"/>
        <v>0.19632997184199508</v>
      </c>
      <c r="U27" s="31">
        <f t="shared" si="6"/>
        <v>0.08</v>
      </c>
      <c r="V27" s="227">
        <f t="shared" si="0"/>
        <v>12086.199999999999</v>
      </c>
      <c r="W27" s="152">
        <f t="shared" si="37"/>
        <v>13053.096</v>
      </c>
      <c r="X27" s="152">
        <f t="shared" si="38"/>
        <v>14097.34368</v>
      </c>
      <c r="Y27" s="152">
        <f t="shared" si="39"/>
        <v>15225.131174400001</v>
      </c>
      <c r="Z27" s="152">
        <f t="shared" si="40"/>
        <v>16443.141668352004</v>
      </c>
      <c r="AA27" s="152">
        <f t="shared" si="41"/>
        <v>17758.593001820165</v>
      </c>
      <c r="AB27" s="152">
        <f t="shared" si="42"/>
        <v>19179.28044196578</v>
      </c>
      <c r="AC27" s="152">
        <f t="shared" si="43"/>
        <v>20713.622877323043</v>
      </c>
      <c r="AD27" s="152">
        <f t="shared" si="44"/>
        <v>22370.712707508887</v>
      </c>
      <c r="AE27" s="152">
        <f t="shared" si="45"/>
        <v>24160.369724109598</v>
      </c>
      <c r="AF27" s="137">
        <f t="shared" si="18"/>
        <v>9.6616476328430734E-2</v>
      </c>
      <c r="AG27" s="31">
        <f t="shared" si="16"/>
        <v>0.02</v>
      </c>
      <c r="AH27" s="145">
        <f t="shared" si="2"/>
        <v>123217.88559295895</v>
      </c>
    </row>
    <row r="28" spans="2:34" s="123" customFormat="1">
      <c r="B28" s="23"/>
      <c r="C28" s="147"/>
      <c r="D28" s="147"/>
      <c r="E28" s="148"/>
      <c r="F28" s="148"/>
      <c r="G28" s="226">
        <f t="shared" ref="G28:O28" si="68">(G27-F27)/G27</f>
        <v>1</v>
      </c>
      <c r="H28" s="226">
        <f t="shared" si="68"/>
        <v>0.16430948419301164</v>
      </c>
      <c r="I28" s="226">
        <f t="shared" si="68"/>
        <v>0.30979041056560436</v>
      </c>
      <c r="J28" s="226">
        <f t="shared" si="68"/>
        <v>0.13765783609804408</v>
      </c>
      <c r="K28" s="226">
        <f t="shared" si="68"/>
        <v>0.14355385920271416</v>
      </c>
      <c r="L28" s="226">
        <f t="shared" si="68"/>
        <v>1.0283315844700944E-2</v>
      </c>
      <c r="M28" s="226">
        <f t="shared" si="68"/>
        <v>0.29823269513991163</v>
      </c>
      <c r="N28" s="226">
        <f t="shared" si="68"/>
        <v>0.26539002488369579</v>
      </c>
      <c r="O28" s="226">
        <f t="shared" si="68"/>
        <v>0.13802107619136436</v>
      </c>
      <c r="P28" s="149">
        <f t="shared" ref="I28:S28" si="69">(P27-O27)/O27</f>
        <v>4.0287233050452301E-2</v>
      </c>
      <c r="Q28" s="149">
        <f t="shared" si="69"/>
        <v>-1.0578216046615867E-2</v>
      </c>
      <c r="R28" s="149">
        <f t="shared" si="69"/>
        <v>-1</v>
      </c>
      <c r="S28" s="149" t="e">
        <f t="shared" si="69"/>
        <v>#DIV/0!</v>
      </c>
      <c r="T28" s="128"/>
      <c r="U28" s="20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320</v>
      </c>
      <c r="C29" s="147"/>
      <c r="D29" s="147"/>
      <c r="E29" s="148"/>
      <c r="F29" s="148"/>
      <c r="G29" s="146">
        <v>40</v>
      </c>
      <c r="H29" s="146">
        <v>32</v>
      </c>
      <c r="I29" s="146">
        <v>50</v>
      </c>
      <c r="J29" s="146">
        <v>50</v>
      </c>
      <c r="K29" s="146">
        <v>66</v>
      </c>
      <c r="L29" s="146">
        <v>69</v>
      </c>
      <c r="M29" s="146">
        <v>63</v>
      </c>
      <c r="N29" s="146">
        <v>93</v>
      </c>
      <c r="O29" s="146">
        <v>159</v>
      </c>
      <c r="P29" s="203">
        <v>196</v>
      </c>
      <c r="Q29" s="203">
        <v>232</v>
      </c>
      <c r="R29" s="203">
        <v>0</v>
      </c>
      <c r="S29" s="203">
        <v>343</v>
      </c>
      <c r="T29" s="118">
        <f t="shared" si="22"/>
        <v>0.19610556428734838</v>
      </c>
      <c r="U29" s="31">
        <f t="shared" si="6"/>
        <v>0.08</v>
      </c>
      <c r="V29" s="227">
        <f t="shared" si="0"/>
        <v>240.1</v>
      </c>
      <c r="W29" s="152">
        <f t="shared" ref="W29" si="70">V29*(1+$U29)</f>
        <v>259.30799999999999</v>
      </c>
      <c r="X29" s="152">
        <f t="shared" ref="X29" si="71">W29*(1+$U29)</f>
        <v>280.05264</v>
      </c>
      <c r="Y29" s="152">
        <f t="shared" ref="Y29" si="72">X29*(1+$U29)</f>
        <v>302.45685120000002</v>
      </c>
      <c r="Z29" s="152">
        <f t="shared" ref="Z29" si="73">Y29*(1+$U29)</f>
        <v>326.65339929600003</v>
      </c>
      <c r="AA29" s="152">
        <f t="shared" ref="AA29" si="74">Z29*(1+$U29)</f>
        <v>352.78567123968008</v>
      </c>
      <c r="AB29" s="152">
        <f t="shared" ref="AB29" si="75">AA29*(1+$U29)</f>
        <v>381.00852493885452</v>
      </c>
      <c r="AC29" s="152">
        <f t="shared" ref="AC29" si="76">AB29*(1+$U29)</f>
        <v>411.48920693396292</v>
      </c>
      <c r="AD29" s="152">
        <f t="shared" ref="AD29" si="77">AC29*(1+$U29)</f>
        <v>444.40834348867998</v>
      </c>
      <c r="AE29" s="152">
        <f t="shared" ref="AE29" si="78">AD29*(1+$U29)</f>
        <v>479.96101096777443</v>
      </c>
      <c r="AF29" s="137">
        <f t="shared" ref="AF29" si="79">((AE29/I29)^(1/($AE$3-$J$1) ))-1</f>
        <v>0.11371261957956036</v>
      </c>
      <c r="AG29" s="31">
        <f t="shared" si="16"/>
        <v>0.02</v>
      </c>
      <c r="AH29" s="145">
        <f t="shared" ref="AH29" si="80">(AE29*(1+AG29))/($C$1-AG29)</f>
        <v>2447.8011559356496</v>
      </c>
    </row>
    <row r="30" spans="2:34" s="123" customFormat="1">
      <c r="B30" s="23"/>
      <c r="C30" s="147"/>
      <c r="D30" s="147"/>
      <c r="E30" s="148"/>
      <c r="F30" s="148"/>
      <c r="G30" s="149" t="e">
        <f t="shared" ref="G30" si="81">(G29-F29)/F29</f>
        <v>#DIV/0!</v>
      </c>
      <c r="H30" s="149">
        <f t="shared" ref="H30" si="82">(H29-G29)/G29</f>
        <v>-0.2</v>
      </c>
      <c r="I30" s="149">
        <f t="shared" ref="I30:S30" si="83">(I29-H29)/H29</f>
        <v>0.5625</v>
      </c>
      <c r="J30" s="149">
        <f t="shared" si="83"/>
        <v>0</v>
      </c>
      <c r="K30" s="149">
        <f t="shared" si="83"/>
        <v>0.32</v>
      </c>
      <c r="L30" s="149">
        <f t="shared" si="83"/>
        <v>4.5454545454545456E-2</v>
      </c>
      <c r="M30" s="149">
        <f t="shared" si="83"/>
        <v>-8.6956521739130432E-2</v>
      </c>
      <c r="N30" s="149">
        <f t="shared" si="83"/>
        <v>0.47619047619047616</v>
      </c>
      <c r="O30" s="149">
        <f t="shared" si="83"/>
        <v>0.70967741935483875</v>
      </c>
      <c r="P30" s="149">
        <f t="shared" si="83"/>
        <v>0.23270440251572327</v>
      </c>
      <c r="Q30" s="149">
        <f t="shared" si="83"/>
        <v>0.18367346938775511</v>
      </c>
      <c r="R30" s="149">
        <f t="shared" si="83"/>
        <v>-1</v>
      </c>
      <c r="S30" s="149" t="e">
        <f t="shared" si="83"/>
        <v>#DIV/0!</v>
      </c>
      <c r="T30" s="128"/>
      <c r="U30" s="20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328</v>
      </c>
      <c r="C31" s="140"/>
      <c r="D31" s="140"/>
      <c r="E31" s="146"/>
      <c r="F31" s="146"/>
      <c r="G31" s="203">
        <f t="shared" ref="G31:H31" si="84">H31</f>
        <v>0</v>
      </c>
      <c r="H31" s="203">
        <f t="shared" si="84"/>
        <v>0</v>
      </c>
      <c r="I31" s="203">
        <f>J31</f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118" t="e">
        <f t="shared" si="22"/>
        <v>#DIV/0!</v>
      </c>
      <c r="U31" s="31">
        <f t="shared" si="6"/>
        <v>0.08</v>
      </c>
      <c r="V31" s="227">
        <f t="shared" si="0"/>
        <v>0</v>
      </c>
      <c r="W31" s="152">
        <f>V31*(1+$U31)</f>
        <v>0</v>
      </c>
      <c r="X31" s="152">
        <f t="shared" ref="X31:AE32" si="85">W31*(1+$U31)</f>
        <v>0</v>
      </c>
      <c r="Y31" s="152">
        <f t="shared" si="85"/>
        <v>0</v>
      </c>
      <c r="Z31" s="152">
        <f t="shared" si="85"/>
        <v>0</v>
      </c>
      <c r="AA31" s="152">
        <f t="shared" si="85"/>
        <v>0</v>
      </c>
      <c r="AB31" s="152">
        <f t="shared" si="85"/>
        <v>0</v>
      </c>
      <c r="AC31" s="152">
        <f t="shared" si="85"/>
        <v>0</v>
      </c>
      <c r="AD31" s="152">
        <f t="shared" si="85"/>
        <v>0</v>
      </c>
      <c r="AE31" s="152">
        <f t="shared" si="85"/>
        <v>0</v>
      </c>
      <c r="AF31" s="137" t="e">
        <f t="shared" ref="AF31" si="86">((AE31/I31)^(1/($AE$3-$J$1) ))-1</f>
        <v>#DIV/0!</v>
      </c>
      <c r="AG31" s="31">
        <f t="shared" si="16"/>
        <v>0.02</v>
      </c>
      <c r="AH31" s="145">
        <f t="shared" si="2"/>
        <v>0</v>
      </c>
    </row>
    <row r="32" spans="2:34">
      <c r="B32" s="20" t="s">
        <v>327</v>
      </c>
      <c r="C32" s="140"/>
      <c r="D32" s="140"/>
      <c r="E32" s="146"/>
      <c r="F32" s="146"/>
      <c r="G32" s="203">
        <f t="shared" ref="G32:H32" si="87">H32</f>
        <v>0</v>
      </c>
      <c r="H32" s="203">
        <f t="shared" si="87"/>
        <v>0</v>
      </c>
      <c r="I32" s="203">
        <f>J32</f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118" t="e">
        <f t="shared" si="22"/>
        <v>#DIV/0!</v>
      </c>
      <c r="U32" s="31">
        <f t="shared" si="6"/>
        <v>0.08</v>
      </c>
      <c r="V32" s="227">
        <f t="shared" si="0"/>
        <v>0</v>
      </c>
      <c r="W32" s="152">
        <f>V32*(1+$U32)</f>
        <v>0</v>
      </c>
      <c r="X32" s="152">
        <f t="shared" si="85"/>
        <v>0</v>
      </c>
      <c r="Y32" s="152">
        <f t="shared" si="85"/>
        <v>0</v>
      </c>
      <c r="Z32" s="152">
        <f t="shared" si="85"/>
        <v>0</v>
      </c>
      <c r="AA32" s="152">
        <f t="shared" si="85"/>
        <v>0</v>
      </c>
      <c r="AB32" s="152">
        <f t="shared" si="85"/>
        <v>0</v>
      </c>
      <c r="AC32" s="152">
        <f t="shared" si="85"/>
        <v>0</v>
      </c>
      <c r="AD32" s="152">
        <f t="shared" si="85"/>
        <v>0</v>
      </c>
      <c r="AE32" s="152">
        <f t="shared" si="85"/>
        <v>0</v>
      </c>
      <c r="AF32" s="137" t="e">
        <f t="shared" ref="AF32" si="88">((AE32/I32)^(1/($AE$3-$J$1) ))-1</f>
        <v>#DIV/0!</v>
      </c>
      <c r="AG32" s="31">
        <f t="shared" si="16"/>
        <v>0.02</v>
      </c>
      <c r="AH32" s="145">
        <f t="shared" si="2"/>
        <v>0</v>
      </c>
    </row>
    <row r="33" spans="1:34">
      <c r="B33" s="20" t="s">
        <v>487</v>
      </c>
      <c r="C33" s="140"/>
      <c r="D33" s="140"/>
      <c r="E33" s="146"/>
      <c r="F33" s="146"/>
      <c r="G33" s="203">
        <f t="shared" ref="G33:H33" si="89">H33</f>
        <v>0</v>
      </c>
      <c r="H33" s="203">
        <f t="shared" si="89"/>
        <v>0</v>
      </c>
      <c r="I33" s="203">
        <f>J33</f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118" t="e">
        <f t="shared" si="22"/>
        <v>#DIV/0!</v>
      </c>
      <c r="U33" s="31">
        <f t="shared" si="6"/>
        <v>0.08</v>
      </c>
      <c r="V33" s="227">
        <f t="shared" si="0"/>
        <v>0</v>
      </c>
      <c r="W33" s="152">
        <f t="shared" si="37"/>
        <v>0</v>
      </c>
      <c r="X33" s="152">
        <f t="shared" si="38"/>
        <v>0</v>
      </c>
      <c r="Y33" s="152">
        <f t="shared" si="39"/>
        <v>0</v>
      </c>
      <c r="Z33" s="152">
        <f t="shared" si="40"/>
        <v>0</v>
      </c>
      <c r="AA33" s="152">
        <f t="shared" si="41"/>
        <v>0</v>
      </c>
      <c r="AB33" s="152">
        <f t="shared" si="42"/>
        <v>0</v>
      </c>
      <c r="AC33" s="152">
        <f t="shared" si="43"/>
        <v>0</v>
      </c>
      <c r="AD33" s="152">
        <f t="shared" si="44"/>
        <v>0</v>
      </c>
      <c r="AE33" s="152">
        <f t="shared" si="45"/>
        <v>0</v>
      </c>
      <c r="AF33" s="137" t="e">
        <f t="shared" si="18"/>
        <v>#DIV/0!</v>
      </c>
      <c r="AG33" s="31">
        <f t="shared" si="16"/>
        <v>0.02</v>
      </c>
      <c r="AH33" s="145">
        <f t="shared" si="2"/>
        <v>0</v>
      </c>
    </row>
    <row r="34" spans="1:34">
      <c r="B34" s="20" t="s">
        <v>307</v>
      </c>
      <c r="C34" s="140"/>
      <c r="D34" s="140"/>
      <c r="E34" s="146"/>
      <c r="F34" s="146"/>
      <c r="G34" s="203">
        <f t="shared" ref="G34:H34" si="90">H34</f>
        <v>0</v>
      </c>
      <c r="H34" s="203">
        <f t="shared" si="90"/>
        <v>0</v>
      </c>
      <c r="I34" s="203">
        <f>J34</f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118" t="e">
        <f t="shared" si="22"/>
        <v>#DIV/0!</v>
      </c>
      <c r="U34" s="31">
        <f t="shared" si="6"/>
        <v>0.08</v>
      </c>
      <c r="V34" s="227">
        <f t="shared" si="0"/>
        <v>0</v>
      </c>
      <c r="W34" s="152">
        <f t="shared" si="37"/>
        <v>0</v>
      </c>
      <c r="X34" s="152">
        <f t="shared" si="38"/>
        <v>0</v>
      </c>
      <c r="Y34" s="152">
        <f t="shared" si="39"/>
        <v>0</v>
      </c>
      <c r="Z34" s="152">
        <f t="shared" si="40"/>
        <v>0</v>
      </c>
      <c r="AA34" s="152">
        <f t="shared" si="41"/>
        <v>0</v>
      </c>
      <c r="AB34" s="152">
        <f t="shared" si="42"/>
        <v>0</v>
      </c>
      <c r="AC34" s="152">
        <f t="shared" si="43"/>
        <v>0</v>
      </c>
      <c r="AD34" s="152">
        <f t="shared" si="44"/>
        <v>0</v>
      </c>
      <c r="AE34" s="152">
        <f t="shared" si="45"/>
        <v>0</v>
      </c>
      <c r="AF34" s="137" t="e">
        <f t="shared" si="18"/>
        <v>#DIV/0!</v>
      </c>
      <c r="AG34" s="31">
        <f t="shared" si="16"/>
        <v>0.02</v>
      </c>
      <c r="AH34" s="145">
        <f t="shared" si="2"/>
        <v>0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3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5" t="s">
        <v>480</v>
      </c>
      <c r="B36" s="200" t="s">
        <v>474</v>
      </c>
      <c r="C36" s="140"/>
      <c r="D36" s="140"/>
      <c r="E36" s="146"/>
      <c r="F36" s="146"/>
      <c r="G36" s="203">
        <f t="shared" ref="G36:H36" si="91">H36</f>
        <v>0</v>
      </c>
      <c r="H36" s="203">
        <f t="shared" si="91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0.08</v>
      </c>
      <c r="V36" s="227">
        <f t="shared" si="0"/>
        <v>0</v>
      </c>
      <c r="W36" s="152">
        <f t="shared" ref="W36:W49" si="92">V36*(1+$U36)</f>
        <v>0</v>
      </c>
      <c r="X36" s="152">
        <f t="shared" ref="X36:X49" si="93">W36*(1+$U36)</f>
        <v>0</v>
      </c>
      <c r="Y36" s="152">
        <f t="shared" ref="Y36:Y49" si="94">X36*(1+$U36)</f>
        <v>0</v>
      </c>
      <c r="Z36" s="152">
        <f t="shared" ref="Z36:Z49" si="95">Y36*(1+$U36)</f>
        <v>0</v>
      </c>
      <c r="AA36" s="152">
        <f t="shared" ref="AA36:AA49" si="96">Z36*(1+$U36)</f>
        <v>0</v>
      </c>
      <c r="AB36" s="152">
        <f t="shared" ref="AB36:AB49" si="97">AA36*(1+$U36)</f>
        <v>0</v>
      </c>
      <c r="AC36" s="152">
        <f t="shared" ref="AC36:AC49" si="98">AB36*(1+$U36)</f>
        <v>0</v>
      </c>
      <c r="AD36" s="152">
        <f t="shared" ref="AD36:AD49" si="99">AC36*(1+$U36)</f>
        <v>0</v>
      </c>
      <c r="AE36" s="152">
        <f t="shared" ref="AE36:AE49" si="100">AD36*(1+$U36)</f>
        <v>0</v>
      </c>
      <c r="AF36" s="137" t="e">
        <f t="shared" ref="AF36:AF49" si="101">((AE36/I36)^(1/($AE$3-$J$1) ))-1</f>
        <v>#DIV/0!</v>
      </c>
      <c r="AG36" s="31">
        <f t="shared" si="16"/>
        <v>0.02</v>
      </c>
      <c r="AH36" s="145">
        <f t="shared" ref="AH36:AH49" si="102">(AE36*(1+AG36))/($C$1-AG36)</f>
        <v>0</v>
      </c>
    </row>
    <row r="37" spans="1:34">
      <c r="A37" s="205"/>
      <c r="B37" s="200"/>
      <c r="C37" s="140"/>
      <c r="D37" s="140"/>
      <c r="E37" s="146"/>
      <c r="F37" s="146"/>
      <c r="G37" s="149" t="e">
        <f t="shared" ref="G37" si="103">(G36-F36)/F36</f>
        <v>#DIV/0!</v>
      </c>
      <c r="H37" s="149" t="e">
        <f t="shared" ref="H37" si="104">(H36-G36)/G36</f>
        <v>#DIV/0!</v>
      </c>
      <c r="I37" s="149" t="e">
        <f t="shared" ref="I37" si="105">(I36-H36)/H36</f>
        <v>#DIV/0!</v>
      </c>
      <c r="J37" s="149" t="e">
        <f t="shared" ref="J37" si="106">(J36-I36)/I36</f>
        <v>#DIV/0!</v>
      </c>
      <c r="K37" s="149" t="e">
        <f t="shared" ref="K37" si="107">(K36-J36)/J36</f>
        <v>#DIV/0!</v>
      </c>
      <c r="L37" s="149" t="e">
        <f t="shared" ref="L37" si="108">(L36-K36)/K36</f>
        <v>#DIV/0!</v>
      </c>
      <c r="M37" s="149" t="e">
        <f t="shared" ref="M37" si="109">(M36-L36)/L36</f>
        <v>#DIV/0!</v>
      </c>
      <c r="N37" s="149" t="e">
        <f t="shared" ref="N37" si="110">(N36-M36)/M36</f>
        <v>#DIV/0!</v>
      </c>
      <c r="O37" s="149" t="e">
        <f t="shared" ref="O37" si="111">(O36-N36)/N36</f>
        <v>#DIV/0!</v>
      </c>
      <c r="P37" s="149" t="e">
        <f t="shared" ref="P37" si="112">(P36-O36)/O36</f>
        <v>#DIV/0!</v>
      </c>
      <c r="Q37" s="149" t="e">
        <f t="shared" ref="Q37" si="113">(Q36-P36)/P36</f>
        <v>#DIV/0!</v>
      </c>
      <c r="R37" s="149" t="e">
        <f t="shared" ref="R37" si="114">(R36-Q36)/Q36</f>
        <v>#DIV/0!</v>
      </c>
      <c r="S37" s="149" t="e">
        <f t="shared" ref="S37" si="115">(S36-R36)/R36</f>
        <v>#DIV/0!</v>
      </c>
      <c r="T37" s="128"/>
      <c r="U37" s="20"/>
      <c r="V37" s="153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5"/>
      <c r="B38" s="200" t="s">
        <v>475</v>
      </c>
      <c r="C38" s="140"/>
      <c r="D38" s="140"/>
      <c r="E38" s="146"/>
      <c r="F38" s="146"/>
      <c r="G38" s="203">
        <f t="shared" ref="G38:H38" si="116">H38</f>
        <v>0</v>
      </c>
      <c r="H38" s="203">
        <f t="shared" si="116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0.08</v>
      </c>
      <c r="V38" s="227">
        <f t="shared" si="0"/>
        <v>0</v>
      </c>
      <c r="W38" s="152">
        <f t="shared" si="92"/>
        <v>0</v>
      </c>
      <c r="X38" s="152">
        <f t="shared" si="93"/>
        <v>0</v>
      </c>
      <c r="Y38" s="152">
        <f t="shared" si="94"/>
        <v>0</v>
      </c>
      <c r="Z38" s="152">
        <f t="shared" si="95"/>
        <v>0</v>
      </c>
      <c r="AA38" s="152">
        <f t="shared" si="96"/>
        <v>0</v>
      </c>
      <c r="AB38" s="152">
        <f t="shared" si="97"/>
        <v>0</v>
      </c>
      <c r="AC38" s="152">
        <f t="shared" si="98"/>
        <v>0</v>
      </c>
      <c r="AD38" s="152">
        <f t="shared" si="99"/>
        <v>0</v>
      </c>
      <c r="AE38" s="152">
        <f t="shared" si="100"/>
        <v>0</v>
      </c>
      <c r="AF38" s="137" t="e">
        <f t="shared" si="101"/>
        <v>#DIV/0!</v>
      </c>
      <c r="AG38" s="31">
        <f t="shared" si="16"/>
        <v>0.02</v>
      </c>
      <c r="AH38" s="145">
        <f t="shared" si="102"/>
        <v>0</v>
      </c>
    </row>
    <row r="39" spans="1:34">
      <c r="A39" s="205"/>
      <c r="B39" s="200"/>
      <c r="C39" s="140"/>
      <c r="D39" s="140"/>
      <c r="E39" s="146"/>
      <c r="F39" s="146"/>
      <c r="G39" s="149" t="e">
        <f t="shared" ref="G39" si="117">(G38-F38)/F38</f>
        <v>#DIV/0!</v>
      </c>
      <c r="H39" s="149" t="e">
        <f t="shared" ref="H39" si="118">(H38-G38)/G38</f>
        <v>#DIV/0!</v>
      </c>
      <c r="I39" s="149" t="e">
        <f t="shared" ref="I39" si="119">(I38-H38)/H38</f>
        <v>#DIV/0!</v>
      </c>
      <c r="J39" s="149" t="e">
        <f t="shared" ref="J39" si="120">(J38-I38)/I38</f>
        <v>#DIV/0!</v>
      </c>
      <c r="K39" s="149" t="e">
        <f t="shared" ref="K39" si="121">(K38-J38)/J38</f>
        <v>#DIV/0!</v>
      </c>
      <c r="L39" s="149" t="e">
        <f t="shared" ref="L39" si="122">(L38-K38)/K38</f>
        <v>#DIV/0!</v>
      </c>
      <c r="M39" s="149" t="e">
        <f t="shared" ref="M39" si="123">(M38-L38)/L38</f>
        <v>#DIV/0!</v>
      </c>
      <c r="N39" s="149" t="e">
        <f t="shared" ref="N39" si="124">(N38-M38)/M38</f>
        <v>#DIV/0!</v>
      </c>
      <c r="O39" s="149" t="e">
        <f t="shared" ref="O39" si="125">(O38-N38)/N38</f>
        <v>#DIV/0!</v>
      </c>
      <c r="P39" s="149" t="e">
        <f t="shared" ref="P39" si="126">(P38-O38)/O38</f>
        <v>#DIV/0!</v>
      </c>
      <c r="Q39" s="149" t="e">
        <f t="shared" ref="Q39" si="127">(Q38-P38)/P38</f>
        <v>#DIV/0!</v>
      </c>
      <c r="R39" s="149" t="e">
        <f t="shared" ref="R39" si="128">(R38-Q38)/Q38</f>
        <v>#DIV/0!</v>
      </c>
      <c r="S39" s="149" t="e">
        <f t="shared" ref="S39" si="129">(S38-R38)/R38</f>
        <v>#DIV/0!</v>
      </c>
      <c r="T39" s="128"/>
      <c r="U39" s="20"/>
      <c r="V39" s="153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5"/>
      <c r="B40" s="200" t="s">
        <v>479</v>
      </c>
      <c r="C40" s="140"/>
      <c r="D40" s="140"/>
      <c r="E40" s="146"/>
      <c r="F40" s="146"/>
      <c r="G40" s="203">
        <f t="shared" ref="G40:H40" si="130">H40</f>
        <v>0</v>
      </c>
      <c r="H40" s="203">
        <f t="shared" si="130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0.08</v>
      </c>
      <c r="V40" s="227">
        <f t="shared" si="0"/>
        <v>0</v>
      </c>
      <c r="W40" s="152">
        <f t="shared" si="92"/>
        <v>0</v>
      </c>
      <c r="X40" s="152">
        <f t="shared" si="93"/>
        <v>0</v>
      </c>
      <c r="Y40" s="152">
        <f t="shared" si="94"/>
        <v>0</v>
      </c>
      <c r="Z40" s="152">
        <f t="shared" si="95"/>
        <v>0</v>
      </c>
      <c r="AA40" s="152">
        <f t="shared" si="96"/>
        <v>0</v>
      </c>
      <c r="AB40" s="152">
        <f t="shared" si="97"/>
        <v>0</v>
      </c>
      <c r="AC40" s="152">
        <f t="shared" si="98"/>
        <v>0</v>
      </c>
      <c r="AD40" s="152">
        <f t="shared" si="99"/>
        <v>0</v>
      </c>
      <c r="AE40" s="152">
        <f t="shared" si="100"/>
        <v>0</v>
      </c>
      <c r="AF40" s="137" t="e">
        <f t="shared" si="101"/>
        <v>#DIV/0!</v>
      </c>
      <c r="AG40" s="31">
        <f t="shared" si="16"/>
        <v>0.02</v>
      </c>
      <c r="AH40" s="145">
        <f t="shared" si="102"/>
        <v>0</v>
      </c>
    </row>
    <row r="41" spans="1:34">
      <c r="A41" s="205"/>
      <c r="B41" s="200" t="s">
        <v>476</v>
      </c>
      <c r="C41" s="140"/>
      <c r="D41" s="140"/>
      <c r="E41" s="146"/>
      <c r="F41" s="146"/>
      <c r="G41" s="203">
        <f t="shared" ref="G41:H41" si="131">H41</f>
        <v>0</v>
      </c>
      <c r="H41" s="203">
        <f t="shared" si="131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0.08</v>
      </c>
      <c r="V41" s="227">
        <f t="shared" si="0"/>
        <v>0</v>
      </c>
      <c r="W41" s="152">
        <f t="shared" si="92"/>
        <v>0</v>
      </c>
      <c r="X41" s="152">
        <f t="shared" si="93"/>
        <v>0</v>
      </c>
      <c r="Y41" s="152">
        <f t="shared" si="94"/>
        <v>0</v>
      </c>
      <c r="Z41" s="152">
        <f t="shared" si="95"/>
        <v>0</v>
      </c>
      <c r="AA41" s="152">
        <f t="shared" si="96"/>
        <v>0</v>
      </c>
      <c r="AB41" s="152">
        <f t="shared" si="97"/>
        <v>0</v>
      </c>
      <c r="AC41" s="152">
        <f t="shared" si="98"/>
        <v>0</v>
      </c>
      <c r="AD41" s="152">
        <f t="shared" si="99"/>
        <v>0</v>
      </c>
      <c r="AE41" s="152">
        <f t="shared" si="100"/>
        <v>0</v>
      </c>
      <c r="AF41" s="137" t="e">
        <f t="shared" si="101"/>
        <v>#DIV/0!</v>
      </c>
      <c r="AG41" s="31">
        <f t="shared" si="16"/>
        <v>0.02</v>
      </c>
      <c r="AH41" s="145">
        <f t="shared" si="102"/>
        <v>0</v>
      </c>
    </row>
    <row r="42" spans="1:34">
      <c r="A42" s="205"/>
      <c r="B42" s="200" t="s">
        <v>478</v>
      </c>
      <c r="C42" s="140"/>
      <c r="D42" s="140"/>
      <c r="E42" s="146"/>
      <c r="F42" s="146"/>
      <c r="G42" s="203">
        <f t="shared" ref="G42:H42" si="132">H42</f>
        <v>0</v>
      </c>
      <c r="H42" s="203">
        <f t="shared" si="132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0.08</v>
      </c>
      <c r="V42" s="227">
        <f t="shared" si="0"/>
        <v>0</v>
      </c>
      <c r="W42" s="152">
        <f t="shared" si="92"/>
        <v>0</v>
      </c>
      <c r="X42" s="152">
        <f t="shared" si="93"/>
        <v>0</v>
      </c>
      <c r="Y42" s="152">
        <f t="shared" si="94"/>
        <v>0</v>
      </c>
      <c r="Z42" s="152">
        <f t="shared" si="95"/>
        <v>0</v>
      </c>
      <c r="AA42" s="152">
        <f t="shared" si="96"/>
        <v>0</v>
      </c>
      <c r="AB42" s="152">
        <f t="shared" si="97"/>
        <v>0</v>
      </c>
      <c r="AC42" s="152">
        <f t="shared" si="98"/>
        <v>0</v>
      </c>
      <c r="AD42" s="152">
        <f t="shared" si="99"/>
        <v>0</v>
      </c>
      <c r="AE42" s="152">
        <f t="shared" si="100"/>
        <v>0</v>
      </c>
      <c r="AF42" s="137" t="e">
        <f t="shared" si="101"/>
        <v>#DIV/0!</v>
      </c>
      <c r="AG42" s="31">
        <f t="shared" si="16"/>
        <v>0.02</v>
      </c>
      <c r="AH42" s="145">
        <f t="shared" si="102"/>
        <v>0</v>
      </c>
    </row>
    <row r="43" spans="1:34">
      <c r="A43" s="205"/>
      <c r="B43" s="200" t="s">
        <v>477</v>
      </c>
      <c r="C43" s="140"/>
      <c r="D43" s="140"/>
      <c r="E43" s="146"/>
      <c r="F43" s="146"/>
      <c r="G43" s="203">
        <f t="shared" ref="G43:H43" si="133">H43</f>
        <v>0</v>
      </c>
      <c r="H43" s="203">
        <f t="shared" si="133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0.08</v>
      </c>
      <c r="V43" s="227">
        <f t="shared" si="0"/>
        <v>0</v>
      </c>
      <c r="W43" s="152">
        <f t="shared" si="92"/>
        <v>0</v>
      </c>
      <c r="X43" s="152">
        <f t="shared" si="93"/>
        <v>0</v>
      </c>
      <c r="Y43" s="152">
        <f t="shared" si="94"/>
        <v>0</v>
      </c>
      <c r="Z43" s="152">
        <f t="shared" si="95"/>
        <v>0</v>
      </c>
      <c r="AA43" s="152">
        <f t="shared" si="96"/>
        <v>0</v>
      </c>
      <c r="AB43" s="152">
        <f t="shared" si="97"/>
        <v>0</v>
      </c>
      <c r="AC43" s="152">
        <f t="shared" si="98"/>
        <v>0</v>
      </c>
      <c r="AD43" s="152">
        <f t="shared" si="99"/>
        <v>0</v>
      </c>
      <c r="AE43" s="152">
        <f t="shared" si="100"/>
        <v>0</v>
      </c>
      <c r="AF43" s="137" t="e">
        <f t="shared" si="101"/>
        <v>#DIV/0!</v>
      </c>
      <c r="AG43" s="31">
        <f t="shared" si="16"/>
        <v>0.02</v>
      </c>
      <c r="AH43" s="145">
        <f t="shared" si="102"/>
        <v>0</v>
      </c>
    </row>
    <row r="44" spans="1:34">
      <c r="A44" s="205"/>
      <c r="B44" s="200"/>
      <c r="C44" s="140"/>
      <c r="D44" s="140"/>
      <c r="E44" s="146"/>
      <c r="F44" s="146"/>
      <c r="G44" s="149" t="e">
        <f t="shared" ref="G44" si="134">(G43-F43)/F43</f>
        <v>#DIV/0!</v>
      </c>
      <c r="H44" s="149" t="e">
        <f t="shared" ref="H44" si="135">(H43-G43)/G43</f>
        <v>#DIV/0!</v>
      </c>
      <c r="I44" s="149" t="e">
        <f t="shared" ref="I44" si="136">(I43-H43)/H43</f>
        <v>#DIV/0!</v>
      </c>
      <c r="J44" s="149" t="e">
        <f t="shared" ref="J44" si="137">(J43-I43)/I43</f>
        <v>#DIV/0!</v>
      </c>
      <c r="K44" s="149" t="e">
        <f t="shared" ref="K44" si="138">(K43-J43)/J43</f>
        <v>#DIV/0!</v>
      </c>
      <c r="L44" s="149" t="e">
        <f t="shared" ref="L44" si="139">(L43-K43)/K43</f>
        <v>#DIV/0!</v>
      </c>
      <c r="M44" s="149" t="e">
        <f t="shared" ref="M44" si="140">(M43-L43)/L43</f>
        <v>#DIV/0!</v>
      </c>
      <c r="N44" s="149" t="e">
        <f t="shared" ref="N44" si="141">(N43-M43)/M43</f>
        <v>#DIV/0!</v>
      </c>
      <c r="O44" s="149" t="e">
        <f t="shared" ref="O44" si="142">(O43-N43)/N43</f>
        <v>#DIV/0!</v>
      </c>
      <c r="P44" s="149" t="e">
        <f t="shared" ref="P44" si="143">(P43-O43)/O43</f>
        <v>#DIV/0!</v>
      </c>
      <c r="Q44" s="149" t="e">
        <f t="shared" ref="Q44" si="144">(Q43-P43)/P43</f>
        <v>#DIV/0!</v>
      </c>
      <c r="R44" s="149" t="e">
        <f t="shared" ref="R44" si="145">(R43-Q43)/Q43</f>
        <v>#DIV/0!</v>
      </c>
      <c r="S44" s="149" t="e">
        <f t="shared" ref="S44" si="146">(S43-R43)/R43</f>
        <v>#DIV/0!</v>
      </c>
      <c r="T44" s="128"/>
      <c r="U44" s="20"/>
      <c r="V44" s="153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5"/>
      <c r="B45" s="200" t="s">
        <v>218</v>
      </c>
      <c r="C45" s="140"/>
      <c r="D45" s="140"/>
      <c r="E45" s="146"/>
      <c r="F45" s="146"/>
      <c r="G45" s="203">
        <f t="shared" ref="G45:H45" si="147">H45</f>
        <v>0</v>
      </c>
      <c r="H45" s="203">
        <f t="shared" si="147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0.08</v>
      </c>
      <c r="V45" s="227">
        <f t="shared" si="0"/>
        <v>0</v>
      </c>
      <c r="W45" s="152">
        <f t="shared" si="92"/>
        <v>0</v>
      </c>
      <c r="X45" s="152">
        <f t="shared" si="93"/>
        <v>0</v>
      </c>
      <c r="Y45" s="152">
        <f t="shared" si="94"/>
        <v>0</v>
      </c>
      <c r="Z45" s="152">
        <f t="shared" si="95"/>
        <v>0</v>
      </c>
      <c r="AA45" s="152">
        <f t="shared" si="96"/>
        <v>0</v>
      </c>
      <c r="AB45" s="152">
        <f t="shared" si="97"/>
        <v>0</v>
      </c>
      <c r="AC45" s="152">
        <f t="shared" si="98"/>
        <v>0</v>
      </c>
      <c r="AD45" s="152">
        <f t="shared" si="99"/>
        <v>0</v>
      </c>
      <c r="AE45" s="152">
        <f t="shared" si="100"/>
        <v>0</v>
      </c>
      <c r="AF45" s="137" t="e">
        <f t="shared" si="101"/>
        <v>#DIV/0!</v>
      </c>
      <c r="AG45" s="31">
        <f t="shared" si="16"/>
        <v>0.02</v>
      </c>
      <c r="AH45" s="145">
        <f t="shared" si="102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8">(G45-F45)/F45</f>
        <v>#DIV/0!</v>
      </c>
      <c r="H46" s="149" t="e">
        <f t="shared" ref="H46" si="149">(H45-G45)/G45</f>
        <v>#DIV/0!</v>
      </c>
      <c r="I46" s="149" t="e">
        <f t="shared" ref="I46" si="150">(I45-H45)/H45</f>
        <v>#DIV/0!</v>
      </c>
      <c r="J46" s="149" t="e">
        <f t="shared" ref="J46" si="151">(J45-I45)/I45</f>
        <v>#DIV/0!</v>
      </c>
      <c r="K46" s="149" t="e">
        <f t="shared" ref="K46" si="152">(K45-J45)/J45</f>
        <v>#DIV/0!</v>
      </c>
      <c r="L46" s="149" t="e">
        <f t="shared" ref="L46" si="153">(L45-K45)/K45</f>
        <v>#DIV/0!</v>
      </c>
      <c r="M46" s="149" t="e">
        <f t="shared" ref="M46" si="154">(M45-L45)/L45</f>
        <v>#DIV/0!</v>
      </c>
      <c r="N46" s="149" t="e">
        <f t="shared" ref="N46" si="155">(N45-M45)/M45</f>
        <v>#DIV/0!</v>
      </c>
      <c r="O46" s="149" t="e">
        <f t="shared" ref="O46" si="156">(O45-N45)/N45</f>
        <v>#DIV/0!</v>
      </c>
      <c r="P46" s="149" t="e">
        <f t="shared" ref="P46" si="157">(P45-O45)/O45</f>
        <v>#DIV/0!</v>
      </c>
      <c r="Q46" s="149" t="e">
        <f t="shared" ref="Q46" si="158">(Q45-P45)/P45</f>
        <v>#DIV/0!</v>
      </c>
      <c r="R46" s="149" t="e">
        <f t="shared" ref="R46" si="159">(R45-Q45)/Q45</f>
        <v>#DIV/0!</v>
      </c>
      <c r="S46" s="149" t="e">
        <f t="shared" ref="S46" si="160">(S45-R45)/R45</f>
        <v>#DIV/0!</v>
      </c>
      <c r="T46" s="128"/>
      <c r="U46" s="20"/>
      <c r="V46" s="153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491</v>
      </c>
      <c r="C47" s="140"/>
      <c r="D47" s="140"/>
      <c r="E47" s="146"/>
      <c r="F47" s="146"/>
      <c r="G47" s="203">
        <f t="shared" ref="G47:H47" si="161">H47</f>
        <v>0</v>
      </c>
      <c r="H47" s="203">
        <f t="shared" si="161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0.08</v>
      </c>
      <c r="V47" s="227">
        <f t="shared" si="0"/>
        <v>0</v>
      </c>
      <c r="W47" s="152">
        <f t="shared" ref="W47" si="162">V47*(1+$U47)</f>
        <v>0</v>
      </c>
      <c r="X47" s="152">
        <f t="shared" ref="X47" si="163">W47*(1+$U47)</f>
        <v>0</v>
      </c>
      <c r="Y47" s="152">
        <f t="shared" ref="Y47" si="164">X47*(1+$U47)</f>
        <v>0</v>
      </c>
      <c r="Z47" s="152">
        <f t="shared" ref="Z47" si="165">Y47*(1+$U47)</f>
        <v>0</v>
      </c>
      <c r="AA47" s="152">
        <f t="shared" ref="AA47" si="166">Z47*(1+$U47)</f>
        <v>0</v>
      </c>
      <c r="AB47" s="152">
        <f t="shared" ref="AB47" si="167">AA47*(1+$U47)</f>
        <v>0</v>
      </c>
      <c r="AC47" s="152">
        <f t="shared" ref="AC47" si="168">AB47*(1+$U47)</f>
        <v>0</v>
      </c>
      <c r="AD47" s="152">
        <f t="shared" ref="AD47" si="169">AC47*(1+$U47)</f>
        <v>0</v>
      </c>
      <c r="AE47" s="152">
        <f t="shared" ref="AE47" si="170">AD47*(1+$U47)</f>
        <v>0</v>
      </c>
      <c r="AF47" s="137" t="e">
        <f t="shared" ref="AF47" si="171">((AE47/I47)^(1/($AE$3-$J$1) ))-1</f>
        <v>#DIV/0!</v>
      </c>
      <c r="AG47" s="31">
        <f t="shared" si="16"/>
        <v>0.02</v>
      </c>
      <c r="AH47" s="145">
        <f t="shared" si="102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72">(G47-F47)/F47</f>
        <v>#DIV/0!</v>
      </c>
      <c r="H48" s="149" t="e">
        <f t="shared" ref="H48" si="173">(H47-G47)/G47</f>
        <v>#DIV/0!</v>
      </c>
      <c r="I48" s="149" t="e">
        <f t="shared" ref="I48" si="174">(I47-H47)/H47</f>
        <v>#DIV/0!</v>
      </c>
      <c r="J48" s="149" t="e">
        <f t="shared" ref="J48" si="175">(J47-I47)/I47</f>
        <v>#DIV/0!</v>
      </c>
      <c r="K48" s="149" t="e">
        <f t="shared" ref="K48" si="176">(K47-J47)/J47</f>
        <v>#DIV/0!</v>
      </c>
      <c r="L48" s="149" t="e">
        <f t="shared" ref="L48" si="177">(L47-K47)/K47</f>
        <v>#DIV/0!</v>
      </c>
      <c r="M48" s="149" t="e">
        <f t="shared" ref="M48" si="178">(M47-L47)/L47</f>
        <v>#DIV/0!</v>
      </c>
      <c r="N48" s="149" t="e">
        <f t="shared" ref="N48" si="179">(N47-M47)/M47</f>
        <v>#DIV/0!</v>
      </c>
      <c r="O48" s="149" t="e">
        <f t="shared" ref="O48" si="180">(O47-N47)/N47</f>
        <v>#DIV/0!</v>
      </c>
      <c r="P48" s="149" t="e">
        <f t="shared" ref="P48" si="181">(P47-O47)/O47</f>
        <v>#DIV/0!</v>
      </c>
      <c r="Q48" s="149" t="e">
        <f t="shared" ref="Q48" si="182">(Q47-P47)/P47</f>
        <v>#DIV/0!</v>
      </c>
      <c r="R48" s="149" t="e">
        <f t="shared" ref="R48" si="183">(R47-Q47)/Q47</f>
        <v>#DIV/0!</v>
      </c>
      <c r="S48" s="149" t="e">
        <f t="shared" ref="S48" si="184">(S47-R47)/R47</f>
        <v>#DIV/0!</v>
      </c>
      <c r="T48" s="128"/>
      <c r="U48" s="20"/>
      <c r="V48" s="153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481</v>
      </c>
      <c r="C49" s="140"/>
      <c r="D49" s="140"/>
      <c r="E49" s="146"/>
      <c r="F49" s="146"/>
      <c r="G49" s="203">
        <f t="shared" ref="G49:H49" si="185">H49</f>
        <v>0</v>
      </c>
      <c r="H49" s="203">
        <f t="shared" si="185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0.08</v>
      </c>
      <c r="V49" s="227">
        <f t="shared" si="0"/>
        <v>0</v>
      </c>
      <c r="W49" s="152">
        <f t="shared" si="92"/>
        <v>0</v>
      </c>
      <c r="X49" s="152">
        <f t="shared" si="93"/>
        <v>0</v>
      </c>
      <c r="Y49" s="152">
        <f t="shared" si="94"/>
        <v>0</v>
      </c>
      <c r="Z49" s="152">
        <f t="shared" si="95"/>
        <v>0</v>
      </c>
      <c r="AA49" s="152">
        <f t="shared" si="96"/>
        <v>0</v>
      </c>
      <c r="AB49" s="152">
        <f t="shared" si="97"/>
        <v>0</v>
      </c>
      <c r="AC49" s="152">
        <f t="shared" si="98"/>
        <v>0</v>
      </c>
      <c r="AD49" s="152">
        <f t="shared" si="99"/>
        <v>0</v>
      </c>
      <c r="AE49" s="152">
        <f t="shared" si="100"/>
        <v>0</v>
      </c>
      <c r="AF49" s="137" t="e">
        <f t="shared" si="101"/>
        <v>#DIV/0!</v>
      </c>
      <c r="AG49" s="31">
        <f t="shared" si="16"/>
        <v>0.02</v>
      </c>
      <c r="AH49" s="145">
        <f t="shared" si="102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3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220</v>
      </c>
      <c r="H51" s="146">
        <v>200</v>
      </c>
      <c r="I51" s="146">
        <v>241</v>
      </c>
      <c r="J51" s="146">
        <v>437</v>
      </c>
      <c r="K51" s="146">
        <v>438</v>
      </c>
      <c r="L51" s="146">
        <v>704</v>
      </c>
      <c r="M51" s="146">
        <v>835</v>
      </c>
      <c r="N51" s="146">
        <v>814</v>
      </c>
      <c r="O51" s="146">
        <v>1272</v>
      </c>
      <c r="P51" s="203">
        <v>1235</v>
      </c>
      <c r="Q51" s="203">
        <v>1353</v>
      </c>
      <c r="R51" s="203">
        <v>0</v>
      </c>
      <c r="S51" s="203">
        <v>3462</v>
      </c>
      <c r="T51" s="118">
        <f t="shared" si="22"/>
        <v>0.25817784030893232</v>
      </c>
      <c r="U51" s="31">
        <f t="shared" si="6"/>
        <v>0.08</v>
      </c>
      <c r="V51" s="227">
        <f t="shared" si="0"/>
        <v>2423.3999999999996</v>
      </c>
      <c r="W51" s="152">
        <f t="shared" ref="W51" si="186">V51*(1+$U51)</f>
        <v>2617.2719999999999</v>
      </c>
      <c r="X51" s="152">
        <f t="shared" ref="X51" si="187">W51*(1+$U51)</f>
        <v>2826.6537600000001</v>
      </c>
      <c r="Y51" s="152">
        <f t="shared" ref="Y51" si="188">X51*(1+$U51)</f>
        <v>3052.7860608000005</v>
      </c>
      <c r="Z51" s="152">
        <f t="shared" si="40"/>
        <v>3297.0089456640007</v>
      </c>
      <c r="AA51" s="152">
        <f t="shared" si="41"/>
        <v>3560.7696613171211</v>
      </c>
      <c r="AB51" s="152">
        <f t="shared" si="42"/>
        <v>3845.631234222491</v>
      </c>
      <c r="AC51" s="152">
        <f t="shared" si="43"/>
        <v>4153.2817329602904</v>
      </c>
      <c r="AD51" s="152">
        <f t="shared" si="44"/>
        <v>4485.5442715971139</v>
      </c>
      <c r="AE51" s="152">
        <f t="shared" si="45"/>
        <v>4844.3878133248836</v>
      </c>
      <c r="AF51" s="137">
        <f t="shared" si="18"/>
        <v>0.15360780001105212</v>
      </c>
      <c r="AG51" s="31">
        <f t="shared" si="16"/>
        <v>0.02</v>
      </c>
      <c r="AH51" s="145">
        <f t="shared" si="2"/>
        <v>24706.377847956905</v>
      </c>
    </row>
    <row r="52" spans="1:34" s="123" customFormat="1">
      <c r="B52" s="23"/>
      <c r="C52" s="147"/>
      <c r="D52" s="147"/>
      <c r="E52" s="148"/>
      <c r="F52" s="148"/>
      <c r="G52" s="226">
        <f t="shared" ref="G52:O52" si="189">(G51-F51)/G51</f>
        <v>1</v>
      </c>
      <c r="H52" s="226">
        <f t="shared" si="189"/>
        <v>-0.1</v>
      </c>
      <c r="I52" s="226">
        <f t="shared" si="189"/>
        <v>0.17012448132780084</v>
      </c>
      <c r="J52" s="226">
        <f t="shared" si="189"/>
        <v>0.44851258581235698</v>
      </c>
      <c r="K52" s="226">
        <f t="shared" si="189"/>
        <v>2.2831050228310501E-3</v>
      </c>
      <c r="L52" s="226">
        <f t="shared" si="189"/>
        <v>0.37784090909090912</v>
      </c>
      <c r="M52" s="226">
        <f t="shared" si="189"/>
        <v>0.15688622754491019</v>
      </c>
      <c r="N52" s="226">
        <f t="shared" si="189"/>
        <v>-2.5798525798525797E-2</v>
      </c>
      <c r="O52" s="226">
        <f t="shared" si="189"/>
        <v>0.36006289308176098</v>
      </c>
      <c r="P52" s="149">
        <f t="shared" ref="I52:S52" si="190">(P51-O51)/O51</f>
        <v>-2.9088050314465409E-2</v>
      </c>
      <c r="Q52" s="149">
        <f t="shared" si="190"/>
        <v>9.5546558704453444E-2</v>
      </c>
      <c r="R52" s="149">
        <f t="shared" si="190"/>
        <v>-1</v>
      </c>
      <c r="S52" s="149" t="e">
        <f t="shared" si="190"/>
        <v>#DIV/0!</v>
      </c>
      <c r="T52" s="128"/>
      <c r="U52" s="20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396</v>
      </c>
      <c r="C53" s="147"/>
      <c r="D53" s="147"/>
      <c r="E53" s="148"/>
      <c r="F53" s="148"/>
      <c r="G53" s="146">
        <v>168</v>
      </c>
      <c r="H53" s="146">
        <v>44</v>
      </c>
      <c r="I53" s="146">
        <v>99</v>
      </c>
      <c r="J53" s="146">
        <v>259</v>
      </c>
      <c r="K53" s="146">
        <v>199</v>
      </c>
      <c r="L53" s="146">
        <v>396</v>
      </c>
      <c r="M53" s="146">
        <v>536</v>
      </c>
      <c r="N53" s="146">
        <v>893</v>
      </c>
      <c r="O53" s="146">
        <v>843</v>
      </c>
      <c r="P53" s="203">
        <v>1235</v>
      </c>
      <c r="Q53" s="203">
        <v>1353</v>
      </c>
      <c r="R53" s="203">
        <v>0</v>
      </c>
      <c r="S53" s="203">
        <v>3462</v>
      </c>
      <c r="T53" s="118">
        <f t="shared" si="22"/>
        <v>0.28677164350190454</v>
      </c>
      <c r="U53" s="31">
        <f t="shared" si="6"/>
        <v>0.08</v>
      </c>
      <c r="V53" s="227">
        <f t="shared" si="0"/>
        <v>2423.3999999999996</v>
      </c>
      <c r="W53" s="152">
        <f t="shared" ref="W53" si="191">V53*(1+$U53)</f>
        <v>2617.2719999999999</v>
      </c>
      <c r="X53" s="152">
        <f t="shared" ref="X53" si="192">W53*(1+$U53)</f>
        <v>2826.6537600000001</v>
      </c>
      <c r="Y53" s="152">
        <f t="shared" ref="Y53" si="193">X53*(1+$U53)</f>
        <v>3052.7860608000005</v>
      </c>
      <c r="Z53" s="152">
        <f t="shared" ref="Z53" si="194">Y53*(1+$U53)</f>
        <v>3297.0089456640007</v>
      </c>
      <c r="AA53" s="152">
        <f t="shared" ref="AA53" si="195">Z53*(1+$U53)</f>
        <v>3560.7696613171211</v>
      </c>
      <c r="AB53" s="152">
        <f t="shared" ref="AB53" si="196">AA53*(1+$U53)</f>
        <v>3845.631234222491</v>
      </c>
      <c r="AC53" s="152">
        <f t="shared" ref="AC53" si="197">AB53*(1+$U53)</f>
        <v>4153.2817329602904</v>
      </c>
      <c r="AD53" s="152">
        <f t="shared" ref="AD53" si="198">AC53*(1+$U53)</f>
        <v>4485.5442715971139</v>
      </c>
      <c r="AE53" s="152">
        <f t="shared" ref="AE53" si="199">AD53*(1+$U53)</f>
        <v>4844.3878133248836</v>
      </c>
      <c r="AF53" s="137">
        <f t="shared" ref="AF53" si="200">((AE53/I53)^(1/($AE$3-$J$1) ))-1</f>
        <v>0.20353110622501203</v>
      </c>
      <c r="AG53" s="31">
        <f t="shared" si="16"/>
        <v>0.02</v>
      </c>
      <c r="AH53" s="145">
        <f t="shared" ref="AH53" si="201">(AE53*(1+AG53))/($C$1-AG53)</f>
        <v>24706.377847956905</v>
      </c>
    </row>
    <row r="54" spans="1:34" s="123" customFormat="1">
      <c r="B54" s="23"/>
      <c r="C54" s="147"/>
      <c r="D54" s="147"/>
      <c r="E54" s="148"/>
      <c r="F54" s="148"/>
      <c r="G54" s="226">
        <f t="shared" ref="G54:O54" si="202">(G53-F53)/G53</f>
        <v>1</v>
      </c>
      <c r="H54" s="226">
        <f t="shared" si="202"/>
        <v>-2.8181818181818183</v>
      </c>
      <c r="I54" s="226">
        <f t="shared" si="202"/>
        <v>0.55555555555555558</v>
      </c>
      <c r="J54" s="226">
        <f t="shared" si="202"/>
        <v>0.61776061776061775</v>
      </c>
      <c r="K54" s="226">
        <f t="shared" si="202"/>
        <v>-0.30150753768844218</v>
      </c>
      <c r="L54" s="226">
        <f t="shared" si="202"/>
        <v>0.49747474747474746</v>
      </c>
      <c r="M54" s="226">
        <f t="shared" si="202"/>
        <v>0.26119402985074625</v>
      </c>
      <c r="N54" s="226">
        <f t="shared" si="202"/>
        <v>0.39977603583426652</v>
      </c>
      <c r="O54" s="226">
        <f t="shared" si="202"/>
        <v>-5.9311981020166077E-2</v>
      </c>
      <c r="P54" s="149">
        <f t="shared" ref="I54:S54" si="203">(P53-O53)/O53</f>
        <v>0.46500593119810202</v>
      </c>
      <c r="Q54" s="149">
        <f t="shared" si="203"/>
        <v>9.5546558704453444E-2</v>
      </c>
      <c r="R54" s="149">
        <f t="shared" si="203"/>
        <v>-1</v>
      </c>
      <c r="S54" s="149" t="e">
        <f t="shared" si="203"/>
        <v>#DIV/0!</v>
      </c>
      <c r="T54" s="128"/>
      <c r="U54" s="20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397</v>
      </c>
      <c r="C55" s="140"/>
      <c r="D55" s="140"/>
      <c r="E55" s="146"/>
      <c r="F55" s="146"/>
      <c r="G55" s="146">
        <v>118</v>
      </c>
      <c r="H55" s="146">
        <v>29</v>
      </c>
      <c r="I55" s="146">
        <v>79</v>
      </c>
      <c r="J55" s="146">
        <v>170</v>
      </c>
      <c r="K55" s="146">
        <v>143</v>
      </c>
      <c r="L55" s="146">
        <v>251</v>
      </c>
      <c r="M55" s="146">
        <v>357</v>
      </c>
      <c r="N55" s="146">
        <v>619</v>
      </c>
      <c r="O55" s="146">
        <v>580</v>
      </c>
      <c r="P55" s="203">
        <v>808</v>
      </c>
      <c r="Q55" s="203">
        <v>908</v>
      </c>
      <c r="R55" s="203">
        <v>0</v>
      </c>
      <c r="S55" s="203">
        <v>2366</v>
      </c>
      <c r="T55" s="118">
        <f t="shared" si="22"/>
        <v>0.28384046829535858</v>
      </c>
      <c r="U55" s="31">
        <f t="shared" si="6"/>
        <v>0.08</v>
      </c>
      <c r="V55" s="227">
        <f t="shared" si="0"/>
        <v>1656.1999999999998</v>
      </c>
      <c r="W55" s="152">
        <f t="shared" ref="W55:AE55" si="204">V55*(1+$U55)</f>
        <v>1788.6959999999999</v>
      </c>
      <c r="X55" s="152">
        <f t="shared" si="204"/>
        <v>1931.79168</v>
      </c>
      <c r="Y55" s="152">
        <f t="shared" si="204"/>
        <v>2086.3350144000001</v>
      </c>
      <c r="Z55" s="152">
        <f t="shared" si="204"/>
        <v>2253.2418155520004</v>
      </c>
      <c r="AA55" s="152">
        <f t="shared" si="204"/>
        <v>2433.5011607961605</v>
      </c>
      <c r="AB55" s="152">
        <f t="shared" si="204"/>
        <v>2628.1812536598536</v>
      </c>
      <c r="AC55" s="152">
        <f t="shared" si="204"/>
        <v>2838.4357539526422</v>
      </c>
      <c r="AD55" s="152">
        <f t="shared" si="204"/>
        <v>3065.5106142688537</v>
      </c>
      <c r="AE55" s="152">
        <f t="shared" si="204"/>
        <v>3310.7514634103622</v>
      </c>
      <c r="AF55" s="137">
        <f t="shared" si="18"/>
        <v>0.1946820997560279</v>
      </c>
      <c r="AG55" s="31">
        <f t="shared" si="16"/>
        <v>0.02</v>
      </c>
      <c r="AH55" s="145">
        <f t="shared" si="2"/>
        <v>16884.832463392846</v>
      </c>
    </row>
    <row r="56" spans="1:34" s="123" customFormat="1">
      <c r="B56" s="23"/>
      <c r="C56" s="147"/>
      <c r="D56" s="147"/>
      <c r="E56" s="148"/>
      <c r="F56" s="148"/>
      <c r="G56" s="226">
        <f>(G55-F55)/G55</f>
        <v>1</v>
      </c>
      <c r="H56" s="226">
        <f t="shared" ref="H56:O56" si="205">(H55-G55)/H55</f>
        <v>-3.0689655172413794</v>
      </c>
      <c r="I56" s="226">
        <f t="shared" si="205"/>
        <v>0.63291139240506333</v>
      </c>
      <c r="J56" s="226">
        <f t="shared" si="205"/>
        <v>0.53529411764705881</v>
      </c>
      <c r="K56" s="226">
        <f t="shared" si="205"/>
        <v>-0.1888111888111888</v>
      </c>
      <c r="L56" s="226">
        <f t="shared" si="205"/>
        <v>0.4302788844621514</v>
      </c>
      <c r="M56" s="226">
        <f t="shared" si="205"/>
        <v>0.2969187675070028</v>
      </c>
      <c r="N56" s="226">
        <f t="shared" si="205"/>
        <v>0.42326332794830374</v>
      </c>
      <c r="O56" s="226">
        <f t="shared" si="205"/>
        <v>-6.7241379310344823E-2</v>
      </c>
      <c r="P56" s="149">
        <f t="shared" ref="I56:S56" si="206">(P55-O55)/O55</f>
        <v>0.39310344827586208</v>
      </c>
      <c r="Q56" s="149">
        <f t="shared" si="206"/>
        <v>0.12376237623762376</v>
      </c>
      <c r="R56" s="149">
        <f t="shared" si="206"/>
        <v>-1</v>
      </c>
      <c r="S56" s="149" t="e">
        <f t="shared" si="206"/>
        <v>#DIV/0!</v>
      </c>
      <c r="T56" s="128"/>
      <c r="U56" s="20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4">
        <v>0.42</v>
      </c>
      <c r="H57" s="144">
        <v>0.42</v>
      </c>
      <c r="I57" s="144">
        <v>0.42</v>
      </c>
      <c r="J57" s="144">
        <v>0.42</v>
      </c>
      <c r="K57" s="144">
        <v>0.42</v>
      </c>
      <c r="L57" s="144">
        <v>0.42</v>
      </c>
      <c r="M57" s="144">
        <v>0.42</v>
      </c>
      <c r="N57" s="144">
        <v>0.42</v>
      </c>
      <c r="O57" s="144">
        <v>0.42</v>
      </c>
      <c r="P57" s="144">
        <v>0.42</v>
      </c>
      <c r="Q57" s="144">
        <v>0.42</v>
      </c>
      <c r="R57" s="144">
        <v>0</v>
      </c>
      <c r="S57" s="144">
        <v>0.42</v>
      </c>
      <c r="T57" s="118">
        <f t="shared" si="22"/>
        <v>0</v>
      </c>
      <c r="U57" s="31">
        <v>0.02</v>
      </c>
      <c r="V57" s="228">
        <f t="shared" si="0"/>
        <v>0.29399999999999998</v>
      </c>
      <c r="W57" s="139">
        <f>V57*(1+$U57)</f>
        <v>0.29987999999999998</v>
      </c>
      <c r="X57" s="139">
        <f t="shared" ref="X57:AE57" si="207">W57*(1+$U57)</f>
        <v>0.30587759999999997</v>
      </c>
      <c r="Y57" s="139">
        <f t="shared" si="207"/>
        <v>0.311995152</v>
      </c>
      <c r="Z57" s="139">
        <f t="shared" si="207"/>
        <v>0.31823505503999999</v>
      </c>
      <c r="AA57" s="139">
        <f t="shared" si="207"/>
        <v>0.3245997561408</v>
      </c>
      <c r="AB57" s="139">
        <f t="shared" si="207"/>
        <v>0.33109175126361601</v>
      </c>
      <c r="AC57" s="139">
        <f t="shared" si="207"/>
        <v>0.33771358628888831</v>
      </c>
      <c r="AD57" s="139">
        <f t="shared" si="207"/>
        <v>0.34446785801466606</v>
      </c>
      <c r="AE57" s="139">
        <f t="shared" si="207"/>
        <v>0.35135721517495938</v>
      </c>
      <c r="AF57" s="137">
        <f t="shared" si="18"/>
        <v>-8.4616776335773025E-3</v>
      </c>
      <c r="AG57" s="31">
        <f t="shared" si="16"/>
        <v>0.02</v>
      </c>
      <c r="AH57" s="145">
        <f t="shared" si="2"/>
        <v>1.791921797392293</v>
      </c>
    </row>
    <row r="58" spans="1:34">
      <c r="B58" s="20"/>
      <c r="C58" s="141"/>
      <c r="D58" s="141"/>
      <c r="E58" s="142"/>
      <c r="F58" s="142"/>
      <c r="G58" s="226">
        <f>(G57-F57)/G57</f>
        <v>1</v>
      </c>
      <c r="H58" s="226">
        <f t="shared" ref="H58:O58" si="208">(H57-G57)/H57</f>
        <v>0</v>
      </c>
      <c r="I58" s="226">
        <f t="shared" si="208"/>
        <v>0</v>
      </c>
      <c r="J58" s="226">
        <f t="shared" si="208"/>
        <v>0</v>
      </c>
      <c r="K58" s="226">
        <f t="shared" si="208"/>
        <v>0</v>
      </c>
      <c r="L58" s="226">
        <f t="shared" si="208"/>
        <v>0</v>
      </c>
      <c r="M58" s="226">
        <f t="shared" si="208"/>
        <v>0</v>
      </c>
      <c r="N58" s="226">
        <f t="shared" si="208"/>
        <v>0</v>
      </c>
      <c r="O58" s="226">
        <f t="shared" si="208"/>
        <v>0</v>
      </c>
      <c r="P58" s="149">
        <f t="shared" ref="I58:S58" si="209">(P57-O57)/O57</f>
        <v>0</v>
      </c>
      <c r="Q58" s="149">
        <f t="shared" si="209"/>
        <v>0</v>
      </c>
      <c r="R58" s="149">
        <f t="shared" si="209"/>
        <v>-1</v>
      </c>
      <c r="S58" s="149" t="e">
        <f t="shared" si="209"/>
        <v>#DIV/0!</v>
      </c>
      <c r="T58" s="128"/>
      <c r="U58" s="20"/>
      <c r="V58" s="153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4">
        <v>20</v>
      </c>
      <c r="H59" s="144">
        <v>20</v>
      </c>
      <c r="I59" s="144">
        <v>20</v>
      </c>
      <c r="J59" s="144">
        <v>20</v>
      </c>
      <c r="K59" s="144">
        <v>20</v>
      </c>
      <c r="L59" s="144">
        <v>25</v>
      </c>
      <c r="M59" s="144">
        <v>50</v>
      </c>
      <c r="N59" s="144">
        <v>25</v>
      </c>
      <c r="O59" s="144">
        <v>25</v>
      </c>
      <c r="P59" s="203">
        <v>30</v>
      </c>
      <c r="Q59" s="203">
        <v>50</v>
      </c>
      <c r="R59" s="203">
        <v>0</v>
      </c>
      <c r="S59" s="203">
        <v>100</v>
      </c>
      <c r="T59" s="118">
        <f t="shared" si="22"/>
        <v>0.14352983608292025</v>
      </c>
      <c r="U59" s="31">
        <f>R1</f>
        <v>0.05</v>
      </c>
      <c r="V59" s="227">
        <f t="shared" si="0"/>
        <v>70</v>
      </c>
      <c r="W59" s="152">
        <f t="shared" ref="W59" si="210">V59*(1+$U59)</f>
        <v>73.5</v>
      </c>
      <c r="X59" s="152">
        <f t="shared" ref="X59" si="211">W59*(1+$U59)</f>
        <v>77.174999999999997</v>
      </c>
      <c r="Y59" s="152">
        <f t="shared" ref="Y59" si="212">X59*(1+$U59)</f>
        <v>81.033749999999998</v>
      </c>
      <c r="Z59" s="152">
        <f t="shared" ref="Z59" si="213">Y59*(1+$U59)</f>
        <v>85.085437499999998</v>
      </c>
      <c r="AA59" s="152">
        <f t="shared" ref="AA59" si="214">Z59*(1+$U59)</f>
        <v>89.339709374999998</v>
      </c>
      <c r="AB59" s="152">
        <f t="shared" ref="AB59" si="215">AA59*(1+$U59)</f>
        <v>93.806694843750009</v>
      </c>
      <c r="AC59" s="152">
        <f t="shared" ref="AC59" si="216">AB59*(1+$U59)</f>
        <v>98.497029585937511</v>
      </c>
      <c r="AD59" s="152">
        <f t="shared" ref="AD59" si="217">AC59*(1+$U59)</f>
        <v>103.42188106523439</v>
      </c>
      <c r="AE59" s="152">
        <f t="shared" ref="AE59" si="218">AD59*(1+$U59)</f>
        <v>108.59297511849611</v>
      </c>
      <c r="AF59" s="137">
        <f t="shared" ref="AF59" si="219">((AE59/I59)^(1/($AE$3-$J$1) ))-1</f>
        <v>8.3899785356302825E-2</v>
      </c>
      <c r="AG59" s="31">
        <f t="shared" si="16"/>
        <v>0.02</v>
      </c>
      <c r="AH59" s="145">
        <f t="shared" si="2"/>
        <v>553.82417310433016</v>
      </c>
    </row>
    <row r="60" spans="1:34">
      <c r="B60" s="20"/>
      <c r="C60" s="144"/>
      <c r="D60" s="144"/>
      <c r="E60" s="144"/>
      <c r="F60" s="144"/>
      <c r="G60" s="149" t="e">
        <f t="shared" ref="G60:O60" si="220">(G59-F59)/F59</f>
        <v>#DIV/0!</v>
      </c>
      <c r="H60" s="149">
        <f t="shared" si="220"/>
        <v>0</v>
      </c>
      <c r="I60" s="149">
        <f t="shared" si="220"/>
        <v>0</v>
      </c>
      <c r="J60" s="149">
        <f t="shared" si="220"/>
        <v>0</v>
      </c>
      <c r="K60" s="149">
        <f t="shared" si="220"/>
        <v>0</v>
      </c>
      <c r="L60" s="149">
        <f t="shared" si="220"/>
        <v>0.25</v>
      </c>
      <c r="M60" s="149">
        <f t="shared" si="220"/>
        <v>1</v>
      </c>
      <c r="N60" s="149">
        <f t="shared" si="220"/>
        <v>-0.5</v>
      </c>
      <c r="O60" s="149">
        <f t="shared" si="220"/>
        <v>0</v>
      </c>
      <c r="P60" s="149">
        <f t="shared" ref="I60:S60" si="221">(P59-O59)/O59</f>
        <v>0.2</v>
      </c>
      <c r="Q60" s="149">
        <f t="shared" si="221"/>
        <v>0.66666666666666663</v>
      </c>
      <c r="R60" s="149">
        <f t="shared" si="221"/>
        <v>-1</v>
      </c>
      <c r="S60" s="149" t="e">
        <f t="shared" si="221"/>
        <v>#DIV/0!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422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420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421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2">G25/G57</f>
        <v>5497.6190476190477</v>
      </c>
      <c r="H66" s="133">
        <f t="shared" si="222"/>
        <v>6130.9523809523807</v>
      </c>
      <c r="I66" s="133">
        <f t="shared" ref="I66:R66" si="223">I25/I57</f>
        <v>9002.3809523809523</v>
      </c>
      <c r="J66" s="133">
        <f t="shared" si="223"/>
        <v>10719.04761904762</v>
      </c>
      <c r="K66" s="133">
        <f t="shared" si="223"/>
        <v>12266.666666666668</v>
      </c>
      <c r="L66" s="133">
        <f t="shared" si="223"/>
        <v>13050</v>
      </c>
      <c r="M66" s="133">
        <f t="shared" si="223"/>
        <v>18216.666666666668</v>
      </c>
      <c r="N66" s="133">
        <f t="shared" si="223"/>
        <v>24945.238095238095</v>
      </c>
      <c r="O66" s="133">
        <f t="shared" si="223"/>
        <v>28635.714285714286</v>
      </c>
      <c r="P66" s="133">
        <f t="shared" si="223"/>
        <v>29221.428571428572</v>
      </c>
      <c r="Q66" s="133">
        <f t="shared" si="223"/>
        <v>31895.238095238095</v>
      </c>
      <c r="R66" s="133" t="e">
        <f t="shared" si="223"/>
        <v>#DIV/0!</v>
      </c>
      <c r="S66" s="133">
        <f t="shared" ref="S66" si="224">S25/S57</f>
        <v>49354.761904761908</v>
      </c>
      <c r="T66" s="118">
        <f t="shared" ref="T66:T68" si="225">((S66/G66)^(1/($J$2-$J$1) ))-1</f>
        <v>0.20068624355790488</v>
      </c>
      <c r="U66" s="128"/>
      <c r="V66" s="156">
        <f t="shared" ref="V66:AE66" si="226">V25/V57</f>
        <v>49354.761904761908</v>
      </c>
      <c r="W66" s="156">
        <f t="shared" si="226"/>
        <v>52257.983193277316</v>
      </c>
      <c r="X66" s="156">
        <f t="shared" si="226"/>
        <v>55331.982204646571</v>
      </c>
      <c r="Y66" s="156">
        <f t="shared" si="226"/>
        <v>58586.804687272837</v>
      </c>
      <c r="Z66" s="156">
        <f t="shared" si="226"/>
        <v>62033.087315935954</v>
      </c>
      <c r="AA66" s="156">
        <f t="shared" si="226"/>
        <v>65682.092452167475</v>
      </c>
      <c r="AB66" s="156">
        <f t="shared" si="226"/>
        <v>69545.744949353815</v>
      </c>
      <c r="AC66" s="156">
        <f t="shared" si="226"/>
        <v>73636.671122845219</v>
      </c>
      <c r="AD66" s="156">
        <f t="shared" si="226"/>
        <v>77968.240012424358</v>
      </c>
      <c r="AE66" s="156">
        <f t="shared" si="226"/>
        <v>82554.607071978739</v>
      </c>
      <c r="AF66" s="137">
        <f t="shared" ref="AF66" si="227">((AE66/I66)^(1/($AE$3-$J$1) ))-1</f>
        <v>0.11129102286327619</v>
      </c>
      <c r="AG66" s="31">
        <f t="shared" si="16"/>
        <v>0.02</v>
      </c>
      <c r="AH66" s="145">
        <f t="shared" ref="AH66:AH67" si="228">(AE66*(1+AG66))/($C$1-AG66)</f>
        <v>421028.49606709153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29">G27/G57</f>
        <v>4783.3333333333339</v>
      </c>
      <c r="H67" s="133">
        <f t="shared" si="229"/>
        <v>5723.8095238095239</v>
      </c>
      <c r="I67" s="133">
        <f t="shared" ref="I67:R67" si="230">I27/I57</f>
        <v>8292.8571428571431</v>
      </c>
      <c r="J67" s="133">
        <f t="shared" si="230"/>
        <v>9616.6666666666679</v>
      </c>
      <c r="K67" s="133">
        <f t="shared" si="230"/>
        <v>11228.571428571429</v>
      </c>
      <c r="L67" s="133">
        <f t="shared" si="230"/>
        <v>11345.238095238095</v>
      </c>
      <c r="M67" s="133">
        <f t="shared" si="230"/>
        <v>16166.666666666668</v>
      </c>
      <c r="N67" s="133">
        <f t="shared" si="230"/>
        <v>22007.142857142859</v>
      </c>
      <c r="O67" s="133">
        <f t="shared" si="230"/>
        <v>25530.952380952382</v>
      </c>
      <c r="P67" s="133">
        <f t="shared" si="230"/>
        <v>26559.523809523809</v>
      </c>
      <c r="Q67" s="133">
        <f t="shared" si="230"/>
        <v>26278.571428571431</v>
      </c>
      <c r="R67" s="133" t="e">
        <f t="shared" si="230"/>
        <v>#DIV/0!</v>
      </c>
      <c r="S67" s="133">
        <f t="shared" ref="S67" si="231">S27/S57</f>
        <v>41109.523809523809</v>
      </c>
      <c r="T67" s="118">
        <f t="shared" si="225"/>
        <v>0.19632997184199508</v>
      </c>
      <c r="U67" s="128"/>
      <c r="V67" s="156">
        <f t="shared" ref="V67:AE67" si="232">V27/V57</f>
        <v>41109.523809523809</v>
      </c>
      <c r="W67" s="156">
        <f t="shared" si="232"/>
        <v>43527.731092436974</v>
      </c>
      <c r="X67" s="156">
        <f t="shared" si="232"/>
        <v>46088.185862580329</v>
      </c>
      <c r="Y67" s="156">
        <f t="shared" si="232"/>
        <v>48799.255619202704</v>
      </c>
      <c r="Z67" s="156">
        <f t="shared" si="232"/>
        <v>51669.800067391108</v>
      </c>
      <c r="AA67" s="156">
        <f t="shared" si="232"/>
        <v>54709.200071355292</v>
      </c>
      <c r="AB67" s="156">
        <f t="shared" si="232"/>
        <v>57927.388310846785</v>
      </c>
      <c r="AC67" s="156">
        <f t="shared" si="232"/>
        <v>61334.881740896599</v>
      </c>
      <c r="AD67" s="156">
        <f t="shared" si="232"/>
        <v>64942.815960949338</v>
      </c>
      <c r="AE67" s="156">
        <f t="shared" si="232"/>
        <v>68762.981605711073</v>
      </c>
      <c r="AF67" s="137">
        <f t="shared" ref="AF67" si="233">((AE67/I67)^(1/($AE$3-$J$1) ))-1</f>
        <v>0.10597487922728654</v>
      </c>
      <c r="AG67" s="31">
        <f t="shared" si="16"/>
        <v>0.02</v>
      </c>
      <c r="AH67" s="145">
        <f t="shared" si="228"/>
        <v>350691.20618912642</v>
      </c>
    </row>
    <row r="68" spans="2:34">
      <c r="B68" s="20" t="s">
        <v>423</v>
      </c>
      <c r="C68" s="133"/>
      <c r="D68" s="133"/>
      <c r="E68" s="133"/>
      <c r="F68" s="133"/>
      <c r="G68" s="133">
        <f t="shared" ref="G68:H68" si="234">G53-G55</f>
        <v>50</v>
      </c>
      <c r="H68" s="133">
        <f t="shared" si="234"/>
        <v>15</v>
      </c>
      <c r="I68" s="133">
        <f>I53-I55</f>
        <v>20</v>
      </c>
      <c r="J68" s="133">
        <f t="shared" ref="J68:R68" si="235">J53-J55</f>
        <v>89</v>
      </c>
      <c r="K68" s="133">
        <f t="shared" si="235"/>
        <v>56</v>
      </c>
      <c r="L68" s="133">
        <f t="shared" si="235"/>
        <v>145</v>
      </c>
      <c r="M68" s="133">
        <f t="shared" si="235"/>
        <v>179</v>
      </c>
      <c r="N68" s="133">
        <f t="shared" si="235"/>
        <v>274</v>
      </c>
      <c r="O68" s="133">
        <f t="shared" si="235"/>
        <v>263</v>
      </c>
      <c r="P68" s="133">
        <f t="shared" si="235"/>
        <v>427</v>
      </c>
      <c r="Q68" s="133">
        <f t="shared" si="235"/>
        <v>445</v>
      </c>
      <c r="R68" s="133">
        <f t="shared" si="235"/>
        <v>0</v>
      </c>
      <c r="S68" s="133">
        <f t="shared" ref="S68" si="236">S53-S55</f>
        <v>1096</v>
      </c>
      <c r="T68" s="118">
        <f t="shared" si="225"/>
        <v>0.29341148347221879</v>
      </c>
      <c r="U68" s="128"/>
      <c r="V68" s="133">
        <f t="shared" ref="V68:AE68" si="237">V53-V55</f>
        <v>767.19999999999982</v>
      </c>
      <c r="W68" s="133">
        <f t="shared" si="237"/>
        <v>828.57600000000002</v>
      </c>
      <c r="X68" s="133">
        <f t="shared" si="237"/>
        <v>894.86208000000011</v>
      </c>
      <c r="Y68" s="133">
        <f t="shared" si="237"/>
        <v>966.45104640000045</v>
      </c>
      <c r="Z68" s="133">
        <f t="shared" si="237"/>
        <v>1043.7671301120004</v>
      </c>
      <c r="AA68" s="133">
        <f t="shared" si="237"/>
        <v>1127.2685005209605</v>
      </c>
      <c r="AB68" s="133">
        <f t="shared" si="237"/>
        <v>1217.4499805626374</v>
      </c>
      <c r="AC68" s="133">
        <f t="shared" si="237"/>
        <v>1314.8459790076481</v>
      </c>
      <c r="AD68" s="133">
        <f t="shared" si="237"/>
        <v>1420.0336573282602</v>
      </c>
      <c r="AE68" s="133">
        <f t="shared" si="237"/>
        <v>1533.6363499145214</v>
      </c>
      <c r="AF68" s="137">
        <f t="shared" ref="AF68" si="238">((AE68/I68)^(1/($AE$3-$J$1) ))-1</f>
        <v>0.22955300922514565</v>
      </c>
      <c r="AG68" s="31">
        <f t="shared" si="16"/>
        <v>0.02</v>
      </c>
      <c r="AH68" s="145">
        <f t="shared" ref="AH68" si="239">(AE68*(1+AG68))/($C$1-AG68)</f>
        <v>7821.5453845640586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458</v>
      </c>
      <c r="C70" s="133"/>
      <c r="D70" s="133"/>
      <c r="E70" s="133"/>
      <c r="F70" s="133"/>
      <c r="G70" s="25">
        <f t="shared" ref="G70:H70" si="240">G51/G57</f>
        <v>523.80952380952385</v>
      </c>
      <c r="H70" s="25">
        <f t="shared" si="240"/>
        <v>476.1904761904762</v>
      </c>
      <c r="I70" s="25">
        <f t="shared" ref="I70:R70" si="241">I51/I57</f>
        <v>573.80952380952385</v>
      </c>
      <c r="J70" s="25">
        <f t="shared" si="241"/>
        <v>1040.4761904761906</v>
      </c>
      <c r="K70" s="25">
        <f t="shared" si="241"/>
        <v>1042.8571428571429</v>
      </c>
      <c r="L70" s="25">
        <f t="shared" si="241"/>
        <v>1676.1904761904761</v>
      </c>
      <c r="M70" s="25">
        <f t="shared" si="241"/>
        <v>1988.0952380952381</v>
      </c>
      <c r="N70" s="25">
        <f t="shared" si="241"/>
        <v>1938.0952380952381</v>
      </c>
      <c r="O70" s="25">
        <f t="shared" si="241"/>
        <v>3028.5714285714289</v>
      </c>
      <c r="P70" s="25">
        <f t="shared" si="241"/>
        <v>2940.4761904761904</v>
      </c>
      <c r="Q70" s="25">
        <f t="shared" si="241"/>
        <v>3221.4285714285716</v>
      </c>
      <c r="R70" s="25" t="e">
        <f t="shared" si="241"/>
        <v>#DIV/0!</v>
      </c>
      <c r="S70" s="25">
        <f>S51/S57</f>
        <v>8242.8571428571431</v>
      </c>
      <c r="T70" s="118">
        <f t="shared" ref="T70:T134" si="242">((S70/G70)^(1/($J$2-$J$1) ))-1</f>
        <v>0.25817784030893232</v>
      </c>
      <c r="U70" s="128"/>
      <c r="V70" s="112">
        <f>V51/V57</f>
        <v>8242.8571428571413</v>
      </c>
      <c r="W70" s="112">
        <f t="shared" ref="W70:AE70" si="243">W51/W57</f>
        <v>8727.7310924369758</v>
      </c>
      <c r="X70" s="112">
        <f t="shared" si="243"/>
        <v>9241.1270390509162</v>
      </c>
      <c r="Y70" s="112">
        <f t="shared" si="243"/>
        <v>9784.7227472303821</v>
      </c>
      <c r="Z70" s="112">
        <f t="shared" si="243"/>
        <v>10360.294673538052</v>
      </c>
      <c r="AA70" s="112">
        <f t="shared" si="243"/>
        <v>10969.723771981468</v>
      </c>
      <c r="AB70" s="112">
        <f t="shared" si="243"/>
        <v>11615.001640921555</v>
      </c>
      <c r="AC70" s="112">
        <f t="shared" si="243"/>
        <v>12298.237031564</v>
      </c>
      <c r="AD70" s="112">
        <f t="shared" si="243"/>
        <v>13021.662739303059</v>
      </c>
      <c r="AE70" s="112">
        <f t="shared" si="243"/>
        <v>13787.642900438535</v>
      </c>
      <c r="AF70" s="137">
        <f t="shared" ref="AF70:AF71" si="244">((AE70/I70)^(1/($AE$3-$J$1) ))-1</f>
        <v>0.16345256052013335</v>
      </c>
      <c r="AG70" s="31">
        <f t="shared" si="16"/>
        <v>0.02</v>
      </c>
      <c r="AH70" s="145">
        <f t="shared" ref="AH70:AH71" si="245">(AE70*(1+AG70))/($C$1-AG70)</f>
        <v>70316.978792236521</v>
      </c>
    </row>
    <row r="71" spans="2:34">
      <c r="B71" s="20" t="s">
        <v>459</v>
      </c>
      <c r="C71" s="133"/>
      <c r="D71" s="133"/>
      <c r="E71" s="133"/>
      <c r="F71" s="133"/>
      <c r="G71" s="25">
        <f t="shared" ref="G71:H71" si="246">G53/G57</f>
        <v>400</v>
      </c>
      <c r="H71" s="25">
        <f t="shared" si="246"/>
        <v>104.76190476190476</v>
      </c>
      <c r="I71" s="25">
        <f t="shared" ref="I71:R71" si="247">I53/I57</f>
        <v>235.71428571428572</v>
      </c>
      <c r="J71" s="25">
        <f t="shared" si="247"/>
        <v>616.66666666666674</v>
      </c>
      <c r="K71" s="25">
        <f t="shared" si="247"/>
        <v>473.80952380952385</v>
      </c>
      <c r="L71" s="25">
        <f t="shared" si="247"/>
        <v>942.85714285714289</v>
      </c>
      <c r="M71" s="25">
        <f t="shared" si="247"/>
        <v>1276.1904761904761</v>
      </c>
      <c r="N71" s="25">
        <f t="shared" si="247"/>
        <v>2126.1904761904761</v>
      </c>
      <c r="O71" s="25">
        <f t="shared" si="247"/>
        <v>2007.1428571428571</v>
      </c>
      <c r="P71" s="25">
        <f t="shared" si="247"/>
        <v>2940.4761904761904</v>
      </c>
      <c r="Q71" s="25">
        <f t="shared" si="247"/>
        <v>3221.4285714285716</v>
      </c>
      <c r="R71" s="25" t="e">
        <f t="shared" si="247"/>
        <v>#DIV/0!</v>
      </c>
      <c r="S71" s="25">
        <f>S53/S57</f>
        <v>8242.8571428571431</v>
      </c>
      <c r="T71" s="118">
        <f t="shared" si="242"/>
        <v>0.28677164350190454</v>
      </c>
      <c r="U71" s="128"/>
      <c r="V71" s="112">
        <f>V53/V57</f>
        <v>8242.8571428571413</v>
      </c>
      <c r="W71" s="112">
        <f t="shared" ref="W71:AE71" si="248">W53/W57</f>
        <v>8727.7310924369758</v>
      </c>
      <c r="X71" s="112">
        <f t="shared" si="248"/>
        <v>9241.1270390509162</v>
      </c>
      <c r="Y71" s="112">
        <f t="shared" si="248"/>
        <v>9784.7227472303821</v>
      </c>
      <c r="Z71" s="112">
        <f t="shared" si="248"/>
        <v>10360.294673538052</v>
      </c>
      <c r="AA71" s="112">
        <f t="shared" si="248"/>
        <v>10969.723771981468</v>
      </c>
      <c r="AB71" s="112">
        <f t="shared" si="248"/>
        <v>11615.001640921555</v>
      </c>
      <c r="AC71" s="112">
        <f t="shared" si="248"/>
        <v>12298.237031564</v>
      </c>
      <c r="AD71" s="112">
        <f t="shared" si="248"/>
        <v>13021.662739303059</v>
      </c>
      <c r="AE71" s="112">
        <f t="shared" si="248"/>
        <v>13787.642900438535</v>
      </c>
      <c r="AF71" s="137">
        <f t="shared" si="244"/>
        <v>0.21380190667027721</v>
      </c>
      <c r="AG71" s="31">
        <f t="shared" si="16"/>
        <v>0.02</v>
      </c>
      <c r="AH71" s="145">
        <f t="shared" si="245"/>
        <v>70316.978792236521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49">G55/G57</f>
        <v>280.95238095238096</v>
      </c>
      <c r="H72" s="133">
        <f t="shared" si="249"/>
        <v>69.047619047619051</v>
      </c>
      <c r="I72" s="133">
        <f t="shared" ref="I72:R72" si="250">I55/I57</f>
        <v>188.0952380952381</v>
      </c>
      <c r="J72" s="133">
        <f t="shared" si="250"/>
        <v>404.76190476190476</v>
      </c>
      <c r="K72" s="133">
        <f t="shared" si="250"/>
        <v>340.47619047619048</v>
      </c>
      <c r="L72" s="133">
        <f t="shared" si="250"/>
        <v>597.61904761904759</v>
      </c>
      <c r="M72" s="133">
        <f t="shared" si="250"/>
        <v>850</v>
      </c>
      <c r="N72" s="133">
        <f t="shared" si="250"/>
        <v>1473.8095238095239</v>
      </c>
      <c r="O72" s="133">
        <f t="shared" si="250"/>
        <v>1380.952380952381</v>
      </c>
      <c r="P72" s="133">
        <f t="shared" si="250"/>
        <v>1923.8095238095239</v>
      </c>
      <c r="Q72" s="133">
        <f t="shared" si="250"/>
        <v>2161.9047619047619</v>
      </c>
      <c r="R72" s="133" t="e">
        <f t="shared" si="250"/>
        <v>#DIV/0!</v>
      </c>
      <c r="S72" s="133">
        <f t="shared" ref="S72" si="251">S55/S57</f>
        <v>5633.3333333333339</v>
      </c>
      <c r="T72" s="118">
        <f t="shared" si="242"/>
        <v>0.28384046829535858</v>
      </c>
      <c r="U72" s="128"/>
      <c r="V72" s="156">
        <f t="shared" ref="V72:AE72" si="252">V55/V57</f>
        <v>5633.333333333333</v>
      </c>
      <c r="W72" s="156">
        <f t="shared" si="252"/>
        <v>5964.7058823529414</v>
      </c>
      <c r="X72" s="156">
        <f t="shared" si="252"/>
        <v>6315.5709342560558</v>
      </c>
      <c r="Y72" s="156">
        <f t="shared" si="252"/>
        <v>6687.0751068593527</v>
      </c>
      <c r="Z72" s="156">
        <f t="shared" si="252"/>
        <v>7080.4324660863749</v>
      </c>
      <c r="AA72" s="156">
        <f t="shared" si="252"/>
        <v>7496.928493503221</v>
      </c>
      <c r="AB72" s="156">
        <f t="shared" si="252"/>
        <v>7937.9242872387049</v>
      </c>
      <c r="AC72" s="156">
        <f t="shared" si="252"/>
        <v>8404.8610100174537</v>
      </c>
      <c r="AD72" s="156">
        <f t="shared" si="252"/>
        <v>8899.2645988420099</v>
      </c>
      <c r="AE72" s="156">
        <f t="shared" si="252"/>
        <v>9422.7507517150698</v>
      </c>
      <c r="AF72" s="137">
        <f t="shared" ref="AF72:AF86" si="253">((AE72/I72)^(1/($AE$3-$J$1) ))-1</f>
        <v>0.20487738376543896</v>
      </c>
      <c r="AG72" s="31">
        <f t="shared" si="16"/>
        <v>0.02</v>
      </c>
      <c r="AH72" s="145">
        <f t="shared" ref="AH72:AH100" si="254">(AE72*(1+AG72))/($C$1-AG72)</f>
        <v>48056.028833746859</v>
      </c>
    </row>
    <row r="73" spans="2:34">
      <c r="B73" s="20" t="s">
        <v>384</v>
      </c>
      <c r="C73" s="133"/>
      <c r="D73" s="133"/>
      <c r="E73" s="133"/>
      <c r="F73" s="133"/>
      <c r="G73" s="133">
        <f t="shared" ref="G73:H73" si="255">G20/G57</f>
        <v>238.0952380952381</v>
      </c>
      <c r="H73" s="133">
        <f t="shared" si="255"/>
        <v>147.61904761904762</v>
      </c>
      <c r="I73" s="133">
        <f>I20/I57</f>
        <v>654.76190476190482</v>
      </c>
      <c r="J73" s="133">
        <f t="shared" ref="J73:R73" si="256">J20/J57</f>
        <v>728.57142857142856</v>
      </c>
      <c r="K73" s="133">
        <f t="shared" si="256"/>
        <v>640.47619047619048</v>
      </c>
      <c r="L73" s="133">
        <f t="shared" si="256"/>
        <v>2052.3809523809523</v>
      </c>
      <c r="M73" s="133">
        <f t="shared" si="256"/>
        <v>373.8095238095238</v>
      </c>
      <c r="N73" s="133">
        <f t="shared" si="256"/>
        <v>659.52380952380952</v>
      </c>
      <c r="O73" s="133">
        <f t="shared" si="256"/>
        <v>2433.3333333333335</v>
      </c>
      <c r="P73" s="133">
        <f t="shared" si="256"/>
        <v>2919.0476190476193</v>
      </c>
      <c r="Q73" s="133">
        <f t="shared" si="256"/>
        <v>3964.2857142857142</v>
      </c>
      <c r="R73" s="133" t="e">
        <f t="shared" si="256"/>
        <v>#DIV/0!</v>
      </c>
      <c r="S73" s="133">
        <f t="shared" ref="S73" si="257">S20/S57</f>
        <v>3964.2857142857142</v>
      </c>
      <c r="T73" s="118">
        <f t="shared" si="242"/>
        <v>0.26410898969954655</v>
      </c>
      <c r="U73" s="128"/>
      <c r="V73" s="133">
        <f t="shared" ref="V73:AE73" si="258">V20/V57</f>
        <v>3964.2857142857147</v>
      </c>
      <c r="W73" s="133">
        <f t="shared" si="258"/>
        <v>4197.4789915966394</v>
      </c>
      <c r="X73" s="133">
        <f t="shared" si="258"/>
        <v>4444.3895205140889</v>
      </c>
      <c r="Y73" s="133">
        <f t="shared" si="258"/>
        <v>4705.824198191387</v>
      </c>
      <c r="Z73" s="133">
        <f t="shared" si="258"/>
        <v>4982.6373863202934</v>
      </c>
      <c r="AA73" s="133">
        <f t="shared" si="258"/>
        <v>5275.7337031626639</v>
      </c>
      <c r="AB73" s="133">
        <f t="shared" si="258"/>
        <v>5586.0709798192911</v>
      </c>
      <c r="AC73" s="133">
        <f t="shared" si="258"/>
        <v>5914.6633903968968</v>
      </c>
      <c r="AD73" s="133">
        <f t="shared" si="258"/>
        <v>6262.5847663025979</v>
      </c>
      <c r="AE73" s="133">
        <f t="shared" si="258"/>
        <v>6630.9721054968695</v>
      </c>
      <c r="AF73" s="137">
        <f t="shared" ref="AF73" si="259">((AE73/I73)^(1/($AE$3-$J$1) ))-1</f>
        <v>0.11655637888078996</v>
      </c>
      <c r="AG73" s="31">
        <f t="shared" si="16"/>
        <v>0.02</v>
      </c>
      <c r="AH73" s="145">
        <f t="shared" si="254"/>
        <v>33817.957738034034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60">G7/G57</f>
        <v>1676.1904761904761</v>
      </c>
      <c r="H74" s="133">
        <f t="shared" si="260"/>
        <v>1721.4285714285716</v>
      </c>
      <c r="I74" s="133">
        <f t="shared" ref="I74:R74" si="261">I7/I57</f>
        <v>1961.9047619047619</v>
      </c>
      <c r="J74" s="133">
        <f t="shared" si="261"/>
        <v>2340.4761904761904</v>
      </c>
      <c r="K74" s="133">
        <f t="shared" si="261"/>
        <v>2659.5238095238096</v>
      </c>
      <c r="L74" s="133">
        <f t="shared" si="261"/>
        <v>3226.1904761904761</v>
      </c>
      <c r="M74" s="133">
        <f t="shared" si="261"/>
        <v>4019.0476190476193</v>
      </c>
      <c r="N74" s="133">
        <f t="shared" si="261"/>
        <v>5461.9047619047624</v>
      </c>
      <c r="O74" s="133">
        <f t="shared" si="261"/>
        <v>6811.9047619047624</v>
      </c>
      <c r="P74" s="133">
        <f t="shared" si="261"/>
        <v>8702.3809523809523</v>
      </c>
      <c r="Q74" s="133">
        <f t="shared" si="261"/>
        <v>108188.09523809524</v>
      </c>
      <c r="R74" s="133" t="e">
        <f t="shared" si="261"/>
        <v>#DIV/0!</v>
      </c>
      <c r="S74" s="133">
        <f t="shared" ref="S74" si="262">S7/S57</f>
        <v>16321.428571428572</v>
      </c>
      <c r="T74" s="118">
        <f t="shared" si="242"/>
        <v>0.20884207222253237</v>
      </c>
      <c r="U74" s="128"/>
      <c r="V74" s="156">
        <f t="shared" ref="V74:AE74" si="263">V7/V57</f>
        <v>16321.428571428572</v>
      </c>
      <c r="W74" s="156">
        <f t="shared" si="263"/>
        <v>17281.512605042019</v>
      </c>
      <c r="X74" s="156">
        <f t="shared" si="263"/>
        <v>18298.072170044492</v>
      </c>
      <c r="Y74" s="156">
        <f t="shared" si="263"/>
        <v>19374.429356517696</v>
      </c>
      <c r="Z74" s="156">
        <f t="shared" si="263"/>
        <v>20514.101671606975</v>
      </c>
      <c r="AA74" s="156">
        <f t="shared" si="263"/>
        <v>21720.813534642682</v>
      </c>
      <c r="AB74" s="156">
        <f t="shared" si="263"/>
        <v>22998.508448445195</v>
      </c>
      <c r="AC74" s="156">
        <f t="shared" si="263"/>
        <v>24351.361886589028</v>
      </c>
      <c r="AD74" s="156">
        <f t="shared" si="263"/>
        <v>25783.794938741328</v>
      </c>
      <c r="AE74" s="156">
        <f t="shared" si="263"/>
        <v>27300.488758667292</v>
      </c>
      <c r="AF74" s="137">
        <f t="shared" si="253"/>
        <v>0.1335796056055869</v>
      </c>
      <c r="AG74" s="31">
        <f t="shared" si="16"/>
        <v>0.02</v>
      </c>
      <c r="AH74" s="145">
        <f t="shared" si="254"/>
        <v>139232.49266920317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4">G6/G57</f>
        <v>1666.6666666666667</v>
      </c>
      <c r="H75" s="143">
        <f t="shared" si="264"/>
        <v>1711.9047619047619</v>
      </c>
      <c r="I75" s="143">
        <f t="shared" ref="I75:R75" si="265">I6/I57</f>
        <v>1952.3809523809525</v>
      </c>
      <c r="J75" s="143">
        <f t="shared" si="265"/>
        <v>2330.9523809523812</v>
      </c>
      <c r="K75" s="143">
        <f t="shared" si="265"/>
        <v>2647.6190476190477</v>
      </c>
      <c r="L75" s="143">
        <f t="shared" si="265"/>
        <v>3216.666666666667</v>
      </c>
      <c r="M75" s="143">
        <f t="shared" si="265"/>
        <v>4009.5238095238096</v>
      </c>
      <c r="N75" s="143">
        <f t="shared" si="265"/>
        <v>5450</v>
      </c>
      <c r="O75" s="143">
        <f t="shared" si="265"/>
        <v>6800</v>
      </c>
      <c r="P75" s="143">
        <f t="shared" si="265"/>
        <v>8692.8571428571431</v>
      </c>
      <c r="Q75" s="143">
        <f t="shared" si="265"/>
        <v>10797.619047619048</v>
      </c>
      <c r="R75" s="143" t="e">
        <f t="shared" si="265"/>
        <v>#DIV/0!</v>
      </c>
      <c r="S75" s="143">
        <f t="shared" ref="S75" si="266">S6/S57</f>
        <v>16311.904761904763</v>
      </c>
      <c r="T75" s="118">
        <f t="shared" si="242"/>
        <v>0.20935738398176307</v>
      </c>
      <c r="U75" s="128"/>
      <c r="V75" s="155">
        <f t="shared" ref="V75:AE75" si="267">V6/V57</f>
        <v>16311.904761904761</v>
      </c>
      <c r="W75" s="155">
        <f t="shared" si="267"/>
        <v>17271.428571428572</v>
      </c>
      <c r="X75" s="155">
        <f t="shared" si="267"/>
        <v>18287.394957983197</v>
      </c>
      <c r="Y75" s="155">
        <f t="shared" si="267"/>
        <v>19363.124073158677</v>
      </c>
      <c r="Z75" s="155">
        <f t="shared" si="267"/>
        <v>20502.131371579777</v>
      </c>
      <c r="AA75" s="155">
        <f t="shared" si="267"/>
        <v>21708.139099319767</v>
      </c>
      <c r="AB75" s="155">
        <f t="shared" si="267"/>
        <v>22985.088458103281</v>
      </c>
      <c r="AC75" s="155">
        <f t="shared" si="267"/>
        <v>24337.152485050538</v>
      </c>
      <c r="AD75" s="155">
        <f t="shared" si="267"/>
        <v>25768.749690053512</v>
      </c>
      <c r="AE75" s="155">
        <f t="shared" si="267"/>
        <v>27284.558495350779</v>
      </c>
      <c r="AF75" s="137">
        <f t="shared" si="253"/>
        <v>0.13381079864525081</v>
      </c>
      <c r="AG75" s="31">
        <f t="shared" si="16"/>
        <v>0.02</v>
      </c>
      <c r="AH75" s="145">
        <f t="shared" si="254"/>
        <v>139151.24832628897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68">G10/G57</f>
        <v>695.2380952380953</v>
      </c>
      <c r="H76" s="143">
        <f t="shared" si="268"/>
        <v>952.38095238095241</v>
      </c>
      <c r="I76" s="143">
        <f t="shared" ref="I76:R76" si="269">I10/I57</f>
        <v>1285.7142857142858</v>
      </c>
      <c r="J76" s="143">
        <f t="shared" si="269"/>
        <v>1445.2380952380952</v>
      </c>
      <c r="K76" s="143">
        <f t="shared" si="269"/>
        <v>2290.4761904761904</v>
      </c>
      <c r="L76" s="143">
        <f t="shared" si="269"/>
        <v>695.2380952380953</v>
      </c>
      <c r="M76" s="143">
        <f t="shared" si="269"/>
        <v>2266.666666666667</v>
      </c>
      <c r="N76" s="143">
        <f t="shared" si="269"/>
        <v>3609.5238095238096</v>
      </c>
      <c r="O76" s="143">
        <f t="shared" si="269"/>
        <v>3883.3333333333335</v>
      </c>
      <c r="P76" s="143">
        <f t="shared" si="269"/>
        <v>5459.5238095238101</v>
      </c>
      <c r="Q76" s="143">
        <f t="shared" si="269"/>
        <v>6359.5238095238101</v>
      </c>
      <c r="R76" s="143" t="e">
        <f t="shared" si="269"/>
        <v>#DIV/0!</v>
      </c>
      <c r="S76" s="143">
        <f t="shared" ref="S76" si="270">S10/S57</f>
        <v>7476.1904761904761</v>
      </c>
      <c r="T76" s="118">
        <f t="shared" si="242"/>
        <v>0.2188835982342241</v>
      </c>
      <c r="U76" s="128"/>
      <c r="V76" s="155">
        <f t="shared" ref="V76:AE76" si="271">V10/V57</f>
        <v>7476.1904761904771</v>
      </c>
      <c r="W76" s="155">
        <f t="shared" si="271"/>
        <v>7915.9663865546227</v>
      </c>
      <c r="X76" s="155">
        <f t="shared" si="271"/>
        <v>8381.61146811666</v>
      </c>
      <c r="Y76" s="155">
        <f t="shared" si="271"/>
        <v>8874.6474368294039</v>
      </c>
      <c r="Z76" s="155">
        <f t="shared" si="271"/>
        <v>9396.6855213487815</v>
      </c>
      <c r="AA76" s="155">
        <f t="shared" si="271"/>
        <v>9949.4317284869467</v>
      </c>
      <c r="AB76" s="155">
        <f t="shared" si="271"/>
        <v>10534.692418397943</v>
      </c>
      <c r="AC76" s="155">
        <f t="shared" si="271"/>
        <v>11154.380207715472</v>
      </c>
      <c r="AD76" s="155">
        <f t="shared" si="271"/>
        <v>11810.520219934029</v>
      </c>
      <c r="AE76" s="155">
        <f t="shared" si="271"/>
        <v>12505.256703459561</v>
      </c>
      <c r="AF76" s="137">
        <f t="shared" si="253"/>
        <v>0.11441038258154568</v>
      </c>
      <c r="AG76" s="31">
        <f t="shared" si="16"/>
        <v>0.02</v>
      </c>
      <c r="AH76" s="145">
        <f t="shared" si="254"/>
        <v>63776.809187643761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2">(G7-G10)/G57</f>
        <v>980.95238095238096</v>
      </c>
      <c r="H78" s="143">
        <f t="shared" si="272"/>
        <v>769.04761904761904</v>
      </c>
      <c r="I78" s="143">
        <f t="shared" ref="I78:R78" si="273">(I7-I10)/I57</f>
        <v>676.19047619047626</v>
      </c>
      <c r="J78" s="143">
        <f t="shared" si="273"/>
        <v>895.2380952380953</v>
      </c>
      <c r="K78" s="143">
        <f t="shared" si="273"/>
        <v>369.04761904761904</v>
      </c>
      <c r="L78" s="143">
        <f t="shared" si="273"/>
        <v>2530.9523809523812</v>
      </c>
      <c r="M78" s="143">
        <f t="shared" si="273"/>
        <v>1752.3809523809525</v>
      </c>
      <c r="N78" s="143">
        <f t="shared" si="273"/>
        <v>1852.3809523809525</v>
      </c>
      <c r="O78" s="143">
        <f t="shared" si="273"/>
        <v>2928.5714285714289</v>
      </c>
      <c r="P78" s="143">
        <f t="shared" si="273"/>
        <v>3242.8571428571431</v>
      </c>
      <c r="Q78" s="143">
        <f t="shared" si="273"/>
        <v>101828.57142857143</v>
      </c>
      <c r="R78" s="143" t="e">
        <f t="shared" si="273"/>
        <v>#DIV/0!</v>
      </c>
      <c r="S78" s="143">
        <f t="shared" ref="S78" si="274">(S7-S10)/S57</f>
        <v>8845.2380952380954</v>
      </c>
      <c r="T78" s="118">
        <f t="shared" si="242"/>
        <v>0.20112572031675979</v>
      </c>
      <c r="U78" s="128"/>
      <c r="V78" s="155">
        <f t="shared" ref="V78:AE78" si="275">(V7-V10)/V57</f>
        <v>8845.2380952380954</v>
      </c>
      <c r="W78" s="155">
        <f t="shared" si="275"/>
        <v>9365.5462184873959</v>
      </c>
      <c r="X78" s="155">
        <f t="shared" si="275"/>
        <v>9916.4607019278301</v>
      </c>
      <c r="Y78" s="155">
        <f t="shared" si="275"/>
        <v>10499.781919688292</v>
      </c>
      <c r="Z78" s="155">
        <f t="shared" si="275"/>
        <v>11117.416150258194</v>
      </c>
      <c r="AA78" s="155">
        <f t="shared" si="275"/>
        <v>11771.381806155736</v>
      </c>
      <c r="AB78" s="155">
        <f t="shared" si="275"/>
        <v>12463.81603004725</v>
      </c>
      <c r="AC78" s="155">
        <f t="shared" si="275"/>
        <v>13196.981678873557</v>
      </c>
      <c r="AD78" s="155">
        <f t="shared" si="275"/>
        <v>13973.274718807301</v>
      </c>
      <c r="AE78" s="155">
        <f t="shared" si="275"/>
        <v>14795.232055207733</v>
      </c>
      <c r="AF78" s="137">
        <f t="shared" si="253"/>
        <v>0.15827593913060101</v>
      </c>
      <c r="AG78" s="31">
        <f t="shared" si="16"/>
        <v>0.02</v>
      </c>
      <c r="AH78" s="145">
        <f t="shared" si="254"/>
        <v>75455.683481559434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6">(G7-G10-G9)/G57</f>
        <v>-114.28571428571429</v>
      </c>
      <c r="H79" s="143">
        <f t="shared" si="276"/>
        <v>-330.95238095238096</v>
      </c>
      <c r="I79" s="143">
        <f t="shared" ref="I79:R79" si="277">(I7-I10-I9)/I57</f>
        <v>-919.04761904761904</v>
      </c>
      <c r="J79" s="143">
        <f t="shared" si="277"/>
        <v>-878.57142857142856</v>
      </c>
      <c r="K79" s="143">
        <f t="shared" si="277"/>
        <v>-2090.4761904761904</v>
      </c>
      <c r="L79" s="143">
        <f t="shared" si="277"/>
        <v>228.57142857142858</v>
      </c>
      <c r="M79" s="143">
        <f t="shared" si="277"/>
        <v>-1109.5238095238096</v>
      </c>
      <c r="N79" s="143">
        <f t="shared" si="277"/>
        <v>-3666.666666666667</v>
      </c>
      <c r="O79" s="143">
        <f t="shared" si="277"/>
        <v>-3021.4285714285716</v>
      </c>
      <c r="P79" s="143">
        <f t="shared" si="277"/>
        <v>-2302.3809523809523</v>
      </c>
      <c r="Q79" s="143">
        <f t="shared" si="277"/>
        <v>95583.333333333343</v>
      </c>
      <c r="R79" s="143" t="e">
        <f t="shared" si="277"/>
        <v>#DIV/0!</v>
      </c>
      <c r="S79" s="143">
        <f t="shared" ref="S79" si="278">(S7-S10-S9)/S57</f>
        <v>1954.7619047619048</v>
      </c>
      <c r="T79" s="118" t="e">
        <f t="shared" si="242"/>
        <v>#NUM!</v>
      </c>
      <c r="U79" s="128"/>
      <c r="V79" s="155">
        <f t="shared" ref="V79:AE79" si="279">(V7-V10-V9)/V57</f>
        <v>1954.761904761905</v>
      </c>
      <c r="W79" s="155">
        <f t="shared" si="279"/>
        <v>2069.7478991596636</v>
      </c>
      <c r="X79" s="155">
        <f t="shared" si="279"/>
        <v>2191.49777558082</v>
      </c>
      <c r="Y79" s="155">
        <f t="shared" si="279"/>
        <v>2320.4094094385168</v>
      </c>
      <c r="Z79" s="155">
        <f t="shared" si="279"/>
        <v>2456.9040805819604</v>
      </c>
      <c r="AA79" s="155">
        <f t="shared" si="279"/>
        <v>2601.4278500279584</v>
      </c>
      <c r="AB79" s="155">
        <f t="shared" si="279"/>
        <v>2754.4530176766616</v>
      </c>
      <c r="AC79" s="155">
        <f t="shared" si="279"/>
        <v>2916.4796657752863</v>
      </c>
      <c r="AD79" s="155">
        <f t="shared" si="279"/>
        <v>3088.0372931738357</v>
      </c>
      <c r="AE79" s="155">
        <f t="shared" si="279"/>
        <v>3269.6865457134745</v>
      </c>
      <c r="AF79" s="137">
        <f t="shared" si="253"/>
        <v>-2.0622973553652884</v>
      </c>
      <c r="AG79" s="31">
        <f t="shared" si="16"/>
        <v>0.02</v>
      </c>
      <c r="AH79" s="145">
        <f t="shared" si="254"/>
        <v>16675.401383138716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80">(G7+G15-G10-G9)/G57</f>
        <v>1883.3333333333335</v>
      </c>
      <c r="H80" s="143">
        <f t="shared" si="280"/>
        <v>1852.3809523809525</v>
      </c>
      <c r="I80" s="143">
        <f t="shared" ref="I80:R80" si="281">(I7+I15-I10-I9)/I57</f>
        <v>1838.0952380952381</v>
      </c>
      <c r="J80" s="143">
        <f t="shared" si="281"/>
        <v>2261.9047619047619</v>
      </c>
      <c r="K80" s="143">
        <f t="shared" si="281"/>
        <v>1945.2380952380954</v>
      </c>
      <c r="L80" s="143">
        <f t="shared" si="281"/>
        <v>3297.6190476190477</v>
      </c>
      <c r="M80" s="143">
        <f t="shared" si="281"/>
        <v>3585.7142857142858</v>
      </c>
      <c r="N80" s="143">
        <f t="shared" si="281"/>
        <v>3207.1428571428573</v>
      </c>
      <c r="O80" s="143">
        <f t="shared" si="281"/>
        <v>4557.1428571428569</v>
      </c>
      <c r="P80" s="143">
        <f t="shared" si="281"/>
        <v>8909.5238095238092</v>
      </c>
      <c r="Q80" s="143">
        <f t="shared" si="281"/>
        <v>108388.09523809524</v>
      </c>
      <c r="R80" s="143" t="e">
        <f t="shared" si="281"/>
        <v>#DIV/0!</v>
      </c>
      <c r="S80" s="143">
        <f t="shared" ref="S80" si="282">(S7+S15-S10-S9)/S57</f>
        <v>16373.809523809525</v>
      </c>
      <c r="T80" s="118">
        <f t="shared" si="242"/>
        <v>0.19748076210916277</v>
      </c>
      <c r="U80" s="128"/>
      <c r="V80" s="155">
        <f t="shared" ref="V80:AE80" si="283">(V7+V15-V10-V9)/V57</f>
        <v>16373.809523809527</v>
      </c>
      <c r="W80" s="155">
        <f t="shared" si="283"/>
        <v>17336.97478991597</v>
      </c>
      <c r="X80" s="155">
        <f t="shared" si="283"/>
        <v>18356.796836381614</v>
      </c>
      <c r="Y80" s="155">
        <f t="shared" si="283"/>
        <v>19436.608414992297</v>
      </c>
      <c r="Z80" s="155">
        <f t="shared" si="283"/>
        <v>20579.938321756548</v>
      </c>
      <c r="AA80" s="155">
        <f t="shared" si="283"/>
        <v>21790.522928918697</v>
      </c>
      <c r="AB80" s="155">
        <f t="shared" si="283"/>
        <v>23072.318395325688</v>
      </c>
      <c r="AC80" s="155">
        <f t="shared" si="283"/>
        <v>24429.513595050725</v>
      </c>
      <c r="AD80" s="155">
        <f t="shared" si="283"/>
        <v>25866.543806524311</v>
      </c>
      <c r="AE80" s="155">
        <f t="shared" si="283"/>
        <v>27388.105206908098</v>
      </c>
      <c r="AF80" s="137">
        <f t="shared" si="253"/>
        <v>0.13727732395236392</v>
      </c>
      <c r="AG80" s="31">
        <f t="shared" si="16"/>
        <v>0.02</v>
      </c>
      <c r="AH80" s="145">
        <f t="shared" si="254"/>
        <v>139679.33655523128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4">G12/G57</f>
        <v>95.238095238095241</v>
      </c>
      <c r="H82" s="143">
        <f t="shared" si="284"/>
        <v>85.714285714285722</v>
      </c>
      <c r="I82" s="143">
        <f t="shared" ref="I82:R82" si="285">I12/I57</f>
        <v>126.19047619047619</v>
      </c>
      <c r="J82" s="143">
        <f t="shared" si="285"/>
        <v>173.80952380952382</v>
      </c>
      <c r="K82" s="143">
        <f t="shared" si="285"/>
        <v>242.85714285714286</v>
      </c>
      <c r="L82" s="143">
        <f t="shared" si="285"/>
        <v>142.85714285714286</v>
      </c>
      <c r="M82" s="143">
        <f t="shared" si="285"/>
        <v>128.57142857142858</v>
      </c>
      <c r="N82" s="143">
        <f t="shared" si="285"/>
        <v>138.0952380952381</v>
      </c>
      <c r="O82" s="143">
        <f t="shared" si="285"/>
        <v>154.76190476190476</v>
      </c>
      <c r="P82" s="143">
        <f t="shared" si="285"/>
        <v>802.38095238095241</v>
      </c>
      <c r="Q82" s="143">
        <f t="shared" si="285"/>
        <v>1730.952380952381</v>
      </c>
      <c r="R82" s="143" t="e">
        <f t="shared" si="285"/>
        <v>#DIV/0!</v>
      </c>
      <c r="S82" s="143">
        <f t="shared" ref="S82" si="286">S12/S57</f>
        <v>300</v>
      </c>
      <c r="T82" s="118">
        <f t="shared" si="242"/>
        <v>0.1003374121300491</v>
      </c>
      <c r="U82" s="128"/>
      <c r="V82" s="155">
        <f t="shared" ref="V82:AE82" si="287">V12/V57</f>
        <v>300</v>
      </c>
      <c r="W82" s="155">
        <f t="shared" si="287"/>
        <v>317.64705882352945</v>
      </c>
      <c r="X82" s="155">
        <f t="shared" si="287"/>
        <v>336.33217993079586</v>
      </c>
      <c r="Y82" s="155">
        <f t="shared" si="287"/>
        <v>356.11642580907801</v>
      </c>
      <c r="Z82" s="155">
        <f t="shared" si="287"/>
        <v>377.06445085667087</v>
      </c>
      <c r="AA82" s="155">
        <f t="shared" si="287"/>
        <v>399.24471267176921</v>
      </c>
      <c r="AB82" s="155">
        <f t="shared" si="287"/>
        <v>422.72969577010855</v>
      </c>
      <c r="AC82" s="155">
        <f t="shared" si="287"/>
        <v>447.59614846246797</v>
      </c>
      <c r="AD82" s="155">
        <f t="shared" si="287"/>
        <v>473.92533366614259</v>
      </c>
      <c r="AE82" s="155">
        <f t="shared" si="287"/>
        <v>501.80329447003334</v>
      </c>
      <c r="AF82" s="137">
        <f t="shared" si="253"/>
        <v>6.7942694013390481E-2</v>
      </c>
      <c r="AG82" s="31">
        <f t="shared" si="16"/>
        <v>0.02</v>
      </c>
      <c r="AH82" s="145">
        <f t="shared" si="254"/>
        <v>2559.1968017971699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88">G13/G57</f>
        <v>178.57142857142858</v>
      </c>
      <c r="H83" s="143">
        <f t="shared" si="288"/>
        <v>180.95238095238096</v>
      </c>
      <c r="I83" s="143">
        <f t="shared" ref="I83:R83" si="289">I13/I57</f>
        <v>154.76190476190476</v>
      </c>
      <c r="J83" s="143">
        <f t="shared" si="289"/>
        <v>159.52380952380952</v>
      </c>
      <c r="K83" s="143">
        <f t="shared" si="289"/>
        <v>152.38095238095238</v>
      </c>
      <c r="L83" s="143">
        <f t="shared" si="289"/>
        <v>342.85714285714289</v>
      </c>
      <c r="M83" s="143">
        <f t="shared" si="289"/>
        <v>173.80952380952382</v>
      </c>
      <c r="N83" s="143">
        <f t="shared" si="289"/>
        <v>173.80952380952382</v>
      </c>
      <c r="O83" s="143">
        <f t="shared" si="289"/>
        <v>1023.8095238095239</v>
      </c>
      <c r="P83" s="143">
        <f t="shared" si="289"/>
        <v>1969.047619047619</v>
      </c>
      <c r="Q83" s="143">
        <f t="shared" si="289"/>
        <v>2250</v>
      </c>
      <c r="R83" s="143" t="e">
        <f t="shared" si="289"/>
        <v>#DIV/0!</v>
      </c>
      <c r="S83" s="143">
        <f t="shared" ref="S83" si="290">S13/S57</f>
        <v>4414.2857142857147</v>
      </c>
      <c r="T83" s="118">
        <f t="shared" si="242"/>
        <v>0.30643369254490516</v>
      </c>
      <c r="U83" s="128"/>
      <c r="V83" s="155">
        <f t="shared" ref="V83:AE83" si="291">V13/V57</f>
        <v>4414.2857142857147</v>
      </c>
      <c r="W83" s="155">
        <f t="shared" si="291"/>
        <v>4673.9495798319331</v>
      </c>
      <c r="X83" s="155">
        <f t="shared" si="291"/>
        <v>4948.8877904102828</v>
      </c>
      <c r="Y83" s="155">
        <f t="shared" si="291"/>
        <v>5239.9988369050052</v>
      </c>
      <c r="Z83" s="155">
        <f t="shared" si="291"/>
        <v>5548.2340626053001</v>
      </c>
      <c r="AA83" s="155">
        <f t="shared" si="291"/>
        <v>5874.6007721703172</v>
      </c>
      <c r="AB83" s="155">
        <f t="shared" si="291"/>
        <v>6220.1655234744539</v>
      </c>
      <c r="AC83" s="155">
        <f t="shared" si="291"/>
        <v>6586.0576130905993</v>
      </c>
      <c r="AD83" s="155">
        <f t="shared" si="291"/>
        <v>6973.4727668018122</v>
      </c>
      <c r="AE83" s="155">
        <f t="shared" si="291"/>
        <v>7383.6770472019189</v>
      </c>
      <c r="AF83" s="137">
        <f t="shared" si="253"/>
        <v>0.20208103140664657</v>
      </c>
      <c r="AG83" s="31">
        <f t="shared" si="16"/>
        <v>0.02</v>
      </c>
      <c r="AH83" s="145">
        <f t="shared" si="254"/>
        <v>37656.752940729784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2">(G82+G83)</f>
        <v>273.80952380952385</v>
      </c>
      <c r="H84" s="143">
        <f t="shared" si="292"/>
        <v>266.66666666666669</v>
      </c>
      <c r="I84" s="143">
        <f t="shared" ref="I84:R84" si="293">(I82+I83)</f>
        <v>280.95238095238096</v>
      </c>
      <c r="J84" s="143">
        <f t="shared" si="293"/>
        <v>333.33333333333337</v>
      </c>
      <c r="K84" s="143">
        <f t="shared" si="293"/>
        <v>395.23809523809524</v>
      </c>
      <c r="L84" s="143">
        <f t="shared" si="293"/>
        <v>485.71428571428578</v>
      </c>
      <c r="M84" s="143">
        <f t="shared" si="293"/>
        <v>302.38095238095241</v>
      </c>
      <c r="N84" s="143">
        <f t="shared" si="293"/>
        <v>311.90476190476193</v>
      </c>
      <c r="O84" s="143">
        <f t="shared" si="293"/>
        <v>1178.5714285714287</v>
      </c>
      <c r="P84" s="143">
        <f t="shared" si="293"/>
        <v>2771.4285714285716</v>
      </c>
      <c r="Q84" s="143">
        <f t="shared" ref="Q84" si="294">(Q82+Q83)</f>
        <v>3980.9523809523807</v>
      </c>
      <c r="R84" s="143" t="e">
        <f t="shared" si="293"/>
        <v>#DIV/0!</v>
      </c>
      <c r="S84" s="143">
        <f t="shared" ref="S84" si="295">(S82+S83)</f>
        <v>4714.2857142857147</v>
      </c>
      <c r="T84" s="118">
        <f t="shared" si="242"/>
        <v>0.26764392408442128</v>
      </c>
      <c r="U84" s="128"/>
      <c r="V84" s="155">
        <f t="shared" ref="V84:AE84" si="296">(V82+V83)</f>
        <v>4714.2857142857147</v>
      </c>
      <c r="W84" s="155">
        <f t="shared" si="296"/>
        <v>4991.5966386554628</v>
      </c>
      <c r="X84" s="155">
        <f t="shared" si="296"/>
        <v>5285.2199703410788</v>
      </c>
      <c r="Y84" s="155">
        <f t="shared" si="296"/>
        <v>5596.1152627140837</v>
      </c>
      <c r="Z84" s="155">
        <f t="shared" si="296"/>
        <v>5925.2985134619712</v>
      </c>
      <c r="AA84" s="155">
        <f t="shared" si="296"/>
        <v>6273.8454848420861</v>
      </c>
      <c r="AB84" s="155">
        <f t="shared" si="296"/>
        <v>6642.8952192445622</v>
      </c>
      <c r="AC84" s="155">
        <f t="shared" si="296"/>
        <v>7033.6537615530669</v>
      </c>
      <c r="AD84" s="155">
        <f t="shared" si="296"/>
        <v>7447.3981004679545</v>
      </c>
      <c r="AE84" s="155">
        <f t="shared" si="296"/>
        <v>7885.4803416719524</v>
      </c>
      <c r="AF84" s="137">
        <f t="shared" si="253"/>
        <v>0.17209196149202421</v>
      </c>
      <c r="AG84" s="31">
        <f t="shared" si="16"/>
        <v>0.02</v>
      </c>
      <c r="AH84" s="145">
        <f t="shared" si="254"/>
        <v>40215.949742526958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7">G15/G57</f>
        <v>1997.6190476190477</v>
      </c>
      <c r="H85" s="143">
        <f t="shared" si="297"/>
        <v>2183.3333333333335</v>
      </c>
      <c r="I85" s="143">
        <f t="shared" ref="I85:R85" si="298">I15/I57</f>
        <v>2757.1428571428573</v>
      </c>
      <c r="J85" s="143">
        <f t="shared" si="298"/>
        <v>3140.4761904761904</v>
      </c>
      <c r="K85" s="143">
        <f t="shared" si="298"/>
        <v>4035.7142857142858</v>
      </c>
      <c r="L85" s="143">
        <f t="shared" si="298"/>
        <v>3069.0476190476193</v>
      </c>
      <c r="M85" s="143">
        <f t="shared" si="298"/>
        <v>4695.2380952380954</v>
      </c>
      <c r="N85" s="143">
        <f t="shared" si="298"/>
        <v>6873.8095238095239</v>
      </c>
      <c r="O85" s="143">
        <f t="shared" si="298"/>
        <v>7578.5714285714284</v>
      </c>
      <c r="P85" s="143">
        <f t="shared" si="298"/>
        <v>11211.904761904761</v>
      </c>
      <c r="Q85" s="143">
        <f t="shared" si="298"/>
        <v>12804.761904761905</v>
      </c>
      <c r="R85" s="143" t="e">
        <f t="shared" si="298"/>
        <v>#DIV/0!</v>
      </c>
      <c r="S85" s="143">
        <f t="shared" ref="S85" si="299">S15/S57</f>
        <v>14419.04761904762</v>
      </c>
      <c r="T85" s="118">
        <f t="shared" si="242"/>
        <v>0.17905842384376136</v>
      </c>
      <c r="U85" s="128"/>
      <c r="V85" s="155">
        <f t="shared" ref="V85:AE85" si="300">V15/V57</f>
        <v>14419.047619047618</v>
      </c>
      <c r="W85" s="155">
        <f t="shared" si="300"/>
        <v>15267.226890756305</v>
      </c>
      <c r="X85" s="155">
        <f t="shared" si="300"/>
        <v>16165.299060800793</v>
      </c>
      <c r="Y85" s="155">
        <f t="shared" si="300"/>
        <v>17116.199005553779</v>
      </c>
      <c r="Z85" s="155">
        <f t="shared" si="300"/>
        <v>18123.034241174591</v>
      </c>
      <c r="AA85" s="155">
        <f t="shared" si="300"/>
        <v>19189.095078890743</v>
      </c>
      <c r="AB85" s="155">
        <f t="shared" si="300"/>
        <v>20317.865377649025</v>
      </c>
      <c r="AC85" s="155">
        <f t="shared" si="300"/>
        <v>21513.03392927544</v>
      </c>
      <c r="AD85" s="155">
        <f t="shared" si="300"/>
        <v>22778.506513350469</v>
      </c>
      <c r="AE85" s="155">
        <f t="shared" si="300"/>
        <v>24118.418661194617</v>
      </c>
      <c r="AF85" s="137">
        <f t="shared" si="253"/>
        <v>0.10879659562070065</v>
      </c>
      <c r="AG85" s="31">
        <f t="shared" si="16"/>
        <v>0.02</v>
      </c>
      <c r="AH85" s="145">
        <f t="shared" si="254"/>
        <v>123003.93517209255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301">G16/G57</f>
        <v>1116.6666666666667</v>
      </c>
      <c r="H86" s="143">
        <f t="shared" si="301"/>
        <v>1197.6190476190477</v>
      </c>
      <c r="I86" s="143">
        <f t="shared" ref="I86:R86" si="302">I16/I57</f>
        <v>1376.1904761904761</v>
      </c>
      <c r="J86" s="143">
        <f t="shared" si="302"/>
        <v>1476.1904761904761</v>
      </c>
      <c r="K86" s="143">
        <f t="shared" si="302"/>
        <v>1669.047619047619</v>
      </c>
      <c r="L86" s="143">
        <f t="shared" si="302"/>
        <v>671.42857142857144</v>
      </c>
      <c r="M86" s="143">
        <f t="shared" si="302"/>
        <v>1761.9047619047619</v>
      </c>
      <c r="N86" s="143">
        <f t="shared" si="302"/>
        <v>1497.6190476190477</v>
      </c>
      <c r="O86" s="143">
        <f t="shared" si="302"/>
        <v>1738.0952380952381</v>
      </c>
      <c r="P86" s="143">
        <f t="shared" si="302"/>
        <v>5666.666666666667</v>
      </c>
      <c r="Q86" s="143">
        <f t="shared" si="302"/>
        <v>6559.5238095238101</v>
      </c>
      <c r="R86" s="143" t="e">
        <f t="shared" si="302"/>
        <v>#DIV/0!</v>
      </c>
      <c r="S86" s="143">
        <f t="shared" ref="S86" si="303">S16/S57</f>
        <v>7528.5714285714284</v>
      </c>
      <c r="T86" s="118">
        <f t="shared" si="242"/>
        <v>0.17237284861173885</v>
      </c>
      <c r="U86" s="128"/>
      <c r="V86" s="155">
        <f t="shared" ref="V86:AE86" si="304">V16/V57</f>
        <v>7528.5714285714275</v>
      </c>
      <c r="W86" s="155">
        <f t="shared" si="304"/>
        <v>7971.4285714285716</v>
      </c>
      <c r="X86" s="155">
        <f t="shared" si="304"/>
        <v>8440.3361344537807</v>
      </c>
      <c r="Y86" s="155">
        <f t="shared" si="304"/>
        <v>8936.8264953040034</v>
      </c>
      <c r="Z86" s="155">
        <f t="shared" si="304"/>
        <v>9462.5221714983581</v>
      </c>
      <c r="AA86" s="155">
        <f t="shared" si="304"/>
        <v>10019.141122762967</v>
      </c>
      <c r="AB86" s="155">
        <f t="shared" si="304"/>
        <v>10608.502365278437</v>
      </c>
      <c r="AC86" s="155">
        <f t="shared" si="304"/>
        <v>11232.531916177168</v>
      </c>
      <c r="AD86" s="155">
        <f t="shared" si="304"/>
        <v>11893.269087717004</v>
      </c>
      <c r="AE86" s="155">
        <f t="shared" si="304"/>
        <v>12592.873151700358</v>
      </c>
      <c r="AF86" s="137">
        <f t="shared" si="253"/>
        <v>0.11117677679969273</v>
      </c>
      <c r="AG86" s="136"/>
      <c r="AH86" s="145">
        <f t="shared" si="254"/>
        <v>57240.332507728897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0.02</v>
      </c>
      <c r="AH87" s="145">
        <f t="shared" si="254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5">G59</f>
        <v>20</v>
      </c>
      <c r="H88" s="157">
        <f t="shared" si="305"/>
        <v>20</v>
      </c>
      <c r="I88" s="157">
        <f t="shared" ref="I88:R88" si="306">I59</f>
        <v>20</v>
      </c>
      <c r="J88" s="157">
        <f t="shared" si="306"/>
        <v>20</v>
      </c>
      <c r="K88" s="157">
        <f t="shared" si="306"/>
        <v>20</v>
      </c>
      <c r="L88" s="157">
        <f t="shared" si="306"/>
        <v>25</v>
      </c>
      <c r="M88" s="157">
        <f t="shared" si="306"/>
        <v>50</v>
      </c>
      <c r="N88" s="157">
        <f t="shared" si="306"/>
        <v>25</v>
      </c>
      <c r="O88" s="157">
        <f t="shared" si="306"/>
        <v>25</v>
      </c>
      <c r="P88" s="157">
        <f t="shared" si="306"/>
        <v>30</v>
      </c>
      <c r="Q88" s="157">
        <f t="shared" si="306"/>
        <v>50</v>
      </c>
      <c r="R88" s="157">
        <f t="shared" si="306"/>
        <v>0</v>
      </c>
      <c r="S88" s="157">
        <f t="shared" ref="S88" si="307">S59</f>
        <v>100</v>
      </c>
      <c r="T88" s="118">
        <f t="shared" si="242"/>
        <v>0.14352983608292025</v>
      </c>
      <c r="U88" s="128"/>
      <c r="V88" s="157">
        <f t="shared" ref="V88:AE88" si="308">V59</f>
        <v>70</v>
      </c>
      <c r="W88" s="157">
        <f t="shared" si="308"/>
        <v>73.5</v>
      </c>
      <c r="X88" s="157">
        <f t="shared" si="308"/>
        <v>77.174999999999997</v>
      </c>
      <c r="Y88" s="157">
        <f t="shared" si="308"/>
        <v>81.033749999999998</v>
      </c>
      <c r="Z88" s="157">
        <f t="shared" si="308"/>
        <v>85.085437499999998</v>
      </c>
      <c r="AA88" s="157">
        <f t="shared" si="308"/>
        <v>89.339709374999998</v>
      </c>
      <c r="AB88" s="157">
        <f t="shared" si="308"/>
        <v>93.806694843750009</v>
      </c>
      <c r="AC88" s="157">
        <f t="shared" si="308"/>
        <v>98.497029585937511</v>
      </c>
      <c r="AD88" s="157">
        <f t="shared" si="308"/>
        <v>103.42188106523439</v>
      </c>
      <c r="AE88" s="157">
        <f t="shared" si="308"/>
        <v>108.59297511849611</v>
      </c>
      <c r="AF88" s="137">
        <f t="shared" ref="AF88" si="309">((AE88/I88)^(1/($AE$3-$J$1) ))-1</f>
        <v>8.3899785356302825E-2</v>
      </c>
      <c r="AG88" s="31">
        <f t="shared" si="16"/>
        <v>0.02</v>
      </c>
      <c r="AH88" s="145">
        <f t="shared" si="254"/>
        <v>553.82417310433016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313</v>
      </c>
      <c r="C90" s="127"/>
      <c r="D90" s="127"/>
      <c r="E90" s="127"/>
      <c r="F90" s="127"/>
      <c r="G90" s="143">
        <f t="shared" ref="G90:H90" si="310">G20+G21</f>
        <v>-85</v>
      </c>
      <c r="H90" s="143">
        <f t="shared" si="310"/>
        <v>-169</v>
      </c>
      <c r="I90" s="143">
        <f t="shared" ref="I90:R90" si="311">I20+I21</f>
        <v>48</v>
      </c>
      <c r="J90" s="143">
        <f t="shared" si="311"/>
        <v>-29</v>
      </c>
      <c r="K90" s="143">
        <f t="shared" si="311"/>
        <v>-297</v>
      </c>
      <c r="L90" s="143">
        <f t="shared" si="311"/>
        <v>629</v>
      </c>
      <c r="M90" s="143">
        <f t="shared" si="311"/>
        <v>-629</v>
      </c>
      <c r="N90" s="143">
        <f t="shared" si="311"/>
        <v>-833</v>
      </c>
      <c r="O90" s="143">
        <f t="shared" si="311"/>
        <v>56</v>
      </c>
      <c r="P90" s="143">
        <f t="shared" si="311"/>
        <v>343</v>
      </c>
      <c r="Q90" s="143">
        <f t="shared" si="311"/>
        <v>-119</v>
      </c>
      <c r="R90" s="143">
        <f t="shared" si="311"/>
        <v>0</v>
      </c>
      <c r="S90" s="143">
        <f t="shared" ref="S90" si="312">S20+S21</f>
        <v>-119</v>
      </c>
      <c r="T90" s="118">
        <f t="shared" si="242"/>
        <v>2.8436155726361267E-2</v>
      </c>
      <c r="U90" s="128"/>
      <c r="V90" s="143">
        <f t="shared" ref="V90:AE90" si="313">V20+V21</f>
        <v>-83.299999999999955</v>
      </c>
      <c r="W90" s="143">
        <f t="shared" si="313"/>
        <v>-89.963999999999942</v>
      </c>
      <c r="X90" s="143">
        <f t="shared" si="313"/>
        <v>-97.161119999999983</v>
      </c>
      <c r="Y90" s="143">
        <f t="shared" si="313"/>
        <v>-104.93400960000008</v>
      </c>
      <c r="Z90" s="143">
        <f t="shared" si="313"/>
        <v>-113.32873036800015</v>
      </c>
      <c r="AA90" s="143">
        <f t="shared" si="313"/>
        <v>-122.39502879744009</v>
      </c>
      <c r="AB90" s="143">
        <f t="shared" si="313"/>
        <v>-132.18663110123521</v>
      </c>
      <c r="AC90" s="143">
        <f t="shared" si="313"/>
        <v>-142.76156158933395</v>
      </c>
      <c r="AD90" s="143">
        <f t="shared" si="313"/>
        <v>-154.18248651648037</v>
      </c>
      <c r="AE90" s="143">
        <f t="shared" si="313"/>
        <v>-166.51708543779841</v>
      </c>
      <c r="AF90" s="137">
        <f t="shared" ref="AF90:AF95" si="314">((AE90/I90)^(1/($AE$3-$J$1) ))-1</f>
        <v>-2.0610226276437018</v>
      </c>
      <c r="AG90" s="31">
        <f t="shared" si="16"/>
        <v>0.02</v>
      </c>
      <c r="AH90" s="145">
        <f t="shared" si="254"/>
        <v>-849.23713573277189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314</v>
      </c>
      <c r="C92" s="127"/>
      <c r="D92" s="127"/>
      <c r="E92" s="127"/>
      <c r="F92" s="127"/>
      <c r="G92" s="143">
        <f t="shared" ref="G92:H92" si="315">G90/G57</f>
        <v>-202.38095238095238</v>
      </c>
      <c r="H92" s="143">
        <f t="shared" si="315"/>
        <v>-402.38095238095241</v>
      </c>
      <c r="I92" s="143">
        <f t="shared" ref="I92:R92" si="316">I90/I57</f>
        <v>114.28571428571429</v>
      </c>
      <c r="J92" s="143">
        <f t="shared" si="316"/>
        <v>-69.047619047619051</v>
      </c>
      <c r="K92" s="143">
        <f t="shared" si="316"/>
        <v>-707.14285714285722</v>
      </c>
      <c r="L92" s="143">
        <f t="shared" si="316"/>
        <v>1497.6190476190477</v>
      </c>
      <c r="M92" s="143">
        <f t="shared" si="316"/>
        <v>-1497.6190476190477</v>
      </c>
      <c r="N92" s="143">
        <f t="shared" si="316"/>
        <v>-1983.3333333333335</v>
      </c>
      <c r="O92" s="143">
        <f t="shared" si="316"/>
        <v>133.33333333333334</v>
      </c>
      <c r="P92" s="143">
        <f t="shared" si="316"/>
        <v>816.66666666666674</v>
      </c>
      <c r="Q92" s="143">
        <f t="shared" si="316"/>
        <v>-283.33333333333337</v>
      </c>
      <c r="R92" s="143" t="e">
        <f t="shared" si="316"/>
        <v>#DIV/0!</v>
      </c>
      <c r="S92" s="143">
        <f t="shared" ref="S92" si="317">S90/S57</f>
        <v>-283.33333333333337</v>
      </c>
      <c r="T92" s="118">
        <f t="shared" si="242"/>
        <v>2.8436155726361267E-2</v>
      </c>
      <c r="U92" s="128"/>
      <c r="V92" s="145">
        <f t="shared" ref="V92:AE92" si="318">V90/V57</f>
        <v>-283.3333333333332</v>
      </c>
      <c r="W92" s="145">
        <f t="shared" si="318"/>
        <v>-299.99999999999983</v>
      </c>
      <c r="X92" s="145">
        <f t="shared" si="318"/>
        <v>-317.64705882352939</v>
      </c>
      <c r="Y92" s="145">
        <f t="shared" si="318"/>
        <v>-336.33217993079609</v>
      </c>
      <c r="Z92" s="145">
        <f t="shared" si="318"/>
        <v>-356.11642580907846</v>
      </c>
      <c r="AA92" s="145">
        <f t="shared" si="318"/>
        <v>-377.06445085667104</v>
      </c>
      <c r="AB92" s="145">
        <f t="shared" si="318"/>
        <v>-399.24471267176909</v>
      </c>
      <c r="AC92" s="145">
        <f t="shared" si="318"/>
        <v>-422.72969577010821</v>
      </c>
      <c r="AD92" s="145">
        <f t="shared" si="318"/>
        <v>-447.59614846246672</v>
      </c>
      <c r="AE92" s="145">
        <f t="shared" si="318"/>
        <v>-473.92533366614009</v>
      </c>
      <c r="AF92" s="137">
        <f t="shared" si="314"/>
        <v>-2.0700772766013182</v>
      </c>
      <c r="AG92" s="31">
        <f t="shared" si="16"/>
        <v>0.02</v>
      </c>
      <c r="AH92" s="145">
        <f t="shared" si="254"/>
        <v>-2417.0192016973142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19">G20/G57</f>
        <v>238.0952380952381</v>
      </c>
      <c r="H93" s="143">
        <f t="shared" si="319"/>
        <v>147.61904761904762</v>
      </c>
      <c r="I93" s="143">
        <f t="shared" ref="I93:R93" si="320">I20/I57</f>
        <v>654.76190476190482</v>
      </c>
      <c r="J93" s="143">
        <f t="shared" si="320"/>
        <v>728.57142857142856</v>
      </c>
      <c r="K93" s="143">
        <f t="shared" si="320"/>
        <v>640.47619047619048</v>
      </c>
      <c r="L93" s="143">
        <f t="shared" si="320"/>
        <v>2052.3809523809523</v>
      </c>
      <c r="M93" s="143">
        <f t="shared" si="320"/>
        <v>373.8095238095238</v>
      </c>
      <c r="N93" s="143">
        <f t="shared" si="320"/>
        <v>659.52380952380952</v>
      </c>
      <c r="O93" s="143">
        <f t="shared" si="320"/>
        <v>2433.3333333333335</v>
      </c>
      <c r="P93" s="143">
        <f t="shared" si="320"/>
        <v>2919.0476190476193</v>
      </c>
      <c r="Q93" s="143">
        <f t="shared" si="320"/>
        <v>3964.2857142857142</v>
      </c>
      <c r="R93" s="143" t="e">
        <f t="shared" si="320"/>
        <v>#DIV/0!</v>
      </c>
      <c r="S93" s="143">
        <f t="shared" ref="S93" si="321">S20/S57</f>
        <v>3964.2857142857142</v>
      </c>
      <c r="T93" s="118">
        <f t="shared" si="242"/>
        <v>0.26410898969954655</v>
      </c>
      <c r="U93" s="128"/>
      <c r="V93" s="145">
        <f t="shared" ref="V93:AE93" si="322">V20/V57</f>
        <v>3964.2857142857147</v>
      </c>
      <c r="W93" s="145">
        <f t="shared" si="322"/>
        <v>4197.4789915966394</v>
      </c>
      <c r="X93" s="145">
        <f t="shared" si="322"/>
        <v>4444.3895205140889</v>
      </c>
      <c r="Y93" s="145">
        <f t="shared" si="322"/>
        <v>4705.824198191387</v>
      </c>
      <c r="Z93" s="145">
        <f t="shared" si="322"/>
        <v>4982.6373863202934</v>
      </c>
      <c r="AA93" s="145">
        <f t="shared" si="322"/>
        <v>5275.7337031626639</v>
      </c>
      <c r="AB93" s="145">
        <f t="shared" si="322"/>
        <v>5586.0709798192911</v>
      </c>
      <c r="AC93" s="145">
        <f t="shared" si="322"/>
        <v>5914.6633903968968</v>
      </c>
      <c r="AD93" s="145">
        <f t="shared" si="322"/>
        <v>6262.5847663025979</v>
      </c>
      <c r="AE93" s="145">
        <f t="shared" si="322"/>
        <v>6630.9721054968695</v>
      </c>
      <c r="AF93" s="137">
        <f t="shared" si="314"/>
        <v>0.11655637888078996</v>
      </c>
      <c r="AG93" s="31">
        <f t="shared" si="16"/>
        <v>0.02</v>
      </c>
      <c r="AH93" s="145">
        <f t="shared" si="254"/>
        <v>33817.957738034034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3">G21/G57</f>
        <v>-440.47619047619048</v>
      </c>
      <c r="H94" s="143">
        <f t="shared" si="323"/>
        <v>-550</v>
      </c>
      <c r="I94" s="143">
        <f t="shared" ref="I94:R94" si="324">I21/I57</f>
        <v>-540.47619047619048</v>
      </c>
      <c r="J94" s="143">
        <f t="shared" si="324"/>
        <v>-797.61904761904759</v>
      </c>
      <c r="K94" s="143">
        <f t="shared" si="324"/>
        <v>-1347.6190476190477</v>
      </c>
      <c r="L94" s="143">
        <f t="shared" si="324"/>
        <v>-554.76190476190482</v>
      </c>
      <c r="M94" s="143">
        <f t="shared" si="324"/>
        <v>-1871.4285714285716</v>
      </c>
      <c r="N94" s="143">
        <f t="shared" si="324"/>
        <v>-2642.8571428571431</v>
      </c>
      <c r="O94" s="143">
        <f t="shared" si="324"/>
        <v>-2300</v>
      </c>
      <c r="P94" s="143">
        <f t="shared" si="324"/>
        <v>-2102.3809523809523</v>
      </c>
      <c r="Q94" s="143">
        <f t="shared" si="324"/>
        <v>-4247.6190476190477</v>
      </c>
      <c r="R94" s="143" t="e">
        <f t="shared" si="324"/>
        <v>#DIV/0!</v>
      </c>
      <c r="S94" s="143">
        <f t="shared" ref="S94" si="325">S21/S57</f>
        <v>-4247.6190476190477</v>
      </c>
      <c r="T94" s="118">
        <f t="shared" si="242"/>
        <v>0.2078655464033643</v>
      </c>
      <c r="U94" s="128"/>
      <c r="V94" s="145">
        <f t="shared" ref="V94:AE94" si="326">V21/V57</f>
        <v>-4247.6190476190477</v>
      </c>
      <c r="W94" s="145">
        <f t="shared" si="326"/>
        <v>-4497.4789915966385</v>
      </c>
      <c r="X94" s="145">
        <f t="shared" si="326"/>
        <v>-4762.0365793376177</v>
      </c>
      <c r="Y94" s="145">
        <f t="shared" si="326"/>
        <v>-5042.1563781221839</v>
      </c>
      <c r="Z94" s="145">
        <f t="shared" si="326"/>
        <v>-5338.7538121293719</v>
      </c>
      <c r="AA94" s="145">
        <f t="shared" si="326"/>
        <v>-5652.798154019335</v>
      </c>
      <c r="AB94" s="145">
        <f t="shared" si="326"/>
        <v>-5985.3156924910609</v>
      </c>
      <c r="AC94" s="145">
        <f t="shared" si="326"/>
        <v>-6337.3930861670051</v>
      </c>
      <c r="AD94" s="145">
        <f t="shared" si="326"/>
        <v>-6710.1809147650647</v>
      </c>
      <c r="AE94" s="145">
        <f t="shared" si="326"/>
        <v>-7104.8974391630099</v>
      </c>
      <c r="AF94" s="137">
        <f t="shared" si="314"/>
        <v>0.13051231459089085</v>
      </c>
      <c r="AG94" s="31">
        <f t="shared" si="16"/>
        <v>0.02</v>
      </c>
      <c r="AH94" s="145">
        <f t="shared" si="254"/>
        <v>-36234.97693973135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7">G22/G57</f>
        <v>197.61904761904762</v>
      </c>
      <c r="H95" s="143">
        <f t="shared" si="327"/>
        <v>278.57142857142856</v>
      </c>
      <c r="I95" s="143">
        <f t="shared" ref="I95:R95" si="328">I22/I57</f>
        <v>-95.238095238095241</v>
      </c>
      <c r="J95" s="143">
        <f t="shared" si="328"/>
        <v>116.66666666666667</v>
      </c>
      <c r="K95" s="143">
        <f t="shared" si="328"/>
        <v>776.19047619047626</v>
      </c>
      <c r="L95" s="143">
        <f t="shared" si="328"/>
        <v>-1600</v>
      </c>
      <c r="M95" s="143">
        <f t="shared" si="328"/>
        <v>1483.3333333333335</v>
      </c>
      <c r="N95" s="143">
        <f t="shared" si="328"/>
        <v>2011.9047619047619</v>
      </c>
      <c r="O95" s="143">
        <f t="shared" si="328"/>
        <v>-121.42857142857143</v>
      </c>
      <c r="P95" s="143">
        <f t="shared" si="328"/>
        <v>-745.2380952380953</v>
      </c>
      <c r="Q95" s="143">
        <f t="shared" si="328"/>
        <v>161.9047619047619</v>
      </c>
      <c r="R95" s="143" t="e">
        <f t="shared" si="328"/>
        <v>#DIV/0!</v>
      </c>
      <c r="S95" s="143">
        <f t="shared" ref="S95" si="329">S22/S57</f>
        <v>161.9047619047619</v>
      </c>
      <c r="T95" s="118">
        <f t="shared" si="242"/>
        <v>-1.6473872056217642E-2</v>
      </c>
      <c r="U95" s="128"/>
      <c r="V95" s="145">
        <f t="shared" ref="V95:AE95" si="330">V22/V57</f>
        <v>161.9047619047619</v>
      </c>
      <c r="W95" s="145">
        <f t="shared" si="330"/>
        <v>171.42857142857142</v>
      </c>
      <c r="X95" s="145">
        <f t="shared" si="330"/>
        <v>181.51260504201682</v>
      </c>
      <c r="Y95" s="145">
        <f t="shared" si="330"/>
        <v>192.18981710331192</v>
      </c>
      <c r="Z95" s="145">
        <f t="shared" si="330"/>
        <v>203.49510046233027</v>
      </c>
      <c r="AA95" s="145">
        <f t="shared" si="330"/>
        <v>215.46540048952619</v>
      </c>
      <c r="AB95" s="145">
        <f t="shared" si="330"/>
        <v>228.13983581243951</v>
      </c>
      <c r="AC95" s="145">
        <f t="shared" si="330"/>
        <v>241.55982615434775</v>
      </c>
      <c r="AD95" s="145">
        <f t="shared" si="330"/>
        <v>255.76922769283883</v>
      </c>
      <c r="AE95" s="145">
        <f t="shared" si="330"/>
        <v>270.81447638065288</v>
      </c>
      <c r="AF95" s="137">
        <f t="shared" si="314"/>
        <v>-2.0510235249379454</v>
      </c>
      <c r="AG95" s="31">
        <f t="shared" si="16"/>
        <v>0.02</v>
      </c>
      <c r="AH95" s="145">
        <f t="shared" si="254"/>
        <v>1381.1538295413295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31">G23/G57</f>
        <v>266.66666666666669</v>
      </c>
      <c r="H96" s="143">
        <f t="shared" si="331"/>
        <v>138.0952380952381</v>
      </c>
      <c r="I96" s="143">
        <f t="shared" ref="I96:R96" si="332">I23/I57</f>
        <v>126.19047619047619</v>
      </c>
      <c r="J96" s="143">
        <f t="shared" si="332"/>
        <v>173.80952380952382</v>
      </c>
      <c r="K96" s="143">
        <f t="shared" si="332"/>
        <v>242.85714285714286</v>
      </c>
      <c r="L96" s="143">
        <f t="shared" si="332"/>
        <v>142.85714285714286</v>
      </c>
      <c r="M96" s="143">
        <f t="shared" si="332"/>
        <v>126.19047619047619</v>
      </c>
      <c r="N96" s="143">
        <f t="shared" si="332"/>
        <v>135.71428571428572</v>
      </c>
      <c r="O96" s="143">
        <f t="shared" si="332"/>
        <v>140.47619047619048</v>
      </c>
      <c r="P96" s="143">
        <f t="shared" si="332"/>
        <v>680.95238095238096</v>
      </c>
      <c r="Q96" s="143">
        <f t="shared" si="332"/>
        <v>607.14285714285711</v>
      </c>
      <c r="R96" s="143" t="e">
        <f t="shared" si="332"/>
        <v>#DIV/0!</v>
      </c>
      <c r="S96" s="143">
        <f t="shared" ref="S96" si="333">S23/S57</f>
        <v>607.14285714285711</v>
      </c>
      <c r="T96" s="118">
        <f t="shared" si="242"/>
        <v>7.0968867935117919E-2</v>
      </c>
      <c r="U96" s="128"/>
      <c r="V96" s="145">
        <f t="shared" ref="V96:AE96" si="334">V23/V57</f>
        <v>607.14285714285722</v>
      </c>
      <c r="W96" s="145">
        <f t="shared" si="334"/>
        <v>642.85714285714289</v>
      </c>
      <c r="X96" s="145">
        <f t="shared" si="334"/>
        <v>680.67226890756308</v>
      </c>
      <c r="Y96" s="145">
        <f t="shared" si="334"/>
        <v>720.71181413741976</v>
      </c>
      <c r="Z96" s="145">
        <f t="shared" si="334"/>
        <v>763.10662673373861</v>
      </c>
      <c r="AA96" s="145">
        <f t="shared" si="334"/>
        <v>807.99525183572337</v>
      </c>
      <c r="AB96" s="145">
        <f t="shared" si="334"/>
        <v>855.52438429664824</v>
      </c>
      <c r="AC96" s="145">
        <f t="shared" si="334"/>
        <v>905.84934807880404</v>
      </c>
      <c r="AD96" s="145">
        <f t="shared" si="334"/>
        <v>959.13460384814562</v>
      </c>
      <c r="AE96" s="145">
        <f t="shared" si="334"/>
        <v>1015.5542864274483</v>
      </c>
      <c r="AF96" s="137">
        <f t="shared" ref="AF96" si="335">((AE96/I96)^(1/($AE$3-$J$1) ))-1</f>
        <v>0.10440268914442208</v>
      </c>
      <c r="AG96" s="31">
        <f t="shared" si="16"/>
        <v>0.02</v>
      </c>
      <c r="AH96" s="145">
        <f t="shared" si="254"/>
        <v>5179.3268607799864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493</v>
      </c>
      <c r="C98" s="143"/>
      <c r="D98" s="143"/>
      <c r="E98" s="143"/>
      <c r="F98" s="143"/>
      <c r="G98" s="143">
        <f t="shared" ref="G98:H98" si="336">G51/G57</f>
        <v>523.80952380952385</v>
      </c>
      <c r="H98" s="143">
        <f t="shared" si="336"/>
        <v>476.1904761904762</v>
      </c>
      <c r="I98" s="143">
        <f t="shared" ref="I98:R98" si="337">I51/I57</f>
        <v>573.80952380952385</v>
      </c>
      <c r="J98" s="143">
        <f t="shared" si="337"/>
        <v>1040.4761904761906</v>
      </c>
      <c r="K98" s="143">
        <f t="shared" si="337"/>
        <v>1042.8571428571429</v>
      </c>
      <c r="L98" s="143">
        <f t="shared" si="337"/>
        <v>1676.1904761904761</v>
      </c>
      <c r="M98" s="143">
        <f t="shared" si="337"/>
        <v>1988.0952380952381</v>
      </c>
      <c r="N98" s="143">
        <f t="shared" si="337"/>
        <v>1938.0952380952381</v>
      </c>
      <c r="O98" s="143">
        <f t="shared" si="337"/>
        <v>3028.5714285714289</v>
      </c>
      <c r="P98" s="143">
        <f t="shared" si="337"/>
        <v>2940.4761904761904</v>
      </c>
      <c r="Q98" s="143">
        <f t="shared" si="337"/>
        <v>3221.4285714285716</v>
      </c>
      <c r="R98" s="143" t="e">
        <f t="shared" si="337"/>
        <v>#DIV/0!</v>
      </c>
      <c r="S98" s="143">
        <f t="shared" ref="S98" si="338">S51/S57</f>
        <v>8242.8571428571431</v>
      </c>
      <c r="T98" s="118">
        <f t="shared" si="242"/>
        <v>0.25817784030893232</v>
      </c>
      <c r="U98" s="128"/>
      <c r="V98" s="143">
        <f t="shared" ref="V98:AE98" si="339">V51/V57</f>
        <v>8242.8571428571413</v>
      </c>
      <c r="W98" s="143">
        <f t="shared" si="339"/>
        <v>8727.7310924369758</v>
      </c>
      <c r="X98" s="143">
        <f t="shared" si="339"/>
        <v>9241.1270390509162</v>
      </c>
      <c r="Y98" s="143">
        <f t="shared" si="339"/>
        <v>9784.7227472303821</v>
      </c>
      <c r="Z98" s="143">
        <f t="shared" si="339"/>
        <v>10360.294673538052</v>
      </c>
      <c r="AA98" s="143">
        <f t="shared" si="339"/>
        <v>10969.723771981468</v>
      </c>
      <c r="AB98" s="143">
        <f t="shared" si="339"/>
        <v>11615.001640921555</v>
      </c>
      <c r="AC98" s="143">
        <f t="shared" si="339"/>
        <v>12298.237031564</v>
      </c>
      <c r="AD98" s="143">
        <f t="shared" si="339"/>
        <v>13021.662739303059</v>
      </c>
      <c r="AE98" s="143">
        <f t="shared" si="339"/>
        <v>13787.642900438535</v>
      </c>
      <c r="AF98" s="137">
        <f t="shared" ref="AF98:AF100" si="340">((AE98/I98)^(1/($AE$3-$J$1) ))-1</f>
        <v>0.16345256052013335</v>
      </c>
      <c r="AG98" s="31">
        <f t="shared" si="16"/>
        <v>0.02</v>
      </c>
      <c r="AH98" s="145">
        <f t="shared" si="254"/>
        <v>70316.978792236521</v>
      </c>
    </row>
    <row r="99" spans="2:34">
      <c r="B99" s="20" t="s">
        <v>494</v>
      </c>
      <c r="C99" s="143"/>
      <c r="D99" s="143"/>
      <c r="E99" s="143"/>
      <c r="F99" s="143"/>
      <c r="G99" s="143">
        <f t="shared" ref="G99:H99" si="341">G55/G57</f>
        <v>280.95238095238096</v>
      </c>
      <c r="H99" s="143">
        <f t="shared" si="341"/>
        <v>69.047619047619051</v>
      </c>
      <c r="I99" s="143">
        <f t="shared" ref="I99:R99" si="342">I55/I57</f>
        <v>188.0952380952381</v>
      </c>
      <c r="J99" s="143">
        <f t="shared" si="342"/>
        <v>404.76190476190476</v>
      </c>
      <c r="K99" s="143">
        <f t="shared" si="342"/>
        <v>340.47619047619048</v>
      </c>
      <c r="L99" s="143">
        <f t="shared" si="342"/>
        <v>597.61904761904759</v>
      </c>
      <c r="M99" s="143">
        <f t="shared" si="342"/>
        <v>850</v>
      </c>
      <c r="N99" s="143">
        <f t="shared" si="342"/>
        <v>1473.8095238095239</v>
      </c>
      <c r="O99" s="143">
        <f t="shared" si="342"/>
        <v>1380.952380952381</v>
      </c>
      <c r="P99" s="143">
        <f t="shared" si="342"/>
        <v>1923.8095238095239</v>
      </c>
      <c r="Q99" s="143">
        <f t="shared" si="342"/>
        <v>2161.9047619047619</v>
      </c>
      <c r="R99" s="143" t="e">
        <f t="shared" si="342"/>
        <v>#DIV/0!</v>
      </c>
      <c r="S99" s="143">
        <f t="shared" ref="S99" si="343">S55/S57</f>
        <v>5633.3333333333339</v>
      </c>
      <c r="T99" s="118">
        <f t="shared" si="242"/>
        <v>0.28384046829535858</v>
      </c>
      <c r="U99" s="128"/>
      <c r="V99" s="143">
        <f t="shared" ref="V99:AE99" si="344">V55/V57</f>
        <v>5633.333333333333</v>
      </c>
      <c r="W99" s="143">
        <f t="shared" si="344"/>
        <v>5964.7058823529414</v>
      </c>
      <c r="X99" s="143">
        <f t="shared" si="344"/>
        <v>6315.5709342560558</v>
      </c>
      <c r="Y99" s="143">
        <f t="shared" si="344"/>
        <v>6687.0751068593527</v>
      </c>
      <c r="Z99" s="143">
        <f t="shared" si="344"/>
        <v>7080.4324660863749</v>
      </c>
      <c r="AA99" s="143">
        <f t="shared" si="344"/>
        <v>7496.928493503221</v>
      </c>
      <c r="AB99" s="143">
        <f t="shared" si="344"/>
        <v>7937.9242872387049</v>
      </c>
      <c r="AC99" s="143">
        <f t="shared" si="344"/>
        <v>8404.8610100174537</v>
      </c>
      <c r="AD99" s="143">
        <f t="shared" si="344"/>
        <v>8899.2645988420099</v>
      </c>
      <c r="AE99" s="143">
        <f t="shared" si="344"/>
        <v>9422.7507517150698</v>
      </c>
      <c r="AF99" s="137">
        <f t="shared" si="340"/>
        <v>0.20487738376543896</v>
      </c>
      <c r="AG99" s="31">
        <f t="shared" si="16"/>
        <v>0.02</v>
      </c>
      <c r="AH99" s="145">
        <f t="shared" si="254"/>
        <v>48056.028833746859</v>
      </c>
    </row>
    <row r="100" spans="2:34">
      <c r="B100" s="20" t="s">
        <v>310</v>
      </c>
      <c r="C100" s="143"/>
      <c r="D100" s="143"/>
      <c r="E100" s="143"/>
      <c r="F100" s="143"/>
      <c r="G100" s="143">
        <f t="shared" ref="G100:H100" si="345">G6/G57</f>
        <v>1666.6666666666667</v>
      </c>
      <c r="H100" s="143">
        <f t="shared" si="345"/>
        <v>1711.9047619047619</v>
      </c>
      <c r="I100" s="143">
        <f t="shared" ref="I100:R100" si="346">I6/I57</f>
        <v>1952.3809523809525</v>
      </c>
      <c r="J100" s="143">
        <f t="shared" si="346"/>
        <v>2330.9523809523812</v>
      </c>
      <c r="K100" s="143">
        <f t="shared" si="346"/>
        <v>2647.6190476190477</v>
      </c>
      <c r="L100" s="143">
        <f t="shared" si="346"/>
        <v>3216.666666666667</v>
      </c>
      <c r="M100" s="143">
        <f t="shared" si="346"/>
        <v>4009.5238095238096</v>
      </c>
      <c r="N100" s="143">
        <f t="shared" si="346"/>
        <v>5450</v>
      </c>
      <c r="O100" s="143">
        <f t="shared" si="346"/>
        <v>6800</v>
      </c>
      <c r="P100" s="143">
        <f t="shared" si="346"/>
        <v>8692.8571428571431</v>
      </c>
      <c r="Q100" s="143">
        <f t="shared" si="346"/>
        <v>10797.619047619048</v>
      </c>
      <c r="R100" s="143" t="e">
        <f t="shared" si="346"/>
        <v>#DIV/0!</v>
      </c>
      <c r="S100" s="143">
        <f t="shared" ref="S100" si="347">S6/S57</f>
        <v>16311.904761904763</v>
      </c>
      <c r="T100" s="118">
        <f t="shared" si="242"/>
        <v>0.20935738398176307</v>
      </c>
      <c r="U100" s="128"/>
      <c r="V100" s="143">
        <f t="shared" ref="V100:AE100" si="348">V6/V57</f>
        <v>16311.904761904761</v>
      </c>
      <c r="W100" s="143">
        <f t="shared" si="348"/>
        <v>17271.428571428572</v>
      </c>
      <c r="X100" s="143">
        <f t="shared" si="348"/>
        <v>18287.394957983197</v>
      </c>
      <c r="Y100" s="143">
        <f t="shared" si="348"/>
        <v>19363.124073158677</v>
      </c>
      <c r="Z100" s="143">
        <f t="shared" si="348"/>
        <v>20502.131371579777</v>
      </c>
      <c r="AA100" s="143">
        <f t="shared" si="348"/>
        <v>21708.139099319767</v>
      </c>
      <c r="AB100" s="143">
        <f t="shared" si="348"/>
        <v>22985.088458103281</v>
      </c>
      <c r="AC100" s="143">
        <f t="shared" si="348"/>
        <v>24337.152485050538</v>
      </c>
      <c r="AD100" s="143">
        <f t="shared" si="348"/>
        <v>25768.749690053512</v>
      </c>
      <c r="AE100" s="143">
        <f t="shared" si="348"/>
        <v>27284.558495350779</v>
      </c>
      <c r="AF100" s="137">
        <f t="shared" si="340"/>
        <v>0.13381079864525081</v>
      </c>
      <c r="AG100" s="31">
        <f t="shared" ref="AG100" si="349">$N$1</f>
        <v>0.02</v>
      </c>
      <c r="AH100" s="145">
        <f t="shared" si="254"/>
        <v>139151.24832628897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463</v>
      </c>
      <c r="C102" s="127"/>
      <c r="D102" s="127"/>
      <c r="E102" s="127"/>
      <c r="F102" s="127"/>
      <c r="G102" s="143">
        <f t="shared" ref="G102:H102" si="350">G55/$S$57</f>
        <v>280.95238095238096</v>
      </c>
      <c r="H102" s="143">
        <f t="shared" si="350"/>
        <v>69.047619047619051</v>
      </c>
      <c r="I102" s="143">
        <f t="shared" ref="I102:S102" si="351">I55/$S$57</f>
        <v>188.0952380952381</v>
      </c>
      <c r="J102" s="143">
        <f t="shared" si="351"/>
        <v>404.76190476190476</v>
      </c>
      <c r="K102" s="143">
        <f t="shared" si="351"/>
        <v>340.47619047619048</v>
      </c>
      <c r="L102" s="143">
        <f t="shared" si="351"/>
        <v>597.61904761904759</v>
      </c>
      <c r="M102" s="143">
        <f t="shared" si="351"/>
        <v>850</v>
      </c>
      <c r="N102" s="143">
        <f t="shared" si="351"/>
        <v>1473.8095238095239</v>
      </c>
      <c r="O102" s="143">
        <f t="shared" si="351"/>
        <v>1380.952380952381</v>
      </c>
      <c r="P102" s="143">
        <f t="shared" si="351"/>
        <v>1923.8095238095239</v>
      </c>
      <c r="Q102" s="143">
        <f t="shared" si="351"/>
        <v>2161.9047619047619</v>
      </c>
      <c r="R102" s="143">
        <f t="shared" si="351"/>
        <v>0</v>
      </c>
      <c r="S102" s="143">
        <f t="shared" si="351"/>
        <v>5633.3333333333339</v>
      </c>
      <c r="T102" s="118">
        <f t="shared" si="242"/>
        <v>0.28384046829535858</v>
      </c>
      <c r="U102" s="128"/>
      <c r="V102" s="143">
        <f t="shared" ref="V102:AE102" si="352">V55/V57</f>
        <v>5633.333333333333</v>
      </c>
      <c r="W102" s="143">
        <f t="shared" si="352"/>
        <v>5964.7058823529414</v>
      </c>
      <c r="X102" s="143">
        <f t="shared" si="352"/>
        <v>6315.5709342560558</v>
      </c>
      <c r="Y102" s="143">
        <f t="shared" si="352"/>
        <v>6687.0751068593527</v>
      </c>
      <c r="Z102" s="143">
        <f t="shared" si="352"/>
        <v>7080.4324660863749</v>
      </c>
      <c r="AA102" s="143">
        <f t="shared" si="352"/>
        <v>7496.928493503221</v>
      </c>
      <c r="AB102" s="143">
        <f t="shared" si="352"/>
        <v>7937.9242872387049</v>
      </c>
      <c r="AC102" s="143">
        <f t="shared" si="352"/>
        <v>8404.8610100174537</v>
      </c>
      <c r="AD102" s="143">
        <f t="shared" si="352"/>
        <v>8899.2645988420099</v>
      </c>
      <c r="AE102" s="143">
        <f t="shared" si="352"/>
        <v>9422.7507517150698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353">G51/G25</f>
        <v>9.5279341706366386E-2</v>
      </c>
      <c r="H105" s="150">
        <f t="shared" si="353"/>
        <v>7.7669902912621352E-2</v>
      </c>
      <c r="I105" s="150">
        <f t="shared" ref="I105:R105" si="354">I51/I25</f>
        <v>6.3739751388521559E-2</v>
      </c>
      <c r="J105" s="150">
        <f t="shared" si="354"/>
        <v>9.7067969791203912E-2</v>
      </c>
      <c r="K105" s="150">
        <f t="shared" si="354"/>
        <v>8.501552795031056E-2</v>
      </c>
      <c r="L105" s="150">
        <f t="shared" si="354"/>
        <v>0.12844371465061119</v>
      </c>
      <c r="M105" s="150">
        <f t="shared" si="354"/>
        <v>0.10913606064566723</v>
      </c>
      <c r="N105" s="150">
        <f t="shared" si="354"/>
        <v>7.7693996373007543E-2</v>
      </c>
      <c r="O105" s="150">
        <f t="shared" si="354"/>
        <v>0.10576203542030431</v>
      </c>
      <c r="P105" s="150">
        <f t="shared" si="354"/>
        <v>0.10062739346533039</v>
      </c>
      <c r="Q105" s="150">
        <f t="shared" si="354"/>
        <v>0.101000298596596</v>
      </c>
      <c r="R105" s="150" t="e">
        <f t="shared" si="354"/>
        <v>#DIV/0!</v>
      </c>
      <c r="S105" s="150">
        <f t="shared" ref="S105" si="355">S51/S25</f>
        <v>0.16701239808963289</v>
      </c>
      <c r="T105" s="118">
        <f t="shared" si="242"/>
        <v>4.7882281536487659E-2</v>
      </c>
      <c r="U105" s="150"/>
      <c r="V105" s="150">
        <f t="shared" ref="V105:AE105" si="356">V51/V25</f>
        <v>0.16701239808963286</v>
      </c>
      <c r="W105" s="150">
        <f t="shared" si="356"/>
        <v>0.16701239808963289</v>
      </c>
      <c r="X105" s="150">
        <f t="shared" si="356"/>
        <v>0.16701239808963289</v>
      </c>
      <c r="Y105" s="150">
        <f t="shared" si="356"/>
        <v>0.16701239808963292</v>
      </c>
      <c r="Z105" s="150">
        <f t="shared" si="356"/>
        <v>0.16701239808963289</v>
      </c>
      <c r="AA105" s="150">
        <f t="shared" si="356"/>
        <v>0.16701239808963289</v>
      </c>
      <c r="AB105" s="150">
        <f t="shared" si="356"/>
        <v>0.16701239808963289</v>
      </c>
      <c r="AC105" s="150">
        <f t="shared" si="356"/>
        <v>0.16701239808963289</v>
      </c>
      <c r="AD105" s="150">
        <f t="shared" si="356"/>
        <v>0.16701239808963289</v>
      </c>
      <c r="AE105" s="150">
        <f t="shared" si="356"/>
        <v>0.16701239808963289</v>
      </c>
      <c r="AF105" s="137">
        <f t="shared" ref="AF105:AF154" si="357">((AE105/I105)^(1/($AE$3-$J$1) ))-1</f>
        <v>4.6937783698154378E-2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58">G55/G25</f>
        <v>5.1104374187960155E-2</v>
      </c>
      <c r="H106" s="150">
        <f t="shared" si="358"/>
        <v>1.1262135922330097E-2</v>
      </c>
      <c r="I106" s="150">
        <f t="shared" ref="I106:R106" si="359">I55/I25</f>
        <v>2.089394340121661E-2</v>
      </c>
      <c r="J106" s="150">
        <f t="shared" si="359"/>
        <v>3.7760995113282986E-2</v>
      </c>
      <c r="K106" s="150">
        <f t="shared" si="359"/>
        <v>2.7756211180124224E-2</v>
      </c>
      <c r="L106" s="150">
        <f t="shared" si="359"/>
        <v>4.579456303594235E-2</v>
      </c>
      <c r="M106" s="150">
        <f t="shared" si="359"/>
        <v>4.6660567246111617E-2</v>
      </c>
      <c r="N106" s="150">
        <f t="shared" si="359"/>
        <v>5.9081798224682638E-2</v>
      </c>
      <c r="O106" s="150">
        <f t="shared" si="359"/>
        <v>4.8224827471522409E-2</v>
      </c>
      <c r="P106" s="150">
        <f t="shared" si="359"/>
        <v>6.5835574024280946E-2</v>
      </c>
      <c r="Q106" s="150">
        <f t="shared" si="359"/>
        <v>6.7781427291728868E-2</v>
      </c>
      <c r="R106" s="150" t="e">
        <f t="shared" si="359"/>
        <v>#DIV/0!</v>
      </c>
      <c r="S106" s="150">
        <f t="shared" ref="S106" si="360">S55/S25</f>
        <v>0.11413961117275315</v>
      </c>
      <c r="T106" s="118">
        <f t="shared" si="242"/>
        <v>6.9255582116980907E-2</v>
      </c>
      <c r="U106" s="150"/>
      <c r="V106" s="150">
        <f t="shared" ref="V106:AE106" si="361">V55/V25</f>
        <v>0.11413961117275315</v>
      </c>
      <c r="W106" s="150">
        <f t="shared" si="361"/>
        <v>0.11413961117275315</v>
      </c>
      <c r="X106" s="150">
        <f t="shared" si="361"/>
        <v>0.11413961117275315</v>
      </c>
      <c r="Y106" s="150">
        <f t="shared" si="361"/>
        <v>0.11413961117275315</v>
      </c>
      <c r="Z106" s="150">
        <f t="shared" si="361"/>
        <v>0.11413961117275315</v>
      </c>
      <c r="AA106" s="150">
        <f t="shared" si="361"/>
        <v>0.11413961117275315</v>
      </c>
      <c r="AB106" s="150">
        <f t="shared" si="361"/>
        <v>0.11413961117275315</v>
      </c>
      <c r="AC106" s="150">
        <f t="shared" si="361"/>
        <v>0.11413961117275315</v>
      </c>
      <c r="AD106" s="150">
        <f t="shared" si="361"/>
        <v>0.11413961117275315</v>
      </c>
      <c r="AE106" s="150">
        <f t="shared" si="361"/>
        <v>0.11413961117275316</v>
      </c>
      <c r="AF106" s="137">
        <f t="shared" si="357"/>
        <v>8.4214088818097999E-2</v>
      </c>
      <c r="AG106" s="145"/>
      <c r="AH106" s="145"/>
    </row>
    <row r="107" spans="2:34">
      <c r="B107" s="20" t="s">
        <v>355</v>
      </c>
      <c r="C107" s="150"/>
      <c r="D107" s="150"/>
      <c r="E107" s="150"/>
      <c r="F107" s="150"/>
      <c r="G107" s="150">
        <f t="shared" ref="G107:H107" si="362">G55/G7</f>
        <v>0.16761363636363635</v>
      </c>
      <c r="H107" s="150">
        <f t="shared" si="362"/>
        <v>4.0110650069156296E-2</v>
      </c>
      <c r="I107" s="150">
        <f>I55/I7</f>
        <v>9.5873786407766989E-2</v>
      </c>
      <c r="J107" s="150">
        <f t="shared" ref="J107:Q107" si="363">J55/J7</f>
        <v>0.17293997965412003</v>
      </c>
      <c r="K107" s="150">
        <f t="shared" si="363"/>
        <v>0.12802148612354522</v>
      </c>
      <c r="L107" s="150">
        <f t="shared" si="363"/>
        <v>0.18523985239852397</v>
      </c>
      <c r="M107" s="150">
        <f t="shared" si="363"/>
        <v>0.21149289099526067</v>
      </c>
      <c r="N107" s="150">
        <f t="shared" si="363"/>
        <v>0.26983435047951176</v>
      </c>
      <c r="O107" s="150">
        <f t="shared" si="363"/>
        <v>0.20272631946871722</v>
      </c>
      <c r="P107" s="150">
        <f t="shared" si="363"/>
        <v>0.22106703146374829</v>
      </c>
      <c r="Q107" s="150">
        <f t="shared" si="363"/>
        <v>1.9982834129272212E-2</v>
      </c>
      <c r="R107" s="150" t="e">
        <f t="shared" ref="R107:S107" si="364">R55/R7</f>
        <v>#DIV/0!</v>
      </c>
      <c r="S107" s="150">
        <f t="shared" si="364"/>
        <v>0.34514952589350839</v>
      </c>
      <c r="T107" s="118">
        <f t="shared" si="242"/>
        <v>6.204151708166239E-2</v>
      </c>
      <c r="U107" s="20"/>
      <c r="V107" s="150">
        <f t="shared" ref="V107" si="365">V55/V7</f>
        <v>0.34514952589350834</v>
      </c>
      <c r="W107" s="150">
        <f t="shared" ref="W107:AE107" si="366">W55/W7</f>
        <v>0.34514952589350839</v>
      </c>
      <c r="X107" s="150">
        <f t="shared" si="366"/>
        <v>0.34514952589350839</v>
      </c>
      <c r="Y107" s="150">
        <f t="shared" si="366"/>
        <v>0.34514952589350834</v>
      </c>
      <c r="Z107" s="150">
        <f t="shared" si="366"/>
        <v>0.34514952589350834</v>
      </c>
      <c r="AA107" s="150">
        <f t="shared" si="366"/>
        <v>0.34514952589350834</v>
      </c>
      <c r="AB107" s="150">
        <f t="shared" si="366"/>
        <v>0.34514952589350834</v>
      </c>
      <c r="AC107" s="150">
        <f t="shared" si="366"/>
        <v>0.34514952589350839</v>
      </c>
      <c r="AD107" s="150">
        <f t="shared" si="366"/>
        <v>0.34514952589350834</v>
      </c>
      <c r="AE107" s="150">
        <f t="shared" si="366"/>
        <v>0.34514952589350834</v>
      </c>
      <c r="AF107" s="137">
        <f t="shared" si="357"/>
        <v>6.2896136987012241E-2</v>
      </c>
      <c r="AG107" s="145"/>
      <c r="AH107" s="145"/>
    </row>
    <row r="108" spans="2:34">
      <c r="B108" s="20" t="s">
        <v>356</v>
      </c>
      <c r="C108" s="150"/>
      <c r="D108" s="150"/>
      <c r="E108" s="150"/>
      <c r="F108" s="150"/>
      <c r="G108" s="150">
        <f t="shared" ref="G108:H108" si="367">(G55)/(G7+G10)</f>
        <v>0.11847389558232932</v>
      </c>
      <c r="H108" s="150">
        <f t="shared" si="367"/>
        <v>2.5823686553873553E-2</v>
      </c>
      <c r="I108" s="150">
        <f>(I55)/(I7+I10)</f>
        <v>5.7917888563049851E-2</v>
      </c>
      <c r="J108" s="150">
        <f t="shared" ref="J108:Q108" si="368">(J55)/(J7+J10)</f>
        <v>0.1069182389937107</v>
      </c>
      <c r="K108" s="150">
        <f t="shared" si="368"/>
        <v>6.8783068783068779E-2</v>
      </c>
      <c r="L108" s="150">
        <f t="shared" si="368"/>
        <v>0.15239829993928355</v>
      </c>
      <c r="M108" s="150">
        <f t="shared" si="368"/>
        <v>0.13522727272727272</v>
      </c>
      <c r="N108" s="150">
        <f t="shared" si="368"/>
        <v>0.16246719160104986</v>
      </c>
      <c r="O108" s="150">
        <f t="shared" si="368"/>
        <v>0.12911843276936777</v>
      </c>
      <c r="P108" s="150">
        <f t="shared" si="368"/>
        <v>0.13584398117014124</v>
      </c>
      <c r="Q108" s="150">
        <f t="shared" si="368"/>
        <v>1.8873415090417792E-2</v>
      </c>
      <c r="R108" s="150" t="e">
        <f t="shared" ref="R108:S108" si="369">(R55)/(R7+R10)</f>
        <v>#DIV/0!</v>
      </c>
      <c r="S108" s="150">
        <f t="shared" si="369"/>
        <v>0.2367183591795898</v>
      </c>
      <c r="T108" s="118">
        <f t="shared" si="242"/>
        <v>5.937756825322027E-2</v>
      </c>
      <c r="U108" s="20"/>
      <c r="V108" s="150">
        <f t="shared" ref="V108:AE108" si="370">(V55)/(V7+V10)</f>
        <v>0.23671835917958978</v>
      </c>
      <c r="W108" s="150">
        <f t="shared" si="370"/>
        <v>0.23671835917958978</v>
      </c>
      <c r="X108" s="150">
        <f t="shared" si="370"/>
        <v>0.2367183591795898</v>
      </c>
      <c r="Y108" s="150">
        <f t="shared" si="370"/>
        <v>0.23671835917958975</v>
      </c>
      <c r="Z108" s="150">
        <f t="shared" si="370"/>
        <v>0.23671835917958975</v>
      </c>
      <c r="AA108" s="150">
        <f t="shared" si="370"/>
        <v>0.23671835917958978</v>
      </c>
      <c r="AB108" s="150">
        <f t="shared" si="370"/>
        <v>0.23671835917958978</v>
      </c>
      <c r="AC108" s="150">
        <f t="shared" si="370"/>
        <v>0.23671835917958978</v>
      </c>
      <c r="AD108" s="150">
        <f t="shared" si="370"/>
        <v>0.23671835917958975</v>
      </c>
      <c r="AE108" s="150">
        <f t="shared" si="370"/>
        <v>0.23671835917958978</v>
      </c>
      <c r="AF108" s="137">
        <f t="shared" si="357"/>
        <v>6.9338494431227859E-2</v>
      </c>
      <c r="AG108" s="145"/>
      <c r="AH108" s="145"/>
    </row>
    <row r="109" spans="2:34">
      <c r="B109" s="20" t="s">
        <v>372</v>
      </c>
      <c r="C109" s="150"/>
      <c r="D109" s="150"/>
      <c r="E109" s="150"/>
      <c r="F109" s="150"/>
      <c r="G109" s="150">
        <f t="shared" ref="G109:H109" si="371">G20/G25</f>
        <v>4.3308791684711995E-2</v>
      </c>
      <c r="H109" s="150">
        <f t="shared" si="371"/>
        <v>2.4077669902912623E-2</v>
      </c>
      <c r="I109" s="150">
        <f>I20/I25</f>
        <v>7.2732081459931236E-2</v>
      </c>
      <c r="J109" s="150">
        <f t="shared" ref="J109:R109" si="372">J20/J25</f>
        <v>6.7969791203909377E-2</v>
      </c>
      <c r="K109" s="150">
        <f t="shared" si="372"/>
        <v>5.2212732919254656E-2</v>
      </c>
      <c r="L109" s="150">
        <f t="shared" si="372"/>
        <v>0.15727057106367451</v>
      </c>
      <c r="M109" s="150">
        <f t="shared" si="372"/>
        <v>2.0520193438766175E-2</v>
      </c>
      <c r="N109" s="150">
        <f t="shared" si="372"/>
        <v>2.6438866087620503E-2</v>
      </c>
      <c r="O109" s="150">
        <f t="shared" si="372"/>
        <v>8.4975471854992934E-2</v>
      </c>
      <c r="P109" s="150">
        <f t="shared" si="372"/>
        <v>9.989407642793123E-2</v>
      </c>
      <c r="Q109" s="150">
        <f t="shared" si="372"/>
        <v>0.12429083308450284</v>
      </c>
      <c r="R109" s="150" t="e">
        <f t="shared" si="372"/>
        <v>#DIV/0!</v>
      </c>
      <c r="S109" s="150">
        <f t="shared" ref="S109" si="373">S20/S25</f>
        <v>8.0322253847267114E-2</v>
      </c>
      <c r="T109" s="118">
        <f t="shared" si="242"/>
        <v>5.2822081107305685E-2</v>
      </c>
      <c r="U109" s="20"/>
      <c r="V109" s="150">
        <f t="shared" ref="V109:AE109" si="374">V20/V25</f>
        <v>8.0322253847267114E-2</v>
      </c>
      <c r="W109" s="150">
        <f t="shared" si="374"/>
        <v>8.0322253847267114E-2</v>
      </c>
      <c r="X109" s="150">
        <f t="shared" si="374"/>
        <v>8.0322253847267114E-2</v>
      </c>
      <c r="Y109" s="150">
        <f t="shared" si="374"/>
        <v>8.0322253847267114E-2</v>
      </c>
      <c r="Z109" s="150">
        <f t="shared" si="374"/>
        <v>8.0322253847267114E-2</v>
      </c>
      <c r="AA109" s="150">
        <f t="shared" si="374"/>
        <v>8.0322253847267114E-2</v>
      </c>
      <c r="AB109" s="150">
        <f t="shared" si="374"/>
        <v>8.0322253847267114E-2</v>
      </c>
      <c r="AC109" s="150">
        <f t="shared" si="374"/>
        <v>8.0322253847267114E-2</v>
      </c>
      <c r="AD109" s="150">
        <f t="shared" si="374"/>
        <v>8.0322253847267114E-2</v>
      </c>
      <c r="AE109" s="150">
        <f t="shared" si="374"/>
        <v>8.0322253847267128E-2</v>
      </c>
      <c r="AF109" s="137">
        <f t="shared" si="357"/>
        <v>4.7380532274501341E-3</v>
      </c>
      <c r="AG109" s="145"/>
      <c r="AH109" s="145"/>
    </row>
    <row r="110" spans="2:34">
      <c r="B110" s="20" t="s">
        <v>424</v>
      </c>
      <c r="C110" s="150"/>
      <c r="D110" s="150"/>
      <c r="E110" s="150"/>
      <c r="F110" s="150"/>
      <c r="G110" s="150">
        <f t="shared" ref="G110:H110" si="375">G68/G25</f>
        <v>2.1654395842355997E-2</v>
      </c>
      <c r="H110" s="150">
        <f t="shared" si="375"/>
        <v>5.8252427184466021E-3</v>
      </c>
      <c r="I110" s="150">
        <f>I68/I25</f>
        <v>5.2896059243586349E-3</v>
      </c>
      <c r="J110" s="150">
        <f t="shared" ref="J110:R110" si="376">J68/J25</f>
        <v>1.9768991559306975E-2</v>
      </c>
      <c r="K110" s="150">
        <f t="shared" si="376"/>
        <v>1.0869565217391304E-2</v>
      </c>
      <c r="L110" s="150">
        <f t="shared" si="376"/>
        <v>2.6455026455026454E-2</v>
      </c>
      <c r="M110" s="150">
        <f t="shared" si="376"/>
        <v>2.3395634557574173E-2</v>
      </c>
      <c r="N110" s="150">
        <f t="shared" si="376"/>
        <v>2.6152524577646274E-2</v>
      </c>
      <c r="O110" s="150">
        <f t="shared" si="376"/>
        <v>2.1867464870707575E-2</v>
      </c>
      <c r="P110" s="150">
        <f t="shared" si="376"/>
        <v>3.4791819441049456E-2</v>
      </c>
      <c r="Q110" s="150">
        <f t="shared" si="376"/>
        <v>3.3218871304867122E-2</v>
      </c>
      <c r="R110" s="150" t="e">
        <f t="shared" si="376"/>
        <v>#DIV/0!</v>
      </c>
      <c r="S110" s="150">
        <f t="shared" ref="S110" si="377">S68/S25</f>
        <v>5.2872786916879737E-2</v>
      </c>
      <c r="T110" s="118">
        <f t="shared" si="242"/>
        <v>7.7226869560484079E-2</v>
      </c>
      <c r="U110" s="20"/>
      <c r="V110" s="150">
        <f t="shared" ref="V110:AE110" si="378">V68/V25</f>
        <v>5.2872786916879723E-2</v>
      </c>
      <c r="W110" s="150">
        <f t="shared" si="378"/>
        <v>5.2872786916879737E-2</v>
      </c>
      <c r="X110" s="150">
        <f t="shared" si="378"/>
        <v>5.2872786916879737E-2</v>
      </c>
      <c r="Y110" s="150">
        <f t="shared" si="378"/>
        <v>5.2872786916879758E-2</v>
      </c>
      <c r="Z110" s="150">
        <f t="shared" si="378"/>
        <v>5.2872786916879744E-2</v>
      </c>
      <c r="AA110" s="150">
        <f t="shared" si="378"/>
        <v>5.2872786916879744E-2</v>
      </c>
      <c r="AB110" s="150">
        <f t="shared" si="378"/>
        <v>5.2872786916879744E-2</v>
      </c>
      <c r="AC110" s="150">
        <f t="shared" si="378"/>
        <v>5.287278691687973E-2</v>
      </c>
      <c r="AD110" s="150">
        <f t="shared" si="378"/>
        <v>5.2872786916879737E-2</v>
      </c>
      <c r="AE110" s="150">
        <f t="shared" si="378"/>
        <v>5.2872786916879744E-2</v>
      </c>
      <c r="AF110" s="137">
        <f t="shared" si="357"/>
        <v>0.11586060913010288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319</v>
      </c>
      <c r="C112" s="150"/>
      <c r="D112" s="150"/>
      <c r="E112" s="150"/>
      <c r="F112" s="150"/>
      <c r="G112" s="150">
        <f t="shared" ref="G112:H112" si="379">G29/G25</f>
        <v>1.7323516673884799E-2</v>
      </c>
      <c r="H112" s="150">
        <f t="shared" si="379"/>
        <v>1.2427184466019418E-2</v>
      </c>
      <c r="I112" s="150">
        <f>I29/I25</f>
        <v>1.3224014810896589E-2</v>
      </c>
      <c r="J112" s="150">
        <f t="shared" ref="J112:R112" si="380">J29/J25</f>
        <v>1.1106175033318524E-2</v>
      </c>
      <c r="K112" s="150">
        <f t="shared" si="380"/>
        <v>1.281055900621118E-2</v>
      </c>
      <c r="L112" s="150">
        <f t="shared" si="380"/>
        <v>1.2588943623426382E-2</v>
      </c>
      <c r="M112" s="150">
        <f t="shared" si="380"/>
        <v>8.2342177493138144E-3</v>
      </c>
      <c r="N112" s="150">
        <f t="shared" si="380"/>
        <v>8.8765868092011077E-3</v>
      </c>
      <c r="O112" s="150">
        <f t="shared" si="380"/>
        <v>1.3220254427538039E-2</v>
      </c>
      <c r="P112" s="150">
        <f t="shared" si="380"/>
        <v>1.5970015481137457E-2</v>
      </c>
      <c r="Q112" s="150">
        <f t="shared" si="380"/>
        <v>1.7318602567930726E-2</v>
      </c>
      <c r="R112" s="150" t="e">
        <f t="shared" si="380"/>
        <v>#DIV/0!</v>
      </c>
      <c r="S112" s="150">
        <f t="shared" ref="S112" si="381">S29/S25</f>
        <v>1.6546866708476049E-2</v>
      </c>
      <c r="T112" s="118">
        <f t="shared" si="242"/>
        <v>-3.815051013646098E-3</v>
      </c>
      <c r="U112" s="20"/>
      <c r="V112" s="150">
        <f t="shared" ref="V112:AE112" si="382">V29/V25</f>
        <v>1.6546866708476049E-2</v>
      </c>
      <c r="W112" s="150">
        <f t="shared" si="382"/>
        <v>1.6546866708476049E-2</v>
      </c>
      <c r="X112" s="150">
        <f t="shared" si="382"/>
        <v>1.6546866708476049E-2</v>
      </c>
      <c r="Y112" s="150">
        <f t="shared" si="382"/>
        <v>1.6546866708476049E-2</v>
      </c>
      <c r="Z112" s="150">
        <f t="shared" si="382"/>
        <v>1.6546866708476046E-2</v>
      </c>
      <c r="AA112" s="150">
        <f t="shared" si="382"/>
        <v>1.6546866708476049E-2</v>
      </c>
      <c r="AB112" s="150">
        <f t="shared" si="382"/>
        <v>1.6546866708476049E-2</v>
      </c>
      <c r="AC112" s="150">
        <f t="shared" si="382"/>
        <v>1.6546866708476049E-2</v>
      </c>
      <c r="AD112" s="150">
        <f t="shared" si="382"/>
        <v>1.6546866708476049E-2</v>
      </c>
      <c r="AE112" s="150">
        <f t="shared" si="382"/>
        <v>1.6546866708476049E-2</v>
      </c>
      <c r="AF112" s="137">
        <f t="shared" si="357"/>
        <v>1.0731568916333645E-2</v>
      </c>
      <c r="AG112" s="145"/>
      <c r="AH112" s="145"/>
    </row>
    <row r="113" spans="1:34">
      <c r="B113" s="20" t="s">
        <v>365</v>
      </c>
      <c r="C113" s="150"/>
      <c r="D113" s="150"/>
      <c r="E113" s="150"/>
      <c r="F113" s="150"/>
      <c r="G113" s="150">
        <f t="shared" ref="G113:H113" si="383">G29/G51</f>
        <v>0.18181818181818182</v>
      </c>
      <c r="H113" s="150">
        <f t="shared" si="383"/>
        <v>0.16</v>
      </c>
      <c r="I113" s="150">
        <f>I29/I51</f>
        <v>0.2074688796680498</v>
      </c>
      <c r="J113" s="150">
        <f t="shared" ref="J113:R113" si="384">J29/J51</f>
        <v>0.11441647597254005</v>
      </c>
      <c r="K113" s="150">
        <f t="shared" si="384"/>
        <v>0.15068493150684931</v>
      </c>
      <c r="L113" s="150">
        <f t="shared" si="384"/>
        <v>9.8011363636363633E-2</v>
      </c>
      <c r="M113" s="150">
        <f t="shared" si="384"/>
        <v>7.5449101796407181E-2</v>
      </c>
      <c r="N113" s="150">
        <f t="shared" si="384"/>
        <v>0.11425061425061425</v>
      </c>
      <c r="O113" s="150">
        <f t="shared" si="384"/>
        <v>0.125</v>
      </c>
      <c r="P113" s="150">
        <f t="shared" si="384"/>
        <v>0.15870445344129555</v>
      </c>
      <c r="Q113" s="150">
        <f t="shared" si="384"/>
        <v>0.17147080561714709</v>
      </c>
      <c r="R113" s="150" t="e">
        <f t="shared" si="384"/>
        <v>#DIV/0!</v>
      </c>
      <c r="S113" s="150">
        <f t="shared" ref="S113" si="385">S29/S51</f>
        <v>9.9075678798382444E-2</v>
      </c>
      <c r="T113" s="118">
        <f t="shared" si="242"/>
        <v>-4.9335057440164976E-2</v>
      </c>
      <c r="U113" s="20"/>
      <c r="V113" s="150">
        <f t="shared" ref="V113:AE113" si="386">V29/V51</f>
        <v>9.9075678798382444E-2</v>
      </c>
      <c r="W113" s="150">
        <f t="shared" si="386"/>
        <v>9.9075678798382444E-2</v>
      </c>
      <c r="X113" s="150">
        <f t="shared" si="386"/>
        <v>9.907567879838243E-2</v>
      </c>
      <c r="Y113" s="150">
        <f t="shared" si="386"/>
        <v>9.907567879838243E-2</v>
      </c>
      <c r="Z113" s="150">
        <f t="shared" si="386"/>
        <v>9.907567879838243E-2</v>
      </c>
      <c r="AA113" s="150">
        <f t="shared" si="386"/>
        <v>9.907567879838243E-2</v>
      </c>
      <c r="AB113" s="150">
        <f t="shared" si="386"/>
        <v>9.907567879838243E-2</v>
      </c>
      <c r="AC113" s="150">
        <f t="shared" si="386"/>
        <v>9.9075678798382444E-2</v>
      </c>
      <c r="AD113" s="150">
        <f t="shared" si="386"/>
        <v>9.9075678798382444E-2</v>
      </c>
      <c r="AE113" s="150">
        <f t="shared" si="386"/>
        <v>9.9075678798382444E-2</v>
      </c>
      <c r="AF113" s="137">
        <f t="shared" ref="AF113" si="387">((AE113/I113)^(1/($AE$3-$J$1) ))-1</f>
        <v>-3.458296695905605E-2</v>
      </c>
      <c r="AG113" s="145"/>
      <c r="AH113" s="145"/>
    </row>
    <row r="114" spans="1:34" ht="12" customHeight="1">
      <c r="B114" s="20" t="s">
        <v>364</v>
      </c>
      <c r="C114" s="150"/>
      <c r="D114" s="150"/>
      <c r="E114" s="150"/>
      <c r="F114" s="150"/>
      <c r="G114" s="169">
        <f t="shared" ref="G114:H114" si="388">G29/G55</f>
        <v>0.33898305084745761</v>
      </c>
      <c r="H114" s="169">
        <f t="shared" si="388"/>
        <v>1.103448275862069</v>
      </c>
      <c r="I114" s="169">
        <f t="shared" ref="I114:R114" si="389">I29/I55</f>
        <v>0.63291139240506333</v>
      </c>
      <c r="J114" s="169">
        <f t="shared" si="389"/>
        <v>0.29411764705882354</v>
      </c>
      <c r="K114" s="169">
        <f t="shared" si="389"/>
        <v>0.46153846153846156</v>
      </c>
      <c r="L114" s="169">
        <f t="shared" si="389"/>
        <v>0.27490039840637448</v>
      </c>
      <c r="M114" s="169">
        <f t="shared" si="389"/>
        <v>0.17647058823529413</v>
      </c>
      <c r="N114" s="169">
        <f t="shared" si="389"/>
        <v>0.15024232633279483</v>
      </c>
      <c r="O114" s="169">
        <f t="shared" si="389"/>
        <v>0.27413793103448275</v>
      </c>
      <c r="P114" s="169">
        <f t="shared" si="389"/>
        <v>0.24257425742574257</v>
      </c>
      <c r="Q114" s="169">
        <f t="shared" si="389"/>
        <v>0.25550660792951541</v>
      </c>
      <c r="R114" s="169" t="e">
        <f t="shared" si="389"/>
        <v>#DIV/0!</v>
      </c>
      <c r="S114" s="169">
        <f t="shared" ref="S114" si="390">S29/S55</f>
        <v>0.14497041420118342</v>
      </c>
      <c r="T114" s="118">
        <f t="shared" si="242"/>
        <v>-6.8337855188894014E-2</v>
      </c>
      <c r="U114" s="20"/>
      <c r="V114" s="169">
        <f t="shared" ref="V114:AE114" si="391">V29/V55</f>
        <v>0.14497041420118345</v>
      </c>
      <c r="W114" s="169">
        <f t="shared" si="391"/>
        <v>0.14497041420118342</v>
      </c>
      <c r="X114" s="169">
        <f t="shared" si="391"/>
        <v>0.14497041420118342</v>
      </c>
      <c r="Y114" s="169">
        <f t="shared" si="391"/>
        <v>0.14497041420118342</v>
      </c>
      <c r="Z114" s="169">
        <f t="shared" si="391"/>
        <v>0.14497041420118342</v>
      </c>
      <c r="AA114" s="169">
        <f t="shared" si="391"/>
        <v>0.14497041420118342</v>
      </c>
      <c r="AB114" s="169">
        <f t="shared" si="391"/>
        <v>0.14497041420118342</v>
      </c>
      <c r="AC114" s="169">
        <f t="shared" si="391"/>
        <v>0.14497041420118342</v>
      </c>
      <c r="AD114" s="169">
        <f t="shared" si="391"/>
        <v>0.14497041420118342</v>
      </c>
      <c r="AE114" s="169">
        <f t="shared" si="391"/>
        <v>0.14497041420118345</v>
      </c>
      <c r="AF114" s="137">
        <f t="shared" ref="AF114" si="392">((AE114/I114)^(1/($AE$3-$J$1) ))-1</f>
        <v>-6.7774917020187009E-2</v>
      </c>
      <c r="AG114" s="145"/>
      <c r="AH114" s="145"/>
    </row>
    <row r="115" spans="1:34" ht="12" customHeight="1">
      <c r="B115" s="20" t="s">
        <v>321</v>
      </c>
      <c r="C115" s="150"/>
      <c r="D115" s="150"/>
      <c r="E115" s="150"/>
      <c r="F115" s="150"/>
      <c r="G115" s="169">
        <f t="shared" ref="G115:H115" si="393">G29/G12</f>
        <v>1</v>
      </c>
      <c r="H115" s="169">
        <f t="shared" si="393"/>
        <v>0.88888888888888884</v>
      </c>
      <c r="I115" s="169">
        <f t="shared" ref="I115:R115" si="394">I29/I12</f>
        <v>0.94339622641509435</v>
      </c>
      <c r="J115" s="169">
        <f t="shared" si="394"/>
        <v>0.68493150684931503</v>
      </c>
      <c r="K115" s="169">
        <f t="shared" si="394"/>
        <v>0.6470588235294118</v>
      </c>
      <c r="L115" s="169">
        <f t="shared" si="394"/>
        <v>1.1499999999999999</v>
      </c>
      <c r="M115" s="169">
        <f t="shared" si="394"/>
        <v>1.1666666666666667</v>
      </c>
      <c r="N115" s="169">
        <f t="shared" si="394"/>
        <v>1.603448275862069</v>
      </c>
      <c r="O115" s="169">
        <f t="shared" si="394"/>
        <v>2.4461538461538463</v>
      </c>
      <c r="P115" s="169">
        <f t="shared" si="394"/>
        <v>0.58160237388724034</v>
      </c>
      <c r="Q115" s="169">
        <f t="shared" si="394"/>
        <v>0.31911966987620355</v>
      </c>
      <c r="R115" s="169" t="e">
        <f t="shared" si="394"/>
        <v>#DIV/0!</v>
      </c>
      <c r="S115" s="169">
        <f t="shared" ref="S115" si="395">S29/S12</f>
        <v>2.7222222222222223</v>
      </c>
      <c r="T115" s="118">
        <f t="shared" si="242"/>
        <v>8.7035259459105285E-2</v>
      </c>
      <c r="U115" s="20"/>
      <c r="V115" s="150">
        <f t="shared" ref="V115:AE115" si="396">V29/V12</f>
        <v>2.7222222222222223</v>
      </c>
      <c r="W115" s="150">
        <f t="shared" si="396"/>
        <v>2.7222222222222223</v>
      </c>
      <c r="X115" s="150">
        <f t="shared" si="396"/>
        <v>2.7222222222222223</v>
      </c>
      <c r="Y115" s="150">
        <f t="shared" si="396"/>
        <v>2.7222222222222223</v>
      </c>
      <c r="Z115" s="150">
        <f t="shared" si="396"/>
        <v>2.7222222222222219</v>
      </c>
      <c r="AA115" s="150">
        <f t="shared" si="396"/>
        <v>2.7222222222222219</v>
      </c>
      <c r="AB115" s="150">
        <f t="shared" si="396"/>
        <v>2.7222222222222223</v>
      </c>
      <c r="AC115" s="150">
        <f t="shared" si="396"/>
        <v>2.7222222222222223</v>
      </c>
      <c r="AD115" s="150">
        <f t="shared" si="396"/>
        <v>2.7222222222222223</v>
      </c>
      <c r="AE115" s="150">
        <f t="shared" si="396"/>
        <v>2.7222222222222223</v>
      </c>
      <c r="AF115" s="137">
        <f t="shared" si="357"/>
        <v>5.1757669543224472E-2</v>
      </c>
      <c r="AG115" s="145"/>
      <c r="AH115" s="145"/>
    </row>
    <row r="116" spans="1:34" ht="12" customHeight="1">
      <c r="B116" s="20" t="s">
        <v>366</v>
      </c>
      <c r="C116" s="150"/>
      <c r="D116" s="150"/>
      <c r="E116" s="150"/>
      <c r="F116" s="150"/>
      <c r="G116" s="169">
        <f t="shared" ref="G116:H116" si="397">G29/G23</f>
        <v>0.35714285714285715</v>
      </c>
      <c r="H116" s="169">
        <f t="shared" si="397"/>
        <v>0.55172413793103448</v>
      </c>
      <c r="I116" s="169">
        <f>I29/I23</f>
        <v>0.94339622641509435</v>
      </c>
      <c r="J116" s="169">
        <f t="shared" ref="J116:R116" si="398">J29/J23</f>
        <v>0.68493150684931503</v>
      </c>
      <c r="K116" s="169">
        <f t="shared" si="398"/>
        <v>0.6470588235294118</v>
      </c>
      <c r="L116" s="169">
        <f t="shared" si="398"/>
        <v>1.1499999999999999</v>
      </c>
      <c r="M116" s="169">
        <f t="shared" si="398"/>
        <v>1.1886792452830188</v>
      </c>
      <c r="N116" s="169">
        <f t="shared" si="398"/>
        <v>1.631578947368421</v>
      </c>
      <c r="O116" s="169">
        <f t="shared" si="398"/>
        <v>2.6949152542372881</v>
      </c>
      <c r="P116" s="169">
        <f t="shared" si="398"/>
        <v>0.68531468531468531</v>
      </c>
      <c r="Q116" s="169">
        <f t="shared" si="398"/>
        <v>0.90980392156862744</v>
      </c>
      <c r="R116" s="169" t="e">
        <f t="shared" si="398"/>
        <v>#DIV/0!</v>
      </c>
      <c r="S116" s="169">
        <f t="shared" ref="S116" si="399">S29/S23</f>
        <v>1.3450980392156864</v>
      </c>
      <c r="T116" s="118">
        <f t="shared" si="242"/>
        <v>0.11684438278164011</v>
      </c>
      <c r="U116" s="20"/>
      <c r="V116" s="169">
        <f t="shared" ref="V116:AE116" si="400">V29/V23</f>
        <v>1.3450980392156862</v>
      </c>
      <c r="W116" s="169">
        <f t="shared" si="400"/>
        <v>1.3450980392156862</v>
      </c>
      <c r="X116" s="169">
        <f t="shared" si="400"/>
        <v>1.3450980392156862</v>
      </c>
      <c r="Y116" s="169">
        <f t="shared" si="400"/>
        <v>1.3450980392156862</v>
      </c>
      <c r="Z116" s="169">
        <f t="shared" si="400"/>
        <v>1.3450980392156862</v>
      </c>
      <c r="AA116" s="169">
        <f t="shared" si="400"/>
        <v>1.3450980392156862</v>
      </c>
      <c r="AB116" s="169">
        <f t="shared" si="400"/>
        <v>1.3450980392156862</v>
      </c>
      <c r="AC116" s="169">
        <f t="shared" si="400"/>
        <v>1.3450980392156864</v>
      </c>
      <c r="AD116" s="169">
        <f t="shared" si="400"/>
        <v>1.3450980392156864</v>
      </c>
      <c r="AE116" s="169">
        <f t="shared" si="400"/>
        <v>1.3450980392156864</v>
      </c>
      <c r="AF116" s="137">
        <f t="shared" ref="AF116" si="401">((AE116/I116)^(1/($AE$3-$J$1) ))-1</f>
        <v>1.7035661087886123E-2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398</v>
      </c>
      <c r="C118" s="150"/>
      <c r="D118" s="150"/>
      <c r="E118" s="150"/>
      <c r="F118" s="150"/>
      <c r="G118" s="127">
        <f t="shared" ref="G118:H118" si="402">1/G112</f>
        <v>57.724999999999994</v>
      </c>
      <c r="H118" s="127">
        <f t="shared" si="402"/>
        <v>80.46875</v>
      </c>
      <c r="I118" s="127">
        <f>1/I112</f>
        <v>75.61999999999999</v>
      </c>
      <c r="J118" s="127">
        <f t="shared" ref="J118:R118" si="403">1/J112</f>
        <v>90.04</v>
      </c>
      <c r="K118" s="127">
        <f t="shared" si="403"/>
        <v>78.060606060606062</v>
      </c>
      <c r="L118" s="127">
        <f t="shared" si="403"/>
        <v>79.434782608695656</v>
      </c>
      <c r="M118" s="127">
        <f t="shared" si="403"/>
        <v>121.44444444444446</v>
      </c>
      <c r="N118" s="127">
        <f t="shared" si="403"/>
        <v>112.65591397849462</v>
      </c>
      <c r="O118" s="127">
        <f t="shared" si="403"/>
        <v>75.64150943396227</v>
      </c>
      <c r="P118" s="127">
        <f t="shared" si="403"/>
        <v>62.617346938775505</v>
      </c>
      <c r="Q118" s="127">
        <f t="shared" si="403"/>
        <v>57.741379310344826</v>
      </c>
      <c r="R118" s="127" t="e">
        <f t="shared" si="403"/>
        <v>#DIV/0!</v>
      </c>
      <c r="S118" s="127">
        <f t="shared" ref="S118" si="404">1/S112</f>
        <v>60.434402332361515</v>
      </c>
      <c r="T118" s="118">
        <f t="shared" si="242"/>
        <v>3.8296613671267021E-3</v>
      </c>
      <c r="U118" s="20"/>
      <c r="V118" s="127">
        <f t="shared" ref="V118:AE118" si="405">1/V112</f>
        <v>60.434402332361515</v>
      </c>
      <c r="W118" s="127">
        <f t="shared" si="405"/>
        <v>60.434402332361515</v>
      </c>
      <c r="X118" s="127">
        <f t="shared" si="405"/>
        <v>60.434402332361515</v>
      </c>
      <c r="Y118" s="127">
        <f t="shared" si="405"/>
        <v>60.434402332361515</v>
      </c>
      <c r="Z118" s="127">
        <f t="shared" si="405"/>
        <v>60.434402332361522</v>
      </c>
      <c r="AA118" s="127">
        <f t="shared" si="405"/>
        <v>60.434402332361515</v>
      </c>
      <c r="AB118" s="127">
        <f t="shared" si="405"/>
        <v>60.434402332361515</v>
      </c>
      <c r="AC118" s="127">
        <f t="shared" si="405"/>
        <v>60.434402332361515</v>
      </c>
      <c r="AD118" s="127">
        <f t="shared" si="405"/>
        <v>60.434402332361515</v>
      </c>
      <c r="AE118" s="127">
        <f t="shared" si="405"/>
        <v>60.434402332361515</v>
      </c>
      <c r="AF118" s="137">
        <f t="shared" si="357"/>
        <v>-1.0617625140411646E-2</v>
      </c>
      <c r="AG118" s="145"/>
      <c r="AH118" s="145"/>
    </row>
    <row r="119" spans="1:34" ht="12" customHeight="1">
      <c r="B119" s="20" t="s">
        <v>399</v>
      </c>
      <c r="C119" s="150"/>
      <c r="D119" s="150"/>
      <c r="E119" s="150"/>
      <c r="F119" s="150"/>
      <c r="G119" s="127">
        <f t="shared" ref="G119:H119" si="406">1/G113</f>
        <v>5.5</v>
      </c>
      <c r="H119" s="127">
        <f t="shared" si="406"/>
        <v>6.25</v>
      </c>
      <c r="I119" s="127">
        <f t="shared" ref="I119:R122" si="407">1/I113</f>
        <v>4.8199999999999994</v>
      </c>
      <c r="J119" s="127">
        <f t="shared" si="407"/>
        <v>8.74</v>
      </c>
      <c r="K119" s="127">
        <f t="shared" si="407"/>
        <v>6.6363636363636367</v>
      </c>
      <c r="L119" s="127">
        <f t="shared" si="407"/>
        <v>10.202898550724639</v>
      </c>
      <c r="M119" s="127">
        <f t="shared" si="407"/>
        <v>13.253968253968255</v>
      </c>
      <c r="N119" s="127">
        <f t="shared" si="407"/>
        <v>8.7526881720430101</v>
      </c>
      <c r="O119" s="127">
        <f t="shared" si="407"/>
        <v>8</v>
      </c>
      <c r="P119" s="127">
        <f t="shared" si="407"/>
        <v>6.3010204081632653</v>
      </c>
      <c r="Q119" s="127">
        <f t="shared" si="407"/>
        <v>5.8318965517241379</v>
      </c>
      <c r="R119" s="127" t="e">
        <f t="shared" si="407"/>
        <v>#DIV/0!</v>
      </c>
      <c r="S119" s="127">
        <f t="shared" ref="S119" si="408">1/S113</f>
        <v>10.093294460641399</v>
      </c>
      <c r="T119" s="118">
        <f t="shared" si="242"/>
        <v>5.1895315827384492E-2</v>
      </c>
      <c r="U119" s="20"/>
      <c r="V119" s="127">
        <f t="shared" ref="V119:AE119" si="409">1/V113</f>
        <v>10.093294460641399</v>
      </c>
      <c r="W119" s="127">
        <f t="shared" si="409"/>
        <v>10.093294460641399</v>
      </c>
      <c r="X119" s="127">
        <f t="shared" si="409"/>
        <v>10.093294460641401</v>
      </c>
      <c r="Y119" s="127">
        <f t="shared" si="409"/>
        <v>10.093294460641401</v>
      </c>
      <c r="Z119" s="127">
        <f t="shared" si="409"/>
        <v>10.093294460641401</v>
      </c>
      <c r="AA119" s="127">
        <f t="shared" si="409"/>
        <v>10.093294460641401</v>
      </c>
      <c r="AB119" s="127">
        <f t="shared" si="409"/>
        <v>10.093294460641401</v>
      </c>
      <c r="AC119" s="127">
        <f t="shared" si="409"/>
        <v>10.093294460641399</v>
      </c>
      <c r="AD119" s="127">
        <f t="shared" si="409"/>
        <v>10.093294460641399</v>
      </c>
      <c r="AE119" s="127">
        <f t="shared" si="409"/>
        <v>10.093294460641399</v>
      </c>
      <c r="AF119" s="137">
        <f t="shared" si="357"/>
        <v>3.5821790765514061E-2</v>
      </c>
      <c r="AG119" s="145"/>
      <c r="AH119" s="145"/>
    </row>
    <row r="120" spans="1:34" ht="12" customHeight="1">
      <c r="B120" s="20" t="s">
        <v>400</v>
      </c>
      <c r="C120" s="150"/>
      <c r="D120" s="150"/>
      <c r="E120" s="150"/>
      <c r="F120" s="150"/>
      <c r="G120" s="127">
        <f t="shared" ref="G120:H120" si="410">1/G114</f>
        <v>2.95</v>
      </c>
      <c r="H120" s="127">
        <f t="shared" si="410"/>
        <v>0.90625</v>
      </c>
      <c r="I120" s="127">
        <f t="shared" si="407"/>
        <v>1.5799999999999998</v>
      </c>
      <c r="J120" s="127">
        <f t="shared" si="407"/>
        <v>3.4</v>
      </c>
      <c r="K120" s="127">
        <f t="shared" si="407"/>
        <v>2.1666666666666665</v>
      </c>
      <c r="L120" s="127">
        <f t="shared" si="407"/>
        <v>3.63768115942029</v>
      </c>
      <c r="M120" s="127">
        <f t="shared" si="407"/>
        <v>5.6666666666666661</v>
      </c>
      <c r="N120" s="127">
        <f t="shared" si="407"/>
        <v>6.655913978494624</v>
      </c>
      <c r="O120" s="127">
        <f t="shared" si="407"/>
        <v>3.6477987421383649</v>
      </c>
      <c r="P120" s="127">
        <f t="shared" si="407"/>
        <v>4.1224489795918364</v>
      </c>
      <c r="Q120" s="127">
        <f t="shared" si="407"/>
        <v>3.9137931034482762</v>
      </c>
      <c r="R120" s="127" t="e">
        <f t="shared" si="407"/>
        <v>#DIV/0!</v>
      </c>
      <c r="S120" s="127">
        <f t="shared" ref="S120" si="411">1/S114</f>
        <v>6.8979591836734695</v>
      </c>
      <c r="T120" s="118">
        <f t="shared" si="242"/>
        <v>7.3350468911398625E-2</v>
      </c>
      <c r="U120" s="20"/>
      <c r="V120" s="127">
        <f t="shared" ref="V120:AE120" si="412">1/V114</f>
        <v>6.8979591836734686</v>
      </c>
      <c r="W120" s="127">
        <f t="shared" si="412"/>
        <v>6.8979591836734695</v>
      </c>
      <c r="X120" s="127">
        <f t="shared" si="412"/>
        <v>6.8979591836734695</v>
      </c>
      <c r="Y120" s="127">
        <f t="shared" si="412"/>
        <v>6.8979591836734695</v>
      </c>
      <c r="Z120" s="127">
        <f t="shared" si="412"/>
        <v>6.8979591836734695</v>
      </c>
      <c r="AA120" s="127">
        <f t="shared" si="412"/>
        <v>6.8979591836734695</v>
      </c>
      <c r="AB120" s="127">
        <f t="shared" si="412"/>
        <v>6.8979591836734695</v>
      </c>
      <c r="AC120" s="127">
        <f t="shared" si="412"/>
        <v>6.8979591836734695</v>
      </c>
      <c r="AD120" s="127">
        <f t="shared" si="412"/>
        <v>6.8979591836734695</v>
      </c>
      <c r="AE120" s="127">
        <f t="shared" si="412"/>
        <v>6.8979591836734686</v>
      </c>
      <c r="AF120" s="137">
        <f t="shared" si="357"/>
        <v>7.2702310051074415E-2</v>
      </c>
      <c r="AG120" s="145"/>
      <c r="AH120" s="145"/>
    </row>
    <row r="121" spans="1:34" ht="12" customHeight="1">
      <c r="B121" s="20" t="s">
        <v>401</v>
      </c>
      <c r="C121" s="150"/>
      <c r="D121" s="150"/>
      <c r="E121" s="150"/>
      <c r="F121" s="150"/>
      <c r="G121" s="127">
        <f t="shared" ref="G121:H121" si="413">1/G115</f>
        <v>1</v>
      </c>
      <c r="H121" s="127">
        <f t="shared" si="413"/>
        <v>1.125</v>
      </c>
      <c r="I121" s="127">
        <f t="shared" si="407"/>
        <v>1.06</v>
      </c>
      <c r="J121" s="127">
        <f t="shared" si="407"/>
        <v>1.4600000000000002</v>
      </c>
      <c r="K121" s="127">
        <f t="shared" si="407"/>
        <v>1.5454545454545454</v>
      </c>
      <c r="L121" s="127">
        <f t="shared" si="407"/>
        <v>0.86956521739130443</v>
      </c>
      <c r="M121" s="127">
        <f t="shared" si="407"/>
        <v>0.8571428571428571</v>
      </c>
      <c r="N121" s="127">
        <f t="shared" si="407"/>
        <v>0.62365591397849462</v>
      </c>
      <c r="O121" s="127">
        <f t="shared" si="407"/>
        <v>0.40880503144654085</v>
      </c>
      <c r="P121" s="127">
        <f t="shared" si="407"/>
        <v>1.7193877551020409</v>
      </c>
      <c r="Q121" s="127">
        <f t="shared" si="407"/>
        <v>3.1336206896551726</v>
      </c>
      <c r="R121" s="127" t="e">
        <f t="shared" si="407"/>
        <v>#DIV/0!</v>
      </c>
      <c r="S121" s="127">
        <f t="shared" ref="S121" si="414">1/S115</f>
        <v>0.36734693877551017</v>
      </c>
      <c r="T121" s="118">
        <f t="shared" si="242"/>
        <v>-8.0066638778960031E-2</v>
      </c>
      <c r="U121" s="20"/>
      <c r="V121" s="127">
        <f t="shared" ref="V121:AE121" si="415">1/V115</f>
        <v>0.36734693877551017</v>
      </c>
      <c r="W121" s="127">
        <f t="shared" si="415"/>
        <v>0.36734693877551017</v>
      </c>
      <c r="X121" s="127">
        <f t="shared" si="415"/>
        <v>0.36734693877551017</v>
      </c>
      <c r="Y121" s="127">
        <f t="shared" si="415"/>
        <v>0.36734693877551017</v>
      </c>
      <c r="Z121" s="127">
        <f t="shared" si="415"/>
        <v>0.36734693877551022</v>
      </c>
      <c r="AA121" s="127">
        <f t="shared" si="415"/>
        <v>0.36734693877551022</v>
      </c>
      <c r="AB121" s="127">
        <f t="shared" si="415"/>
        <v>0.36734693877551017</v>
      </c>
      <c r="AC121" s="127">
        <f t="shared" si="415"/>
        <v>0.36734693877551017</v>
      </c>
      <c r="AD121" s="127">
        <f t="shared" si="415"/>
        <v>0.36734693877551017</v>
      </c>
      <c r="AE121" s="127">
        <f t="shared" si="415"/>
        <v>0.36734693877551017</v>
      </c>
      <c r="AF121" s="137">
        <f t="shared" si="357"/>
        <v>-4.9210641426273183E-2</v>
      </c>
      <c r="AG121" s="145"/>
      <c r="AH121" s="145"/>
    </row>
    <row r="122" spans="1:34" ht="12" customHeight="1">
      <c r="B122" s="20" t="s">
        <v>402</v>
      </c>
      <c r="C122" s="150"/>
      <c r="D122" s="150"/>
      <c r="E122" s="150"/>
      <c r="F122" s="150"/>
      <c r="G122" s="127">
        <f t="shared" ref="G122:H122" si="416">1/G116</f>
        <v>2.8</v>
      </c>
      <c r="H122" s="127">
        <f t="shared" si="416"/>
        <v>1.8125</v>
      </c>
      <c r="I122" s="127">
        <f t="shared" si="407"/>
        <v>1.06</v>
      </c>
      <c r="J122" s="127">
        <f t="shared" si="407"/>
        <v>1.4600000000000002</v>
      </c>
      <c r="K122" s="127">
        <f t="shared" si="407"/>
        <v>1.5454545454545454</v>
      </c>
      <c r="L122" s="127">
        <f t="shared" si="407"/>
        <v>0.86956521739130443</v>
      </c>
      <c r="M122" s="127">
        <f t="shared" si="407"/>
        <v>0.84126984126984128</v>
      </c>
      <c r="N122" s="127">
        <f t="shared" si="407"/>
        <v>0.61290322580645162</v>
      </c>
      <c r="O122" s="127">
        <f t="shared" si="407"/>
        <v>0.37106918238993714</v>
      </c>
      <c r="P122" s="127">
        <f t="shared" si="407"/>
        <v>1.4591836734693877</v>
      </c>
      <c r="Q122" s="127">
        <f t="shared" si="407"/>
        <v>1.0991379310344829</v>
      </c>
      <c r="R122" s="127" t="e">
        <f t="shared" si="407"/>
        <v>#DIV/0!</v>
      </c>
      <c r="S122" s="127">
        <f t="shared" ref="S122" si="417">1/S116</f>
        <v>0.74344023323615149</v>
      </c>
      <c r="T122" s="118">
        <f t="shared" si="242"/>
        <v>-0.10462011053914655</v>
      </c>
      <c r="U122" s="20"/>
      <c r="V122" s="127">
        <f t="shared" ref="V122:AE122" si="418">1/V116</f>
        <v>0.74344023323615172</v>
      </c>
      <c r="W122" s="127">
        <f t="shared" si="418"/>
        <v>0.74344023323615172</v>
      </c>
      <c r="X122" s="127">
        <f t="shared" si="418"/>
        <v>0.74344023323615172</v>
      </c>
      <c r="Y122" s="127">
        <f t="shared" si="418"/>
        <v>0.74344023323615172</v>
      </c>
      <c r="Z122" s="127">
        <f t="shared" si="418"/>
        <v>0.74344023323615172</v>
      </c>
      <c r="AA122" s="127">
        <f t="shared" si="418"/>
        <v>0.74344023323615172</v>
      </c>
      <c r="AB122" s="127">
        <f t="shared" si="418"/>
        <v>0.74344023323615172</v>
      </c>
      <c r="AC122" s="127">
        <f t="shared" si="418"/>
        <v>0.74344023323615149</v>
      </c>
      <c r="AD122" s="127">
        <f t="shared" si="418"/>
        <v>0.74344023323615149</v>
      </c>
      <c r="AE122" s="127">
        <f t="shared" si="418"/>
        <v>0.74344023323615149</v>
      </c>
      <c r="AF122" s="137">
        <f t="shared" si="357"/>
        <v>-1.6750308509009049E-2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5" t="s">
        <v>480</v>
      </c>
      <c r="B124" s="200" t="s">
        <v>488</v>
      </c>
      <c r="C124" s="150"/>
      <c r="D124" s="150"/>
      <c r="E124" s="150"/>
      <c r="F124" s="150"/>
      <c r="G124" s="169" t="e">
        <f t="shared" ref="G124:H124" si="419">G25/(G36+G38)</f>
        <v>#DIV/0!</v>
      </c>
      <c r="H124" s="169" t="e">
        <f t="shared" si="419"/>
        <v>#DIV/0!</v>
      </c>
      <c r="I124" s="169" t="e">
        <f t="shared" ref="I124:S124" si="420">I25/(I36+I38)</f>
        <v>#DIV/0!</v>
      </c>
      <c r="J124" s="169" t="e">
        <f t="shared" si="420"/>
        <v>#DIV/0!</v>
      </c>
      <c r="K124" s="169" t="e">
        <f t="shared" si="420"/>
        <v>#DIV/0!</v>
      </c>
      <c r="L124" s="169" t="e">
        <f t="shared" si="420"/>
        <v>#DIV/0!</v>
      </c>
      <c r="M124" s="169" t="e">
        <f t="shared" si="420"/>
        <v>#DIV/0!</v>
      </c>
      <c r="N124" s="169" t="e">
        <f t="shared" si="420"/>
        <v>#DIV/0!</v>
      </c>
      <c r="O124" s="169" t="e">
        <f t="shared" si="420"/>
        <v>#DIV/0!</v>
      </c>
      <c r="P124" s="169" t="e">
        <f t="shared" si="420"/>
        <v>#DIV/0!</v>
      </c>
      <c r="Q124" s="169" t="e">
        <f t="shared" si="420"/>
        <v>#DIV/0!</v>
      </c>
      <c r="R124" s="169" t="e">
        <f t="shared" si="420"/>
        <v>#DIV/0!</v>
      </c>
      <c r="S124" s="169" t="e">
        <f t="shared" si="420"/>
        <v>#DIV/0!</v>
      </c>
      <c r="T124" s="118" t="e">
        <f t="shared" si="242"/>
        <v>#DIV/0!</v>
      </c>
      <c r="U124" s="20"/>
      <c r="V124" s="169" t="e">
        <f t="shared" ref="V124:AE124" si="421">V25/(V36+V38)</f>
        <v>#DIV/0!</v>
      </c>
      <c r="W124" s="169" t="e">
        <f t="shared" si="421"/>
        <v>#DIV/0!</v>
      </c>
      <c r="X124" s="169" t="e">
        <f t="shared" si="421"/>
        <v>#DIV/0!</v>
      </c>
      <c r="Y124" s="169" t="e">
        <f t="shared" si="421"/>
        <v>#DIV/0!</v>
      </c>
      <c r="Z124" s="169" t="e">
        <f t="shared" si="421"/>
        <v>#DIV/0!</v>
      </c>
      <c r="AA124" s="169" t="e">
        <f t="shared" si="421"/>
        <v>#DIV/0!</v>
      </c>
      <c r="AB124" s="169" t="e">
        <f t="shared" si="421"/>
        <v>#DIV/0!</v>
      </c>
      <c r="AC124" s="169" t="e">
        <f t="shared" si="421"/>
        <v>#DIV/0!</v>
      </c>
      <c r="AD124" s="169" t="e">
        <f t="shared" si="421"/>
        <v>#DIV/0!</v>
      </c>
      <c r="AE124" s="169" t="e">
        <f t="shared" si="421"/>
        <v>#DIV/0!</v>
      </c>
      <c r="AF124" s="137" t="e">
        <f t="shared" ref="AF124:AF132" si="422">((AE124/I124)^(1/($AE$3-$J$1) ))-1</f>
        <v>#DIV/0!</v>
      </c>
      <c r="AG124" s="145"/>
      <c r="AH124" s="145"/>
    </row>
    <row r="125" spans="1:34" ht="12" customHeight="1">
      <c r="A125" s="205"/>
      <c r="B125" s="200" t="s">
        <v>482</v>
      </c>
      <c r="C125" s="150"/>
      <c r="D125" s="150"/>
      <c r="E125" s="150"/>
      <c r="F125" s="150"/>
      <c r="G125" s="169" t="e">
        <f t="shared" ref="G125:H125" si="423">G25/G43</f>
        <v>#DIV/0!</v>
      </c>
      <c r="H125" s="169" t="e">
        <f t="shared" si="423"/>
        <v>#DIV/0!</v>
      </c>
      <c r="I125" s="169" t="e">
        <f t="shared" ref="I125:S125" si="424">I25/I43</f>
        <v>#DIV/0!</v>
      </c>
      <c r="J125" s="169" t="e">
        <f t="shared" si="424"/>
        <v>#DIV/0!</v>
      </c>
      <c r="K125" s="169" t="e">
        <f t="shared" si="424"/>
        <v>#DIV/0!</v>
      </c>
      <c r="L125" s="169" t="e">
        <f t="shared" si="424"/>
        <v>#DIV/0!</v>
      </c>
      <c r="M125" s="169" t="e">
        <f t="shared" si="424"/>
        <v>#DIV/0!</v>
      </c>
      <c r="N125" s="169" t="e">
        <f t="shared" si="424"/>
        <v>#DIV/0!</v>
      </c>
      <c r="O125" s="169" t="e">
        <f t="shared" si="424"/>
        <v>#DIV/0!</v>
      </c>
      <c r="P125" s="169" t="e">
        <f t="shared" si="424"/>
        <v>#DIV/0!</v>
      </c>
      <c r="Q125" s="169" t="e">
        <f t="shared" si="424"/>
        <v>#DIV/0!</v>
      </c>
      <c r="R125" s="169" t="e">
        <f t="shared" si="424"/>
        <v>#DIV/0!</v>
      </c>
      <c r="S125" s="169" t="e">
        <f t="shared" si="424"/>
        <v>#DIV/0!</v>
      </c>
      <c r="T125" s="118" t="e">
        <f t="shared" si="242"/>
        <v>#DIV/0!</v>
      </c>
      <c r="U125" s="20"/>
      <c r="V125" s="169" t="e">
        <f t="shared" ref="V125:AE125" si="425">V25/V43</f>
        <v>#DIV/0!</v>
      </c>
      <c r="W125" s="169" t="e">
        <f t="shared" si="425"/>
        <v>#DIV/0!</v>
      </c>
      <c r="X125" s="169" t="e">
        <f t="shared" si="425"/>
        <v>#DIV/0!</v>
      </c>
      <c r="Y125" s="169" t="e">
        <f t="shared" si="425"/>
        <v>#DIV/0!</v>
      </c>
      <c r="Z125" s="169" t="e">
        <f t="shared" si="425"/>
        <v>#DIV/0!</v>
      </c>
      <c r="AA125" s="169" t="e">
        <f t="shared" si="425"/>
        <v>#DIV/0!</v>
      </c>
      <c r="AB125" s="169" t="e">
        <f t="shared" si="425"/>
        <v>#DIV/0!</v>
      </c>
      <c r="AC125" s="169" t="e">
        <f t="shared" si="425"/>
        <v>#DIV/0!</v>
      </c>
      <c r="AD125" s="169" t="e">
        <f t="shared" si="425"/>
        <v>#DIV/0!</v>
      </c>
      <c r="AE125" s="169" t="e">
        <f t="shared" si="425"/>
        <v>#DIV/0!</v>
      </c>
      <c r="AF125" s="137" t="e">
        <f t="shared" si="422"/>
        <v>#DIV/0!</v>
      </c>
      <c r="AG125" s="145"/>
      <c r="AH125" s="145"/>
    </row>
    <row r="126" spans="1:34" ht="12" customHeight="1">
      <c r="A126" s="205"/>
      <c r="B126" s="200" t="s">
        <v>489</v>
      </c>
      <c r="C126" s="150"/>
      <c r="D126" s="150"/>
      <c r="E126" s="150"/>
      <c r="F126" s="150"/>
      <c r="G126" s="169" t="e">
        <f t="shared" ref="G126:H126" si="426">G43/(G36)</f>
        <v>#DIV/0!</v>
      </c>
      <c r="H126" s="169" t="e">
        <f t="shared" si="426"/>
        <v>#DIV/0!</v>
      </c>
      <c r="I126" s="169" t="e">
        <f t="shared" ref="I126:S126" si="427">I43/(I36)</f>
        <v>#DIV/0!</v>
      </c>
      <c r="J126" s="169" t="e">
        <f t="shared" si="427"/>
        <v>#DIV/0!</v>
      </c>
      <c r="K126" s="169" t="e">
        <f t="shared" si="427"/>
        <v>#DIV/0!</v>
      </c>
      <c r="L126" s="169" t="e">
        <f t="shared" si="427"/>
        <v>#DIV/0!</v>
      </c>
      <c r="M126" s="169" t="e">
        <f t="shared" si="427"/>
        <v>#DIV/0!</v>
      </c>
      <c r="N126" s="169" t="e">
        <f t="shared" si="427"/>
        <v>#DIV/0!</v>
      </c>
      <c r="O126" s="169" t="e">
        <f t="shared" si="427"/>
        <v>#DIV/0!</v>
      </c>
      <c r="P126" s="169" t="e">
        <f t="shared" si="427"/>
        <v>#DIV/0!</v>
      </c>
      <c r="Q126" s="169" t="e">
        <f t="shared" si="427"/>
        <v>#DIV/0!</v>
      </c>
      <c r="R126" s="169" t="e">
        <f t="shared" si="427"/>
        <v>#DIV/0!</v>
      </c>
      <c r="S126" s="169" t="e">
        <f t="shared" si="427"/>
        <v>#DIV/0!</v>
      </c>
      <c r="T126" s="118" t="e">
        <f t="shared" si="242"/>
        <v>#DIV/0!</v>
      </c>
      <c r="U126" s="20"/>
      <c r="V126" s="169" t="e">
        <f t="shared" ref="V126:AE126" si="428">V43/(V36+V38)</f>
        <v>#DIV/0!</v>
      </c>
      <c r="W126" s="169" t="e">
        <f t="shared" si="428"/>
        <v>#DIV/0!</v>
      </c>
      <c r="X126" s="169" t="e">
        <f t="shared" si="428"/>
        <v>#DIV/0!</v>
      </c>
      <c r="Y126" s="169" t="e">
        <f t="shared" si="428"/>
        <v>#DIV/0!</v>
      </c>
      <c r="Z126" s="169" t="e">
        <f t="shared" si="428"/>
        <v>#DIV/0!</v>
      </c>
      <c r="AA126" s="169" t="e">
        <f t="shared" si="428"/>
        <v>#DIV/0!</v>
      </c>
      <c r="AB126" s="169" t="e">
        <f t="shared" si="428"/>
        <v>#DIV/0!</v>
      </c>
      <c r="AC126" s="169" t="e">
        <f t="shared" si="428"/>
        <v>#DIV/0!</v>
      </c>
      <c r="AD126" s="169" t="e">
        <f t="shared" si="428"/>
        <v>#DIV/0!</v>
      </c>
      <c r="AE126" s="169" t="e">
        <f t="shared" si="428"/>
        <v>#DIV/0!</v>
      </c>
      <c r="AF126" s="137" t="e">
        <f t="shared" si="422"/>
        <v>#DIV/0!</v>
      </c>
      <c r="AG126" s="145"/>
      <c r="AH126" s="145"/>
    </row>
    <row r="127" spans="1:34" ht="12" customHeight="1">
      <c r="A127" s="205"/>
      <c r="B127" s="200" t="s">
        <v>486</v>
      </c>
      <c r="C127" s="150"/>
      <c r="D127" s="150"/>
      <c r="E127" s="150"/>
      <c r="F127" s="150"/>
      <c r="G127" s="169" t="e">
        <f t="shared" ref="G127:H127" si="429">G43/G38</f>
        <v>#DIV/0!</v>
      </c>
      <c r="H127" s="169" t="e">
        <f t="shared" si="429"/>
        <v>#DIV/0!</v>
      </c>
      <c r="I127" s="169" t="e">
        <f t="shared" ref="I127:S127" si="430">I43/I38</f>
        <v>#DIV/0!</v>
      </c>
      <c r="J127" s="169" t="e">
        <f t="shared" si="430"/>
        <v>#DIV/0!</v>
      </c>
      <c r="K127" s="169" t="e">
        <f t="shared" si="430"/>
        <v>#DIV/0!</v>
      </c>
      <c r="L127" s="169" t="e">
        <f t="shared" si="430"/>
        <v>#DIV/0!</v>
      </c>
      <c r="M127" s="169" t="e">
        <f t="shared" si="430"/>
        <v>#DIV/0!</v>
      </c>
      <c r="N127" s="169" t="e">
        <f t="shared" si="430"/>
        <v>#DIV/0!</v>
      </c>
      <c r="O127" s="169" t="e">
        <f t="shared" si="430"/>
        <v>#DIV/0!</v>
      </c>
      <c r="P127" s="169" t="e">
        <f t="shared" si="430"/>
        <v>#DIV/0!</v>
      </c>
      <c r="Q127" s="169" t="e">
        <f t="shared" si="430"/>
        <v>#DIV/0!</v>
      </c>
      <c r="R127" s="169" t="e">
        <f t="shared" si="430"/>
        <v>#DIV/0!</v>
      </c>
      <c r="S127" s="169" t="e">
        <f t="shared" si="430"/>
        <v>#DIV/0!</v>
      </c>
      <c r="T127" s="118" t="e">
        <f t="shared" si="242"/>
        <v>#DIV/0!</v>
      </c>
      <c r="U127" s="20"/>
      <c r="V127" s="169" t="e">
        <f t="shared" ref="V127:AE127" si="431">V43/V38</f>
        <v>#DIV/0!</v>
      </c>
      <c r="W127" s="169" t="e">
        <f t="shared" si="431"/>
        <v>#DIV/0!</v>
      </c>
      <c r="X127" s="169" t="e">
        <f t="shared" si="431"/>
        <v>#DIV/0!</v>
      </c>
      <c r="Y127" s="169" t="e">
        <f t="shared" si="431"/>
        <v>#DIV/0!</v>
      </c>
      <c r="Z127" s="169" t="e">
        <f t="shared" si="431"/>
        <v>#DIV/0!</v>
      </c>
      <c r="AA127" s="169" t="e">
        <f t="shared" si="431"/>
        <v>#DIV/0!</v>
      </c>
      <c r="AB127" s="169" t="e">
        <f t="shared" si="431"/>
        <v>#DIV/0!</v>
      </c>
      <c r="AC127" s="169" t="e">
        <f t="shared" si="431"/>
        <v>#DIV/0!</v>
      </c>
      <c r="AD127" s="169" t="e">
        <f t="shared" si="431"/>
        <v>#DIV/0!</v>
      </c>
      <c r="AE127" s="169" t="e">
        <f t="shared" si="431"/>
        <v>#DIV/0!</v>
      </c>
      <c r="AF127" s="137" t="e">
        <f t="shared" si="422"/>
        <v>#DIV/0!</v>
      </c>
      <c r="AG127" s="145"/>
      <c r="AH127" s="145"/>
    </row>
    <row r="128" spans="1:34" ht="12" customHeight="1">
      <c r="A128" s="205"/>
      <c r="B128" s="200" t="s">
        <v>485</v>
      </c>
      <c r="C128" s="150"/>
      <c r="D128" s="150"/>
      <c r="E128" s="150"/>
      <c r="F128" s="150"/>
      <c r="G128" s="169" t="e">
        <f t="shared" ref="G128:H128" si="432">G43/(G36+G38)</f>
        <v>#DIV/0!</v>
      </c>
      <c r="H128" s="169" t="e">
        <f t="shared" si="432"/>
        <v>#DIV/0!</v>
      </c>
      <c r="I128" s="169" t="e">
        <f t="shared" ref="I128:S128" si="433">I43/(I36+I38)</f>
        <v>#DIV/0!</v>
      </c>
      <c r="J128" s="169" t="e">
        <f t="shared" si="433"/>
        <v>#DIV/0!</v>
      </c>
      <c r="K128" s="169" t="e">
        <f t="shared" si="433"/>
        <v>#DIV/0!</v>
      </c>
      <c r="L128" s="169" t="e">
        <f t="shared" si="433"/>
        <v>#DIV/0!</v>
      </c>
      <c r="M128" s="169" t="e">
        <f t="shared" si="433"/>
        <v>#DIV/0!</v>
      </c>
      <c r="N128" s="169" t="e">
        <f t="shared" si="433"/>
        <v>#DIV/0!</v>
      </c>
      <c r="O128" s="169" t="e">
        <f t="shared" si="433"/>
        <v>#DIV/0!</v>
      </c>
      <c r="P128" s="169" t="e">
        <f t="shared" si="433"/>
        <v>#DIV/0!</v>
      </c>
      <c r="Q128" s="169" t="e">
        <f t="shared" si="433"/>
        <v>#DIV/0!</v>
      </c>
      <c r="R128" s="169" t="e">
        <f t="shared" si="433"/>
        <v>#DIV/0!</v>
      </c>
      <c r="S128" s="169" t="e">
        <f t="shared" si="433"/>
        <v>#DIV/0!</v>
      </c>
      <c r="T128" s="118" t="e">
        <f t="shared" si="242"/>
        <v>#DIV/0!</v>
      </c>
      <c r="U128" s="20"/>
      <c r="V128" s="169" t="e">
        <f t="shared" ref="V128:AE128" si="434">V43/(V36+V38)</f>
        <v>#DIV/0!</v>
      </c>
      <c r="W128" s="169" t="e">
        <f t="shared" si="434"/>
        <v>#DIV/0!</v>
      </c>
      <c r="X128" s="169" t="e">
        <f t="shared" si="434"/>
        <v>#DIV/0!</v>
      </c>
      <c r="Y128" s="169" t="e">
        <f t="shared" si="434"/>
        <v>#DIV/0!</v>
      </c>
      <c r="Z128" s="169" t="e">
        <f t="shared" si="434"/>
        <v>#DIV/0!</v>
      </c>
      <c r="AA128" s="169" t="e">
        <f t="shared" si="434"/>
        <v>#DIV/0!</v>
      </c>
      <c r="AB128" s="169" t="e">
        <f t="shared" si="434"/>
        <v>#DIV/0!</v>
      </c>
      <c r="AC128" s="169" t="e">
        <f t="shared" si="434"/>
        <v>#DIV/0!</v>
      </c>
      <c r="AD128" s="169" t="e">
        <f t="shared" si="434"/>
        <v>#DIV/0!</v>
      </c>
      <c r="AE128" s="169" t="e">
        <f t="shared" si="434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5"/>
      <c r="B129" s="200" t="s">
        <v>492</v>
      </c>
      <c r="C129" s="150"/>
      <c r="D129" s="150"/>
      <c r="E129" s="150"/>
      <c r="F129" s="150"/>
      <c r="G129" s="169">
        <f t="shared" ref="G129:H129" si="435">G47/G25</f>
        <v>0</v>
      </c>
      <c r="H129" s="169">
        <f t="shared" si="435"/>
        <v>0</v>
      </c>
      <c r="I129" s="169">
        <f t="shared" ref="I129:S129" si="436">I47/I25</f>
        <v>0</v>
      </c>
      <c r="J129" s="169">
        <f t="shared" si="436"/>
        <v>0</v>
      </c>
      <c r="K129" s="169">
        <f t="shared" si="436"/>
        <v>0</v>
      </c>
      <c r="L129" s="169">
        <f t="shared" si="436"/>
        <v>0</v>
      </c>
      <c r="M129" s="169">
        <f t="shared" si="436"/>
        <v>0</v>
      </c>
      <c r="N129" s="169">
        <f t="shared" si="436"/>
        <v>0</v>
      </c>
      <c r="O129" s="169">
        <f t="shared" si="436"/>
        <v>0</v>
      </c>
      <c r="P129" s="169">
        <f t="shared" si="436"/>
        <v>0</v>
      </c>
      <c r="Q129" s="169">
        <f t="shared" si="436"/>
        <v>0</v>
      </c>
      <c r="R129" s="169" t="e">
        <f t="shared" si="436"/>
        <v>#DIV/0!</v>
      </c>
      <c r="S129" s="169">
        <f t="shared" si="436"/>
        <v>0</v>
      </c>
      <c r="T129" s="118" t="e">
        <f t="shared" si="242"/>
        <v>#DIV/0!</v>
      </c>
      <c r="U129" s="20"/>
      <c r="V129" s="169">
        <f t="shared" ref="V129:AE129" si="437">V47/V25</f>
        <v>0</v>
      </c>
      <c r="W129" s="169">
        <f t="shared" si="437"/>
        <v>0</v>
      </c>
      <c r="X129" s="169">
        <f t="shared" si="437"/>
        <v>0</v>
      </c>
      <c r="Y129" s="169">
        <f t="shared" si="437"/>
        <v>0</v>
      </c>
      <c r="Z129" s="169">
        <f t="shared" si="437"/>
        <v>0</v>
      </c>
      <c r="AA129" s="169">
        <f t="shared" si="437"/>
        <v>0</v>
      </c>
      <c r="AB129" s="169">
        <f t="shared" si="437"/>
        <v>0</v>
      </c>
      <c r="AC129" s="169">
        <f t="shared" si="437"/>
        <v>0</v>
      </c>
      <c r="AD129" s="169">
        <f t="shared" si="437"/>
        <v>0</v>
      </c>
      <c r="AE129" s="169">
        <f t="shared" si="437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5"/>
      <c r="B130" s="200" t="s">
        <v>490</v>
      </c>
      <c r="C130" s="150"/>
      <c r="D130" s="150"/>
      <c r="E130" s="150"/>
      <c r="F130" s="150"/>
      <c r="G130" s="204" t="e">
        <f t="shared" ref="G130:H130" si="438">G55/G49</f>
        <v>#DIV/0!</v>
      </c>
      <c r="H130" s="204" t="e">
        <f t="shared" si="438"/>
        <v>#DIV/0!</v>
      </c>
      <c r="I130" s="204" t="e">
        <f t="shared" ref="I130:S130" si="439">I55/I49</f>
        <v>#DIV/0!</v>
      </c>
      <c r="J130" s="204" t="e">
        <f t="shared" si="439"/>
        <v>#DIV/0!</v>
      </c>
      <c r="K130" s="204" t="e">
        <f t="shared" si="439"/>
        <v>#DIV/0!</v>
      </c>
      <c r="L130" s="204" t="e">
        <f t="shared" si="439"/>
        <v>#DIV/0!</v>
      </c>
      <c r="M130" s="204" t="e">
        <f t="shared" si="439"/>
        <v>#DIV/0!</v>
      </c>
      <c r="N130" s="204" t="e">
        <f t="shared" si="439"/>
        <v>#DIV/0!</v>
      </c>
      <c r="O130" s="204" t="e">
        <f t="shared" si="439"/>
        <v>#DIV/0!</v>
      </c>
      <c r="P130" s="204" t="e">
        <f t="shared" si="439"/>
        <v>#DIV/0!</v>
      </c>
      <c r="Q130" s="204" t="e">
        <f t="shared" si="439"/>
        <v>#DIV/0!</v>
      </c>
      <c r="R130" s="204" t="e">
        <f t="shared" si="439"/>
        <v>#DIV/0!</v>
      </c>
      <c r="S130" s="204" t="e">
        <f t="shared" si="439"/>
        <v>#DIV/0!</v>
      </c>
      <c r="T130" s="118" t="e">
        <f t="shared" si="242"/>
        <v>#DIV/0!</v>
      </c>
      <c r="U130" s="20"/>
      <c r="V130" s="204" t="e">
        <f t="shared" ref="V130:AE130" si="440">V55/V49</f>
        <v>#DIV/0!</v>
      </c>
      <c r="W130" s="204" t="e">
        <f t="shared" si="440"/>
        <v>#DIV/0!</v>
      </c>
      <c r="X130" s="204" t="e">
        <f t="shared" si="440"/>
        <v>#DIV/0!</v>
      </c>
      <c r="Y130" s="204" t="e">
        <f t="shared" si="440"/>
        <v>#DIV/0!</v>
      </c>
      <c r="Z130" s="204" t="e">
        <f t="shared" si="440"/>
        <v>#DIV/0!</v>
      </c>
      <c r="AA130" s="204" t="e">
        <f t="shared" si="440"/>
        <v>#DIV/0!</v>
      </c>
      <c r="AB130" s="204" t="e">
        <f t="shared" si="440"/>
        <v>#DIV/0!</v>
      </c>
      <c r="AC130" s="204" t="e">
        <f t="shared" si="440"/>
        <v>#DIV/0!</v>
      </c>
      <c r="AD130" s="204" t="e">
        <f t="shared" si="440"/>
        <v>#DIV/0!</v>
      </c>
      <c r="AE130" s="204" t="e">
        <f t="shared" si="440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5"/>
      <c r="B131" s="200" t="s">
        <v>483</v>
      </c>
      <c r="C131" s="150"/>
      <c r="D131" s="150"/>
      <c r="E131" s="150"/>
      <c r="F131" s="150"/>
      <c r="G131" s="169" t="e">
        <f t="shared" ref="G131:H131" si="441">G55/G43</f>
        <v>#DIV/0!</v>
      </c>
      <c r="H131" s="169" t="e">
        <f t="shared" si="441"/>
        <v>#DIV/0!</v>
      </c>
      <c r="I131" s="169" t="e">
        <f t="shared" ref="I131:S131" si="442">I55/I43</f>
        <v>#DIV/0!</v>
      </c>
      <c r="J131" s="169" t="e">
        <f t="shared" si="442"/>
        <v>#DIV/0!</v>
      </c>
      <c r="K131" s="169" t="e">
        <f t="shared" si="442"/>
        <v>#DIV/0!</v>
      </c>
      <c r="L131" s="169" t="e">
        <f t="shared" si="442"/>
        <v>#DIV/0!</v>
      </c>
      <c r="M131" s="169" t="e">
        <f t="shared" si="442"/>
        <v>#DIV/0!</v>
      </c>
      <c r="N131" s="169" t="e">
        <f t="shared" si="442"/>
        <v>#DIV/0!</v>
      </c>
      <c r="O131" s="169" t="e">
        <f t="shared" si="442"/>
        <v>#DIV/0!</v>
      </c>
      <c r="P131" s="169" t="e">
        <f t="shared" si="442"/>
        <v>#DIV/0!</v>
      </c>
      <c r="Q131" s="169" t="e">
        <f t="shared" si="442"/>
        <v>#DIV/0!</v>
      </c>
      <c r="R131" s="169" t="e">
        <f t="shared" si="442"/>
        <v>#DIV/0!</v>
      </c>
      <c r="S131" s="169" t="e">
        <f t="shared" si="442"/>
        <v>#DIV/0!</v>
      </c>
      <c r="T131" s="118" t="e">
        <f t="shared" si="242"/>
        <v>#DIV/0!</v>
      </c>
      <c r="U131" s="20"/>
      <c r="V131" s="169" t="e">
        <f t="shared" ref="V131:AE131" si="443">V55/V43</f>
        <v>#DIV/0!</v>
      </c>
      <c r="W131" s="169" t="e">
        <f t="shared" si="443"/>
        <v>#DIV/0!</v>
      </c>
      <c r="X131" s="169" t="e">
        <f t="shared" si="443"/>
        <v>#DIV/0!</v>
      </c>
      <c r="Y131" s="169" t="e">
        <f t="shared" si="443"/>
        <v>#DIV/0!</v>
      </c>
      <c r="Z131" s="169" t="e">
        <f t="shared" si="443"/>
        <v>#DIV/0!</v>
      </c>
      <c r="AA131" s="169" t="e">
        <f t="shared" si="443"/>
        <v>#DIV/0!</v>
      </c>
      <c r="AB131" s="169" t="e">
        <f t="shared" si="443"/>
        <v>#DIV/0!</v>
      </c>
      <c r="AC131" s="169" t="e">
        <f t="shared" si="443"/>
        <v>#DIV/0!</v>
      </c>
      <c r="AD131" s="169" t="e">
        <f t="shared" si="443"/>
        <v>#DIV/0!</v>
      </c>
      <c r="AE131" s="169" t="e">
        <f t="shared" si="443"/>
        <v>#DIV/0!</v>
      </c>
      <c r="AF131" s="137" t="e">
        <f t="shared" si="422"/>
        <v>#DIV/0!</v>
      </c>
      <c r="AG131" s="145"/>
      <c r="AH131" s="145"/>
    </row>
    <row r="132" spans="1:34" ht="12" customHeight="1">
      <c r="A132" s="205"/>
      <c r="B132" s="200" t="s">
        <v>484</v>
      </c>
      <c r="C132" s="150"/>
      <c r="D132" s="150"/>
      <c r="E132" s="150"/>
      <c r="F132" s="150"/>
      <c r="G132" s="169" t="e">
        <f t="shared" ref="G132:H132" si="444">G55/(G36+G38)</f>
        <v>#DIV/0!</v>
      </c>
      <c r="H132" s="169" t="e">
        <f t="shared" si="444"/>
        <v>#DIV/0!</v>
      </c>
      <c r="I132" s="169" t="e">
        <f t="shared" ref="I132:S132" si="445">I55/(I36+I38)</f>
        <v>#DIV/0!</v>
      </c>
      <c r="J132" s="169" t="e">
        <f t="shared" si="445"/>
        <v>#DIV/0!</v>
      </c>
      <c r="K132" s="169" t="e">
        <f t="shared" si="445"/>
        <v>#DIV/0!</v>
      </c>
      <c r="L132" s="169" t="e">
        <f t="shared" si="445"/>
        <v>#DIV/0!</v>
      </c>
      <c r="M132" s="169" t="e">
        <f t="shared" si="445"/>
        <v>#DIV/0!</v>
      </c>
      <c r="N132" s="169" t="e">
        <f t="shared" si="445"/>
        <v>#DIV/0!</v>
      </c>
      <c r="O132" s="169" t="e">
        <f t="shared" si="445"/>
        <v>#DIV/0!</v>
      </c>
      <c r="P132" s="169" t="e">
        <f t="shared" si="445"/>
        <v>#DIV/0!</v>
      </c>
      <c r="Q132" s="169" t="e">
        <f t="shared" si="445"/>
        <v>#DIV/0!</v>
      </c>
      <c r="R132" s="169" t="e">
        <f t="shared" si="445"/>
        <v>#DIV/0!</v>
      </c>
      <c r="S132" s="169" t="e">
        <f t="shared" si="445"/>
        <v>#DIV/0!</v>
      </c>
      <c r="T132" s="118" t="e">
        <f t="shared" si="242"/>
        <v>#DIV/0!</v>
      </c>
      <c r="U132" s="20"/>
      <c r="V132" s="169" t="e">
        <f t="shared" ref="V132:AE132" si="446">V55/(V36+V38)</f>
        <v>#DIV/0!</v>
      </c>
      <c r="W132" s="169" t="e">
        <f t="shared" si="446"/>
        <v>#DIV/0!</v>
      </c>
      <c r="X132" s="169" t="e">
        <f t="shared" si="446"/>
        <v>#DIV/0!</v>
      </c>
      <c r="Y132" s="169" t="e">
        <f t="shared" si="446"/>
        <v>#DIV/0!</v>
      </c>
      <c r="Z132" s="169" t="e">
        <f t="shared" si="446"/>
        <v>#DIV/0!</v>
      </c>
      <c r="AA132" s="169" t="e">
        <f t="shared" si="446"/>
        <v>#DIV/0!</v>
      </c>
      <c r="AB132" s="169" t="e">
        <f t="shared" si="446"/>
        <v>#DIV/0!</v>
      </c>
      <c r="AC132" s="169" t="e">
        <f t="shared" si="446"/>
        <v>#DIV/0!</v>
      </c>
      <c r="AD132" s="169" t="e">
        <f t="shared" si="446"/>
        <v>#DIV/0!</v>
      </c>
      <c r="AE132" s="169" t="e">
        <f t="shared" si="446"/>
        <v>#DIV/0!</v>
      </c>
      <c r="AF132" s="137" t="e">
        <f t="shared" si="422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322</v>
      </c>
      <c r="C134" s="150"/>
      <c r="D134" s="150"/>
      <c r="E134" s="150"/>
      <c r="F134" s="150"/>
      <c r="G134" s="161">
        <f t="shared" ref="G134:H134" si="447">G10-(G12+G13)</f>
        <v>177</v>
      </c>
      <c r="H134" s="161">
        <f t="shared" si="447"/>
        <v>288</v>
      </c>
      <c r="I134" s="161">
        <f t="shared" ref="I134:S134" si="448">I10-(I12+I13)</f>
        <v>422</v>
      </c>
      <c r="J134" s="161">
        <f t="shared" si="448"/>
        <v>467</v>
      </c>
      <c r="K134" s="161">
        <f t="shared" si="448"/>
        <v>796</v>
      </c>
      <c r="L134" s="161">
        <f t="shared" si="448"/>
        <v>88</v>
      </c>
      <c r="M134" s="161">
        <f t="shared" si="448"/>
        <v>825</v>
      </c>
      <c r="N134" s="161">
        <f t="shared" si="448"/>
        <v>1385</v>
      </c>
      <c r="O134" s="161">
        <f t="shared" si="448"/>
        <v>1136</v>
      </c>
      <c r="P134" s="161">
        <f t="shared" si="448"/>
        <v>1129</v>
      </c>
      <c r="Q134" s="161">
        <f t="shared" si="448"/>
        <v>999</v>
      </c>
      <c r="R134" s="161">
        <f t="shared" si="448"/>
        <v>0</v>
      </c>
      <c r="S134" s="161">
        <f t="shared" si="448"/>
        <v>1160</v>
      </c>
      <c r="T134" s="118">
        <f t="shared" si="242"/>
        <v>0.16960817079235202</v>
      </c>
      <c r="U134" s="20"/>
      <c r="V134" s="161">
        <f t="shared" ref="V134:AE134" si="449">V10-(V12+V13)</f>
        <v>812</v>
      </c>
      <c r="W134" s="161">
        <f t="shared" si="449"/>
        <v>876.96</v>
      </c>
      <c r="X134" s="161">
        <f t="shared" si="449"/>
        <v>947.11680000000024</v>
      </c>
      <c r="Y134" s="161">
        <f t="shared" si="449"/>
        <v>1022.8861440000001</v>
      </c>
      <c r="Z134" s="161">
        <f t="shared" si="449"/>
        <v>1104.7170355200001</v>
      </c>
      <c r="AA134" s="161">
        <f t="shared" si="449"/>
        <v>1193.0943983616005</v>
      </c>
      <c r="AB134" s="161">
        <f t="shared" si="449"/>
        <v>1288.541950230529</v>
      </c>
      <c r="AC134" s="161">
        <f t="shared" si="449"/>
        <v>1391.6253062489714</v>
      </c>
      <c r="AD134" s="161">
        <f t="shared" si="449"/>
        <v>1502.9553307488886</v>
      </c>
      <c r="AE134" s="161">
        <f t="shared" si="449"/>
        <v>1623.1917572087996</v>
      </c>
      <c r="AF134" s="137">
        <f t="shared" si="357"/>
        <v>6.625204009626029E-2</v>
      </c>
      <c r="AG134" s="145"/>
      <c r="AH134" s="145"/>
    </row>
    <row r="135" spans="1:34" ht="12" customHeight="1">
      <c r="B135" s="20" t="s">
        <v>317</v>
      </c>
      <c r="C135" s="20"/>
      <c r="D135" s="20"/>
      <c r="E135" s="20"/>
      <c r="F135" s="20"/>
      <c r="G135" s="150">
        <f t="shared" ref="G135:H135" si="450">G55/G18</f>
        <v>0.29648241206030151</v>
      </c>
      <c r="H135" s="150">
        <f t="shared" si="450"/>
        <v>6.9212410501193311E-2</v>
      </c>
      <c r="I135" s="150">
        <f t="shared" ref="I135:S135" si="451">I55/I18</f>
        <v>0.12079510703363915</v>
      </c>
      <c r="J135" s="150">
        <f t="shared" si="451"/>
        <v>0.25757575757575757</v>
      </c>
      <c r="K135" s="150">
        <f t="shared" si="451"/>
        <v>0.16436781609195403</v>
      </c>
      <c r="L135" s="150">
        <f t="shared" si="451"/>
        <v>0.26816239316239315</v>
      </c>
      <c r="M135" s="150">
        <f t="shared" si="451"/>
        <v>0.26842105263157895</v>
      </c>
      <c r="N135" s="150">
        <f t="shared" si="451"/>
        <v>0.31389452332657203</v>
      </c>
      <c r="O135" s="150">
        <f t="shared" si="451"/>
        <v>0.19876627827278959</v>
      </c>
      <c r="P135" s="150">
        <f t="shared" si="451"/>
        <v>0.24242424242424243</v>
      </c>
      <c r="Q135" s="150">
        <f t="shared" si="451"/>
        <v>0.22348018705390105</v>
      </c>
      <c r="R135" s="150" t="e">
        <f t="shared" si="451"/>
        <v>#DIV/0!</v>
      </c>
      <c r="S135" s="150">
        <f t="shared" si="451"/>
        <v>0.41750485265572612</v>
      </c>
      <c r="T135" s="118">
        <f t="shared" ref="T135:T167" si="452">((S135/G135)^(1/($J$2-$J$1) ))-1</f>
        <v>2.8936442945117324E-2</v>
      </c>
      <c r="U135" s="20"/>
      <c r="V135" s="150">
        <f t="shared" ref="V135:AE135" si="453">V55/V18</f>
        <v>0.41750485265572612</v>
      </c>
      <c r="W135" s="150">
        <f t="shared" si="453"/>
        <v>0.41750485265572618</v>
      </c>
      <c r="X135" s="150">
        <f t="shared" si="453"/>
        <v>0.41750485265572618</v>
      </c>
      <c r="Y135" s="150">
        <f t="shared" si="453"/>
        <v>0.41750485265572612</v>
      </c>
      <c r="Z135" s="150">
        <f t="shared" si="453"/>
        <v>0.41750485265572618</v>
      </c>
      <c r="AA135" s="150">
        <f t="shared" si="453"/>
        <v>0.41750485265572612</v>
      </c>
      <c r="AB135" s="150">
        <f t="shared" si="453"/>
        <v>0.41750485265572618</v>
      </c>
      <c r="AC135" s="150">
        <f t="shared" si="453"/>
        <v>0.41750485265572623</v>
      </c>
      <c r="AD135" s="150">
        <f t="shared" si="453"/>
        <v>0.41750485265572618</v>
      </c>
      <c r="AE135" s="150">
        <f t="shared" si="453"/>
        <v>0.41750485265572618</v>
      </c>
      <c r="AF135" s="137">
        <f t="shared" si="357"/>
        <v>6.0835877767931423E-2</v>
      </c>
      <c r="AG135" s="20"/>
      <c r="AH135" s="20"/>
    </row>
    <row r="136" spans="1:34">
      <c r="B136" s="20" t="s">
        <v>318</v>
      </c>
      <c r="C136" s="20"/>
      <c r="D136" s="20"/>
      <c r="E136" s="20"/>
      <c r="F136" s="20"/>
      <c r="G136" s="150">
        <f t="shared" ref="G136:H136" si="454">G55/G25</f>
        <v>5.1104374187960155E-2</v>
      </c>
      <c r="H136" s="150">
        <f t="shared" si="454"/>
        <v>1.1262135922330097E-2</v>
      </c>
      <c r="I136" s="150">
        <f t="shared" ref="I136:S136" si="455">I55/I25</f>
        <v>2.089394340121661E-2</v>
      </c>
      <c r="J136" s="150">
        <f t="shared" si="455"/>
        <v>3.7760995113282986E-2</v>
      </c>
      <c r="K136" s="150">
        <f t="shared" si="455"/>
        <v>2.7756211180124224E-2</v>
      </c>
      <c r="L136" s="150">
        <f t="shared" si="455"/>
        <v>4.579456303594235E-2</v>
      </c>
      <c r="M136" s="150">
        <f t="shared" si="455"/>
        <v>4.6660567246111617E-2</v>
      </c>
      <c r="N136" s="150">
        <f t="shared" si="455"/>
        <v>5.9081798224682638E-2</v>
      </c>
      <c r="O136" s="150">
        <f t="shared" si="455"/>
        <v>4.8224827471522409E-2</v>
      </c>
      <c r="P136" s="150">
        <f t="shared" si="455"/>
        <v>6.5835574024280946E-2</v>
      </c>
      <c r="Q136" s="150">
        <f t="shared" si="455"/>
        <v>6.7781427291728868E-2</v>
      </c>
      <c r="R136" s="150" t="e">
        <f t="shared" si="455"/>
        <v>#DIV/0!</v>
      </c>
      <c r="S136" s="150">
        <f t="shared" si="455"/>
        <v>0.11413961117275315</v>
      </c>
      <c r="T136" s="118">
        <f t="shared" si="452"/>
        <v>6.9255582116980907E-2</v>
      </c>
      <c r="U136" s="20"/>
      <c r="V136" s="150">
        <f t="shared" ref="V136:AE136" si="456">V55/V25</f>
        <v>0.11413961117275315</v>
      </c>
      <c r="W136" s="150">
        <f t="shared" si="456"/>
        <v>0.11413961117275315</v>
      </c>
      <c r="X136" s="150">
        <f t="shared" si="456"/>
        <v>0.11413961117275315</v>
      </c>
      <c r="Y136" s="150">
        <f t="shared" si="456"/>
        <v>0.11413961117275315</v>
      </c>
      <c r="Z136" s="150">
        <f t="shared" si="456"/>
        <v>0.11413961117275315</v>
      </c>
      <c r="AA136" s="150">
        <f t="shared" si="456"/>
        <v>0.11413961117275315</v>
      </c>
      <c r="AB136" s="150">
        <f t="shared" si="456"/>
        <v>0.11413961117275315</v>
      </c>
      <c r="AC136" s="150">
        <f t="shared" si="456"/>
        <v>0.11413961117275315</v>
      </c>
      <c r="AD136" s="150">
        <f t="shared" si="456"/>
        <v>0.11413961117275315</v>
      </c>
      <c r="AE136" s="150">
        <f t="shared" si="456"/>
        <v>0.11413961117275316</v>
      </c>
      <c r="AF136" s="137">
        <f t="shared" si="357"/>
        <v>8.4214088818097999E-2</v>
      </c>
      <c r="AG136" s="20"/>
      <c r="AH136" s="20"/>
    </row>
    <row r="137" spans="1:34">
      <c r="B137" s="20" t="s">
        <v>344</v>
      </c>
      <c r="C137" s="20"/>
      <c r="D137" s="20"/>
      <c r="E137" s="150"/>
      <c r="F137" s="150"/>
      <c r="G137" s="150">
        <f t="shared" ref="G137:H137" si="457">G25/G18</f>
        <v>5.8015075376884422</v>
      </c>
      <c r="H137" s="150">
        <f t="shared" si="457"/>
        <v>6.1455847255369926</v>
      </c>
      <c r="I137" s="150">
        <f t="shared" ref="I137:S137" si="458">I25/I18</f>
        <v>5.7813455657492359</v>
      </c>
      <c r="J137" s="150">
        <f t="shared" si="458"/>
        <v>6.8212121212121213</v>
      </c>
      <c r="K137" s="150">
        <f t="shared" si="458"/>
        <v>5.9218390804597698</v>
      </c>
      <c r="L137" s="150">
        <f t="shared" si="458"/>
        <v>5.8557692307692308</v>
      </c>
      <c r="M137" s="150">
        <f t="shared" si="458"/>
        <v>5.7526315789473683</v>
      </c>
      <c r="N137" s="150">
        <f t="shared" si="458"/>
        <v>5.3128803245436105</v>
      </c>
      <c r="O137" s="150">
        <f t="shared" si="458"/>
        <v>4.1216586703221383</v>
      </c>
      <c r="P137" s="150">
        <f t="shared" si="458"/>
        <v>3.6822682268226821</v>
      </c>
      <c r="Q137" s="150">
        <f t="shared" si="458"/>
        <v>3.2970711297071129</v>
      </c>
      <c r="R137" s="150" t="e">
        <f t="shared" si="458"/>
        <v>#DIV/0!</v>
      </c>
      <c r="S137" s="150">
        <f t="shared" si="458"/>
        <v>3.6578436562555146</v>
      </c>
      <c r="T137" s="118">
        <f t="shared" si="452"/>
        <v>-3.7707672371498968E-2</v>
      </c>
      <c r="U137" s="20"/>
      <c r="V137" s="150">
        <f t="shared" ref="V137:AE137" si="459">V25/V18</f>
        <v>3.6578436562555146</v>
      </c>
      <c r="W137" s="150">
        <f t="shared" si="459"/>
        <v>3.6578436562555146</v>
      </c>
      <c r="X137" s="150">
        <f t="shared" si="459"/>
        <v>3.6578436562555146</v>
      </c>
      <c r="Y137" s="150">
        <f t="shared" si="459"/>
        <v>3.6578436562555141</v>
      </c>
      <c r="Z137" s="150">
        <f t="shared" si="459"/>
        <v>3.6578436562555146</v>
      </c>
      <c r="AA137" s="150">
        <f t="shared" si="459"/>
        <v>3.6578436562555146</v>
      </c>
      <c r="AB137" s="150">
        <f t="shared" si="459"/>
        <v>3.6578436562555146</v>
      </c>
      <c r="AC137" s="150">
        <f t="shared" si="459"/>
        <v>3.657843656255515</v>
      </c>
      <c r="AD137" s="150">
        <f t="shared" si="459"/>
        <v>3.6578436562555146</v>
      </c>
      <c r="AE137" s="150">
        <f t="shared" si="459"/>
        <v>3.6578436562555146</v>
      </c>
      <c r="AF137" s="137">
        <f t="shared" si="357"/>
        <v>-2.1562356817970363E-2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330</v>
      </c>
      <c r="C139" s="20"/>
      <c r="D139" s="20"/>
      <c r="E139" s="163"/>
      <c r="F139" s="163"/>
      <c r="G139" s="163">
        <f t="shared" ref="G139:H139" si="460">G88*G57</f>
        <v>8.4</v>
      </c>
      <c r="H139" s="163">
        <f t="shared" si="460"/>
        <v>8.4</v>
      </c>
      <c r="I139" s="163">
        <f t="shared" ref="I139:S139" si="461">I88*I57</f>
        <v>8.4</v>
      </c>
      <c r="J139" s="163">
        <f t="shared" si="461"/>
        <v>8.4</v>
      </c>
      <c r="K139" s="163">
        <f t="shared" si="461"/>
        <v>8.4</v>
      </c>
      <c r="L139" s="163">
        <f t="shared" si="461"/>
        <v>10.5</v>
      </c>
      <c r="M139" s="163">
        <f t="shared" si="461"/>
        <v>21</v>
      </c>
      <c r="N139" s="163">
        <f t="shared" si="461"/>
        <v>10.5</v>
      </c>
      <c r="O139" s="163">
        <f t="shared" si="461"/>
        <v>10.5</v>
      </c>
      <c r="P139" s="163">
        <f t="shared" si="461"/>
        <v>12.6</v>
      </c>
      <c r="Q139" s="163">
        <f t="shared" si="461"/>
        <v>21</v>
      </c>
      <c r="R139" s="163">
        <f t="shared" si="461"/>
        <v>0</v>
      </c>
      <c r="S139" s="163">
        <f t="shared" si="461"/>
        <v>42</v>
      </c>
      <c r="T139" s="118">
        <f t="shared" si="452"/>
        <v>0.14352983608292025</v>
      </c>
      <c r="U139" s="20"/>
      <c r="V139" s="163">
        <f t="shared" ref="V139:AE139" si="462">V88*V57</f>
        <v>20.58</v>
      </c>
      <c r="W139" s="163">
        <f t="shared" si="462"/>
        <v>22.041179999999997</v>
      </c>
      <c r="X139" s="163">
        <f t="shared" si="462"/>
        <v>23.606103779999998</v>
      </c>
      <c r="Y139" s="163">
        <f t="shared" si="462"/>
        <v>25.282137148379999</v>
      </c>
      <c r="Z139" s="163">
        <f t="shared" si="462"/>
        <v>27.077168885914979</v>
      </c>
      <c r="AA139" s="163">
        <f t="shared" si="462"/>
        <v>28.999647876814944</v>
      </c>
      <c r="AB139" s="163">
        <f t="shared" si="462"/>
        <v>31.058622876068807</v>
      </c>
      <c r="AC139" s="163">
        <f t="shared" si="462"/>
        <v>33.263785100269693</v>
      </c>
      <c r="AD139" s="163">
        <f t="shared" si="462"/>
        <v>35.625513842388841</v>
      </c>
      <c r="AE139" s="163">
        <f t="shared" si="462"/>
        <v>38.154925325198448</v>
      </c>
      <c r="AF139" s="137">
        <f t="shared" si="357"/>
        <v>7.472817478551419E-2</v>
      </c>
      <c r="AG139" s="20"/>
      <c r="AH139" s="20"/>
    </row>
    <row r="140" spans="1:34">
      <c r="B140" s="20" t="s">
        <v>331</v>
      </c>
      <c r="C140" s="20"/>
      <c r="D140" s="20"/>
      <c r="E140" s="163"/>
      <c r="F140" s="163"/>
      <c r="G140" s="163">
        <f t="shared" ref="G140:H140" si="463">(G139*0.17)+G139</f>
        <v>9.8280000000000012</v>
      </c>
      <c r="H140" s="163">
        <f t="shared" si="463"/>
        <v>9.8280000000000012</v>
      </c>
      <c r="I140" s="163">
        <f t="shared" ref="I140:R140" si="464">(I139*0.17)+I139</f>
        <v>9.8280000000000012</v>
      </c>
      <c r="J140" s="163">
        <f t="shared" si="464"/>
        <v>9.8280000000000012</v>
      </c>
      <c r="K140" s="163">
        <f t="shared" si="464"/>
        <v>9.8280000000000012</v>
      </c>
      <c r="L140" s="163">
        <f t="shared" si="464"/>
        <v>12.285</v>
      </c>
      <c r="M140" s="163">
        <f t="shared" si="464"/>
        <v>24.57</v>
      </c>
      <c r="N140" s="163">
        <f t="shared" si="464"/>
        <v>12.285</v>
      </c>
      <c r="O140" s="163">
        <f t="shared" si="464"/>
        <v>12.285</v>
      </c>
      <c r="P140" s="163">
        <f t="shared" si="464"/>
        <v>14.741999999999999</v>
      </c>
      <c r="Q140" s="163">
        <f t="shared" si="464"/>
        <v>24.57</v>
      </c>
      <c r="R140" s="163">
        <f t="shared" si="464"/>
        <v>0</v>
      </c>
      <c r="S140" s="163">
        <f t="shared" ref="S140" si="465">(S139*0.17)+S139</f>
        <v>49.14</v>
      </c>
      <c r="T140" s="118">
        <f t="shared" si="452"/>
        <v>0.14352983608292025</v>
      </c>
      <c r="U140" s="20"/>
      <c r="V140" s="163">
        <f t="shared" ref="V140:AE140" si="466">(V139*0.17)+V139</f>
        <v>24.078599999999998</v>
      </c>
      <c r="W140" s="163">
        <f t="shared" si="466"/>
        <v>25.788180599999997</v>
      </c>
      <c r="X140" s="163">
        <f t="shared" si="466"/>
        <v>27.619141422599998</v>
      </c>
      <c r="Y140" s="163">
        <f t="shared" si="466"/>
        <v>29.580100463604598</v>
      </c>
      <c r="Z140" s="163">
        <f t="shared" si="466"/>
        <v>31.680287596520525</v>
      </c>
      <c r="AA140" s="163">
        <f t="shared" si="466"/>
        <v>33.929588015873485</v>
      </c>
      <c r="AB140" s="163">
        <f t="shared" si="466"/>
        <v>36.338588765000502</v>
      </c>
      <c r="AC140" s="163">
        <f t="shared" si="466"/>
        <v>38.918628567315544</v>
      </c>
      <c r="AD140" s="163">
        <f t="shared" si="466"/>
        <v>41.681851195594945</v>
      </c>
      <c r="AE140" s="163">
        <f t="shared" si="466"/>
        <v>44.641262630482188</v>
      </c>
      <c r="AF140" s="137">
        <f t="shared" si="357"/>
        <v>7.472817478551419E-2</v>
      </c>
      <c r="AG140" s="20"/>
      <c r="AH140" s="20"/>
    </row>
    <row r="141" spans="1:34">
      <c r="B141" s="20" t="s">
        <v>332</v>
      </c>
      <c r="C141" s="20"/>
      <c r="D141" s="20"/>
      <c r="E141" s="20"/>
      <c r="F141" s="20"/>
      <c r="G141" s="150">
        <f t="shared" ref="G141:H141" si="467">G140/G55</f>
        <v>8.3288135593220347E-2</v>
      </c>
      <c r="H141" s="150">
        <f t="shared" si="467"/>
        <v>0.33889655172413796</v>
      </c>
      <c r="I141" s="150">
        <f t="shared" ref="I141:S141" si="468">I140/I55</f>
        <v>0.12440506329113926</v>
      </c>
      <c r="J141" s="150">
        <f t="shared" si="468"/>
        <v>5.7811764705882361E-2</v>
      </c>
      <c r="K141" s="150">
        <f t="shared" si="468"/>
        <v>6.8727272727272734E-2</v>
      </c>
      <c r="L141" s="150">
        <f t="shared" si="468"/>
        <v>4.8944223107569719E-2</v>
      </c>
      <c r="M141" s="150">
        <f t="shared" si="468"/>
        <v>6.88235294117647E-2</v>
      </c>
      <c r="N141" s="150">
        <f t="shared" si="468"/>
        <v>1.9846526655896608E-2</v>
      </c>
      <c r="O141" s="150">
        <f t="shared" si="468"/>
        <v>2.1181034482758623E-2</v>
      </c>
      <c r="P141" s="150">
        <f t="shared" si="468"/>
        <v>1.8245049504950494E-2</v>
      </c>
      <c r="Q141" s="150">
        <f t="shared" si="468"/>
        <v>2.7059471365638767E-2</v>
      </c>
      <c r="R141" s="150" t="e">
        <f t="shared" si="468"/>
        <v>#DIV/0!</v>
      </c>
      <c r="S141" s="150">
        <f t="shared" si="468"/>
        <v>2.0769230769230769E-2</v>
      </c>
      <c r="T141" s="118">
        <f t="shared" si="452"/>
        <v>-0.10928977211532998</v>
      </c>
      <c r="U141" s="20"/>
      <c r="V141" s="150">
        <f t="shared" ref="V141:AE141" si="469">V140/V55</f>
        <v>1.4538461538461538E-2</v>
      </c>
      <c r="W141" s="150">
        <f t="shared" si="469"/>
        <v>1.4417307692307691E-2</v>
      </c>
      <c r="X141" s="150">
        <f t="shared" si="469"/>
        <v>1.429716346153846E-2</v>
      </c>
      <c r="Y141" s="150">
        <f t="shared" si="469"/>
        <v>1.4178020432692307E-2</v>
      </c>
      <c r="Z141" s="150">
        <f t="shared" si="469"/>
        <v>1.4059870262419869E-2</v>
      </c>
      <c r="AA141" s="150">
        <f t="shared" si="469"/>
        <v>1.3942704676899703E-2</v>
      </c>
      <c r="AB141" s="150">
        <f t="shared" si="469"/>
        <v>1.3826515471258871E-2</v>
      </c>
      <c r="AC141" s="150">
        <f t="shared" si="469"/>
        <v>1.3711294508998381E-2</v>
      </c>
      <c r="AD141" s="150">
        <f t="shared" si="469"/>
        <v>1.3597033721423393E-2</v>
      </c>
      <c r="AE141" s="150">
        <f t="shared" si="469"/>
        <v>1.3483725107078199E-2</v>
      </c>
      <c r="AF141" s="137">
        <f t="shared" si="357"/>
        <v>-0.10040656421905891</v>
      </c>
      <c r="AG141" s="20"/>
      <c r="AH141" s="20"/>
    </row>
    <row r="142" spans="1:34">
      <c r="B142" s="20" t="s">
        <v>325</v>
      </c>
      <c r="C142" s="20"/>
      <c r="D142" s="20"/>
      <c r="E142" s="20"/>
      <c r="F142" s="20"/>
      <c r="G142" s="150">
        <f t="shared" ref="G142:H142" si="470">1-G141</f>
        <v>0.91671186440677965</v>
      </c>
      <c r="H142" s="150">
        <f t="shared" si="470"/>
        <v>0.66110344827586198</v>
      </c>
      <c r="I142" s="150">
        <f>1-I141</f>
        <v>0.87559493670886068</v>
      </c>
      <c r="J142" s="150">
        <f t="shared" ref="J142:R142" si="471">1-J141</f>
        <v>0.94218823529411766</v>
      </c>
      <c r="K142" s="150">
        <f t="shared" si="471"/>
        <v>0.93127272727272725</v>
      </c>
      <c r="L142" s="150">
        <f t="shared" si="471"/>
        <v>0.95105577689243026</v>
      </c>
      <c r="M142" s="150">
        <f t="shared" si="471"/>
        <v>0.93117647058823527</v>
      </c>
      <c r="N142" s="150">
        <f t="shared" si="471"/>
        <v>0.98015347334410341</v>
      </c>
      <c r="O142" s="150">
        <f t="shared" si="471"/>
        <v>0.97881896551724135</v>
      </c>
      <c r="P142" s="150">
        <f t="shared" si="471"/>
        <v>0.98175495049504946</v>
      </c>
      <c r="Q142" s="150">
        <f t="shared" si="471"/>
        <v>0.9729405286343612</v>
      </c>
      <c r="R142" s="150" t="e">
        <f t="shared" si="471"/>
        <v>#DIV/0!</v>
      </c>
      <c r="S142" s="150">
        <f t="shared" ref="S142" si="472">1-S141</f>
        <v>0.97923076923076924</v>
      </c>
      <c r="T142" s="118">
        <f t="shared" si="452"/>
        <v>5.5129847690142952E-3</v>
      </c>
      <c r="U142" s="20"/>
      <c r="V142" s="150">
        <f t="shared" ref="V142:AE142" si="473">1-V141</f>
        <v>0.9854615384615385</v>
      </c>
      <c r="W142" s="150">
        <f t="shared" si="473"/>
        <v>0.98558269230769235</v>
      </c>
      <c r="X142" s="150">
        <f t="shared" si="473"/>
        <v>0.98570283653846158</v>
      </c>
      <c r="Y142" s="150">
        <f t="shared" si="473"/>
        <v>0.98582197956730766</v>
      </c>
      <c r="Z142" s="150">
        <f t="shared" si="473"/>
        <v>0.98594012973758016</v>
      </c>
      <c r="AA142" s="150">
        <f t="shared" si="473"/>
        <v>0.98605729532310027</v>
      </c>
      <c r="AB142" s="150">
        <f t="shared" si="473"/>
        <v>0.9861734845287411</v>
      </c>
      <c r="AC142" s="150">
        <f t="shared" si="473"/>
        <v>0.98628870549100167</v>
      </c>
      <c r="AD142" s="150">
        <f t="shared" si="473"/>
        <v>0.9864029662785766</v>
      </c>
      <c r="AE142" s="150">
        <f t="shared" si="473"/>
        <v>0.98651627489292182</v>
      </c>
      <c r="AF142" s="137">
        <f t="shared" si="357"/>
        <v>5.6959817156807535E-3</v>
      </c>
      <c r="AG142" s="20"/>
      <c r="AH142" s="20"/>
    </row>
    <row r="143" spans="1:34">
      <c r="B143" s="20" t="s">
        <v>448</v>
      </c>
      <c r="C143" s="20"/>
      <c r="D143" s="20"/>
      <c r="E143" s="20"/>
      <c r="F143" s="20"/>
      <c r="G143" s="150">
        <f t="shared" ref="G143:H143" si="474">G140/G20</f>
        <v>9.8280000000000006E-2</v>
      </c>
      <c r="H143" s="150">
        <f t="shared" si="474"/>
        <v>0.15851612903225809</v>
      </c>
      <c r="I143" s="150">
        <f t="shared" ref="I143:S143" si="475">I140/I20</f>
        <v>3.5738181818181822E-2</v>
      </c>
      <c r="J143" s="150">
        <f t="shared" si="475"/>
        <v>3.2117647058823535E-2</v>
      </c>
      <c r="K143" s="150">
        <f t="shared" si="475"/>
        <v>3.6535315985130115E-2</v>
      </c>
      <c r="L143" s="150">
        <f t="shared" si="475"/>
        <v>1.4251740139211136E-2</v>
      </c>
      <c r="M143" s="150">
        <f t="shared" si="475"/>
        <v>0.15649681528662421</v>
      </c>
      <c r="N143" s="150">
        <f t="shared" si="475"/>
        <v>4.4350180505415164E-2</v>
      </c>
      <c r="O143" s="150">
        <f t="shared" si="475"/>
        <v>1.2020547945205479E-2</v>
      </c>
      <c r="P143" s="150">
        <f t="shared" si="475"/>
        <v>1.2024469820554648E-2</v>
      </c>
      <c r="Q143" s="150">
        <f t="shared" si="475"/>
        <v>1.4756756756756757E-2</v>
      </c>
      <c r="R143" s="150" t="e">
        <f t="shared" si="475"/>
        <v>#DIV/0!</v>
      </c>
      <c r="S143" s="150">
        <f t="shared" si="475"/>
        <v>2.9513513513513515E-2</v>
      </c>
      <c r="T143" s="118">
        <f t="shared" si="452"/>
        <v>-9.5386675199015558E-2</v>
      </c>
      <c r="U143" s="20"/>
      <c r="V143" s="150">
        <f t="shared" ref="V143:AE143" si="476">V140/V20</f>
        <v>2.0659459459459458E-2</v>
      </c>
      <c r="W143" s="150">
        <f t="shared" si="476"/>
        <v>2.0487297297297296E-2</v>
      </c>
      <c r="X143" s="150">
        <f t="shared" si="476"/>
        <v>2.0316569819819819E-2</v>
      </c>
      <c r="Y143" s="150">
        <f t="shared" si="476"/>
        <v>2.0147265071321321E-2</v>
      </c>
      <c r="Z143" s="150">
        <f t="shared" si="476"/>
        <v>1.9979371195726976E-2</v>
      </c>
      <c r="AA143" s="150">
        <f t="shared" si="476"/>
        <v>1.9812876435762582E-2</v>
      </c>
      <c r="AB143" s="150">
        <f t="shared" si="476"/>
        <v>1.9647769132131225E-2</v>
      </c>
      <c r="AC143" s="150">
        <f t="shared" si="476"/>
        <v>1.9484037722696801E-2</v>
      </c>
      <c r="AD143" s="150">
        <f t="shared" si="476"/>
        <v>1.9321670741674325E-2</v>
      </c>
      <c r="AE143" s="150">
        <f t="shared" si="476"/>
        <v>1.9160656818827036E-2</v>
      </c>
      <c r="AF143" s="137" t="s">
        <v>449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329</v>
      </c>
      <c r="C145" s="150"/>
      <c r="D145" s="150"/>
      <c r="E145" s="150"/>
      <c r="F145" s="150"/>
      <c r="G145" s="150">
        <f t="shared" ref="G145:H145" si="477">G31/G25</f>
        <v>0</v>
      </c>
      <c r="H145" s="150">
        <f t="shared" si="477"/>
        <v>0</v>
      </c>
      <c r="I145" s="150">
        <f t="shared" ref="I145:S145" si="478">I31/I25</f>
        <v>0</v>
      </c>
      <c r="J145" s="150">
        <f t="shared" si="478"/>
        <v>0</v>
      </c>
      <c r="K145" s="150">
        <f t="shared" si="478"/>
        <v>0</v>
      </c>
      <c r="L145" s="150">
        <f t="shared" si="478"/>
        <v>0</v>
      </c>
      <c r="M145" s="150">
        <f t="shared" si="478"/>
        <v>0</v>
      </c>
      <c r="N145" s="150">
        <f t="shared" si="478"/>
        <v>0</v>
      </c>
      <c r="O145" s="150">
        <f t="shared" si="478"/>
        <v>0</v>
      </c>
      <c r="P145" s="150">
        <f t="shared" si="478"/>
        <v>0</v>
      </c>
      <c r="Q145" s="150">
        <f t="shared" si="478"/>
        <v>0</v>
      </c>
      <c r="R145" s="150" t="e">
        <f t="shared" si="478"/>
        <v>#DIV/0!</v>
      </c>
      <c r="S145" s="150">
        <f t="shared" si="478"/>
        <v>0</v>
      </c>
      <c r="T145" s="118" t="e">
        <f t="shared" si="452"/>
        <v>#DIV/0!</v>
      </c>
      <c r="U145" s="20"/>
      <c r="V145" s="150">
        <f t="shared" ref="V145:AE145" si="479">V31/V25</f>
        <v>0</v>
      </c>
      <c r="W145" s="150">
        <f t="shared" si="479"/>
        <v>0</v>
      </c>
      <c r="X145" s="150">
        <f t="shared" si="479"/>
        <v>0</v>
      </c>
      <c r="Y145" s="150">
        <f t="shared" si="479"/>
        <v>0</v>
      </c>
      <c r="Z145" s="150">
        <f t="shared" si="479"/>
        <v>0</v>
      </c>
      <c r="AA145" s="150">
        <f t="shared" si="479"/>
        <v>0</v>
      </c>
      <c r="AB145" s="150">
        <f t="shared" si="479"/>
        <v>0</v>
      </c>
      <c r="AC145" s="150">
        <f t="shared" si="479"/>
        <v>0</v>
      </c>
      <c r="AD145" s="150">
        <f t="shared" si="479"/>
        <v>0</v>
      </c>
      <c r="AE145" s="150">
        <f t="shared" si="479"/>
        <v>0</v>
      </c>
      <c r="AF145" s="137" t="e">
        <f t="shared" si="357"/>
        <v>#DIV/0!</v>
      </c>
      <c r="AG145" s="20"/>
      <c r="AH145" s="20"/>
    </row>
    <row r="146" spans="2:34">
      <c r="B146" s="20" t="s">
        <v>326</v>
      </c>
      <c r="C146" s="150"/>
      <c r="D146" s="150"/>
      <c r="E146" s="150"/>
      <c r="F146" s="150"/>
      <c r="G146" s="150">
        <f t="shared" ref="G146:H146" si="480">G32/G25</f>
        <v>0</v>
      </c>
      <c r="H146" s="150">
        <f t="shared" si="480"/>
        <v>0</v>
      </c>
      <c r="I146" s="150">
        <f t="shared" ref="I146:S146" si="481">I32/I25</f>
        <v>0</v>
      </c>
      <c r="J146" s="150">
        <f t="shared" si="481"/>
        <v>0</v>
      </c>
      <c r="K146" s="150">
        <f t="shared" si="481"/>
        <v>0</v>
      </c>
      <c r="L146" s="150">
        <f t="shared" si="481"/>
        <v>0</v>
      </c>
      <c r="M146" s="150">
        <f t="shared" si="481"/>
        <v>0</v>
      </c>
      <c r="N146" s="150">
        <f t="shared" si="481"/>
        <v>0</v>
      </c>
      <c r="O146" s="150">
        <f t="shared" si="481"/>
        <v>0</v>
      </c>
      <c r="P146" s="150">
        <f t="shared" si="481"/>
        <v>0</v>
      </c>
      <c r="Q146" s="150">
        <f t="shared" si="481"/>
        <v>0</v>
      </c>
      <c r="R146" s="150" t="e">
        <f t="shared" si="481"/>
        <v>#DIV/0!</v>
      </c>
      <c r="S146" s="150">
        <f t="shared" si="481"/>
        <v>0</v>
      </c>
      <c r="T146" s="118" t="e">
        <f t="shared" si="452"/>
        <v>#DIV/0!</v>
      </c>
      <c r="U146" s="20"/>
      <c r="V146" s="150">
        <f t="shared" ref="V146:AE146" si="482">V32/V25</f>
        <v>0</v>
      </c>
      <c r="W146" s="150">
        <f t="shared" si="482"/>
        <v>0</v>
      </c>
      <c r="X146" s="150">
        <f t="shared" si="482"/>
        <v>0</v>
      </c>
      <c r="Y146" s="150">
        <f t="shared" si="482"/>
        <v>0</v>
      </c>
      <c r="Z146" s="150">
        <f t="shared" si="482"/>
        <v>0</v>
      </c>
      <c r="AA146" s="150">
        <f t="shared" si="482"/>
        <v>0</v>
      </c>
      <c r="AB146" s="150">
        <f t="shared" si="482"/>
        <v>0</v>
      </c>
      <c r="AC146" s="150">
        <f t="shared" si="482"/>
        <v>0</v>
      </c>
      <c r="AD146" s="150">
        <f t="shared" si="482"/>
        <v>0</v>
      </c>
      <c r="AE146" s="150">
        <f t="shared" si="482"/>
        <v>0</v>
      </c>
      <c r="AF146" s="137" t="e">
        <f t="shared" si="357"/>
        <v>#DIV/0!</v>
      </c>
      <c r="AG146" s="20"/>
      <c r="AH146" s="20"/>
    </row>
    <row r="147" spans="2:34">
      <c r="B147" s="20" t="s">
        <v>456</v>
      </c>
      <c r="C147" s="150"/>
      <c r="D147" s="150"/>
      <c r="E147" s="150"/>
      <c r="F147" s="150"/>
      <c r="G147" s="150">
        <f t="shared" ref="G147:H147" si="483">(G31+G32)/G25</f>
        <v>0</v>
      </c>
      <c r="H147" s="150">
        <f t="shared" si="483"/>
        <v>0</v>
      </c>
      <c r="I147" s="150">
        <f t="shared" ref="I147:S147" si="484">(I31+I32)/I25</f>
        <v>0</v>
      </c>
      <c r="J147" s="150">
        <f t="shared" si="484"/>
        <v>0</v>
      </c>
      <c r="K147" s="150">
        <f t="shared" si="484"/>
        <v>0</v>
      </c>
      <c r="L147" s="150">
        <f t="shared" si="484"/>
        <v>0</v>
      </c>
      <c r="M147" s="150">
        <f t="shared" si="484"/>
        <v>0</v>
      </c>
      <c r="N147" s="150">
        <f t="shared" si="484"/>
        <v>0</v>
      </c>
      <c r="O147" s="150">
        <f t="shared" si="484"/>
        <v>0</v>
      </c>
      <c r="P147" s="150">
        <f t="shared" si="484"/>
        <v>0</v>
      </c>
      <c r="Q147" s="150">
        <f t="shared" si="484"/>
        <v>0</v>
      </c>
      <c r="R147" s="150" t="e">
        <f t="shared" si="484"/>
        <v>#DIV/0!</v>
      </c>
      <c r="S147" s="150">
        <f t="shared" si="484"/>
        <v>0</v>
      </c>
      <c r="T147" s="118" t="e">
        <f t="shared" si="452"/>
        <v>#DIV/0!</v>
      </c>
      <c r="U147" s="20"/>
      <c r="V147" s="150">
        <f t="shared" ref="V147:AE147" si="485">(V31+V32)/V25</f>
        <v>0</v>
      </c>
      <c r="W147" s="150">
        <f t="shared" si="485"/>
        <v>0</v>
      </c>
      <c r="X147" s="150">
        <f t="shared" si="485"/>
        <v>0</v>
      </c>
      <c r="Y147" s="150">
        <f t="shared" si="485"/>
        <v>0</v>
      </c>
      <c r="Z147" s="150">
        <f t="shared" si="485"/>
        <v>0</v>
      </c>
      <c r="AA147" s="150">
        <f t="shared" si="485"/>
        <v>0</v>
      </c>
      <c r="AB147" s="150">
        <f t="shared" si="485"/>
        <v>0</v>
      </c>
      <c r="AC147" s="150">
        <f t="shared" si="485"/>
        <v>0</v>
      </c>
      <c r="AD147" s="150">
        <f t="shared" si="485"/>
        <v>0</v>
      </c>
      <c r="AE147" s="150">
        <f t="shared" si="485"/>
        <v>0</v>
      </c>
      <c r="AF147" s="137" t="e">
        <f t="shared" si="357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350</v>
      </c>
      <c r="C149" s="20"/>
      <c r="D149" s="20"/>
      <c r="E149" s="20"/>
      <c r="F149" s="20"/>
      <c r="G149" s="150">
        <f t="shared" ref="G149:H149" si="486">G27/G25</f>
        <v>0.87007362494586404</v>
      </c>
      <c r="H149" s="150">
        <f t="shared" si="486"/>
        <v>0.93359223300970873</v>
      </c>
      <c r="I149" s="150">
        <f t="shared" ref="I149:S149" si="487">I27/I25</f>
        <v>0.92118487172705632</v>
      </c>
      <c r="J149" s="150">
        <f t="shared" si="487"/>
        <v>0.8971568191914705</v>
      </c>
      <c r="K149" s="150">
        <f t="shared" si="487"/>
        <v>0.91537267080745344</v>
      </c>
      <c r="L149" s="150">
        <f t="shared" si="487"/>
        <v>0.86936690384966242</v>
      </c>
      <c r="M149" s="150">
        <f t="shared" si="487"/>
        <v>0.88746569075937787</v>
      </c>
      <c r="N149" s="150">
        <f t="shared" si="487"/>
        <v>0.88221819223060038</v>
      </c>
      <c r="O149" s="150">
        <f t="shared" si="487"/>
        <v>0.89157728444333584</v>
      </c>
      <c r="P149" s="150">
        <f t="shared" si="487"/>
        <v>0.90890572802085878</v>
      </c>
      <c r="Q149" s="150">
        <f t="shared" si="487"/>
        <v>0.82390265750970437</v>
      </c>
      <c r="R149" s="150" t="e">
        <f t="shared" si="487"/>
        <v>#DIV/0!</v>
      </c>
      <c r="S149" s="150">
        <f t="shared" si="487"/>
        <v>0.83293936031646487</v>
      </c>
      <c r="T149" s="118">
        <f t="shared" si="452"/>
        <v>-3.6281516002057979E-3</v>
      </c>
      <c r="U149" s="20"/>
      <c r="V149" s="150">
        <f t="shared" ref="V149:AE149" si="488">V27/V25</f>
        <v>0.83293936031646487</v>
      </c>
      <c r="W149" s="150">
        <f t="shared" si="488"/>
        <v>0.83293936031646487</v>
      </c>
      <c r="X149" s="150">
        <f t="shared" si="488"/>
        <v>0.83293936031646487</v>
      </c>
      <c r="Y149" s="150">
        <f t="shared" si="488"/>
        <v>0.83293936031646487</v>
      </c>
      <c r="Z149" s="150">
        <f t="shared" si="488"/>
        <v>0.83293936031646487</v>
      </c>
      <c r="AA149" s="150">
        <f t="shared" si="488"/>
        <v>0.83293936031646487</v>
      </c>
      <c r="AB149" s="150">
        <f t="shared" si="488"/>
        <v>0.83293936031646498</v>
      </c>
      <c r="AC149" s="150">
        <f t="shared" si="488"/>
        <v>0.83293936031646487</v>
      </c>
      <c r="AD149" s="150">
        <f t="shared" si="488"/>
        <v>0.83293936031646487</v>
      </c>
      <c r="AE149" s="150">
        <f t="shared" si="488"/>
        <v>0.83293936031646487</v>
      </c>
      <c r="AF149" s="137">
        <f t="shared" si="357"/>
        <v>-4.7837546840722167E-3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89">G33/G25</f>
        <v>0</v>
      </c>
      <c r="H150" s="150">
        <f t="shared" si="489"/>
        <v>0</v>
      </c>
      <c r="I150" s="150">
        <f t="shared" ref="I150:S150" si="490">I33/I25</f>
        <v>0</v>
      </c>
      <c r="J150" s="150">
        <f t="shared" si="490"/>
        <v>0</v>
      </c>
      <c r="K150" s="150">
        <f t="shared" si="490"/>
        <v>0</v>
      </c>
      <c r="L150" s="150">
        <f t="shared" si="490"/>
        <v>0</v>
      </c>
      <c r="M150" s="150">
        <f t="shared" si="490"/>
        <v>0</v>
      </c>
      <c r="N150" s="150">
        <f t="shared" si="490"/>
        <v>0</v>
      </c>
      <c r="O150" s="150">
        <f t="shared" si="490"/>
        <v>0</v>
      </c>
      <c r="P150" s="150">
        <f t="shared" si="490"/>
        <v>0</v>
      </c>
      <c r="Q150" s="150">
        <f t="shared" si="490"/>
        <v>0</v>
      </c>
      <c r="R150" s="150" t="e">
        <f t="shared" si="490"/>
        <v>#DIV/0!</v>
      </c>
      <c r="S150" s="150">
        <f t="shared" si="490"/>
        <v>0</v>
      </c>
      <c r="T150" s="118" t="e">
        <f t="shared" si="452"/>
        <v>#DIV/0!</v>
      </c>
      <c r="U150" s="20"/>
      <c r="V150" s="150">
        <f t="shared" ref="V150:AE150" si="491">V33/V25</f>
        <v>0</v>
      </c>
      <c r="W150" s="150">
        <f t="shared" si="491"/>
        <v>0</v>
      </c>
      <c r="X150" s="150">
        <f t="shared" si="491"/>
        <v>0</v>
      </c>
      <c r="Y150" s="150">
        <f t="shared" si="491"/>
        <v>0</v>
      </c>
      <c r="Z150" s="150">
        <f t="shared" si="491"/>
        <v>0</v>
      </c>
      <c r="AA150" s="150">
        <f t="shared" si="491"/>
        <v>0</v>
      </c>
      <c r="AB150" s="150">
        <f t="shared" si="491"/>
        <v>0</v>
      </c>
      <c r="AC150" s="150">
        <f t="shared" si="491"/>
        <v>0</v>
      </c>
      <c r="AD150" s="150">
        <f t="shared" si="491"/>
        <v>0</v>
      </c>
      <c r="AE150" s="150">
        <f t="shared" si="491"/>
        <v>0</v>
      </c>
      <c r="AF150" s="137" t="e">
        <f t="shared" si="357"/>
        <v>#DIV/0!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92">G34/G25</f>
        <v>0</v>
      </c>
      <c r="H151" s="150">
        <f t="shared" si="492"/>
        <v>0</v>
      </c>
      <c r="I151" s="150">
        <f t="shared" ref="I151:S151" si="493">I34/I25</f>
        <v>0</v>
      </c>
      <c r="J151" s="150">
        <f t="shared" si="493"/>
        <v>0</v>
      </c>
      <c r="K151" s="150">
        <f t="shared" si="493"/>
        <v>0</v>
      </c>
      <c r="L151" s="150">
        <f t="shared" si="493"/>
        <v>0</v>
      </c>
      <c r="M151" s="150">
        <f t="shared" si="493"/>
        <v>0</v>
      </c>
      <c r="N151" s="150">
        <f t="shared" si="493"/>
        <v>0</v>
      </c>
      <c r="O151" s="150">
        <f t="shared" si="493"/>
        <v>0</v>
      </c>
      <c r="P151" s="150">
        <f t="shared" si="493"/>
        <v>0</v>
      </c>
      <c r="Q151" s="150">
        <f t="shared" si="493"/>
        <v>0</v>
      </c>
      <c r="R151" s="150" t="e">
        <f t="shared" si="493"/>
        <v>#DIV/0!</v>
      </c>
      <c r="S151" s="150">
        <f t="shared" si="493"/>
        <v>0</v>
      </c>
      <c r="T151" s="118" t="e">
        <f t="shared" si="452"/>
        <v>#DIV/0!</v>
      </c>
      <c r="U151" s="20"/>
      <c r="V151" s="150">
        <f t="shared" ref="V151:AE151" si="494">V34/V25</f>
        <v>0</v>
      </c>
      <c r="W151" s="150">
        <f t="shared" si="494"/>
        <v>0</v>
      </c>
      <c r="X151" s="150">
        <f t="shared" si="494"/>
        <v>0</v>
      </c>
      <c r="Y151" s="150">
        <f t="shared" si="494"/>
        <v>0</v>
      </c>
      <c r="Z151" s="150">
        <f t="shared" si="494"/>
        <v>0</v>
      </c>
      <c r="AA151" s="150">
        <f t="shared" si="494"/>
        <v>0</v>
      </c>
      <c r="AB151" s="150">
        <f t="shared" si="494"/>
        <v>0</v>
      </c>
      <c r="AC151" s="150">
        <f t="shared" si="494"/>
        <v>0</v>
      </c>
      <c r="AD151" s="150">
        <f t="shared" si="494"/>
        <v>0</v>
      </c>
      <c r="AE151" s="150">
        <f t="shared" si="494"/>
        <v>0</v>
      </c>
      <c r="AF151" s="137" t="e">
        <f t="shared" si="357"/>
        <v>#DIV/0!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361</v>
      </c>
      <c r="C154" s="20"/>
      <c r="D154" s="20"/>
      <c r="E154" s="20"/>
      <c r="F154" s="20"/>
      <c r="G154" s="25">
        <f t="shared" ref="G154:H154" si="495">G15/G9</f>
        <v>1.8239130434782609</v>
      </c>
      <c r="H154" s="25">
        <f t="shared" si="495"/>
        <v>1.9848484848484849</v>
      </c>
      <c r="I154" s="25">
        <f t="shared" ref="I154:S154" si="496">I15/I9</f>
        <v>1.7283582089552239</v>
      </c>
      <c r="J154" s="25">
        <f t="shared" si="496"/>
        <v>1.770469798657718</v>
      </c>
      <c r="K154" s="25">
        <f t="shared" si="496"/>
        <v>1.6408518877057114</v>
      </c>
      <c r="L154" s="25">
        <f t="shared" si="496"/>
        <v>1.3329886246122027</v>
      </c>
      <c r="M154" s="25">
        <f t="shared" si="496"/>
        <v>1.6405990016638936</v>
      </c>
      <c r="N154" s="25">
        <f t="shared" si="496"/>
        <v>1.2454702329594478</v>
      </c>
      <c r="O154" s="25">
        <f t="shared" si="496"/>
        <v>1.2737094837935174</v>
      </c>
      <c r="P154" s="25">
        <f t="shared" si="496"/>
        <v>2.0218978102189782</v>
      </c>
      <c r="Q154" s="25">
        <f t="shared" si="496"/>
        <v>2.0503240564239422</v>
      </c>
      <c r="R154" s="25" t="e">
        <f t="shared" si="496"/>
        <v>#DIV/0!</v>
      </c>
      <c r="S154" s="25">
        <f t="shared" si="496"/>
        <v>2.0926053904630271</v>
      </c>
      <c r="T154" s="118">
        <f t="shared" si="452"/>
        <v>1.1517966037662752E-2</v>
      </c>
      <c r="U154" s="20"/>
      <c r="V154" s="20">
        <f t="shared" ref="V154:AE154" si="497">V15/V9</f>
        <v>2.0926053904630271</v>
      </c>
      <c r="W154" s="20">
        <f t="shared" si="497"/>
        <v>2.0926053904630271</v>
      </c>
      <c r="X154" s="20">
        <f t="shared" si="497"/>
        <v>2.0926053904630271</v>
      </c>
      <c r="Y154" s="20">
        <f t="shared" si="497"/>
        <v>2.0926053904630271</v>
      </c>
      <c r="Z154" s="20">
        <f t="shared" si="497"/>
        <v>2.0926053904630266</v>
      </c>
      <c r="AA154" s="20">
        <f t="shared" si="497"/>
        <v>2.0926053904630266</v>
      </c>
      <c r="AB154" s="20">
        <f t="shared" si="497"/>
        <v>2.0926053904630266</v>
      </c>
      <c r="AC154" s="20">
        <f t="shared" si="497"/>
        <v>2.0926053904630271</v>
      </c>
      <c r="AD154" s="20">
        <f t="shared" si="497"/>
        <v>2.0926053904630271</v>
      </c>
      <c r="AE154" s="20">
        <f t="shared" si="497"/>
        <v>2.0926053904630271</v>
      </c>
      <c r="AF154" s="137">
        <f t="shared" si="357"/>
        <v>9.1481596260734044E-3</v>
      </c>
      <c r="AG154" s="20"/>
      <c r="AH154" s="20"/>
    </row>
    <row r="155" spans="2:34">
      <c r="B155" s="20" t="s">
        <v>351</v>
      </c>
      <c r="C155" s="20"/>
      <c r="D155" s="20"/>
      <c r="E155" s="20"/>
      <c r="F155" s="20"/>
      <c r="G155" s="25">
        <f t="shared" ref="G155:H155" si="498">G12/G9</f>
        <v>8.6956521739130432E-2</v>
      </c>
      <c r="H155" s="25">
        <f t="shared" si="498"/>
        <v>7.792207792207792E-2</v>
      </c>
      <c r="I155" s="25">
        <f t="shared" ref="I155:S155" si="499">I12/I9</f>
        <v>7.9104477611940296E-2</v>
      </c>
      <c r="J155" s="25">
        <f t="shared" si="499"/>
        <v>9.7986577181208054E-2</v>
      </c>
      <c r="K155" s="25">
        <f t="shared" si="499"/>
        <v>9.8741529525653432E-2</v>
      </c>
      <c r="L155" s="25">
        <f t="shared" si="499"/>
        <v>6.2047569803516028E-2</v>
      </c>
      <c r="M155" s="25">
        <f t="shared" si="499"/>
        <v>4.4925124792013313E-2</v>
      </c>
      <c r="N155" s="25">
        <f t="shared" si="499"/>
        <v>2.5021570319240724E-2</v>
      </c>
      <c r="O155" s="25">
        <f t="shared" si="499"/>
        <v>2.6010404161664665E-2</v>
      </c>
      <c r="P155" s="25">
        <f t="shared" si="499"/>
        <v>0.14469729497638473</v>
      </c>
      <c r="Q155" s="25">
        <f t="shared" si="499"/>
        <v>0.27716355318337782</v>
      </c>
      <c r="R155" s="25" t="e">
        <f t="shared" si="499"/>
        <v>#DIV/0!</v>
      </c>
      <c r="S155" s="25">
        <f t="shared" si="499"/>
        <v>4.3538355217691775E-2</v>
      </c>
      <c r="T155" s="118">
        <f t="shared" si="452"/>
        <v>-5.6017039898254128E-2</v>
      </c>
      <c r="U155" s="128"/>
      <c r="V155" s="20">
        <f t="shared" ref="V155:AE155" si="500">V12/V9</f>
        <v>4.3538355217691768E-2</v>
      </c>
      <c r="W155" s="20">
        <f t="shared" si="500"/>
        <v>4.3538355217691775E-2</v>
      </c>
      <c r="X155" s="20">
        <f t="shared" si="500"/>
        <v>4.3538355217691775E-2</v>
      </c>
      <c r="Y155" s="20">
        <f t="shared" si="500"/>
        <v>4.3538355217691775E-2</v>
      </c>
      <c r="Z155" s="20">
        <f t="shared" si="500"/>
        <v>4.3538355217691775E-2</v>
      </c>
      <c r="AA155" s="20">
        <f t="shared" si="500"/>
        <v>4.3538355217691782E-2</v>
      </c>
      <c r="AB155" s="20">
        <f t="shared" si="500"/>
        <v>4.3538355217691775E-2</v>
      </c>
      <c r="AC155" s="20">
        <f t="shared" si="500"/>
        <v>4.3538355217691782E-2</v>
      </c>
      <c r="AD155" s="20">
        <f t="shared" si="500"/>
        <v>4.3538355217691782E-2</v>
      </c>
      <c r="AE155" s="20">
        <f t="shared" si="500"/>
        <v>4.3538355217691782E-2</v>
      </c>
      <c r="AF155" s="118">
        <f t="shared" ref="AF155" si="501">((AE155/V155)^(1/($J$2-$J$1) ))-1</f>
        <v>0</v>
      </c>
      <c r="AG155" s="20"/>
      <c r="AH155" s="20"/>
    </row>
    <row r="156" spans="2:34">
      <c r="B156" s="20" t="s">
        <v>353</v>
      </c>
      <c r="C156" s="20"/>
      <c r="D156" s="20"/>
      <c r="E156" s="20"/>
      <c r="F156" s="20"/>
      <c r="G156" s="25">
        <f t="shared" ref="G156:H156" si="502">G25/360</f>
        <v>6.4138888888888888</v>
      </c>
      <c r="H156" s="25">
        <f t="shared" si="502"/>
        <v>7.1527777777777777</v>
      </c>
      <c r="I156" s="25">
        <f t="shared" ref="I156:S156" si="503">I25/360</f>
        <v>10.502777777777778</v>
      </c>
      <c r="J156" s="25">
        <f t="shared" si="503"/>
        <v>12.505555555555556</v>
      </c>
      <c r="K156" s="25">
        <f t="shared" si="503"/>
        <v>14.311111111111112</v>
      </c>
      <c r="L156" s="25">
        <f t="shared" si="503"/>
        <v>15.225</v>
      </c>
      <c r="M156" s="25">
        <f t="shared" si="503"/>
        <v>21.252777777777776</v>
      </c>
      <c r="N156" s="25">
        <f t="shared" si="503"/>
        <v>29.102777777777778</v>
      </c>
      <c r="O156" s="25">
        <f t="shared" si="503"/>
        <v>33.408333333333331</v>
      </c>
      <c r="P156" s="25">
        <f t="shared" si="503"/>
        <v>34.091666666666669</v>
      </c>
      <c r="Q156" s="25">
        <f t="shared" si="503"/>
        <v>37.211111111111109</v>
      </c>
      <c r="R156" s="25">
        <f t="shared" si="503"/>
        <v>0</v>
      </c>
      <c r="S156" s="25">
        <f t="shared" si="503"/>
        <v>57.580555555555556</v>
      </c>
      <c r="T156" s="118">
        <f t="shared" si="452"/>
        <v>0.20068624355790488</v>
      </c>
      <c r="U156" s="128"/>
      <c r="V156" s="25">
        <f t="shared" ref="V156:AE156" si="504">V25/360</f>
        <v>40.30638888888889</v>
      </c>
      <c r="W156" s="25">
        <f t="shared" si="504"/>
        <v>43.530900000000003</v>
      </c>
      <c r="X156" s="25">
        <f t="shared" si="504"/>
        <v>47.013372000000004</v>
      </c>
      <c r="Y156" s="25">
        <f t="shared" si="504"/>
        <v>50.774441760000002</v>
      </c>
      <c r="Z156" s="25">
        <f t="shared" si="504"/>
        <v>54.836397100800006</v>
      </c>
      <c r="AA156" s="25">
        <f t="shared" si="504"/>
        <v>59.223308868864017</v>
      </c>
      <c r="AB156" s="25">
        <f t="shared" si="504"/>
        <v>63.961173578373142</v>
      </c>
      <c r="AC156" s="25">
        <f t="shared" si="504"/>
        <v>69.078067464642999</v>
      </c>
      <c r="AD156" s="25">
        <f t="shared" si="504"/>
        <v>74.604312861814435</v>
      </c>
      <c r="AE156" s="25">
        <f t="shared" si="504"/>
        <v>80.572657890759601</v>
      </c>
      <c r="AF156" s="118">
        <f t="shared" ref="AF156:AF167" si="505">((AE156/V156)^(1/($J$2-$J$1) ))-1</f>
        <v>5.9419144297776283E-2</v>
      </c>
      <c r="AG156" s="20"/>
      <c r="AH156" s="20"/>
    </row>
    <row r="157" spans="2:34">
      <c r="B157" s="20" t="s">
        <v>352</v>
      </c>
      <c r="C157" s="20"/>
      <c r="D157" s="20"/>
      <c r="E157" s="20"/>
      <c r="F157" s="20"/>
      <c r="G157" s="25">
        <f t="shared" ref="G157:H157" si="506">G27/360</f>
        <v>5.5805555555555557</v>
      </c>
      <c r="H157" s="25">
        <f t="shared" si="506"/>
        <v>6.677777777777778</v>
      </c>
      <c r="I157" s="25">
        <f t="shared" ref="I157:S157" si="507">I27/360</f>
        <v>9.6750000000000007</v>
      </c>
      <c r="J157" s="25">
        <f t="shared" si="507"/>
        <v>11.219444444444445</v>
      </c>
      <c r="K157" s="25">
        <f t="shared" si="507"/>
        <v>13.1</v>
      </c>
      <c r="L157" s="25">
        <f t="shared" si="507"/>
        <v>13.236111111111111</v>
      </c>
      <c r="M157" s="25">
        <f t="shared" si="507"/>
        <v>18.861111111111111</v>
      </c>
      <c r="N157" s="25">
        <f t="shared" si="507"/>
        <v>25.675000000000001</v>
      </c>
      <c r="O157" s="25">
        <f t="shared" si="507"/>
        <v>29.786111111111111</v>
      </c>
      <c r="P157" s="25">
        <f t="shared" si="507"/>
        <v>30.986111111111111</v>
      </c>
      <c r="Q157" s="25">
        <f t="shared" si="507"/>
        <v>30.658333333333335</v>
      </c>
      <c r="R157" s="25">
        <f t="shared" si="507"/>
        <v>0</v>
      </c>
      <c r="S157" s="25">
        <f t="shared" si="507"/>
        <v>47.961111111111109</v>
      </c>
      <c r="T157" s="118">
        <f t="shared" si="452"/>
        <v>0.19632997184199508</v>
      </c>
      <c r="U157" s="128"/>
      <c r="V157" s="25">
        <f t="shared" ref="V157:AE157" si="508">V27/360</f>
        <v>33.572777777777773</v>
      </c>
      <c r="W157" s="25">
        <f t="shared" si="508"/>
        <v>36.258600000000001</v>
      </c>
      <c r="X157" s="25">
        <f t="shared" si="508"/>
        <v>39.159287999999997</v>
      </c>
      <c r="Y157" s="25">
        <f t="shared" si="508"/>
        <v>42.292031040000005</v>
      </c>
      <c r="Z157" s="25">
        <f t="shared" si="508"/>
        <v>45.675393523200007</v>
      </c>
      <c r="AA157" s="25">
        <f t="shared" si="508"/>
        <v>49.329425005056017</v>
      </c>
      <c r="AB157" s="25">
        <f t="shared" si="508"/>
        <v>53.2757790054605</v>
      </c>
      <c r="AC157" s="25">
        <f t="shared" si="508"/>
        <v>57.53784132589734</v>
      </c>
      <c r="AD157" s="25">
        <f t="shared" si="508"/>
        <v>62.140868631969127</v>
      </c>
      <c r="AE157" s="25">
        <f t="shared" si="508"/>
        <v>67.112138122526659</v>
      </c>
      <c r="AF157" s="118">
        <f t="shared" si="505"/>
        <v>5.9419144297776283E-2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362</v>
      </c>
      <c r="C159" s="20"/>
      <c r="D159" s="20"/>
      <c r="E159" s="20"/>
      <c r="F159" s="20"/>
      <c r="G159" s="25">
        <f t="shared" ref="G159:H159" si="509">G10/G7</f>
        <v>0.41477272727272729</v>
      </c>
      <c r="H159" s="25">
        <f t="shared" si="509"/>
        <v>0.55325034578146615</v>
      </c>
      <c r="I159" s="25">
        <f t="shared" ref="I159:S159" si="510">I10/I7</f>
        <v>0.65533980582524276</v>
      </c>
      <c r="J159" s="25">
        <f t="shared" si="510"/>
        <v>0.61749745676500511</v>
      </c>
      <c r="K159" s="25">
        <f t="shared" si="510"/>
        <v>0.86123545210384955</v>
      </c>
      <c r="L159" s="25">
        <f t="shared" si="510"/>
        <v>0.21549815498154981</v>
      </c>
      <c r="M159" s="25">
        <f t="shared" si="510"/>
        <v>0.56398104265402849</v>
      </c>
      <c r="N159" s="25">
        <f t="shared" si="510"/>
        <v>0.66085440278988661</v>
      </c>
      <c r="O159" s="25">
        <f t="shared" si="510"/>
        <v>0.57008039147151346</v>
      </c>
      <c r="P159" s="25">
        <f t="shared" si="510"/>
        <v>0.62735978112175106</v>
      </c>
      <c r="Q159" s="25">
        <f t="shared" si="510"/>
        <v>5.8782103479389954E-2</v>
      </c>
      <c r="R159" s="25" t="e">
        <f t="shared" si="510"/>
        <v>#DIV/0!</v>
      </c>
      <c r="S159" s="25">
        <f t="shared" si="510"/>
        <v>0.45805981035740334</v>
      </c>
      <c r="T159" s="118">
        <f t="shared" si="452"/>
        <v>8.3067310796272054E-3</v>
      </c>
      <c r="U159" s="128"/>
      <c r="V159" s="25">
        <f t="shared" ref="V159:AE159" si="511">V10/V7</f>
        <v>0.45805981035740334</v>
      </c>
      <c r="W159" s="25">
        <f t="shared" si="511"/>
        <v>0.4580598103574034</v>
      </c>
      <c r="X159" s="25">
        <f t="shared" si="511"/>
        <v>0.4580598103574034</v>
      </c>
      <c r="Y159" s="25">
        <f t="shared" si="511"/>
        <v>0.45805981035740334</v>
      </c>
      <c r="Z159" s="25">
        <f t="shared" si="511"/>
        <v>0.45805981035740329</v>
      </c>
      <c r="AA159" s="25">
        <f t="shared" si="511"/>
        <v>0.45805981035740334</v>
      </c>
      <c r="AB159" s="25">
        <f t="shared" si="511"/>
        <v>0.45805981035740334</v>
      </c>
      <c r="AC159" s="25">
        <f t="shared" si="511"/>
        <v>0.4580598103574034</v>
      </c>
      <c r="AD159" s="25">
        <f t="shared" si="511"/>
        <v>0.45805981035740334</v>
      </c>
      <c r="AE159" s="25">
        <f t="shared" si="511"/>
        <v>0.45805981035740329</v>
      </c>
      <c r="AF159" s="118">
        <f t="shared" si="505"/>
        <v>0</v>
      </c>
      <c r="AG159" s="20"/>
      <c r="AH159" s="20"/>
    </row>
    <row r="160" spans="2:34">
      <c r="B160" s="20" t="s">
        <v>354</v>
      </c>
      <c r="C160" s="20"/>
      <c r="D160" s="20"/>
      <c r="E160" s="20"/>
      <c r="F160" s="20"/>
      <c r="G160" s="25">
        <f t="shared" ref="G160:H160" si="512">G10/(G10+G7)</f>
        <v>0.29317269076305219</v>
      </c>
      <c r="H160" s="25">
        <f t="shared" si="512"/>
        <v>0.3561887800534283</v>
      </c>
      <c r="I160" s="25">
        <f t="shared" ref="I160:S160" si="513">I10/(I10+I7)</f>
        <v>0.39589442815249265</v>
      </c>
      <c r="J160" s="25">
        <f t="shared" si="513"/>
        <v>0.3817610062893082</v>
      </c>
      <c r="K160" s="25">
        <f t="shared" si="513"/>
        <v>0.4627224627224627</v>
      </c>
      <c r="L160" s="25">
        <f t="shared" si="513"/>
        <v>0.17729204614450517</v>
      </c>
      <c r="M160" s="25">
        <f t="shared" si="513"/>
        <v>0.3606060606060606</v>
      </c>
      <c r="N160" s="25">
        <f t="shared" si="513"/>
        <v>0.39790026246719162</v>
      </c>
      <c r="O160" s="25">
        <f t="shared" si="513"/>
        <v>0.36308993766696351</v>
      </c>
      <c r="P160" s="25">
        <f t="shared" si="513"/>
        <v>0.38550773369199731</v>
      </c>
      <c r="Q160" s="25">
        <f t="shared" si="513"/>
        <v>5.5518603200997711E-2</v>
      </c>
      <c r="R160" s="25" t="e">
        <f t="shared" si="513"/>
        <v>#DIV/0!</v>
      </c>
      <c r="S160" s="25">
        <f t="shared" si="513"/>
        <v>0.31415707853926961</v>
      </c>
      <c r="T160" s="118">
        <f t="shared" si="452"/>
        <v>5.7775667373980433E-3</v>
      </c>
      <c r="U160" s="128"/>
      <c r="V160" s="25">
        <f t="shared" ref="V160:AE160" si="514">V10/(V10+V7)</f>
        <v>0.31415707853926961</v>
      </c>
      <c r="W160" s="25">
        <f t="shared" si="514"/>
        <v>0.31415707853926966</v>
      </c>
      <c r="X160" s="25">
        <f t="shared" si="514"/>
        <v>0.31415707853926966</v>
      </c>
      <c r="Y160" s="25">
        <f t="shared" si="514"/>
        <v>0.31415707853926961</v>
      </c>
      <c r="Z160" s="25">
        <f t="shared" si="514"/>
        <v>0.31415707853926961</v>
      </c>
      <c r="AA160" s="25">
        <f t="shared" si="514"/>
        <v>0.31415707853926966</v>
      </c>
      <c r="AB160" s="25">
        <f t="shared" si="514"/>
        <v>0.31415707853926961</v>
      </c>
      <c r="AC160" s="25">
        <f t="shared" si="514"/>
        <v>0.31415707853926966</v>
      </c>
      <c r="AD160" s="25">
        <f t="shared" si="514"/>
        <v>0.31415707853926961</v>
      </c>
      <c r="AE160" s="25">
        <f t="shared" si="514"/>
        <v>0.31415707853926961</v>
      </c>
      <c r="AF160" s="118">
        <f t="shared" si="505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359</v>
      </c>
      <c r="C162" s="20"/>
      <c r="D162" s="20"/>
      <c r="E162" s="20"/>
      <c r="F162" s="20"/>
      <c r="G162" s="25">
        <f t="shared" ref="G162:H162" si="515">G16</f>
        <v>469</v>
      </c>
      <c r="H162" s="25">
        <f t="shared" si="515"/>
        <v>503</v>
      </c>
      <c r="I162" s="25">
        <f t="shared" ref="I162:S162" si="516">I16</f>
        <v>578</v>
      </c>
      <c r="J162" s="25">
        <f t="shared" si="516"/>
        <v>620</v>
      </c>
      <c r="K162" s="25">
        <f t="shared" si="516"/>
        <v>701</v>
      </c>
      <c r="L162" s="25">
        <f t="shared" si="516"/>
        <v>282</v>
      </c>
      <c r="M162" s="25">
        <f t="shared" si="516"/>
        <v>740</v>
      </c>
      <c r="N162" s="25">
        <f t="shared" si="516"/>
        <v>629</v>
      </c>
      <c r="O162" s="25">
        <f t="shared" si="516"/>
        <v>730</v>
      </c>
      <c r="P162" s="25">
        <f t="shared" si="516"/>
        <v>2380</v>
      </c>
      <c r="Q162" s="25">
        <f t="shared" si="516"/>
        <v>2755</v>
      </c>
      <c r="R162" s="25">
        <f t="shared" si="516"/>
        <v>0</v>
      </c>
      <c r="S162" s="25">
        <f t="shared" si="516"/>
        <v>3162</v>
      </c>
      <c r="T162" s="118">
        <f t="shared" si="452"/>
        <v>0.17237284861173885</v>
      </c>
      <c r="U162" s="128"/>
      <c r="V162" s="25">
        <f t="shared" ref="V162:AE162" si="517">V16</f>
        <v>2213.3999999999996</v>
      </c>
      <c r="W162" s="25">
        <f t="shared" si="517"/>
        <v>2390.4719999999998</v>
      </c>
      <c r="X162" s="25">
        <f t="shared" si="517"/>
        <v>2581.7097599999997</v>
      </c>
      <c r="Y162" s="25">
        <f t="shared" si="517"/>
        <v>2788.2465407999998</v>
      </c>
      <c r="Z162" s="25">
        <f t="shared" si="517"/>
        <v>3011.3062640640001</v>
      </c>
      <c r="AA162" s="25">
        <f t="shared" si="517"/>
        <v>3252.2107651891201</v>
      </c>
      <c r="AB162" s="25">
        <f t="shared" si="517"/>
        <v>3512.3876264042501</v>
      </c>
      <c r="AC162" s="25">
        <f t="shared" si="517"/>
        <v>3793.3786365165902</v>
      </c>
      <c r="AD162" s="25">
        <f t="shared" si="517"/>
        <v>4096.8489274379181</v>
      </c>
      <c r="AE162" s="25">
        <f t="shared" si="517"/>
        <v>4424.5968416329515</v>
      </c>
      <c r="AF162" s="118">
        <f t="shared" si="505"/>
        <v>5.9419144297776283E-2</v>
      </c>
      <c r="AG162" s="20"/>
      <c r="AH162" s="20"/>
    </row>
    <row r="163" spans="2:34">
      <c r="B163" s="20" t="s">
        <v>360</v>
      </c>
      <c r="C163" s="20"/>
      <c r="D163" s="20"/>
      <c r="E163" s="20"/>
      <c r="F163" s="20"/>
      <c r="G163" s="119">
        <f t="shared" ref="G163:H163" si="518">G162*365/G25</f>
        <v>74.138155045474235</v>
      </c>
      <c r="H163" s="119">
        <f t="shared" si="518"/>
        <v>71.299029126213597</v>
      </c>
      <c r="I163" s="119">
        <f t="shared" ref="I163:S163" si="519">I162*365/I25</f>
        <v>55.797408093097062</v>
      </c>
      <c r="J163" s="119">
        <f t="shared" si="519"/>
        <v>50.266548200799647</v>
      </c>
      <c r="K163" s="119">
        <f t="shared" si="519"/>
        <v>49.663237577639748</v>
      </c>
      <c r="L163" s="119">
        <f t="shared" si="519"/>
        <v>18.779419813902571</v>
      </c>
      <c r="M163" s="119">
        <f t="shared" si="519"/>
        <v>35.30257482682002</v>
      </c>
      <c r="N163" s="119">
        <f t="shared" si="519"/>
        <v>21.913238522477808</v>
      </c>
      <c r="O163" s="119">
        <f t="shared" si="519"/>
        <v>22.154319447908872</v>
      </c>
      <c r="P163" s="119">
        <f t="shared" si="519"/>
        <v>70.781390043184231</v>
      </c>
      <c r="Q163" s="119">
        <f t="shared" si="519"/>
        <v>75.065318005374735</v>
      </c>
      <c r="R163" s="119" t="e">
        <f t="shared" si="519"/>
        <v>#DIV/0!</v>
      </c>
      <c r="S163" s="119">
        <f t="shared" si="519"/>
        <v>55.677070770418254</v>
      </c>
      <c r="T163" s="118">
        <f t="shared" si="452"/>
        <v>-2.3581010524670432E-2</v>
      </c>
      <c r="U163" s="128"/>
      <c r="V163" s="119">
        <f t="shared" ref="V163:AE163" si="520">V162*365/V25</f>
        <v>55.677070770418247</v>
      </c>
      <c r="W163" s="119">
        <f t="shared" si="520"/>
        <v>55.677070770418247</v>
      </c>
      <c r="X163" s="119">
        <f t="shared" si="520"/>
        <v>55.677070770418247</v>
      </c>
      <c r="Y163" s="119">
        <f t="shared" si="520"/>
        <v>55.677070770418247</v>
      </c>
      <c r="Z163" s="119">
        <f t="shared" si="520"/>
        <v>55.67707077041824</v>
      </c>
      <c r="AA163" s="119">
        <f t="shared" si="520"/>
        <v>55.67707077041824</v>
      </c>
      <c r="AB163" s="119">
        <f t="shared" si="520"/>
        <v>55.677070770418247</v>
      </c>
      <c r="AC163" s="119">
        <f t="shared" si="520"/>
        <v>55.677070770418247</v>
      </c>
      <c r="AD163" s="119">
        <f t="shared" si="520"/>
        <v>55.677070770418247</v>
      </c>
      <c r="AE163" s="119">
        <f t="shared" si="520"/>
        <v>55.677070770418247</v>
      </c>
      <c r="AF163" s="118">
        <f t="shared" si="505"/>
        <v>0</v>
      </c>
      <c r="AG163" s="20"/>
      <c r="AH163" s="20"/>
    </row>
    <row r="164" spans="2:34">
      <c r="B164" s="20" t="s">
        <v>363</v>
      </c>
      <c r="C164" s="20"/>
      <c r="D164" s="20"/>
      <c r="E164" s="20"/>
      <c r="F164" s="20"/>
      <c r="G164" s="133">
        <f t="shared" ref="G164:H164" si="521">G98/G29</f>
        <v>13.095238095238097</v>
      </c>
      <c r="H164" s="133">
        <f t="shared" si="521"/>
        <v>14.880952380952381</v>
      </c>
      <c r="I164" s="133">
        <f t="shared" ref="I164:S164" si="522">I98/I29</f>
        <v>11.476190476190476</v>
      </c>
      <c r="J164" s="133">
        <f t="shared" si="522"/>
        <v>20.80952380952381</v>
      </c>
      <c r="K164" s="133">
        <f t="shared" si="522"/>
        <v>15.800865800865802</v>
      </c>
      <c r="L164" s="133">
        <f t="shared" si="522"/>
        <v>24.292615596963422</v>
      </c>
      <c r="M164" s="133">
        <f t="shared" si="522"/>
        <v>31.557067271352985</v>
      </c>
      <c r="N164" s="133">
        <f t="shared" si="522"/>
        <v>20.839733742959549</v>
      </c>
      <c r="O164" s="133">
        <f t="shared" si="522"/>
        <v>19.047619047619051</v>
      </c>
      <c r="P164" s="133">
        <f t="shared" si="522"/>
        <v>15.002429543245869</v>
      </c>
      <c r="Q164" s="133">
        <f t="shared" si="522"/>
        <v>13.885467980295568</v>
      </c>
      <c r="R164" s="133" t="e">
        <f t="shared" si="522"/>
        <v>#DIV/0!</v>
      </c>
      <c r="S164" s="133">
        <f t="shared" si="522"/>
        <v>24.031653477717619</v>
      </c>
      <c r="T164" s="118">
        <f t="shared" si="452"/>
        <v>5.1895315827384492E-2</v>
      </c>
      <c r="U164" s="128"/>
      <c r="V164" s="133">
        <f t="shared" ref="V164:AE164" si="523">V98/V29</f>
        <v>34.330933539596593</v>
      </c>
      <c r="W164" s="133">
        <f t="shared" si="523"/>
        <v>33.657777979996666</v>
      </c>
      <c r="X164" s="133">
        <f t="shared" si="523"/>
        <v>32.997821549016344</v>
      </c>
      <c r="Y164" s="133">
        <f t="shared" si="523"/>
        <v>32.350805440212099</v>
      </c>
      <c r="Z164" s="133">
        <f t="shared" si="523"/>
        <v>31.716475921776567</v>
      </c>
      <c r="AA164" s="133">
        <f t="shared" si="523"/>
        <v>31.09458423703585</v>
      </c>
      <c r="AB164" s="133">
        <f t="shared" si="523"/>
        <v>30.48488650689789</v>
      </c>
      <c r="AC164" s="133">
        <f t="shared" si="523"/>
        <v>29.887143634213619</v>
      </c>
      <c r="AD164" s="133">
        <f t="shared" si="523"/>
        <v>29.301121210013349</v>
      </c>
      <c r="AE164" s="133">
        <f t="shared" si="523"/>
        <v>28.726589421581718</v>
      </c>
      <c r="AF164" s="118">
        <f t="shared" si="505"/>
        <v>-1.4742223947839417E-2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370</v>
      </c>
      <c r="C166" s="20"/>
      <c r="D166" s="20"/>
      <c r="E166" s="20"/>
      <c r="F166" s="20"/>
      <c r="G166" s="178">
        <f t="shared" ref="G166:H166" si="524">G25/G14</f>
        <v>5.7295285359801484</v>
      </c>
      <c r="H166" s="178">
        <f t="shared" si="524"/>
        <v>5.3423236514522818</v>
      </c>
      <c r="I166" s="178">
        <f t="shared" ref="I166:S166" si="525">I25/I14</f>
        <v>6.6920353982300886</v>
      </c>
      <c r="J166" s="178">
        <f t="shared" si="525"/>
        <v>6.4870317002881848</v>
      </c>
      <c r="K166" s="178">
        <f t="shared" si="525"/>
        <v>5.2304568527918782</v>
      </c>
      <c r="L166" s="178">
        <f t="shared" si="525"/>
        <v>8.4064417177914113</v>
      </c>
      <c r="M166" s="178">
        <f t="shared" si="525"/>
        <v>6.8803956834532372</v>
      </c>
      <c r="N166" s="178">
        <f t="shared" si="525"/>
        <v>6.8566753926701569</v>
      </c>
      <c r="O166" s="178">
        <f t="shared" si="525"/>
        <v>7.2277644230769234</v>
      </c>
      <c r="P166" s="178">
        <f t="shared" si="525"/>
        <v>6.7582599118942728</v>
      </c>
      <c r="Q166" s="178">
        <f t="shared" si="525"/>
        <v>7.3362541073384451</v>
      </c>
      <c r="R166" s="178" t="e">
        <f t="shared" si="525"/>
        <v>#DIV/0!</v>
      </c>
      <c r="S166" s="178">
        <f t="shared" si="525"/>
        <v>10.915745129015271</v>
      </c>
      <c r="T166" s="118">
        <f t="shared" si="452"/>
        <v>5.5183216977666705E-2</v>
      </c>
      <c r="U166" s="128"/>
      <c r="V166" s="20">
        <f t="shared" ref="V166:AE166" si="526">V25/V14</f>
        <v>10.915745129015271</v>
      </c>
      <c r="W166" s="20">
        <f t="shared" si="526"/>
        <v>10.915745129015271</v>
      </c>
      <c r="X166" s="20">
        <f t="shared" si="526"/>
        <v>10.915745129015271</v>
      </c>
      <c r="Y166" s="20">
        <f t="shared" si="526"/>
        <v>10.915745129015269</v>
      </c>
      <c r="Z166" s="20">
        <f t="shared" si="526"/>
        <v>10.915745129015271</v>
      </c>
      <c r="AA166" s="20">
        <f t="shared" si="526"/>
        <v>10.915745129015271</v>
      </c>
      <c r="AB166" s="20">
        <f t="shared" si="526"/>
        <v>10.915745129015271</v>
      </c>
      <c r="AC166" s="20">
        <f t="shared" si="526"/>
        <v>10.915745129015271</v>
      </c>
      <c r="AD166" s="20">
        <f t="shared" si="526"/>
        <v>10.915745129015271</v>
      </c>
      <c r="AE166" s="20">
        <f t="shared" si="526"/>
        <v>10.915745129015271</v>
      </c>
      <c r="AF166" s="118">
        <f t="shared" si="505"/>
        <v>0</v>
      </c>
      <c r="AG166" s="20"/>
      <c r="AH166" s="20"/>
    </row>
    <row r="167" spans="2:34">
      <c r="B167" s="20" t="s">
        <v>371</v>
      </c>
      <c r="C167" s="20"/>
      <c r="D167" s="20"/>
      <c r="E167" s="20"/>
      <c r="F167" s="20"/>
      <c r="G167" s="178">
        <f t="shared" ref="G167:H167" si="527">G27/G14</f>
        <v>4.9851116625310175</v>
      </c>
      <c r="H167" s="178">
        <f t="shared" si="527"/>
        <v>4.9875518672199171</v>
      </c>
      <c r="I167" s="178">
        <f t="shared" ref="I167:S167" si="528">I27/I14</f>
        <v>6.1646017699115045</v>
      </c>
      <c r="J167" s="178">
        <f t="shared" si="528"/>
        <v>5.8198847262247835</v>
      </c>
      <c r="K167" s="178">
        <f t="shared" si="528"/>
        <v>4.7878172588832486</v>
      </c>
      <c r="L167" s="178">
        <f t="shared" si="528"/>
        <v>7.3082822085889569</v>
      </c>
      <c r="M167" s="178">
        <f t="shared" si="528"/>
        <v>6.1061151079136691</v>
      </c>
      <c r="N167" s="178">
        <f t="shared" si="528"/>
        <v>6.0490837696335076</v>
      </c>
      <c r="O167" s="178">
        <f t="shared" si="528"/>
        <v>6.4441105769230766</v>
      </c>
      <c r="P167" s="178">
        <f t="shared" si="528"/>
        <v>6.1426211453744495</v>
      </c>
      <c r="Q167" s="178">
        <f t="shared" si="528"/>
        <v>6.0443592552026288</v>
      </c>
      <c r="R167" s="178" t="e">
        <f t="shared" si="528"/>
        <v>#DIV/0!</v>
      </c>
      <c r="S167" s="178">
        <f t="shared" si="528"/>
        <v>9.0921537651395479</v>
      </c>
      <c r="T167" s="118">
        <f t="shared" si="452"/>
        <v>5.1354852300478981E-2</v>
      </c>
      <c r="U167" s="128"/>
      <c r="V167" s="20">
        <f t="shared" ref="V167:AE167" si="529">V27/V14</f>
        <v>9.0921537651395461</v>
      </c>
      <c r="W167" s="20">
        <f t="shared" si="529"/>
        <v>9.0921537651395461</v>
      </c>
      <c r="X167" s="20">
        <f t="shared" si="529"/>
        <v>9.0921537651395461</v>
      </c>
      <c r="Y167" s="20">
        <f t="shared" si="529"/>
        <v>9.0921537651395461</v>
      </c>
      <c r="Z167" s="20">
        <f t="shared" si="529"/>
        <v>9.0921537651395479</v>
      </c>
      <c r="AA167" s="20">
        <f t="shared" si="529"/>
        <v>9.0921537651395479</v>
      </c>
      <c r="AB167" s="20">
        <f t="shared" si="529"/>
        <v>9.0921537651395479</v>
      </c>
      <c r="AC167" s="20">
        <f t="shared" si="529"/>
        <v>9.0921537651395461</v>
      </c>
      <c r="AD167" s="20">
        <f t="shared" si="529"/>
        <v>9.0921537651395461</v>
      </c>
      <c r="AE167" s="20">
        <f t="shared" si="529"/>
        <v>9.0921537651395461</v>
      </c>
      <c r="AF167" s="118">
        <f t="shared" si="505"/>
        <v>0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469</v>
      </c>
      <c r="T169" s="23"/>
      <c r="U169" s="23" t="s">
        <v>470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2220</v>
      </c>
      <c r="T170" s="158" t="e">
        <f>AVERAGE(I72:S72)</f>
        <v>#DIV/0!</v>
      </c>
      <c r="U170" s="158">
        <f>AVERAGE(I102:S102)</f>
        <v>1359.5238095238094</v>
      </c>
      <c r="V170" s="192" t="s">
        <v>425</v>
      </c>
      <c r="W170" s="193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9599.9520175865837</v>
      </c>
      <c r="V171" s="133">
        <f>PV($C$1, ($AE$3-$V$3), 0, -AE72)</f>
        <v>1573.762625833866</v>
      </c>
      <c r="W171" s="133">
        <f>PV($C$1, ($AE$3-$V$3), 0, -AH72)</f>
        <v>8026.1893917527168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530">V172+W172</f>
        <v>27813.893102517341</v>
      </c>
      <c r="V172" s="133">
        <f>PV($C$1, ($AE$3-$V$3), 0, -AE74)</f>
        <v>4559.6546069700562</v>
      </c>
      <c r="W172" s="133">
        <f>PV($C$1, ($AE$3-$V$3), 0, -AH74)</f>
        <v>23254.238495547284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530"/>
        <v>27797.663259714995</v>
      </c>
      <c r="V173" s="133">
        <f>PV($C$1, ($AE$3-$V$3), 0, -AE75)</f>
        <v>4556.9939770024585</v>
      </c>
      <c r="W173" s="133">
        <f>PV($C$1, ($AE$3-$V$3), 0, -AH75)</f>
        <v>23240.669282712537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530"/>
        <v>12740.426599840182</v>
      </c>
      <c r="V174" s="133">
        <f>PV($C$1, ($AE$3-$V$3), 0, -AE76)</f>
        <v>2088.5945245639646</v>
      </c>
      <c r="W174" s="133">
        <f>PV($C$1, ($AE$3-$V$3), 0, -AH76)</f>
        <v>10651.832075276217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530"/>
        <v>511.24004827384169</v>
      </c>
      <c r="V175" s="133">
        <f>PV($C$1, ($AE$3-$V$3), 0, -AE82)</f>
        <v>83.809843979318316</v>
      </c>
      <c r="W175" s="133">
        <f>PV($C$1, ($AE$3-$V$3), 0, -AH82)</f>
        <v>427.43020429452338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530"/>
        <v>15073.466502677162</v>
      </c>
      <c r="V177" s="133">
        <f>PV($C$1, ($AE$3-$V$3), 0, -AE78)</f>
        <v>2471.0600824060921</v>
      </c>
      <c r="W177" s="133">
        <f>PV($C$1, ($AE$3-$V$3), 0, -$AH$78)</f>
        <v>12602.406420271069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530"/>
        <v>3331.175235181146</v>
      </c>
      <c r="V178" s="133">
        <f>PV($C$1, ($AE$3-$V$3), 0, -AE79)</f>
        <v>546.09430084936832</v>
      </c>
      <c r="W178" s="133">
        <f>PV($C$1, ($AE$3-$V$3), 0, -$AH$79)</f>
        <v>2785.0809343317778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530"/>
        <v>27903.157237930238</v>
      </c>
      <c r="V179" s="133">
        <f>PV($C$1, ($AE$3-$V$3), 0, -AE80)</f>
        <v>4574.2880717918433</v>
      </c>
      <c r="W179" s="133">
        <f>PV($C$1, ($AE$3-$V$3), 0, -$AH$80)</f>
        <v>23328.869166138396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530"/>
        <v>24571.98200274909</v>
      </c>
      <c r="V181" s="133">
        <f>PV($C$1, ($AE$3-$V$3), 0, -AE85)</f>
        <v>4028.1937709424737</v>
      </c>
      <c r="W181" s="133">
        <f>PV($C$1, ($AE$3-$V$3), 0, -AH85)</f>
        <v>20543.788231806615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530"/>
        <v>11663.355213866431</v>
      </c>
      <c r="V182" s="133">
        <f>PV($C$1, ($AE$3-$V$3), 0, -AE86)</f>
        <v>2103.2279893857494</v>
      </c>
      <c r="W182" s="133">
        <f>PV($C$1, ($AE$3-$V$3), 0, -AH86)</f>
        <v>9560.1272244806805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31">V184+W184</f>
        <v>179.62787964740886</v>
      </c>
      <c r="V184" s="133">
        <f>PV($C$1, ($AE$3-$V$3), 0, -AE12)</f>
        <v>29.447193384821119</v>
      </c>
      <c r="W184" s="133">
        <f>PV($C$1, ($AE$3-$V$3), 0, -AH12)</f>
        <v>150.18068626258773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 t="e">
        <f>V185+W185</f>
        <v>#DIV/0!</v>
      </c>
      <c r="V185" s="139" t="e">
        <f>V184/R57</f>
        <v>#DIV/0!</v>
      </c>
      <c r="W185" s="139" t="e">
        <f>W184/R57</f>
        <v>#DIV/0!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2">V188+W188</f>
        <v>612.25514749443244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519.75691551516684</v>
      </c>
      <c r="W188" s="133">
        <f>PV($C$1, ($AE$3-$V$3), 0, -AH88)</f>
        <v>92.49823197926564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30"/>
        <v>-938.83552406418494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-796.99820926063057</v>
      </c>
      <c r="W190" s="133">
        <f>PV($C$1, ($AE$3-$V$3), 0, -AH90)</f>
        <v>-141.83731480355431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457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533">V192+W192</f>
        <v>-2672.0257433640263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-2268.3416615303117</v>
      </c>
      <c r="W192" s="133">
        <f>PV($C$1, ($AE$3-$V$3), 0, -AH92)</f>
        <v>-403.68408183371434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533"/>
        <v>37385.906409253163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31737.72156678982</v>
      </c>
      <c r="W193" s="133">
        <f>PV($C$1, ($AE$3-$V$3), 0, -AH93)</f>
        <v>5648.1848424633454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533"/>
        <v>-40057.932152617192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-34006.063228320134</v>
      </c>
      <c r="W194" s="133">
        <f>PV($C$1, ($AE$3-$V$3), 0, -AH94)</f>
        <v>-6051.8689242970595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533"/>
        <v>1526.8718533508797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1296.1952351601847</v>
      </c>
      <c r="W195" s="133">
        <f>PV($C$1, ($AE$3-$V$3), 0, -AH95)</f>
        <v>230.67661819069511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455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-1145.1538900131493</v>
      </c>
      <c r="V196" s="110">
        <f t="shared" ref="V196:W196" si="534">V193+V194+V195</f>
        <v>-972.14642637012935</v>
      </c>
      <c r="W196" s="110">
        <f t="shared" si="534"/>
        <v>-173.00746364301901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5725.7694500657999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4860.7321318506929</v>
      </c>
      <c r="W198" s="133">
        <f>PV($C$1, ($AE$3-$V$3), 0, -AH96)</f>
        <v>865.03731821510678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>
        <v>34800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468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386</v>
      </c>
      <c r="R200" s="20">
        <v>50000</v>
      </c>
      <c r="S200" s="20"/>
      <c r="T200" s="20">
        <v>15000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1500</v>
      </c>
      <c r="H201" s="22">
        <v>2841</v>
      </c>
      <c r="I201" s="22">
        <v>3726</v>
      </c>
      <c r="J201" s="22">
        <v>3640</v>
      </c>
      <c r="K201" s="22">
        <v>2310</v>
      </c>
      <c r="L201" s="22">
        <v>4900</v>
      </c>
      <c r="M201" s="22">
        <v>8670</v>
      </c>
      <c r="N201" s="22">
        <v>6410</v>
      </c>
      <c r="O201" s="22">
        <v>10060</v>
      </c>
      <c r="P201" s="22">
        <v>12670</v>
      </c>
      <c r="Q201" s="22">
        <v>20100</v>
      </c>
      <c r="R201" s="22">
        <v>37300</v>
      </c>
      <c r="S201" s="22">
        <v>50000</v>
      </c>
      <c r="T201" s="118">
        <f t="shared" ref="T201:T227" si="535">((S201/G201)^(1/($J$2-$J$1) ))-1</f>
        <v>0.33938848873178529</v>
      </c>
      <c r="U201" s="31">
        <v>0</v>
      </c>
      <c r="V201" s="195">
        <v>15000</v>
      </c>
      <c r="W201" s="119">
        <f t="shared" ref="W201:AE201" si="536">V201*(1+$U201)</f>
        <v>15000</v>
      </c>
      <c r="X201" s="119">
        <f t="shared" si="536"/>
        <v>15000</v>
      </c>
      <c r="Y201" s="119">
        <f t="shared" si="536"/>
        <v>15000</v>
      </c>
      <c r="Z201" s="119">
        <f t="shared" si="536"/>
        <v>15000</v>
      </c>
      <c r="AA201" s="119">
        <f t="shared" si="536"/>
        <v>15000</v>
      </c>
      <c r="AB201" s="119">
        <f t="shared" si="536"/>
        <v>15000</v>
      </c>
      <c r="AC201" s="119">
        <f t="shared" si="536"/>
        <v>15000</v>
      </c>
      <c r="AD201" s="119">
        <f t="shared" si="536"/>
        <v>15000</v>
      </c>
      <c r="AE201" s="119">
        <f t="shared" si="536"/>
        <v>15000</v>
      </c>
      <c r="AF201" s="137">
        <f t="shared" ref="AF201:AF208" si="537">((AE201/I201)^(1/($AE$3-$J$1) ))-1</f>
        <v>6.8568346376756573E-2</v>
      </c>
      <c r="AG201" s="31">
        <f t="shared" ref="AG201:AG208" si="538">$N$1</f>
        <v>0.02</v>
      </c>
      <c r="AH201" s="127">
        <f t="shared" ref="AH201:AH212" si="539">(AE201*(1+AF201))/($C$1-AG201)</f>
        <v>80142.625978256736</v>
      </c>
    </row>
    <row r="202" spans="2:34">
      <c r="B202" s="20" t="s">
        <v>357</v>
      </c>
      <c r="C202" s="25"/>
      <c r="D202" s="25"/>
      <c r="E202" s="25"/>
      <c r="F202" s="25"/>
      <c r="G202" s="25">
        <f t="shared" ref="G202:H202" si="540">G201/G66</f>
        <v>0.2728453876136856</v>
      </c>
      <c r="H202" s="25">
        <f t="shared" si="540"/>
        <v>0.4633864077669903</v>
      </c>
      <c r="I202" s="25">
        <f t="shared" ref="I202:S202" si="541">I201/I66</f>
        <v>0.41389050515736581</v>
      </c>
      <c r="J202" s="25">
        <f t="shared" si="541"/>
        <v>0.33958240781874721</v>
      </c>
      <c r="K202" s="25">
        <f t="shared" si="541"/>
        <v>0.18831521739130433</v>
      </c>
      <c r="L202" s="25">
        <f t="shared" si="541"/>
        <v>0.37547892720306514</v>
      </c>
      <c r="M202" s="25">
        <f t="shared" si="541"/>
        <v>0.47593778591033847</v>
      </c>
      <c r="N202" s="25">
        <f t="shared" si="541"/>
        <v>0.25696287105087334</v>
      </c>
      <c r="O202" s="25">
        <f t="shared" si="541"/>
        <v>0.35130955350461462</v>
      </c>
      <c r="P202" s="25">
        <f t="shared" si="541"/>
        <v>0.4335859203128819</v>
      </c>
      <c r="Q202" s="25">
        <f t="shared" si="541"/>
        <v>0.63018811585547929</v>
      </c>
      <c r="R202" s="25" t="e">
        <f t="shared" si="541"/>
        <v>#DIV/0!</v>
      </c>
      <c r="S202" s="25">
        <f t="shared" si="541"/>
        <v>1.0130734719475132</v>
      </c>
      <c r="T202" s="118">
        <f t="shared" si="535"/>
        <v>0.11551914242214867</v>
      </c>
      <c r="U202" s="128"/>
      <c r="V202" s="25">
        <f t="shared" ref="V202:AE202" si="542">V201/V66</f>
        <v>0.3039220415842539</v>
      </c>
      <c r="W202" s="25">
        <f t="shared" si="542"/>
        <v>0.28703748371846205</v>
      </c>
      <c r="X202" s="25">
        <f t="shared" si="542"/>
        <v>0.27109095684521411</v>
      </c>
      <c r="Y202" s="25">
        <f t="shared" si="542"/>
        <v>0.25603034813159115</v>
      </c>
      <c r="Z202" s="25">
        <f t="shared" si="542"/>
        <v>0.24180643990205827</v>
      </c>
      <c r="AA202" s="25">
        <f t="shared" si="542"/>
        <v>0.22837274879638839</v>
      </c>
      <c r="AB202" s="25">
        <f t="shared" si="542"/>
        <v>0.21568537386325565</v>
      </c>
      <c r="AC202" s="25">
        <f t="shared" si="542"/>
        <v>0.20370285309307476</v>
      </c>
      <c r="AD202" s="25">
        <f t="shared" si="542"/>
        <v>0.19238602792123724</v>
      </c>
      <c r="AE202" s="25">
        <f t="shared" si="542"/>
        <v>0.18169791525894627</v>
      </c>
      <c r="AF202" s="137">
        <f t="shared" ref="AF202" si="543">((AE202/I202)^(1/($AE$3-$J$1) ))-1</f>
        <v>-3.8444183933424969E-2</v>
      </c>
      <c r="AG202" s="31">
        <f t="shared" si="538"/>
        <v>0.02</v>
      </c>
      <c r="AH202" s="127">
        <f t="shared" ref="AH202" si="544">(AE202*(1+AF202))/($C$1-AG202)</f>
        <v>0.87356343592205732</v>
      </c>
    </row>
    <row r="203" spans="2:34">
      <c r="B203" s="20" t="s">
        <v>385</v>
      </c>
      <c r="C203" s="25"/>
      <c r="D203" s="25"/>
      <c r="E203" s="25"/>
      <c r="F203" s="25"/>
      <c r="G203" s="25">
        <f t="shared" ref="G203:H203" si="545">G201/G72</f>
        <v>5.3389830508474576</v>
      </c>
      <c r="H203" s="25">
        <f t="shared" si="545"/>
        <v>41.145517241379309</v>
      </c>
      <c r="I203" s="25">
        <f t="shared" ref="I203:S203" si="546">I201/I72</f>
        <v>19.809113924050632</v>
      </c>
      <c r="J203" s="25">
        <f t="shared" si="546"/>
        <v>8.9929411764705875</v>
      </c>
      <c r="K203" s="25">
        <f t="shared" si="546"/>
        <v>6.7846153846153845</v>
      </c>
      <c r="L203" s="25">
        <f t="shared" si="546"/>
        <v>8.1992031872509958</v>
      </c>
      <c r="M203" s="25">
        <f t="shared" si="546"/>
        <v>10.199999999999999</v>
      </c>
      <c r="N203" s="25">
        <f t="shared" si="546"/>
        <v>4.3492730210016157</v>
      </c>
      <c r="O203" s="25">
        <f t="shared" si="546"/>
        <v>7.2848275862068963</v>
      </c>
      <c r="P203" s="25">
        <f t="shared" si="546"/>
        <v>6.5858910891089106</v>
      </c>
      <c r="Q203" s="25">
        <f t="shared" si="546"/>
        <v>9.2973568281938324</v>
      </c>
      <c r="R203" s="25" t="e">
        <f t="shared" si="546"/>
        <v>#DIV/0!</v>
      </c>
      <c r="S203" s="25">
        <f t="shared" si="546"/>
        <v>8.8757396449704125</v>
      </c>
      <c r="T203" s="118">
        <f t="shared" si="535"/>
        <v>4.3267073914706522E-2</v>
      </c>
      <c r="U203" s="128"/>
      <c r="V203" s="119">
        <f t="shared" ref="V203:AE203" si="547">V201/V72</f>
        <v>2.6627218934911245</v>
      </c>
      <c r="W203" s="119">
        <f t="shared" si="547"/>
        <v>2.5147928994082838</v>
      </c>
      <c r="X203" s="119">
        <f t="shared" si="547"/>
        <v>2.3750821827744901</v>
      </c>
      <c r="Y203" s="119">
        <f t="shared" si="547"/>
        <v>2.2431331726203521</v>
      </c>
      <c r="Z203" s="119">
        <f t="shared" si="547"/>
        <v>2.1185146630303322</v>
      </c>
      <c r="AA203" s="119">
        <f t="shared" si="547"/>
        <v>2.0008194039730913</v>
      </c>
      <c r="AB203" s="119">
        <f t="shared" si="547"/>
        <v>1.8896627704190305</v>
      </c>
      <c r="AC203" s="119">
        <f t="shared" si="547"/>
        <v>1.7846815053957508</v>
      </c>
      <c r="AD203" s="119">
        <f t="shared" si="547"/>
        <v>1.6855325328737647</v>
      </c>
      <c r="AE203" s="119">
        <f t="shared" si="547"/>
        <v>1.5918918366029999</v>
      </c>
      <c r="AF203" s="137">
        <f t="shared" si="537"/>
        <v>-0.11313104488914427</v>
      </c>
      <c r="AG203" s="31">
        <f t="shared" si="538"/>
        <v>0.02</v>
      </c>
      <c r="AH203" s="127">
        <f t="shared" si="539"/>
        <v>7.0589972488880175</v>
      </c>
    </row>
    <row r="204" spans="2:34">
      <c r="B204" s="20" t="s">
        <v>460</v>
      </c>
      <c r="C204" s="25"/>
      <c r="D204" s="25"/>
      <c r="E204" s="25"/>
      <c r="F204" s="25"/>
      <c r="G204" s="25">
        <f t="shared" ref="G204:H204" si="548">G201/G70</f>
        <v>2.8636363636363633</v>
      </c>
      <c r="H204" s="25">
        <f t="shared" si="548"/>
        <v>5.9661</v>
      </c>
      <c r="I204" s="25">
        <f t="shared" ref="I204:S204" si="549">I201/I70</f>
        <v>6.4934439834024893</v>
      </c>
      <c r="J204" s="25">
        <f t="shared" si="549"/>
        <v>3.4983981693363839</v>
      </c>
      <c r="K204" s="25">
        <f t="shared" si="549"/>
        <v>2.2150684931506848</v>
      </c>
      <c r="L204" s="25">
        <f t="shared" si="549"/>
        <v>2.9232954545454546</v>
      </c>
      <c r="M204" s="25">
        <f t="shared" si="549"/>
        <v>4.360958083832335</v>
      </c>
      <c r="N204" s="25">
        <f t="shared" si="549"/>
        <v>3.3073710073710072</v>
      </c>
      <c r="O204" s="25">
        <f t="shared" si="549"/>
        <v>3.3216981132075469</v>
      </c>
      <c r="P204" s="25">
        <f t="shared" si="549"/>
        <v>4.3088259109311746</v>
      </c>
      <c r="Q204" s="25">
        <f t="shared" si="549"/>
        <v>6.2394678492239466</v>
      </c>
      <c r="R204" s="25" t="e">
        <f t="shared" si="549"/>
        <v>#DIV/0!</v>
      </c>
      <c r="S204" s="25">
        <f t="shared" si="549"/>
        <v>6.0658578856152507</v>
      </c>
      <c r="T204" s="118">
        <f t="shared" si="535"/>
        <v>6.4546239665858929E-2</v>
      </c>
      <c r="U204" s="128"/>
      <c r="V204" s="25">
        <f t="shared" ref="V204:AE204" si="550">V201/V70</f>
        <v>1.8197573656845758</v>
      </c>
      <c r="W204" s="25">
        <f t="shared" si="550"/>
        <v>1.7186597342576544</v>
      </c>
      <c r="X204" s="25">
        <f t="shared" si="550"/>
        <v>1.6231786379100068</v>
      </c>
      <c r="Y204" s="25">
        <f t="shared" si="550"/>
        <v>1.5330020469150063</v>
      </c>
      <c r="Z204" s="25">
        <f t="shared" si="550"/>
        <v>1.4478352665308394</v>
      </c>
      <c r="AA204" s="25">
        <f t="shared" si="550"/>
        <v>1.3673999739457925</v>
      </c>
      <c r="AB204" s="25">
        <f t="shared" si="550"/>
        <v>1.2914333087265817</v>
      </c>
      <c r="AC204" s="25">
        <f t="shared" si="550"/>
        <v>1.219687013797327</v>
      </c>
      <c r="AD204" s="25">
        <f t="shared" si="550"/>
        <v>1.1519266241419199</v>
      </c>
      <c r="AE204" s="25">
        <f t="shared" si="550"/>
        <v>1.08793070057848</v>
      </c>
      <c r="AF204" s="137">
        <f t="shared" ref="AF204:AF205" si="551">((AE204/I204)^(1/($AE$3-$J$1) ))-1</f>
        <v>-8.1554003457569357E-2</v>
      </c>
      <c r="AG204" s="31">
        <f t="shared" si="538"/>
        <v>0.02</v>
      </c>
      <c r="AH204" s="127">
        <f t="shared" ref="AH204:AH205" si="552">(AE204*(1+AF204))/($C$1-AG204)</f>
        <v>4.9960279823095339</v>
      </c>
    </row>
    <row r="205" spans="2:34">
      <c r="B205" s="20" t="s">
        <v>461</v>
      </c>
      <c r="C205" s="25"/>
      <c r="D205" s="25"/>
      <c r="E205" s="25"/>
      <c r="F205" s="25"/>
      <c r="G205" s="25">
        <f t="shared" ref="G205:H205" si="553">G201/G71</f>
        <v>3.75</v>
      </c>
      <c r="H205" s="25">
        <f t="shared" si="553"/>
        <v>27.118636363636366</v>
      </c>
      <c r="I205" s="25">
        <f t="shared" ref="I205:S205" si="554">I201/I71</f>
        <v>15.807272727272727</v>
      </c>
      <c r="J205" s="25">
        <f t="shared" si="554"/>
        <v>5.9027027027027019</v>
      </c>
      <c r="K205" s="25">
        <f t="shared" si="554"/>
        <v>4.8753768844221099</v>
      </c>
      <c r="L205" s="25">
        <f t="shared" si="554"/>
        <v>5.1969696969696964</v>
      </c>
      <c r="M205" s="25">
        <f t="shared" si="554"/>
        <v>6.7936567164179102</v>
      </c>
      <c r="N205" s="25">
        <f t="shared" si="554"/>
        <v>3.01478163493841</v>
      </c>
      <c r="O205" s="25">
        <f t="shared" si="554"/>
        <v>5.0120996441281136</v>
      </c>
      <c r="P205" s="25">
        <f t="shared" si="554"/>
        <v>4.3088259109311746</v>
      </c>
      <c r="Q205" s="25">
        <f t="shared" si="554"/>
        <v>6.2394678492239466</v>
      </c>
      <c r="R205" s="25" t="e">
        <f t="shared" si="554"/>
        <v>#DIV/0!</v>
      </c>
      <c r="S205" s="25">
        <f t="shared" si="554"/>
        <v>6.0658578856152507</v>
      </c>
      <c r="T205" s="118">
        <f t="shared" si="535"/>
        <v>4.0890584973325872E-2</v>
      </c>
      <c r="U205" s="128"/>
      <c r="V205" s="25">
        <f t="shared" ref="V205:AE205" si="555">V201/V71</f>
        <v>1.8197573656845758</v>
      </c>
      <c r="W205" s="25">
        <f t="shared" si="555"/>
        <v>1.7186597342576544</v>
      </c>
      <c r="X205" s="25">
        <f t="shared" si="555"/>
        <v>1.6231786379100068</v>
      </c>
      <c r="Y205" s="25">
        <f t="shared" si="555"/>
        <v>1.5330020469150063</v>
      </c>
      <c r="Z205" s="25">
        <f t="shared" si="555"/>
        <v>1.4478352665308394</v>
      </c>
      <c r="AA205" s="25">
        <f t="shared" si="555"/>
        <v>1.3673999739457925</v>
      </c>
      <c r="AB205" s="25">
        <f t="shared" si="555"/>
        <v>1.2914333087265817</v>
      </c>
      <c r="AC205" s="25">
        <f t="shared" si="555"/>
        <v>1.219687013797327</v>
      </c>
      <c r="AD205" s="25">
        <f t="shared" si="555"/>
        <v>1.1519266241419199</v>
      </c>
      <c r="AE205" s="25">
        <f t="shared" si="555"/>
        <v>1.08793070057848</v>
      </c>
      <c r="AF205" s="137">
        <f t="shared" si="551"/>
        <v>-0.11965178131242848</v>
      </c>
      <c r="AG205" s="31">
        <f t="shared" si="538"/>
        <v>0.02</v>
      </c>
      <c r="AH205" s="127">
        <f t="shared" si="552"/>
        <v>4.7887892715489322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6">G201/G75</f>
        <v>0.89999999999999991</v>
      </c>
      <c r="H206" s="25">
        <f t="shared" si="556"/>
        <v>1.6595549374130736</v>
      </c>
      <c r="I206" s="25">
        <f t="shared" ref="I206:S206" si="557">I201/I75</f>
        <v>1.9084390243902438</v>
      </c>
      <c r="J206" s="25">
        <f t="shared" si="557"/>
        <v>1.561593462717058</v>
      </c>
      <c r="K206" s="25">
        <f t="shared" si="557"/>
        <v>0.87248201438848916</v>
      </c>
      <c r="L206" s="25">
        <f t="shared" si="557"/>
        <v>1.5233160621761657</v>
      </c>
      <c r="M206" s="25">
        <f t="shared" si="557"/>
        <v>2.162351543942993</v>
      </c>
      <c r="N206" s="25">
        <f t="shared" si="557"/>
        <v>1.1761467889908257</v>
      </c>
      <c r="O206" s="25">
        <f t="shared" si="557"/>
        <v>1.4794117647058824</v>
      </c>
      <c r="P206" s="25">
        <f t="shared" si="557"/>
        <v>1.4575184880854559</v>
      </c>
      <c r="Q206" s="25">
        <f t="shared" si="557"/>
        <v>1.8615214994487321</v>
      </c>
      <c r="R206" s="25" t="e">
        <f t="shared" si="557"/>
        <v>#DIV/0!</v>
      </c>
      <c r="S206" s="25">
        <f t="shared" si="557"/>
        <v>3.0652459494964237</v>
      </c>
      <c r="T206" s="118">
        <f t="shared" si="535"/>
        <v>0.10752082591326295</v>
      </c>
      <c r="U206" s="128"/>
      <c r="V206" s="119">
        <f t="shared" ref="V206:AE206" si="558">V201/V75</f>
        <v>0.91957378484892716</v>
      </c>
      <c r="W206" s="119">
        <f t="shared" si="558"/>
        <v>0.86848635235732008</v>
      </c>
      <c r="X206" s="119">
        <f t="shared" si="558"/>
        <v>0.82023711055969106</v>
      </c>
      <c r="Y206" s="119">
        <f t="shared" si="558"/>
        <v>0.7746683821952639</v>
      </c>
      <c r="Z206" s="119">
        <f t="shared" si="558"/>
        <v>0.73163124985108252</v>
      </c>
      <c r="AA206" s="119">
        <f t="shared" si="558"/>
        <v>0.69098506930379999</v>
      </c>
      <c r="AB206" s="119">
        <f t="shared" si="558"/>
        <v>0.65259700989803338</v>
      </c>
      <c r="AC206" s="119">
        <f t="shared" si="558"/>
        <v>0.61634162045925367</v>
      </c>
      <c r="AD206" s="119">
        <f t="shared" si="558"/>
        <v>0.58210041932262846</v>
      </c>
      <c r="AE206" s="119">
        <f t="shared" si="558"/>
        <v>0.54976150713803795</v>
      </c>
      <c r="AF206" s="137">
        <f t="shared" si="537"/>
        <v>-5.7542627347040853E-2</v>
      </c>
      <c r="AG206" s="31">
        <f t="shared" si="538"/>
        <v>0.02</v>
      </c>
      <c r="AH206" s="127">
        <f t="shared" si="539"/>
        <v>2.5906339280152313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59">G201/G84</f>
        <v>5.4782608695652169</v>
      </c>
      <c r="H207" s="25">
        <f t="shared" si="559"/>
        <v>10.653749999999999</v>
      </c>
      <c r="I207" s="25">
        <f t="shared" ref="I207:S207" si="560">I201/I84</f>
        <v>13.262033898305084</v>
      </c>
      <c r="J207" s="25">
        <f t="shared" si="560"/>
        <v>10.919999999999998</v>
      </c>
      <c r="K207" s="25">
        <f t="shared" si="560"/>
        <v>5.8445783132530122</v>
      </c>
      <c r="L207" s="25">
        <f t="shared" si="560"/>
        <v>10.088235294117645</v>
      </c>
      <c r="M207" s="25">
        <f t="shared" si="560"/>
        <v>28.672440944881888</v>
      </c>
      <c r="N207" s="25">
        <f t="shared" si="560"/>
        <v>20.551145038167938</v>
      </c>
      <c r="O207" s="25">
        <f t="shared" si="560"/>
        <v>8.5357575757575752</v>
      </c>
      <c r="P207" s="25">
        <f t="shared" si="560"/>
        <v>4.5716494845360822</v>
      </c>
      <c r="Q207" s="25">
        <f t="shared" si="560"/>
        <v>5.0490430622009574</v>
      </c>
      <c r="R207" s="25" t="e">
        <f t="shared" si="560"/>
        <v>#DIV/0!</v>
      </c>
      <c r="S207" s="25">
        <f t="shared" si="560"/>
        <v>10.606060606060606</v>
      </c>
      <c r="T207" s="118">
        <f t="shared" si="535"/>
        <v>5.6596780282115011E-2</v>
      </c>
      <c r="U207" s="128"/>
      <c r="V207" s="119">
        <f t="shared" ref="V207:AE207" si="561">V201/V84</f>
        <v>3.1818181818181817</v>
      </c>
      <c r="W207" s="119">
        <f t="shared" si="561"/>
        <v>3.0050505050505047</v>
      </c>
      <c r="X207" s="119">
        <f t="shared" si="561"/>
        <v>2.838103254769921</v>
      </c>
      <c r="Y207" s="119">
        <f t="shared" si="561"/>
        <v>2.6804308517271473</v>
      </c>
      <c r="Z207" s="119">
        <f t="shared" si="561"/>
        <v>2.5315180266311947</v>
      </c>
      <c r="AA207" s="119">
        <f t="shared" si="561"/>
        <v>2.3908781362627951</v>
      </c>
      <c r="AB207" s="119">
        <f t="shared" si="561"/>
        <v>2.2580515731370845</v>
      </c>
      <c r="AC207" s="119">
        <f t="shared" si="561"/>
        <v>2.1326042635183571</v>
      </c>
      <c r="AD207" s="119">
        <f t="shared" si="561"/>
        <v>2.0141262488784482</v>
      </c>
      <c r="AE207" s="119">
        <f t="shared" si="561"/>
        <v>1.9022303461629786</v>
      </c>
      <c r="AF207" s="137">
        <f t="shared" si="537"/>
        <v>-8.8323799255040081E-2</v>
      </c>
      <c r="AG207" s="31">
        <f t="shared" si="538"/>
        <v>0.02</v>
      </c>
      <c r="AH207" s="127">
        <f t="shared" si="539"/>
        <v>8.6710906746581706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2">G201/G86</f>
        <v>1.3432835820895521</v>
      </c>
      <c r="H208" s="25">
        <f t="shared" si="562"/>
        <v>2.3722067594433396</v>
      </c>
      <c r="I208" s="25">
        <f t="shared" ref="I208:S208" si="563">I201/I86</f>
        <v>2.7074740484429065</v>
      </c>
      <c r="J208" s="25">
        <f t="shared" si="563"/>
        <v>2.4658064516129032</v>
      </c>
      <c r="K208" s="25">
        <f t="shared" si="563"/>
        <v>1.3840228245363766</v>
      </c>
      <c r="L208" s="25">
        <f t="shared" si="563"/>
        <v>7.2978723404255321</v>
      </c>
      <c r="M208" s="25">
        <f t="shared" si="563"/>
        <v>4.9208108108108108</v>
      </c>
      <c r="N208" s="25">
        <f t="shared" si="563"/>
        <v>4.2801271860095387</v>
      </c>
      <c r="O208" s="25">
        <f t="shared" si="563"/>
        <v>5.7879452054794518</v>
      </c>
      <c r="P208" s="25">
        <f t="shared" si="563"/>
        <v>2.2358823529411764</v>
      </c>
      <c r="Q208" s="25">
        <f t="shared" si="563"/>
        <v>3.0642468239564424</v>
      </c>
      <c r="R208" s="25" t="e">
        <f t="shared" si="563"/>
        <v>#DIV/0!</v>
      </c>
      <c r="S208" s="25">
        <f t="shared" si="563"/>
        <v>6.6413662239089186</v>
      </c>
      <c r="T208" s="118">
        <f t="shared" si="535"/>
        <v>0.14245949172041761</v>
      </c>
      <c r="U208" s="128"/>
      <c r="V208" s="119">
        <f t="shared" ref="V208:AE208" si="564">V201/V86</f>
        <v>1.9924098671726758</v>
      </c>
      <c r="W208" s="119">
        <f t="shared" si="564"/>
        <v>1.8817204301075268</v>
      </c>
      <c r="X208" s="119">
        <f t="shared" si="564"/>
        <v>1.7771804062126644</v>
      </c>
      <c r="Y208" s="119">
        <f t="shared" si="564"/>
        <v>1.678448161423072</v>
      </c>
      <c r="Z208" s="119">
        <f t="shared" si="564"/>
        <v>1.5852010413440121</v>
      </c>
      <c r="AA208" s="119">
        <f t="shared" si="564"/>
        <v>1.4971343168249005</v>
      </c>
      <c r="AB208" s="119">
        <f t="shared" si="564"/>
        <v>1.4139601881124058</v>
      </c>
      <c r="AC208" s="119">
        <f t="shared" si="564"/>
        <v>1.3354068443283833</v>
      </c>
      <c r="AD208" s="119">
        <f t="shared" si="564"/>
        <v>1.2612175751990282</v>
      </c>
      <c r="AE208" s="119">
        <f t="shared" si="564"/>
        <v>1.1911499321324157</v>
      </c>
      <c r="AF208" s="137">
        <f t="shared" si="537"/>
        <v>-3.8345321205913829E-2</v>
      </c>
      <c r="AG208" s="31">
        <f t="shared" si="538"/>
        <v>0.02</v>
      </c>
      <c r="AH208" s="127">
        <f t="shared" si="539"/>
        <v>5.7273745269019791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5">G201/G80</f>
        <v>0.79646017699115035</v>
      </c>
      <c r="H209" s="180">
        <f t="shared" si="565"/>
        <v>1.5337017994858611</v>
      </c>
      <c r="I209" s="180">
        <f t="shared" ref="I209:S209" si="566">I201/I80</f>
        <v>2.0270984455958549</v>
      </c>
      <c r="J209" s="180">
        <f t="shared" si="566"/>
        <v>1.6092631578947367</v>
      </c>
      <c r="K209" s="180">
        <f t="shared" si="566"/>
        <v>1.1875152998776008</v>
      </c>
      <c r="L209" s="180">
        <f t="shared" si="566"/>
        <v>1.4859205776173285</v>
      </c>
      <c r="M209" s="180">
        <f t="shared" si="566"/>
        <v>2.4179282868525895</v>
      </c>
      <c r="N209" s="180">
        <f t="shared" si="566"/>
        <v>1.998663697104677</v>
      </c>
      <c r="O209" s="180">
        <f t="shared" si="566"/>
        <v>2.2075235109717868</v>
      </c>
      <c r="P209" s="180">
        <f t="shared" si="566"/>
        <v>1.4220737573490112</v>
      </c>
      <c r="Q209" s="180">
        <f t="shared" si="566"/>
        <v>0.18544472025130154</v>
      </c>
      <c r="R209" s="180" t="e">
        <f t="shared" si="566"/>
        <v>#DIV/0!</v>
      </c>
      <c r="S209" s="180">
        <f t="shared" si="566"/>
        <v>3.0536571179293293</v>
      </c>
      <c r="T209" s="118">
        <f t="shared" si="535"/>
        <v>0.11850522456216805</v>
      </c>
      <c r="U209" s="128"/>
      <c r="V209" s="134">
        <f t="shared" ref="V209:AE209" si="567">V201/V80</f>
        <v>0.91609713537879878</v>
      </c>
      <c r="W209" s="134">
        <f t="shared" si="567"/>
        <v>0.86520285007997655</v>
      </c>
      <c r="X209" s="134">
        <f t="shared" si="567"/>
        <v>0.8171360250755334</v>
      </c>
      <c r="Y209" s="134">
        <f t="shared" si="567"/>
        <v>0.77173957923800385</v>
      </c>
      <c r="Z209" s="134">
        <f t="shared" si="567"/>
        <v>0.72886515816922592</v>
      </c>
      <c r="AA209" s="134">
        <f t="shared" si="567"/>
        <v>0.68837264938204668</v>
      </c>
      <c r="AB209" s="134">
        <f t="shared" si="567"/>
        <v>0.65012972441637717</v>
      </c>
      <c r="AC209" s="134">
        <f t="shared" si="567"/>
        <v>0.61401140639324525</v>
      </c>
      <c r="AD209" s="134">
        <f t="shared" si="567"/>
        <v>0.57989966159362016</v>
      </c>
      <c r="AE209" s="134">
        <f t="shared" si="567"/>
        <v>0.54768301372730788</v>
      </c>
      <c r="AF209" s="137">
        <f t="shared" ref="AF209" si="568">((AE209/I209)^(1/($AE$3-$J$1) ))-1</f>
        <v>-6.0415323622935002E-2</v>
      </c>
      <c r="AG209" s="31">
        <f t="shared" ref="AG209:AG212" si="569">$N$1</f>
        <v>0.02</v>
      </c>
      <c r="AH209" s="127">
        <f t="shared" si="539"/>
        <v>2.572972836050941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69"/>
        <v>0.02</v>
      </c>
      <c r="AH210" s="127"/>
    </row>
    <row r="211" spans="2:34">
      <c r="B211" s="20" t="s">
        <v>316</v>
      </c>
      <c r="C211" s="150"/>
      <c r="D211" s="150"/>
      <c r="E211" s="150"/>
      <c r="F211" s="150"/>
      <c r="G211" s="150">
        <f t="shared" ref="G211:H211" si="570">G59/G201</f>
        <v>1.3333333333333334E-2</v>
      </c>
      <c r="H211" s="150">
        <f t="shared" si="570"/>
        <v>7.0397747272087294E-3</v>
      </c>
      <c r="I211" s="150">
        <f t="shared" ref="I211:S211" si="571">I59/I201</f>
        <v>5.3676865271068174E-3</v>
      </c>
      <c r="J211" s="150">
        <f t="shared" si="571"/>
        <v>5.4945054945054949E-3</v>
      </c>
      <c r="K211" s="150">
        <f t="shared" si="571"/>
        <v>8.658008658008658E-3</v>
      </c>
      <c r="L211" s="150">
        <f t="shared" si="571"/>
        <v>5.1020408163265302E-3</v>
      </c>
      <c r="M211" s="150">
        <f t="shared" si="571"/>
        <v>5.7670126874279125E-3</v>
      </c>
      <c r="N211" s="150">
        <f t="shared" si="571"/>
        <v>3.9001560062402497E-3</v>
      </c>
      <c r="O211" s="150">
        <f t="shared" si="571"/>
        <v>2.485089463220676E-3</v>
      </c>
      <c r="P211" s="150">
        <f t="shared" si="571"/>
        <v>2.3677979479084454E-3</v>
      </c>
      <c r="Q211" s="150">
        <f t="shared" si="571"/>
        <v>2.4875621890547263E-3</v>
      </c>
      <c r="R211" s="150">
        <f t="shared" si="571"/>
        <v>0</v>
      </c>
      <c r="S211" s="150">
        <f t="shared" si="571"/>
        <v>2E-3</v>
      </c>
      <c r="T211" s="118">
        <f t="shared" si="535"/>
        <v>-0.14622990588362894</v>
      </c>
      <c r="U211" s="128"/>
      <c r="V211" s="150">
        <f t="shared" ref="V211:AE211" si="572">V59/V201</f>
        <v>4.6666666666666671E-3</v>
      </c>
      <c r="W211" s="150">
        <f t="shared" si="572"/>
        <v>4.8999999999999998E-3</v>
      </c>
      <c r="X211" s="150">
        <f t="shared" si="572"/>
        <v>5.1449999999999994E-3</v>
      </c>
      <c r="Y211" s="150">
        <f t="shared" si="572"/>
        <v>5.4022499999999999E-3</v>
      </c>
      <c r="Z211" s="150">
        <f t="shared" si="572"/>
        <v>5.6723625E-3</v>
      </c>
      <c r="AA211" s="150">
        <f t="shared" si="572"/>
        <v>5.9559806250000001E-3</v>
      </c>
      <c r="AB211" s="150">
        <f t="shared" si="572"/>
        <v>6.2537796562500006E-3</v>
      </c>
      <c r="AC211" s="150">
        <f t="shared" si="572"/>
        <v>6.5664686390625006E-3</v>
      </c>
      <c r="AD211" s="150">
        <f t="shared" si="572"/>
        <v>6.894792071015626E-3</v>
      </c>
      <c r="AE211" s="150">
        <f t="shared" si="572"/>
        <v>7.2395316745664075E-3</v>
      </c>
      <c r="AF211" s="137">
        <f t="shared" ref="AF211:AF216" si="573">((AE211/I211)^(1/($AE$3-$J$1) ))-1</f>
        <v>1.4347644707548346E-2</v>
      </c>
      <c r="AG211" s="31">
        <f t="shared" si="569"/>
        <v>0.02</v>
      </c>
      <c r="AH211" s="127">
        <f t="shared" si="539"/>
        <v>3.6717009514410641E-2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4">G201*G57</f>
        <v>630</v>
      </c>
      <c r="H212" s="163">
        <f t="shared" si="574"/>
        <v>1193.22</v>
      </c>
      <c r="I212" s="163">
        <f t="shared" ref="I212:S212" si="575">I201*I57</f>
        <v>1564.9199999999998</v>
      </c>
      <c r="J212" s="163">
        <f t="shared" si="575"/>
        <v>1528.8</v>
      </c>
      <c r="K212" s="163">
        <f t="shared" si="575"/>
        <v>970.19999999999993</v>
      </c>
      <c r="L212" s="163">
        <f t="shared" si="575"/>
        <v>2058</v>
      </c>
      <c r="M212" s="163">
        <f t="shared" si="575"/>
        <v>3641.4</v>
      </c>
      <c r="N212" s="163">
        <f t="shared" si="575"/>
        <v>2692.2</v>
      </c>
      <c r="O212" s="163">
        <f t="shared" si="575"/>
        <v>4225.2</v>
      </c>
      <c r="P212" s="163">
        <f t="shared" si="575"/>
        <v>5321.4</v>
      </c>
      <c r="Q212" s="163">
        <f t="shared" si="575"/>
        <v>8442</v>
      </c>
      <c r="R212" s="163">
        <f t="shared" si="575"/>
        <v>0</v>
      </c>
      <c r="S212" s="163">
        <f t="shared" si="575"/>
        <v>21000</v>
      </c>
      <c r="T212" s="118">
        <f t="shared" si="535"/>
        <v>0.33938848873178529</v>
      </c>
      <c r="U212" s="128"/>
      <c r="V212" s="163">
        <f t="shared" ref="V212:AE212" si="576">V201*V57</f>
        <v>4410</v>
      </c>
      <c r="W212" s="163">
        <f t="shared" si="576"/>
        <v>4498.2</v>
      </c>
      <c r="X212" s="163">
        <f t="shared" si="576"/>
        <v>4588.1639999999998</v>
      </c>
      <c r="Y212" s="163">
        <f t="shared" si="576"/>
        <v>4679.9272799999999</v>
      </c>
      <c r="Z212" s="163">
        <f t="shared" si="576"/>
        <v>4773.5258255999997</v>
      </c>
      <c r="AA212" s="163">
        <f t="shared" si="576"/>
        <v>4868.9963421120001</v>
      </c>
      <c r="AB212" s="163">
        <f t="shared" si="576"/>
        <v>4966.37626895424</v>
      </c>
      <c r="AC212" s="163">
        <f t="shared" si="576"/>
        <v>5065.7037943333244</v>
      </c>
      <c r="AD212" s="163">
        <f t="shared" si="576"/>
        <v>5167.017870219991</v>
      </c>
      <c r="AE212" s="163">
        <f t="shared" si="576"/>
        <v>5270.3582276243906</v>
      </c>
      <c r="AF212" s="137">
        <f t="shared" si="573"/>
        <v>5.952646550027163E-2</v>
      </c>
      <c r="AG212" s="31">
        <f t="shared" si="569"/>
        <v>0.02</v>
      </c>
      <c r="AH212" s="127">
        <f t="shared" si="539"/>
        <v>27920.420124175733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367</v>
      </c>
      <c r="C214" s="159"/>
      <c r="D214" s="159"/>
      <c r="E214" s="159"/>
      <c r="F214" s="159"/>
      <c r="G214" s="159">
        <f t="shared" ref="G214:H214" si="577">G72/G201</f>
        <v>0.1873015873015873</v>
      </c>
      <c r="H214" s="159">
        <f t="shared" si="577"/>
        <v>2.4303984177268232E-2</v>
      </c>
      <c r="I214" s="159">
        <f t="shared" ref="I214:S214" si="578">I72/I201</f>
        <v>5.048181376683792E-2</v>
      </c>
      <c r="J214" s="159">
        <f t="shared" si="578"/>
        <v>0.11119832548403977</v>
      </c>
      <c r="K214" s="159">
        <f t="shared" si="578"/>
        <v>0.14739229024943312</v>
      </c>
      <c r="L214" s="159">
        <f t="shared" si="578"/>
        <v>0.12196307094266277</v>
      </c>
      <c r="M214" s="159">
        <f t="shared" si="578"/>
        <v>9.8039215686274508E-2</v>
      </c>
      <c r="N214" s="159">
        <f t="shared" si="578"/>
        <v>0.22992348265359186</v>
      </c>
      <c r="O214" s="159">
        <f t="shared" si="578"/>
        <v>0.13727160844457068</v>
      </c>
      <c r="P214" s="159">
        <f t="shared" si="578"/>
        <v>0.15183974142143045</v>
      </c>
      <c r="Q214" s="159">
        <f t="shared" si="578"/>
        <v>0.10755745084103294</v>
      </c>
      <c r="R214" s="159" t="e">
        <f t="shared" si="578"/>
        <v>#DIV/0!</v>
      </c>
      <c r="S214" s="159">
        <f t="shared" si="578"/>
        <v>0.11266666666666668</v>
      </c>
      <c r="T214" s="118">
        <f t="shared" si="535"/>
        <v>-4.1472672718744219E-2</v>
      </c>
      <c r="U214" s="128"/>
      <c r="V214" s="159">
        <f t="shared" ref="V214:AE214" si="579">V72/V201</f>
        <v>0.37555555555555553</v>
      </c>
      <c r="W214" s="159">
        <f t="shared" si="579"/>
        <v>0.39764705882352941</v>
      </c>
      <c r="X214" s="159">
        <f t="shared" si="579"/>
        <v>0.42103806228373708</v>
      </c>
      <c r="Y214" s="159">
        <f t="shared" si="579"/>
        <v>0.44580500712395682</v>
      </c>
      <c r="Z214" s="159">
        <f t="shared" si="579"/>
        <v>0.47202883107242499</v>
      </c>
      <c r="AA214" s="159">
        <f t="shared" si="579"/>
        <v>0.49979523290021471</v>
      </c>
      <c r="AB214" s="159">
        <f t="shared" si="579"/>
        <v>0.52919495248258031</v>
      </c>
      <c r="AC214" s="159">
        <f t="shared" si="579"/>
        <v>0.56032406733449691</v>
      </c>
      <c r="AD214" s="159">
        <f t="shared" si="579"/>
        <v>0.59328430658946729</v>
      </c>
      <c r="AE214" s="159">
        <f t="shared" si="579"/>
        <v>0.62818338344767133</v>
      </c>
      <c r="AF214" s="137">
        <f t="shared" ref="AF214" si="580">((AE214/I214)^(1/($AE$3-$J$1) ))-1</f>
        <v>0.12756230132669732</v>
      </c>
      <c r="AG214" s="31">
        <f t="shared" ref="AG214" si="581">$N$1</f>
        <v>0.02</v>
      </c>
      <c r="AH214" s="127">
        <f t="shared" ref="AH214" si="582">(AE214*(1+AF214))/($C$1-AG214)</f>
        <v>3.5415795074772372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3">G203</f>
        <v>5.3389830508474576</v>
      </c>
      <c r="H215" s="179">
        <f t="shared" si="583"/>
        <v>41.145517241379309</v>
      </c>
      <c r="I215" s="179">
        <f t="shared" ref="I215:S215" si="584">I203</f>
        <v>19.809113924050632</v>
      </c>
      <c r="J215" s="179">
        <f t="shared" si="584"/>
        <v>8.9929411764705875</v>
      </c>
      <c r="K215" s="179">
        <f t="shared" si="584"/>
        <v>6.7846153846153845</v>
      </c>
      <c r="L215" s="179">
        <f t="shared" si="584"/>
        <v>8.1992031872509958</v>
      </c>
      <c r="M215" s="179">
        <f t="shared" si="584"/>
        <v>10.199999999999999</v>
      </c>
      <c r="N215" s="179">
        <f t="shared" si="584"/>
        <v>4.3492730210016157</v>
      </c>
      <c r="O215" s="179">
        <f t="shared" si="584"/>
        <v>7.2848275862068963</v>
      </c>
      <c r="P215" s="179">
        <f t="shared" si="584"/>
        <v>6.5858910891089106</v>
      </c>
      <c r="Q215" s="179">
        <f t="shared" si="584"/>
        <v>9.2973568281938324</v>
      </c>
      <c r="R215" s="179" t="e">
        <f t="shared" si="584"/>
        <v>#DIV/0!</v>
      </c>
      <c r="S215" s="179">
        <f t="shared" si="584"/>
        <v>8.8757396449704125</v>
      </c>
      <c r="T215" s="118">
        <f t="shared" si="535"/>
        <v>4.3267073914706522E-2</v>
      </c>
      <c r="U215" s="128"/>
      <c r="V215" s="150">
        <f t="shared" ref="V215:AE215" si="585">V203</f>
        <v>2.6627218934911245</v>
      </c>
      <c r="W215" s="150">
        <f t="shared" si="585"/>
        <v>2.5147928994082838</v>
      </c>
      <c r="X215" s="150">
        <f t="shared" si="585"/>
        <v>2.3750821827744901</v>
      </c>
      <c r="Y215" s="150">
        <f t="shared" si="585"/>
        <v>2.2431331726203521</v>
      </c>
      <c r="Z215" s="150">
        <f t="shared" si="585"/>
        <v>2.1185146630303322</v>
      </c>
      <c r="AA215" s="150">
        <f t="shared" si="585"/>
        <v>2.0008194039730913</v>
      </c>
      <c r="AB215" s="150">
        <f t="shared" si="585"/>
        <v>1.8896627704190305</v>
      </c>
      <c r="AC215" s="150">
        <f t="shared" si="585"/>
        <v>1.7846815053957508</v>
      </c>
      <c r="AD215" s="150">
        <f t="shared" si="585"/>
        <v>1.6855325328737647</v>
      </c>
      <c r="AE215" s="150">
        <f t="shared" si="585"/>
        <v>1.5918918366029999</v>
      </c>
      <c r="AF215" s="137">
        <f t="shared" ref="AF215" si="586">((AE215/I215)^(1/($AE$3-$J$1) ))-1</f>
        <v>-0.11313104488914427</v>
      </c>
      <c r="AG215" s="31">
        <f t="shared" ref="AG215:AG217" si="587">$N$1</f>
        <v>0.02</v>
      </c>
      <c r="AH215" s="179">
        <f>(AH202)/($N$2*100)</f>
        <v>0.10919542949025716</v>
      </c>
    </row>
    <row r="216" spans="2:34">
      <c r="B216" s="20" t="s">
        <v>442</v>
      </c>
      <c r="C216" s="179"/>
      <c r="D216" s="179"/>
      <c r="E216" s="179"/>
      <c r="F216" s="179"/>
      <c r="G216" s="179">
        <f t="shared" ref="G216:H216" si="588">(G203)/($N$2*100)</f>
        <v>0.6673728813559322</v>
      </c>
      <c r="H216" s="179">
        <f t="shared" si="588"/>
        <v>5.1431896551724137</v>
      </c>
      <c r="I216" s="179">
        <f t="shared" ref="I216:S216" si="589">(I203)/($N$2*100)</f>
        <v>2.4761392405063289</v>
      </c>
      <c r="J216" s="179">
        <f t="shared" si="589"/>
        <v>1.1241176470588234</v>
      </c>
      <c r="K216" s="179">
        <f t="shared" si="589"/>
        <v>0.84807692307692306</v>
      </c>
      <c r="L216" s="179">
        <f t="shared" si="589"/>
        <v>1.0249003984063745</v>
      </c>
      <c r="M216" s="179">
        <f t="shared" si="589"/>
        <v>1.2749999999999999</v>
      </c>
      <c r="N216" s="179">
        <f t="shared" si="589"/>
        <v>0.54365912762520197</v>
      </c>
      <c r="O216" s="179">
        <f t="shared" si="589"/>
        <v>0.91060344827586204</v>
      </c>
      <c r="P216" s="179">
        <f t="shared" si="589"/>
        <v>0.82323638613861383</v>
      </c>
      <c r="Q216" s="179">
        <f t="shared" si="589"/>
        <v>1.162169603524229</v>
      </c>
      <c r="R216" s="179" t="e">
        <f t="shared" si="589"/>
        <v>#DIV/0!</v>
      </c>
      <c r="S216" s="179">
        <f t="shared" si="589"/>
        <v>1.1094674556213016</v>
      </c>
      <c r="T216" s="118">
        <f t="shared" si="535"/>
        <v>4.3267073914706522E-2</v>
      </c>
      <c r="U216" s="128"/>
      <c r="V216" s="179">
        <f t="shared" ref="V216:AE216" si="590">(V203)/($N$2*100)</f>
        <v>0.33284023668639057</v>
      </c>
      <c r="W216" s="179">
        <f t="shared" si="590"/>
        <v>0.31434911242603547</v>
      </c>
      <c r="X216" s="179">
        <f t="shared" si="590"/>
        <v>0.29688527284681127</v>
      </c>
      <c r="Y216" s="179">
        <f t="shared" si="590"/>
        <v>0.28039164657754401</v>
      </c>
      <c r="Z216" s="179">
        <f t="shared" si="590"/>
        <v>0.26481433287879153</v>
      </c>
      <c r="AA216" s="179">
        <f t="shared" si="590"/>
        <v>0.25010242549663642</v>
      </c>
      <c r="AB216" s="179">
        <f t="shared" si="590"/>
        <v>0.23620784630237882</v>
      </c>
      <c r="AC216" s="179">
        <f t="shared" si="590"/>
        <v>0.22308518817446885</v>
      </c>
      <c r="AD216" s="179">
        <f t="shared" si="590"/>
        <v>0.21069156660922059</v>
      </c>
      <c r="AE216" s="179">
        <f t="shared" si="590"/>
        <v>0.19898647957537499</v>
      </c>
      <c r="AF216" s="137">
        <f t="shared" si="573"/>
        <v>-0.11313104488914427</v>
      </c>
      <c r="AG216" s="31">
        <f t="shared" si="587"/>
        <v>0.02</v>
      </c>
      <c r="AH216" s="179">
        <f>(AH203)/($N$2*100)</f>
        <v>0.88237465611100219</v>
      </c>
    </row>
    <row r="217" spans="2:34">
      <c r="B217" s="20" t="s">
        <v>443</v>
      </c>
      <c r="C217" s="150"/>
      <c r="D217" s="150"/>
      <c r="E217" s="150"/>
      <c r="F217" s="150"/>
      <c r="G217" s="150">
        <f t="shared" ref="G217:H217" si="591">G216-1</f>
        <v>-0.3326271186440678</v>
      </c>
      <c r="H217" s="150">
        <f t="shared" si="591"/>
        <v>4.1431896551724137</v>
      </c>
      <c r="I217" s="150">
        <f t="shared" ref="I217:R217" si="592">I216-1</f>
        <v>1.4761392405063289</v>
      </c>
      <c r="J217" s="150">
        <f t="shared" si="592"/>
        <v>0.12411764705882344</v>
      </c>
      <c r="K217" s="150">
        <f t="shared" si="592"/>
        <v>-0.15192307692307694</v>
      </c>
      <c r="L217" s="150">
        <f t="shared" si="592"/>
        <v>2.490039840637448E-2</v>
      </c>
      <c r="M217" s="150">
        <f t="shared" si="592"/>
        <v>0.27499999999999991</v>
      </c>
      <c r="N217" s="150">
        <f t="shared" si="592"/>
        <v>-0.45634087237479803</v>
      </c>
      <c r="O217" s="150">
        <f t="shared" si="592"/>
        <v>-8.9396551724137963E-2</v>
      </c>
      <c r="P217" s="150">
        <f t="shared" si="592"/>
        <v>-0.17676361386138617</v>
      </c>
      <c r="Q217" s="150">
        <f t="shared" si="592"/>
        <v>0.16216960352422904</v>
      </c>
      <c r="R217" s="150" t="e">
        <f t="shared" si="592"/>
        <v>#DIV/0!</v>
      </c>
      <c r="S217" s="150">
        <f>S216-1</f>
        <v>0.10946745562130156</v>
      </c>
      <c r="T217" s="118" t="e">
        <f t="shared" si="535"/>
        <v>#NUM!</v>
      </c>
      <c r="U217" s="128"/>
      <c r="V217" s="150">
        <f t="shared" ref="V217:AE217" si="593">V216-1</f>
        <v>-0.66715976331360949</v>
      </c>
      <c r="W217" s="150">
        <f t="shared" si="593"/>
        <v>-0.68565088757396453</v>
      </c>
      <c r="X217" s="150">
        <f t="shared" si="593"/>
        <v>-0.70311472715318879</v>
      </c>
      <c r="Y217" s="150">
        <f t="shared" si="593"/>
        <v>-0.71960835342245599</v>
      </c>
      <c r="Z217" s="150">
        <f t="shared" si="593"/>
        <v>-0.73518566712120847</v>
      </c>
      <c r="AA217" s="150">
        <f t="shared" si="593"/>
        <v>-0.74989757450336358</v>
      </c>
      <c r="AB217" s="150">
        <f t="shared" si="593"/>
        <v>-0.76379215369762121</v>
      </c>
      <c r="AC217" s="150">
        <f t="shared" si="593"/>
        <v>-0.77691481182553113</v>
      </c>
      <c r="AD217" s="150">
        <f t="shared" si="593"/>
        <v>-0.78930843339077938</v>
      </c>
      <c r="AE217" s="150">
        <f t="shared" si="593"/>
        <v>-0.80101352042462504</v>
      </c>
      <c r="AF217" s="137">
        <f t="shared" ref="AF217" si="594">((AE217/I217)^(1/($AE$3-$J$1) ))-1</f>
        <v>-1.9713097296677147</v>
      </c>
      <c r="AG217" s="31">
        <f t="shared" si="587"/>
        <v>0.02</v>
      </c>
      <c r="AH217" s="179">
        <f>(AH204)/($N$2*100)</f>
        <v>0.62450349778869174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471</v>
      </c>
      <c r="C219" s="150"/>
      <c r="D219" s="150"/>
      <c r="E219" s="150"/>
      <c r="F219" s="150"/>
      <c r="G219" s="150">
        <f t="shared" ref="G219:S219" si="595">1/G220</f>
        <v>0.90634920634920635</v>
      </c>
      <c r="H219" s="150">
        <f t="shared" si="595"/>
        <v>0.47853706776621246</v>
      </c>
      <c r="I219" s="150">
        <f t="shared" si="595"/>
        <v>0.3648748817830943</v>
      </c>
      <c r="J219" s="150">
        <f t="shared" si="595"/>
        <v>0.3734955520669806</v>
      </c>
      <c r="K219" s="150">
        <f t="shared" si="595"/>
        <v>0.58853844568130276</v>
      </c>
      <c r="L219" s="150">
        <f t="shared" si="595"/>
        <v>0.27745383867832846</v>
      </c>
      <c r="M219" s="150">
        <f t="shared" si="595"/>
        <v>0.15680782116768274</v>
      </c>
      <c r="N219" s="150">
        <f t="shared" si="595"/>
        <v>0.21209419805363644</v>
      </c>
      <c r="O219" s="150">
        <f t="shared" si="595"/>
        <v>0.13514153176181007</v>
      </c>
      <c r="P219" s="150">
        <f t="shared" si="595"/>
        <v>0.10730258954410492</v>
      </c>
      <c r="Q219" s="150">
        <f t="shared" si="595"/>
        <v>6.7638000473821361E-2</v>
      </c>
      <c r="R219" s="150">
        <f t="shared" si="595"/>
        <v>3.6448359504659772E-2</v>
      </c>
      <c r="S219" s="150">
        <f t="shared" si="595"/>
        <v>2.7190476190476189E-2</v>
      </c>
      <c r="T219" s="118">
        <f t="shared" si="535"/>
        <v>-0.25339062683235325</v>
      </c>
      <c r="U219" s="128"/>
      <c r="V219" s="150">
        <f t="shared" ref="V219:AE219" si="596">1/V220</f>
        <v>9.0634920634920624E-2</v>
      </c>
      <c r="W219" s="150">
        <f t="shared" si="596"/>
        <v>9.0634920634920624E-2</v>
      </c>
      <c r="X219" s="150">
        <f t="shared" si="596"/>
        <v>9.0634920634920624E-2</v>
      </c>
      <c r="Y219" s="150">
        <f t="shared" si="596"/>
        <v>9.0634920634920624E-2</v>
      </c>
      <c r="Z219" s="150">
        <f t="shared" si="596"/>
        <v>9.0634920634920624E-2</v>
      </c>
      <c r="AA219" s="150">
        <f t="shared" si="596"/>
        <v>9.0634920634920624E-2</v>
      </c>
      <c r="AB219" s="150">
        <f t="shared" si="596"/>
        <v>9.0634920634920624E-2</v>
      </c>
      <c r="AC219" s="150">
        <f t="shared" si="596"/>
        <v>9.0634920634920624E-2</v>
      </c>
      <c r="AD219" s="150">
        <f t="shared" si="596"/>
        <v>9.0634920634920624E-2</v>
      </c>
      <c r="AE219" s="150">
        <f t="shared" si="596"/>
        <v>9.0634920634920624E-2</v>
      </c>
      <c r="AF219" s="137">
        <f t="shared" ref="AF219" si="597">((AE219/I219)^(1/($AE$3-$J$1) ))-1</f>
        <v>-6.4168423675709962E-2</v>
      </c>
      <c r="AG219" s="31">
        <f t="shared" ref="AG219:AG222" si="598">$N$1</f>
        <v>0.02</v>
      </c>
      <c r="AH219" s="179">
        <f>(AH206)/($N$2*100)</f>
        <v>0.32382924100190391</v>
      </c>
    </row>
    <row r="220" spans="2:34">
      <c r="B220" s="20" t="s">
        <v>472</v>
      </c>
      <c r="C220" s="129"/>
      <c r="D220" s="129"/>
      <c r="E220" s="129"/>
      <c r="F220" s="129"/>
      <c r="G220" s="134">
        <f t="shared" ref="G220:H220" si="599">G201/$U$170</f>
        <v>1.1033274956217163</v>
      </c>
      <c r="H220" s="134">
        <f t="shared" si="599"/>
        <v>2.0897022767075306</v>
      </c>
      <c r="I220" s="134">
        <f t="shared" ref="I220:S220" si="600">I201/$U$170</f>
        <v>2.7406654991243435</v>
      </c>
      <c r="J220" s="134">
        <f t="shared" si="600"/>
        <v>2.6774080560420317</v>
      </c>
      <c r="K220" s="134">
        <f t="shared" si="600"/>
        <v>1.6991243432574432</v>
      </c>
      <c r="L220" s="134">
        <f t="shared" si="600"/>
        <v>3.6042031523642737</v>
      </c>
      <c r="M220" s="134">
        <f t="shared" si="600"/>
        <v>6.3772329246935211</v>
      </c>
      <c r="N220" s="134">
        <f t="shared" si="600"/>
        <v>4.7148861646234677</v>
      </c>
      <c r="O220" s="134">
        <f t="shared" si="600"/>
        <v>7.3996497373029779</v>
      </c>
      <c r="P220" s="134">
        <f t="shared" si="600"/>
        <v>9.3194395796847651</v>
      </c>
      <c r="Q220" s="134">
        <f t="shared" si="600"/>
        <v>14.784588441331</v>
      </c>
      <c r="R220" s="134">
        <f t="shared" si="600"/>
        <v>27.436077057793348</v>
      </c>
      <c r="S220" s="134">
        <f t="shared" si="600"/>
        <v>36.777583187390547</v>
      </c>
      <c r="T220" s="118">
        <f t="shared" si="535"/>
        <v>0.33938848873178529</v>
      </c>
      <c r="U220" s="128"/>
      <c r="V220" s="134">
        <f t="shared" ref="V220:AE220" si="601">V201/$U$170</f>
        <v>11.033274956217165</v>
      </c>
      <c r="W220" s="134">
        <f t="shared" si="601"/>
        <v>11.033274956217165</v>
      </c>
      <c r="X220" s="134">
        <f t="shared" si="601"/>
        <v>11.033274956217165</v>
      </c>
      <c r="Y220" s="134">
        <f t="shared" si="601"/>
        <v>11.033274956217165</v>
      </c>
      <c r="Z220" s="134">
        <f t="shared" si="601"/>
        <v>11.033274956217165</v>
      </c>
      <c r="AA220" s="134">
        <f t="shared" si="601"/>
        <v>11.033274956217165</v>
      </c>
      <c r="AB220" s="134">
        <f t="shared" si="601"/>
        <v>11.033274956217165</v>
      </c>
      <c r="AC220" s="134">
        <f t="shared" si="601"/>
        <v>11.033274956217165</v>
      </c>
      <c r="AD220" s="134">
        <f t="shared" si="601"/>
        <v>11.033274956217165</v>
      </c>
      <c r="AE220" s="134">
        <f t="shared" si="601"/>
        <v>11.033274956217165</v>
      </c>
      <c r="AF220" s="137">
        <f t="shared" ref="AF220:AF222" si="602">((AE220/I220)^(1/($AE$3-$J$1) ))-1</f>
        <v>6.8568346376756573E-2</v>
      </c>
      <c r="AG220" s="31">
        <f t="shared" si="598"/>
        <v>0.02</v>
      </c>
      <c r="AH220" s="179">
        <f>(AH206)/($N$2*100)</f>
        <v>0.32382924100190391</v>
      </c>
    </row>
    <row r="221" spans="2:34">
      <c r="B221" s="20" t="s">
        <v>466</v>
      </c>
      <c r="C221" s="129"/>
      <c r="D221" s="129"/>
      <c r="E221" s="129"/>
      <c r="F221" s="129"/>
      <c r="G221" s="179">
        <f t="shared" ref="G221:H221" si="603">(G220)/($N$2*100)</f>
        <v>0.13791593695271454</v>
      </c>
      <c r="H221" s="179">
        <f t="shared" si="603"/>
        <v>0.26121278458844133</v>
      </c>
      <c r="I221" s="179">
        <f t="shared" ref="I221:S221" si="604">(I220)/($N$2*100)</f>
        <v>0.34258318739054294</v>
      </c>
      <c r="J221" s="179">
        <f t="shared" si="604"/>
        <v>0.33467600700525396</v>
      </c>
      <c r="K221" s="179">
        <f t="shared" si="604"/>
        <v>0.2123905429071804</v>
      </c>
      <c r="L221" s="179">
        <f t="shared" si="604"/>
        <v>0.45052539404553421</v>
      </c>
      <c r="M221" s="179">
        <f t="shared" si="604"/>
        <v>0.79715411558669014</v>
      </c>
      <c r="N221" s="179">
        <f t="shared" si="604"/>
        <v>0.58936077057793346</v>
      </c>
      <c r="O221" s="179">
        <f t="shared" si="604"/>
        <v>0.92495621716287224</v>
      </c>
      <c r="P221" s="179">
        <f t="shared" si="604"/>
        <v>1.1649299474605956</v>
      </c>
      <c r="Q221" s="179">
        <f t="shared" si="604"/>
        <v>1.8480735551663749</v>
      </c>
      <c r="R221" s="179">
        <f t="shared" si="604"/>
        <v>3.4295096322241685</v>
      </c>
      <c r="S221" s="179">
        <f t="shared" si="604"/>
        <v>4.5971978984238184</v>
      </c>
      <c r="T221" s="118">
        <f t="shared" si="535"/>
        <v>0.33938848873178529</v>
      </c>
      <c r="U221" s="128"/>
      <c r="V221" s="179">
        <f t="shared" ref="V221:AE221" si="605">(V220)/($N$2*100)</f>
        <v>1.3791593695271456</v>
      </c>
      <c r="W221" s="179">
        <f t="shared" si="605"/>
        <v>1.3791593695271456</v>
      </c>
      <c r="X221" s="179">
        <f t="shared" si="605"/>
        <v>1.3791593695271456</v>
      </c>
      <c r="Y221" s="179">
        <f t="shared" si="605"/>
        <v>1.3791593695271456</v>
      </c>
      <c r="Z221" s="179">
        <f t="shared" si="605"/>
        <v>1.3791593695271456</v>
      </c>
      <c r="AA221" s="179">
        <f t="shared" si="605"/>
        <v>1.3791593695271456</v>
      </c>
      <c r="AB221" s="179">
        <f t="shared" si="605"/>
        <v>1.3791593695271456</v>
      </c>
      <c r="AC221" s="179">
        <f t="shared" si="605"/>
        <v>1.3791593695271456</v>
      </c>
      <c r="AD221" s="179">
        <f t="shared" si="605"/>
        <v>1.3791593695271456</v>
      </c>
      <c r="AE221" s="179">
        <f t="shared" si="605"/>
        <v>1.3791593695271456</v>
      </c>
      <c r="AF221" s="137">
        <f t="shared" si="602"/>
        <v>6.8568346376756573E-2</v>
      </c>
      <c r="AG221" s="31">
        <f t="shared" si="598"/>
        <v>0.02</v>
      </c>
      <c r="AH221" s="179">
        <f>(AH207)/($N$2*100)</f>
        <v>1.0838863343322713</v>
      </c>
    </row>
    <row r="222" spans="2:34">
      <c r="B222" s="20" t="s">
        <v>467</v>
      </c>
      <c r="C222" s="129"/>
      <c r="D222" s="129"/>
      <c r="E222" s="129"/>
      <c r="F222" s="129"/>
      <c r="G222" s="150">
        <f t="shared" ref="G222:H222" si="606">G221-1</f>
        <v>-0.86208406304728546</v>
      </c>
      <c r="H222" s="150">
        <f t="shared" si="606"/>
        <v>-0.73878721541155867</v>
      </c>
      <c r="I222" s="150">
        <f t="shared" ref="I222:S222" si="607">I221-1</f>
        <v>-0.65741681260945706</v>
      </c>
      <c r="J222" s="150">
        <f t="shared" si="607"/>
        <v>-0.66532399299474609</v>
      </c>
      <c r="K222" s="150">
        <f t="shared" si="607"/>
        <v>-0.7876094570928196</v>
      </c>
      <c r="L222" s="150">
        <f t="shared" si="607"/>
        <v>-0.54947460595446573</v>
      </c>
      <c r="M222" s="150">
        <f t="shared" si="607"/>
        <v>-0.20284588441330986</v>
      </c>
      <c r="N222" s="150">
        <f t="shared" si="607"/>
        <v>-0.41063922942206654</v>
      </c>
      <c r="O222" s="150">
        <f t="shared" si="607"/>
        <v>-7.5043782837127759E-2</v>
      </c>
      <c r="P222" s="150">
        <f t="shared" si="607"/>
        <v>0.16492994746059564</v>
      </c>
      <c r="Q222" s="150">
        <f t="shared" si="607"/>
        <v>0.84807355516637495</v>
      </c>
      <c r="R222" s="150">
        <f t="shared" si="607"/>
        <v>2.4295096322241685</v>
      </c>
      <c r="S222" s="150">
        <f t="shared" si="607"/>
        <v>3.5971978984238184</v>
      </c>
      <c r="T222" s="118" t="e">
        <f t="shared" si="535"/>
        <v>#NUM!</v>
      </c>
      <c r="U222" s="128"/>
      <c r="V222" s="150">
        <f t="shared" ref="V222:AE222" si="608">V221-1</f>
        <v>0.37915936952714557</v>
      </c>
      <c r="W222" s="150">
        <f t="shared" si="608"/>
        <v>0.37915936952714557</v>
      </c>
      <c r="X222" s="150">
        <f t="shared" si="608"/>
        <v>0.37915936952714557</v>
      </c>
      <c r="Y222" s="150">
        <f t="shared" si="608"/>
        <v>0.37915936952714557</v>
      </c>
      <c r="Z222" s="150">
        <f t="shared" si="608"/>
        <v>0.37915936952714557</v>
      </c>
      <c r="AA222" s="150">
        <f t="shared" si="608"/>
        <v>0.37915936952714557</v>
      </c>
      <c r="AB222" s="150">
        <f t="shared" si="608"/>
        <v>0.37915936952714557</v>
      </c>
      <c r="AC222" s="150">
        <f t="shared" si="608"/>
        <v>0.37915936952714557</v>
      </c>
      <c r="AD222" s="150">
        <f t="shared" si="608"/>
        <v>0.37915936952714557</v>
      </c>
      <c r="AE222" s="150">
        <f t="shared" si="608"/>
        <v>0.37915936952714557</v>
      </c>
      <c r="AF222" s="137">
        <f t="shared" si="602"/>
        <v>-1.9741327450042883</v>
      </c>
      <c r="AG222" s="31">
        <f t="shared" si="598"/>
        <v>0.02</v>
      </c>
      <c r="AH222" s="179">
        <f>(AH208)/($N$2*100)</f>
        <v>0.71592181586274739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471</v>
      </c>
      <c r="C224" s="129"/>
      <c r="D224" s="129"/>
      <c r="E224" s="129"/>
      <c r="F224" s="129"/>
      <c r="G224" s="150">
        <f t="shared" ref="G224:S224" si="609">1/G225</f>
        <v>1.48</v>
      </c>
      <c r="H224" s="150">
        <f t="shared" si="609"/>
        <v>0.78141499472016895</v>
      </c>
      <c r="I224" s="150">
        <f t="shared" si="609"/>
        <v>0.59581320450885666</v>
      </c>
      <c r="J224" s="150">
        <f t="shared" si="609"/>
        <v>0.60989010989010994</v>
      </c>
      <c r="K224" s="150">
        <f t="shared" si="609"/>
        <v>0.96103896103896103</v>
      </c>
      <c r="L224" s="150">
        <f t="shared" si="609"/>
        <v>0.45306122448979591</v>
      </c>
      <c r="M224" s="150">
        <f t="shared" si="609"/>
        <v>0.25605536332179929</v>
      </c>
      <c r="N224" s="150">
        <f t="shared" si="609"/>
        <v>0.34633385335413414</v>
      </c>
      <c r="O224" s="150">
        <f t="shared" si="609"/>
        <v>0.22067594433399601</v>
      </c>
      <c r="P224" s="150">
        <f t="shared" si="609"/>
        <v>0.17521704814522493</v>
      </c>
      <c r="Q224" s="150">
        <f t="shared" si="609"/>
        <v>0.11044776119402985</v>
      </c>
      <c r="R224" s="150">
        <f t="shared" si="609"/>
        <v>5.9517426273458449E-2</v>
      </c>
      <c r="S224" s="150">
        <f t="shared" si="609"/>
        <v>4.4400000000000002E-2</v>
      </c>
      <c r="T224" s="118">
        <f t="shared" si="535"/>
        <v>-0.25339062683235325</v>
      </c>
      <c r="U224" s="128"/>
      <c r="V224" s="150">
        <f t="shared" ref="V224:AE224" si="610">1/V225</f>
        <v>0.14799999999999999</v>
      </c>
      <c r="W224" s="150">
        <f t="shared" si="610"/>
        <v>0.14799999999999999</v>
      </c>
      <c r="X224" s="150">
        <f t="shared" si="610"/>
        <v>0.14799999999999999</v>
      </c>
      <c r="Y224" s="150">
        <f t="shared" si="610"/>
        <v>0.14799999999999999</v>
      </c>
      <c r="Z224" s="150">
        <f t="shared" si="610"/>
        <v>0.14799999999999999</v>
      </c>
      <c r="AA224" s="150">
        <f t="shared" si="610"/>
        <v>0.14799999999999999</v>
      </c>
      <c r="AB224" s="150">
        <f t="shared" si="610"/>
        <v>0.14799999999999999</v>
      </c>
      <c r="AC224" s="150">
        <f t="shared" si="610"/>
        <v>0.14799999999999999</v>
      </c>
      <c r="AD224" s="150">
        <f t="shared" si="610"/>
        <v>0.14799999999999999</v>
      </c>
      <c r="AE224" s="150">
        <f t="shared" si="610"/>
        <v>0.14799999999999999</v>
      </c>
      <c r="AF224" s="137">
        <f t="shared" ref="AF224" si="611">((AE224/I224)^(1/($AE$3-$J$1) ))-1</f>
        <v>-6.4168423675709962E-2</v>
      </c>
      <c r="AG224" s="31">
        <f t="shared" ref="AG224" si="612">$N$1</f>
        <v>0.02</v>
      </c>
      <c r="AH224" s="179">
        <f>(AH210)/($N$2*100)</f>
        <v>0</v>
      </c>
    </row>
    <row r="225" spans="2:48">
      <c r="B225" s="20" t="s">
        <v>473</v>
      </c>
      <c r="C225" s="129"/>
      <c r="D225" s="129"/>
      <c r="E225" s="129"/>
      <c r="F225" s="129"/>
      <c r="G225" s="134">
        <f t="shared" ref="G225:H225" si="613">G201/$S$170</f>
        <v>0.67567567567567566</v>
      </c>
      <c r="H225" s="134">
        <f t="shared" si="613"/>
        <v>1.2797297297297296</v>
      </c>
      <c r="I225" s="134">
        <f t="shared" ref="I225:S225" si="614">I201/$S$170</f>
        <v>1.6783783783783783</v>
      </c>
      <c r="J225" s="134">
        <f t="shared" si="614"/>
        <v>1.6396396396396395</v>
      </c>
      <c r="K225" s="134">
        <f t="shared" si="614"/>
        <v>1.0405405405405406</v>
      </c>
      <c r="L225" s="134">
        <f t="shared" si="614"/>
        <v>2.2072072072072073</v>
      </c>
      <c r="M225" s="134">
        <f t="shared" si="614"/>
        <v>3.9054054054054053</v>
      </c>
      <c r="N225" s="134">
        <f t="shared" si="614"/>
        <v>2.8873873873873874</v>
      </c>
      <c r="O225" s="134">
        <f t="shared" si="614"/>
        <v>4.5315315315315319</v>
      </c>
      <c r="P225" s="134">
        <f t="shared" si="614"/>
        <v>5.7072072072072073</v>
      </c>
      <c r="Q225" s="134">
        <f t="shared" si="614"/>
        <v>9.0540540540540544</v>
      </c>
      <c r="R225" s="134">
        <f t="shared" si="614"/>
        <v>16.801801801801801</v>
      </c>
      <c r="S225" s="134">
        <f t="shared" si="614"/>
        <v>22.522522522522522</v>
      </c>
      <c r="T225" s="118">
        <f t="shared" si="535"/>
        <v>0.33938848873178529</v>
      </c>
      <c r="U225" s="128"/>
      <c r="V225" s="134">
        <f t="shared" ref="V225:AE225" si="615">V201/$S$170</f>
        <v>6.756756756756757</v>
      </c>
      <c r="W225" s="134">
        <f t="shared" si="615"/>
        <v>6.756756756756757</v>
      </c>
      <c r="X225" s="134">
        <f t="shared" si="615"/>
        <v>6.756756756756757</v>
      </c>
      <c r="Y225" s="134">
        <f t="shared" si="615"/>
        <v>6.756756756756757</v>
      </c>
      <c r="Z225" s="134">
        <f t="shared" si="615"/>
        <v>6.756756756756757</v>
      </c>
      <c r="AA225" s="134">
        <f t="shared" si="615"/>
        <v>6.756756756756757</v>
      </c>
      <c r="AB225" s="134">
        <f t="shared" si="615"/>
        <v>6.756756756756757</v>
      </c>
      <c r="AC225" s="134">
        <f t="shared" si="615"/>
        <v>6.756756756756757</v>
      </c>
      <c r="AD225" s="134">
        <f t="shared" si="615"/>
        <v>6.756756756756757</v>
      </c>
      <c r="AE225" s="134">
        <f t="shared" si="615"/>
        <v>6.756756756756757</v>
      </c>
      <c r="AF225" s="137">
        <f t="shared" ref="AF225:AF227" si="616">((AE225/I225)^(1/($AE$3-$J$1) ))-1</f>
        <v>6.8568346376756573E-2</v>
      </c>
      <c r="AG225" s="31">
        <f t="shared" ref="AG225:AG227" si="617">$N$1</f>
        <v>0.02</v>
      </c>
      <c r="AH225" s="179">
        <f>(AH210)/($N$2*100)</f>
        <v>0</v>
      </c>
    </row>
    <row r="226" spans="2:48">
      <c r="B226" s="20" t="s">
        <v>466</v>
      </c>
      <c r="C226" s="129"/>
      <c r="D226" s="129"/>
      <c r="E226" s="129"/>
      <c r="F226" s="129"/>
      <c r="G226" s="179">
        <f t="shared" ref="G226:H226" si="618">(G225)/($N$2*100)</f>
        <v>8.4459459459459457E-2</v>
      </c>
      <c r="H226" s="179">
        <f t="shared" si="618"/>
        <v>0.15996621621621621</v>
      </c>
      <c r="I226" s="179">
        <f t="shared" ref="I226:S226" si="619">(I225)/($N$2*100)</f>
        <v>0.20979729729729729</v>
      </c>
      <c r="J226" s="179">
        <f t="shared" si="619"/>
        <v>0.20495495495495494</v>
      </c>
      <c r="K226" s="179">
        <f t="shared" si="619"/>
        <v>0.13006756756756757</v>
      </c>
      <c r="L226" s="179">
        <f t="shared" si="619"/>
        <v>0.27590090090090091</v>
      </c>
      <c r="M226" s="179">
        <f t="shared" si="619"/>
        <v>0.48817567567567566</v>
      </c>
      <c r="N226" s="179">
        <f t="shared" si="619"/>
        <v>0.36092342342342343</v>
      </c>
      <c r="O226" s="179">
        <f t="shared" si="619"/>
        <v>0.56644144144144148</v>
      </c>
      <c r="P226" s="179">
        <f t="shared" si="619"/>
        <v>0.71340090090090091</v>
      </c>
      <c r="Q226" s="179">
        <f t="shared" si="619"/>
        <v>1.1317567567567568</v>
      </c>
      <c r="R226" s="179">
        <f t="shared" si="619"/>
        <v>2.1002252252252251</v>
      </c>
      <c r="S226" s="179">
        <f t="shared" si="619"/>
        <v>2.8153153153153152</v>
      </c>
      <c r="T226" s="118">
        <f t="shared" si="535"/>
        <v>0.33938848873178529</v>
      </c>
      <c r="U226" s="128"/>
      <c r="V226" s="179">
        <f t="shared" ref="V226:AE226" si="620">(V225)/($N$2*100)</f>
        <v>0.84459459459459463</v>
      </c>
      <c r="W226" s="179">
        <f t="shared" si="620"/>
        <v>0.84459459459459463</v>
      </c>
      <c r="X226" s="179">
        <f t="shared" si="620"/>
        <v>0.84459459459459463</v>
      </c>
      <c r="Y226" s="179">
        <f t="shared" si="620"/>
        <v>0.84459459459459463</v>
      </c>
      <c r="Z226" s="179">
        <f t="shared" si="620"/>
        <v>0.84459459459459463</v>
      </c>
      <c r="AA226" s="179">
        <f t="shared" si="620"/>
        <v>0.84459459459459463</v>
      </c>
      <c r="AB226" s="179">
        <f t="shared" si="620"/>
        <v>0.84459459459459463</v>
      </c>
      <c r="AC226" s="179">
        <f t="shared" si="620"/>
        <v>0.84459459459459463</v>
      </c>
      <c r="AD226" s="179">
        <f t="shared" si="620"/>
        <v>0.84459459459459463</v>
      </c>
      <c r="AE226" s="179">
        <f t="shared" si="620"/>
        <v>0.84459459459459463</v>
      </c>
      <c r="AF226" s="137">
        <f t="shared" si="616"/>
        <v>6.8568346376756573E-2</v>
      </c>
      <c r="AG226" s="31">
        <f t="shared" si="617"/>
        <v>0.02</v>
      </c>
      <c r="AH226" s="179" t="e">
        <f>(#REF!)/($N$2*100)</f>
        <v>#REF!</v>
      </c>
    </row>
    <row r="227" spans="2:48">
      <c r="B227" s="20" t="s">
        <v>467</v>
      </c>
      <c r="C227" s="129"/>
      <c r="D227" s="129"/>
      <c r="E227" s="129"/>
      <c r="F227" s="129"/>
      <c r="G227" s="150">
        <f t="shared" ref="G227:H227" si="621">G226-1</f>
        <v>-0.91554054054054057</v>
      </c>
      <c r="H227" s="150">
        <f t="shared" si="621"/>
        <v>-0.84003378378378379</v>
      </c>
      <c r="I227" s="150">
        <f t="shared" ref="I227:S227" si="622">I226-1</f>
        <v>-0.79020270270270276</v>
      </c>
      <c r="J227" s="150">
        <f t="shared" si="622"/>
        <v>-0.79504504504504503</v>
      </c>
      <c r="K227" s="150">
        <f t="shared" si="622"/>
        <v>-0.86993243243243246</v>
      </c>
      <c r="L227" s="150">
        <f t="shared" si="622"/>
        <v>-0.72409909909909909</v>
      </c>
      <c r="M227" s="150">
        <f t="shared" si="622"/>
        <v>-0.51182432432432434</v>
      </c>
      <c r="N227" s="150">
        <f t="shared" si="622"/>
        <v>-0.63907657657657657</v>
      </c>
      <c r="O227" s="150">
        <f t="shared" si="622"/>
        <v>-0.43355855855855852</v>
      </c>
      <c r="P227" s="150">
        <f t="shared" si="622"/>
        <v>-0.28659909909909909</v>
      </c>
      <c r="Q227" s="150">
        <f t="shared" si="622"/>
        <v>0.1317567567567568</v>
      </c>
      <c r="R227" s="150">
        <f t="shared" si="622"/>
        <v>1.1002252252252251</v>
      </c>
      <c r="S227" s="150">
        <f t="shared" si="622"/>
        <v>1.8153153153153152</v>
      </c>
      <c r="T227" s="118" t="e">
        <f t="shared" si="535"/>
        <v>#NUM!</v>
      </c>
      <c r="U227" s="128"/>
      <c r="V227" s="150">
        <f t="shared" ref="V227:AE227" si="623">V226-1</f>
        <v>-0.15540540540540537</v>
      </c>
      <c r="W227" s="150">
        <f t="shared" si="623"/>
        <v>-0.15540540540540537</v>
      </c>
      <c r="X227" s="150">
        <f t="shared" si="623"/>
        <v>-0.15540540540540537</v>
      </c>
      <c r="Y227" s="150">
        <f t="shared" si="623"/>
        <v>-0.15540540540540537</v>
      </c>
      <c r="Z227" s="150">
        <f t="shared" si="623"/>
        <v>-0.15540540540540537</v>
      </c>
      <c r="AA227" s="150">
        <f t="shared" si="623"/>
        <v>-0.15540540540540537</v>
      </c>
      <c r="AB227" s="150">
        <f t="shared" si="623"/>
        <v>-0.15540540540540537</v>
      </c>
      <c r="AC227" s="150">
        <f t="shared" si="623"/>
        <v>-0.15540540540540537</v>
      </c>
      <c r="AD227" s="150">
        <f t="shared" si="623"/>
        <v>-0.15540540540540537</v>
      </c>
      <c r="AE227" s="150">
        <f t="shared" si="623"/>
        <v>-0.15540540540540537</v>
      </c>
      <c r="AF227" s="137">
        <f t="shared" si="616"/>
        <v>-7.4517989375119997E-2</v>
      </c>
      <c r="AG227" s="31">
        <f t="shared" si="617"/>
        <v>0.02</v>
      </c>
      <c r="AH227" s="179">
        <f>(AH211)/($N$2*100)</f>
        <v>4.5896261893013301E-3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6" t="s">
        <v>347</v>
      </c>
      <c r="N229" s="217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>
        <f>(S201-U188)/S201</f>
        <v>0.98775489705011132</v>
      </c>
      <c r="S230" s="128">
        <f>(S201-V188)/S201</f>
        <v>0.98960486168969675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0.25192607941205797</v>
      </c>
      <c r="P231" s="20"/>
      <c r="Q231" s="20"/>
      <c r="R231" s="128">
        <f>(S201-U179)/S201</f>
        <v>0.44193685524139525</v>
      </c>
      <c r="S231" s="128">
        <f>(S201-V179)/S201</f>
        <v>0.90851423856416313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0.25431921977165306</v>
      </c>
      <c r="P232" s="20"/>
      <c r="Q232" s="20"/>
      <c r="R232" s="128">
        <f>(S201-U172)/S201</f>
        <v>0.44372213794965321</v>
      </c>
      <c r="S232" s="128">
        <f>(S201-V172)/S201</f>
        <v>0.90880690786059892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 t="e">
        <f>(R201-(M233*U185))/R201</f>
        <v>#DIV/0!</v>
      </c>
      <c r="P233" s="20"/>
      <c r="Q233" s="20"/>
      <c r="R233" s="128" t="e">
        <f>(S201-U185)/S201</f>
        <v>#DIV/0!</v>
      </c>
      <c r="S233" s="128" t="e">
        <f>(S201-V185)/S201</f>
        <v>#DIV/0!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0.84649411662021989</v>
      </c>
      <c r="P234" s="20"/>
      <c r="Q234" s="20"/>
      <c r="R234" s="128">
        <f>(S201-U198)/S201</f>
        <v>0.88548461099868403</v>
      </c>
      <c r="S234" s="128">
        <f>(S201-V198)/S201</f>
        <v>0.90278535736298615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5.2083593655887812</v>
      </c>
      <c r="S235" s="25">
        <f>S201/V171</f>
        <v>31.770992130091571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>
      <c r="B236" s="20" t="s">
        <v>367</v>
      </c>
      <c r="C236" s="20"/>
      <c r="D236" s="20"/>
      <c r="E236" s="20"/>
      <c r="F236" s="20"/>
      <c r="G236" s="20"/>
      <c r="H236" s="20"/>
      <c r="I236" s="187" t="s">
        <v>444</v>
      </c>
      <c r="J236" s="188"/>
      <c r="K236" s="187" t="s">
        <v>445</v>
      </c>
      <c r="L236" s="188"/>
      <c r="M236" s="20"/>
      <c r="N236" s="187" t="s">
        <v>446</v>
      </c>
      <c r="O236" s="188"/>
      <c r="P236" s="187" t="s">
        <v>447</v>
      </c>
      <c r="Q236" s="188"/>
      <c r="R236" s="150">
        <f>1/R235</f>
        <v>0.19199904035173168</v>
      </c>
      <c r="S236" s="150">
        <f>1/S235</f>
        <v>3.1475252516677321E-2</v>
      </c>
      <c r="T236" s="20"/>
      <c r="U236" s="20"/>
      <c r="V236" s="129" t="e">
        <f>S201-V237</f>
        <v>#DIV/0!</v>
      </c>
      <c r="W236" s="183" t="e">
        <f>V236-W237</f>
        <v>#DIV/0!</v>
      </c>
      <c r="X236" s="183" t="e">
        <f t="shared" ref="X236:Z236" si="624">W236-X237</f>
        <v>#DIV/0!</v>
      </c>
      <c r="Y236" s="183" t="e">
        <f t="shared" si="624"/>
        <v>#DIV/0!</v>
      </c>
      <c r="Z236" s="183" t="e">
        <f t="shared" si="624"/>
        <v>#DIV/0!</v>
      </c>
      <c r="AA236" s="183" t="e">
        <f>Z236-AA237</f>
        <v>#DIV/0!</v>
      </c>
      <c r="AB236" s="183" t="e">
        <f t="shared" ref="AB236:AE236" si="625">AA236-AB237</f>
        <v>#DIV/0!</v>
      </c>
      <c r="AC236" s="183" t="e">
        <f t="shared" si="625"/>
        <v>#DIV/0!</v>
      </c>
      <c r="AD236" s="183" t="e">
        <f t="shared" si="625"/>
        <v>#DIV/0!</v>
      </c>
      <c r="AE236" s="183" t="e">
        <f t="shared" si="625"/>
        <v>#DIV/0!</v>
      </c>
      <c r="AF236" s="183" t="e">
        <f t="shared" ref="AF236" si="626">AE236-AF237</f>
        <v>#DIV/0!</v>
      </c>
      <c r="AG236" s="183" t="e">
        <f t="shared" ref="AG236" si="627">AF236-AG237</f>
        <v>#DIV/0!</v>
      </c>
      <c r="AH236" s="183" t="e">
        <f t="shared" ref="AH236" si="628">AG236-AH237</f>
        <v>#DIV/0!</v>
      </c>
      <c r="AI236" s="183" t="e">
        <f t="shared" ref="AI236" si="629">AH236-AI237</f>
        <v>#DIV/0!</v>
      </c>
      <c r="AJ236" s="183" t="e">
        <f t="shared" ref="AJ236" si="630">AI236-AJ237</f>
        <v>#DIV/0!</v>
      </c>
      <c r="AK236" s="183" t="e">
        <f t="shared" ref="AK236" si="631">AJ236-AK237</f>
        <v>#DIV/0!</v>
      </c>
      <c r="AL236" s="183" t="e">
        <f t="shared" ref="AL236" si="632">AK236-AL237</f>
        <v>#DIV/0!</v>
      </c>
      <c r="AM236" s="183" t="e">
        <f t="shared" ref="AM236" si="633">AL236-AM237</f>
        <v>#DIV/0!</v>
      </c>
      <c r="AN236" s="183" t="e">
        <f t="shared" ref="AN236" si="634">AM236-AN237</f>
        <v>#DIV/0!</v>
      </c>
      <c r="AO236" s="183" t="e">
        <f t="shared" ref="AO236" si="635">AN236-AO237</f>
        <v>#DIV/0!</v>
      </c>
      <c r="AP236" s="183" t="e">
        <f t="shared" ref="AP236" si="636">AO236-AP237</f>
        <v>#DIV/0!</v>
      </c>
      <c r="AQ236" s="183" t="e">
        <f t="shared" ref="AQ236" si="637">AP236-AQ237</f>
        <v>#DIV/0!</v>
      </c>
      <c r="AR236" s="183" t="e">
        <f t="shared" ref="AR236" si="638">AQ236-AR237</f>
        <v>#DIV/0!</v>
      </c>
      <c r="AS236" s="183" t="e">
        <f t="shared" ref="AS236" si="639">AR236-AS237</f>
        <v>#DIV/0!</v>
      </c>
      <c r="AT236" s="183" t="e">
        <f t="shared" ref="AT236" si="640">AS236-AT237</f>
        <v>#DIV/0!</v>
      </c>
      <c r="AU236" s="183" t="e">
        <f t="shared" ref="AU236" si="641">AT236-AU237</f>
        <v>#DIV/0!</v>
      </c>
      <c r="AV236" s="183" t="e">
        <f t="shared" ref="AV236" si="642">AU236-AV237</f>
        <v>#DIV/0!</v>
      </c>
    </row>
    <row r="237" spans="2:48">
      <c r="B237" s="20" t="s">
        <v>392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36.777583187390547</v>
      </c>
      <c r="S237" s="179" t="s">
        <v>465</v>
      </c>
      <c r="T237" s="20"/>
      <c r="U237" s="20"/>
      <c r="V237" s="184" t="e">
        <f>T170*(1+$M$237)</f>
        <v>#DIV/0!</v>
      </c>
      <c r="W237" s="184" t="e">
        <f>V237*(1+$M$237)</f>
        <v>#DIV/0!</v>
      </c>
      <c r="X237" s="184" t="e">
        <f t="shared" ref="X237:AE237" si="643">W237*(1+$M$237)</f>
        <v>#DIV/0!</v>
      </c>
      <c r="Y237" s="184" t="e">
        <f t="shared" si="643"/>
        <v>#DIV/0!</v>
      </c>
      <c r="Z237" s="184" t="e">
        <f t="shared" si="643"/>
        <v>#DIV/0!</v>
      </c>
      <c r="AA237" s="184" t="e">
        <f t="shared" si="643"/>
        <v>#DIV/0!</v>
      </c>
      <c r="AB237" s="184" t="e">
        <f t="shared" si="643"/>
        <v>#DIV/0!</v>
      </c>
      <c r="AC237" s="184" t="e">
        <f t="shared" si="643"/>
        <v>#DIV/0!</v>
      </c>
      <c r="AD237" s="184" t="e">
        <f t="shared" si="643"/>
        <v>#DIV/0!</v>
      </c>
      <c r="AE237" s="184" t="e">
        <f t="shared" si="643"/>
        <v>#DIV/0!</v>
      </c>
      <c r="AF237" s="184" t="e">
        <f t="shared" ref="AF237" si="644">AE237*(1+$M$237)</f>
        <v>#DIV/0!</v>
      </c>
      <c r="AG237" s="184" t="e">
        <f t="shared" ref="AG237" si="645">AF237*(1+$M$237)</f>
        <v>#DIV/0!</v>
      </c>
      <c r="AH237" s="184" t="e">
        <f t="shared" ref="AH237" si="646">AG237*(1+$M$237)</f>
        <v>#DIV/0!</v>
      </c>
      <c r="AI237" s="184" t="e">
        <f t="shared" ref="AI237" si="647">AH237*(1+$M$237)</f>
        <v>#DIV/0!</v>
      </c>
      <c r="AJ237" s="184" t="e">
        <f t="shared" ref="AJ237" si="648">AI237*(1+$M$237)</f>
        <v>#DIV/0!</v>
      </c>
      <c r="AK237" s="184" t="e">
        <f t="shared" ref="AK237" si="649">AJ237*(1+$M$237)</f>
        <v>#DIV/0!</v>
      </c>
      <c r="AL237" s="184" t="e">
        <f t="shared" ref="AL237" si="650">AK237*(1+$M$237)</f>
        <v>#DIV/0!</v>
      </c>
      <c r="AM237" s="184" t="e">
        <f t="shared" ref="AM237" si="651">AL237*(1+$M$237)</f>
        <v>#DIV/0!</v>
      </c>
      <c r="AN237" s="184" t="e">
        <f t="shared" ref="AN237" si="652">AM237*(1+$M$237)</f>
        <v>#DIV/0!</v>
      </c>
      <c r="AO237" s="184" t="e">
        <f t="shared" ref="AO237" si="653">AN237*(1+$M$237)</f>
        <v>#DIV/0!</v>
      </c>
      <c r="AP237" s="184" t="e">
        <f t="shared" ref="AP237" si="654">AO237*(1+$M$237)</f>
        <v>#DIV/0!</v>
      </c>
      <c r="AQ237" s="184" t="e">
        <f t="shared" ref="AQ237" si="655">AP237*(1+$M$237)</f>
        <v>#DIV/0!</v>
      </c>
      <c r="AR237" s="184" t="e">
        <f t="shared" ref="AR237" si="656">AQ237*(1+$M$237)</f>
        <v>#DIV/0!</v>
      </c>
      <c r="AS237" s="184" t="e">
        <f t="shared" ref="AS237" si="657">AR237*(1+$M$237)</f>
        <v>#DIV/0!</v>
      </c>
      <c r="AT237" s="184" t="e">
        <f t="shared" ref="AT237" si="658">AS237*(1+$M$237)</f>
        <v>#DIV/0!</v>
      </c>
      <c r="AU237" s="184" t="e">
        <f t="shared" ref="AU237" si="659">AT237*(1+$M$237)</f>
        <v>#DIV/0!</v>
      </c>
      <c r="AV237" s="184" t="e">
        <f t="shared" ref="AV237" si="660">AU237*(1+$M$237)</f>
        <v>#DIV/0!</v>
      </c>
    </row>
    <row r="238" spans="2:48">
      <c r="B238" s="20" t="s">
        <v>391</v>
      </c>
      <c r="C238" s="20"/>
      <c r="D238" s="20"/>
      <c r="E238" s="23" t="s">
        <v>387</v>
      </c>
      <c r="F238" s="23"/>
      <c r="G238" s="23"/>
      <c r="H238" s="22"/>
      <c r="I238" s="189">
        <v>0</v>
      </c>
      <c r="J238" s="190">
        <f>S203</f>
        <v>8.8757396449704125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464</v>
      </c>
      <c r="R238" s="179">
        <f>S201/S72</f>
        <v>8.8757396449704125</v>
      </c>
      <c r="S238" s="179" t="s">
        <v>465</v>
      </c>
      <c r="T238" s="20"/>
      <c r="U238" s="20"/>
      <c r="V238" s="184">
        <f>S72*(1+$M$238)</f>
        <v>5915.0000000000009</v>
      </c>
      <c r="W238" s="184">
        <f>V238*(1+$M$238)</f>
        <v>6210.7500000000009</v>
      </c>
      <c r="X238" s="184">
        <f t="shared" ref="X238:AE238" si="661">W238*(1+$M$238)</f>
        <v>6521.2875000000013</v>
      </c>
      <c r="Y238" s="184">
        <f t="shared" si="661"/>
        <v>6847.3518750000012</v>
      </c>
      <c r="Z238" s="184">
        <f t="shared" si="661"/>
        <v>7189.7194687500014</v>
      </c>
      <c r="AA238" s="184">
        <f t="shared" si="661"/>
        <v>7549.2054421875018</v>
      </c>
      <c r="AB238" s="184">
        <f t="shared" si="661"/>
        <v>7926.665714296877</v>
      </c>
      <c r="AC238" s="184">
        <f t="shared" si="661"/>
        <v>8322.9990000117214</v>
      </c>
      <c r="AD238" s="184">
        <f t="shared" si="661"/>
        <v>8739.148950012308</v>
      </c>
      <c r="AE238" s="184">
        <f t="shared" si="661"/>
        <v>9176.1063975129236</v>
      </c>
      <c r="AF238" s="184">
        <f t="shared" ref="AF238" si="662">AE238*(1+$M$238)</f>
        <v>9634.9117173885697</v>
      </c>
      <c r="AG238" s="184">
        <f t="shared" ref="AG238" si="663">AF238*(1+$M$238)</f>
        <v>10116.657303257998</v>
      </c>
      <c r="AH238" s="184">
        <f t="shared" ref="AH238" si="664">AG238*(1+$M$238)</f>
        <v>10622.490168420898</v>
      </c>
      <c r="AI238" s="184">
        <f t="shared" ref="AI238" si="665">AH238*(1+$M$238)</f>
        <v>11153.614676841944</v>
      </c>
      <c r="AJ238" s="184">
        <f t="shared" ref="AJ238" si="666">AI238*(1+$M$238)</f>
        <v>11711.295410684043</v>
      </c>
      <c r="AK238" s="184">
        <f t="shared" ref="AK238" si="667">AJ238*(1+$M$238)</f>
        <v>12296.860181218246</v>
      </c>
      <c r="AL238" s="184">
        <f t="shared" ref="AL238" si="668">AK238*(1+$M$238)</f>
        <v>12911.703190279159</v>
      </c>
      <c r="AM238" s="184">
        <f t="shared" ref="AM238" si="669">AL238*(1+$M$238)</f>
        <v>13557.288349793118</v>
      </c>
      <c r="AN238" s="184">
        <f t="shared" ref="AN238" si="670">AM238*(1+$M$238)</f>
        <v>14235.152767282774</v>
      </c>
      <c r="AO238" s="184">
        <f t="shared" ref="AO238" si="671">AN238*(1+$M$238)</f>
        <v>14946.910405646913</v>
      </c>
      <c r="AP238" s="184">
        <f t="shared" ref="AP238" si="672">AO238*(1+$M$238)</f>
        <v>15694.255925929259</v>
      </c>
      <c r="AQ238" s="184">
        <f t="shared" ref="AQ238" si="673">AP238*(1+$M$238)</f>
        <v>16478.968722225723</v>
      </c>
      <c r="AR238" s="184">
        <f t="shared" ref="AR238" si="674">AQ238*(1+$M$238)</f>
        <v>17302.917158337012</v>
      </c>
      <c r="AS238" s="184">
        <f t="shared" ref="AS238" si="675">AR238*(1+$M$238)</f>
        <v>18168.063016253862</v>
      </c>
      <c r="AT238" s="184">
        <f t="shared" ref="AT238" si="676">AS238*(1+$M$238)</f>
        <v>19076.466167066555</v>
      </c>
      <c r="AU238" s="184">
        <f t="shared" ref="AU238" si="677">AT238*(1+$M$238)</f>
        <v>20030.289475419882</v>
      </c>
      <c r="AV238" s="184">
        <f t="shared" ref="AV238" si="678">AU238*(1+$M$238)</f>
        <v>21031.803949190878</v>
      </c>
    </row>
    <row r="239" spans="2:48">
      <c r="B239" s="20"/>
      <c r="C239" s="20"/>
      <c r="D239" s="20"/>
      <c r="E239" s="23" t="s">
        <v>450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44085</v>
      </c>
      <c r="W239" s="183">
        <f>V239-W238</f>
        <v>37874.25</v>
      </c>
      <c r="X239" s="183">
        <f t="shared" ref="X239:AC239" si="679">W239-X238</f>
        <v>31352.962499999998</v>
      </c>
      <c r="Y239" s="183">
        <f t="shared" si="679"/>
        <v>24505.610624999998</v>
      </c>
      <c r="Z239" s="183">
        <f t="shared" si="679"/>
        <v>17315.891156249996</v>
      </c>
      <c r="AA239" s="183">
        <f t="shared" si="679"/>
        <v>9766.6857140624943</v>
      </c>
      <c r="AB239" s="183">
        <f t="shared" si="679"/>
        <v>1840.0199997656173</v>
      </c>
      <c r="AC239" s="183">
        <f t="shared" si="679"/>
        <v>-6482.9790002461041</v>
      </c>
      <c r="AD239" s="183">
        <f>AC239-AD238</f>
        <v>-15222.127950258411</v>
      </c>
      <c r="AE239" s="183">
        <f t="shared" ref="AE239" si="680">AD239-AE238</f>
        <v>-24398.234347771337</v>
      </c>
      <c r="AF239" s="183">
        <f t="shared" ref="AF239" si="681">AE239-AF238</f>
        <v>-34033.146065159905</v>
      </c>
      <c r="AG239" s="183">
        <f t="shared" ref="AG239" si="682">AF239-AG238</f>
        <v>-44149.803368417903</v>
      </c>
      <c r="AH239" s="183">
        <f t="shared" ref="AH239" si="683">AG239-AH238</f>
        <v>-54772.293536838799</v>
      </c>
      <c r="AI239" s="183">
        <f t="shared" ref="AI239" si="684">AH239-AI238</f>
        <v>-65925.908213680741</v>
      </c>
      <c r="AJ239" s="183">
        <f t="shared" ref="AJ239" si="685">AI239-AJ238</f>
        <v>-77637.203624364789</v>
      </c>
      <c r="AK239" s="183">
        <f t="shared" ref="AK239" si="686">AJ239-AK238</f>
        <v>-89934.063805583035</v>
      </c>
      <c r="AL239" s="183">
        <f t="shared" ref="AL239" si="687">AK239-AL238</f>
        <v>-102845.7669958622</v>
      </c>
      <c r="AM239" s="183">
        <f t="shared" ref="AM239" si="688">AL239-AM238</f>
        <v>-116403.05534565532</v>
      </c>
      <c r="AN239" s="183">
        <f t="shared" ref="AN239" si="689">AM239-AN238</f>
        <v>-130638.2081129381</v>
      </c>
      <c r="AO239" s="183">
        <f t="shared" ref="AO239" si="690">AN239-AO238</f>
        <v>-145585.11851858502</v>
      </c>
      <c r="AP239" s="183">
        <f t="shared" ref="AP239" si="691">AO239-AP238</f>
        <v>-161279.37444451428</v>
      </c>
      <c r="AQ239" s="183">
        <f t="shared" ref="AQ239" si="692">AP239-AQ238</f>
        <v>-177758.34316674</v>
      </c>
      <c r="AR239" s="183">
        <f t="shared" ref="AR239" si="693">AQ239-AR238</f>
        <v>-195061.26032507702</v>
      </c>
      <c r="AS239" s="183">
        <f t="shared" ref="AS239" si="694">AR239-AS238</f>
        <v>-213229.32334133089</v>
      </c>
      <c r="AT239" s="183">
        <f t="shared" ref="AT239" si="695">AS239-AT238</f>
        <v>-232305.78950839746</v>
      </c>
      <c r="AU239" s="183">
        <f t="shared" ref="AU239" si="696">AT239-AU238</f>
        <v>-252336.07898381734</v>
      </c>
      <c r="AV239" s="183">
        <f t="shared" ref="AV239" si="697">AU239-AV238</f>
        <v>-273367.88293300819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98">G10/G7</f>
        <v>0.41477272727272729</v>
      </c>
      <c r="H241" s="25">
        <f t="shared" si="698"/>
        <v>0.55325034578146615</v>
      </c>
      <c r="I241" s="25">
        <f t="shared" ref="I241:S241" si="699">I10/I7</f>
        <v>0.65533980582524276</v>
      </c>
      <c r="J241" s="25">
        <f t="shared" si="699"/>
        <v>0.61749745676500511</v>
      </c>
      <c r="K241" s="25">
        <f t="shared" si="699"/>
        <v>0.86123545210384955</v>
      </c>
      <c r="L241" s="25">
        <f t="shared" si="699"/>
        <v>0.21549815498154981</v>
      </c>
      <c r="M241" s="25">
        <f t="shared" si="699"/>
        <v>0.56398104265402849</v>
      </c>
      <c r="N241" s="25">
        <f t="shared" si="699"/>
        <v>0.66085440278988661</v>
      </c>
      <c r="O241" s="25">
        <f t="shared" si="699"/>
        <v>0.57008039147151346</v>
      </c>
      <c r="P241" s="25">
        <f t="shared" si="699"/>
        <v>0.62735978112175106</v>
      </c>
      <c r="Q241" s="25">
        <f t="shared" si="699"/>
        <v>5.8782103479389954E-2</v>
      </c>
      <c r="R241" s="25" t="e">
        <f t="shared" si="699"/>
        <v>#DIV/0!</v>
      </c>
      <c r="S241" s="25">
        <f t="shared" si="699"/>
        <v>0.45805981035740334</v>
      </c>
      <c r="T241" s="118" t="e">
        <f t="shared" ref="T241:T243" si="700">((R241/I241)^(1/($J$2-$J$1) ))-1</f>
        <v>#DIV/0!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701">G10/G12</f>
        <v>7.3</v>
      </c>
      <c r="H242" s="112">
        <f t="shared" si="701"/>
        <v>11.111111111111111</v>
      </c>
      <c r="I242" s="112">
        <f t="shared" ref="I242:S242" si="702">I10/I12</f>
        <v>10.188679245283019</v>
      </c>
      <c r="J242" s="112">
        <f t="shared" si="702"/>
        <v>8.3150684931506849</v>
      </c>
      <c r="K242" s="112">
        <f t="shared" si="702"/>
        <v>9.4313725490196081</v>
      </c>
      <c r="L242" s="112">
        <f t="shared" si="702"/>
        <v>4.8666666666666663</v>
      </c>
      <c r="M242" s="112">
        <f t="shared" si="702"/>
        <v>17.62962962962963</v>
      </c>
      <c r="N242" s="112">
        <f t="shared" si="702"/>
        <v>26.137931034482758</v>
      </c>
      <c r="O242" s="112">
        <f t="shared" si="702"/>
        <v>25.092307692307692</v>
      </c>
      <c r="P242" s="112">
        <f t="shared" si="702"/>
        <v>6.8041543026706233</v>
      </c>
      <c r="Q242" s="112">
        <f t="shared" si="702"/>
        <v>3.6740027510316366</v>
      </c>
      <c r="R242" s="112" t="e">
        <f t="shared" si="702"/>
        <v>#DIV/0!</v>
      </c>
      <c r="S242" s="112">
        <f t="shared" si="702"/>
        <v>24.920634920634921</v>
      </c>
      <c r="T242" s="118" t="e">
        <f t="shared" si="700"/>
        <v>#DIV/0!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3">G10/(G12+G13)</f>
        <v>2.5391304347826087</v>
      </c>
      <c r="H243" s="25">
        <f t="shared" si="703"/>
        <v>3.5714285714285716</v>
      </c>
      <c r="I243" s="25">
        <f t="shared" ref="I243:S243" si="704">I10/(I12+I13)</f>
        <v>4.5762711864406782</v>
      </c>
      <c r="J243" s="25">
        <f t="shared" si="704"/>
        <v>4.3357142857142854</v>
      </c>
      <c r="K243" s="25">
        <f t="shared" si="704"/>
        <v>5.7951807228915664</v>
      </c>
      <c r="L243" s="25">
        <f t="shared" si="704"/>
        <v>1.4313725490196079</v>
      </c>
      <c r="M243" s="25">
        <f t="shared" si="704"/>
        <v>7.4960629921259843</v>
      </c>
      <c r="N243" s="25">
        <f t="shared" si="704"/>
        <v>11.572519083969466</v>
      </c>
      <c r="O243" s="25">
        <f t="shared" si="704"/>
        <v>3.2949494949494951</v>
      </c>
      <c r="P243" s="25">
        <f t="shared" si="704"/>
        <v>1.9699312714776633</v>
      </c>
      <c r="Q243" s="25">
        <f t="shared" si="704"/>
        <v>1.5974880382775121</v>
      </c>
      <c r="R243" s="25" t="e">
        <f t="shared" si="704"/>
        <v>#DIV/0!</v>
      </c>
      <c r="S243" s="25">
        <f t="shared" si="704"/>
        <v>1.5858585858585859</v>
      </c>
      <c r="T243" s="118" t="e">
        <f t="shared" si="700"/>
        <v>#DIV/0!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373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3" t="s">
        <v>333</v>
      </c>
      <c r="O246" s="214"/>
      <c r="P246" s="215"/>
      <c r="Q246" s="23" t="s">
        <v>336</v>
      </c>
      <c r="R246" s="20"/>
      <c r="S246" s="136"/>
      <c r="T246" s="213" t="s">
        <v>334</v>
      </c>
      <c r="U246" s="214"/>
      <c r="V246" s="215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335</v>
      </c>
      <c r="D247" s="164" t="s">
        <v>0</v>
      </c>
      <c r="E247" s="164" t="s">
        <v>374</v>
      </c>
      <c r="F247" s="164"/>
      <c r="G247" s="164"/>
      <c r="H247" s="164" t="s">
        <v>375</v>
      </c>
      <c r="I247" s="164" t="s">
        <v>376</v>
      </c>
      <c r="J247" s="164" t="s">
        <v>377</v>
      </c>
      <c r="K247" s="164" t="s">
        <v>378</v>
      </c>
      <c r="L247" s="164" t="s">
        <v>379</v>
      </c>
      <c r="M247" s="20"/>
      <c r="N247" s="164" t="s">
        <v>335</v>
      </c>
      <c r="O247" s="164"/>
      <c r="P247" s="164" t="s">
        <v>0</v>
      </c>
      <c r="Q247" s="164" t="s">
        <v>368</v>
      </c>
      <c r="R247" s="20"/>
      <c r="S247" s="20"/>
      <c r="T247" s="164" t="s">
        <v>335</v>
      </c>
      <c r="U247" s="164"/>
      <c r="V247" s="164" t="s">
        <v>0</v>
      </c>
      <c r="W247" s="164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337</v>
      </c>
      <c r="D248" s="21">
        <v>1950</v>
      </c>
      <c r="E248" s="174" t="s">
        <v>380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337</v>
      </c>
      <c r="O248" s="165"/>
      <c r="P248" s="21">
        <v>1</v>
      </c>
      <c r="Q248" s="171">
        <f>P248</f>
        <v>1</v>
      </c>
      <c r="R248" s="20"/>
      <c r="S248" s="20"/>
      <c r="T248" s="165" t="s">
        <v>337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338</v>
      </c>
      <c r="D249" s="21">
        <v>1</v>
      </c>
      <c r="E249" s="174" t="s">
        <v>381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338</v>
      </c>
      <c r="O249" s="165"/>
      <c r="P249" s="21">
        <v>1</v>
      </c>
      <c r="Q249" s="171">
        <f>P249</f>
        <v>1</v>
      </c>
      <c r="R249" s="20"/>
      <c r="S249" s="20"/>
      <c r="T249" s="165" t="s">
        <v>338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340</v>
      </c>
      <c r="D250" s="166">
        <f>D248*D249</f>
        <v>1950</v>
      </c>
      <c r="E250" s="174" t="s">
        <v>393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339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340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451</v>
      </c>
      <c r="F251" s="174"/>
      <c r="G251" s="174"/>
      <c r="H251" s="22">
        <v>0</v>
      </c>
      <c r="I251" s="22">
        <v>1</v>
      </c>
      <c r="J251" s="165">
        <f t="shared" ref="J251:J254" si="705">H251/I251</f>
        <v>0</v>
      </c>
      <c r="K251" s="165">
        <f t="shared" ref="K251:K253" si="706">J251*L250</f>
        <v>0</v>
      </c>
      <c r="L251" s="165">
        <f t="shared" ref="L251:L253" si="707">K251+L250</f>
        <v>2</v>
      </c>
      <c r="M251" s="20"/>
      <c r="N251" s="165" t="s">
        <v>341</v>
      </c>
      <c r="O251" s="165"/>
      <c r="P251" s="21">
        <v>1</v>
      </c>
      <c r="Q251" s="21">
        <v>1</v>
      </c>
      <c r="R251" s="20"/>
      <c r="S251" s="20"/>
      <c r="T251" s="165" t="s">
        <v>341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452</v>
      </c>
      <c r="F252" s="174"/>
      <c r="G252" s="174"/>
      <c r="H252" s="22">
        <v>0</v>
      </c>
      <c r="I252" s="22">
        <v>1</v>
      </c>
      <c r="J252" s="165">
        <f t="shared" si="705"/>
        <v>0</v>
      </c>
      <c r="K252" s="165">
        <f t="shared" si="706"/>
        <v>0</v>
      </c>
      <c r="L252" s="165">
        <f t="shared" si="707"/>
        <v>2</v>
      </c>
      <c r="M252" s="20"/>
      <c r="N252" s="165" t="s">
        <v>342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338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453</v>
      </c>
      <c r="F253" s="174"/>
      <c r="G253" s="174"/>
      <c r="H253" s="22">
        <v>0</v>
      </c>
      <c r="I253" s="22">
        <v>1</v>
      </c>
      <c r="J253" s="165">
        <f t="shared" si="705"/>
        <v>0</v>
      </c>
      <c r="K253" s="165">
        <f t="shared" si="706"/>
        <v>0</v>
      </c>
      <c r="L253" s="165">
        <f t="shared" si="707"/>
        <v>2</v>
      </c>
      <c r="M253" s="20"/>
      <c r="N253" s="165"/>
      <c r="O253" s="165"/>
      <c r="P253" s="166"/>
      <c r="Q253" s="166"/>
      <c r="R253" s="20"/>
      <c r="S253" s="20"/>
      <c r="T253" s="165" t="s">
        <v>340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382</v>
      </c>
      <c r="F254" s="174"/>
      <c r="G254" s="174"/>
      <c r="H254" s="22">
        <v>10</v>
      </c>
      <c r="I254" s="22">
        <v>2</v>
      </c>
      <c r="J254" s="165">
        <f t="shared" si="705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454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343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343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341</v>
      </c>
      <c r="D256" s="21">
        <v>55000</v>
      </c>
      <c r="E256" s="174"/>
      <c r="F256" s="174"/>
      <c r="G256" s="174"/>
      <c r="H256" s="165"/>
      <c r="I256" s="165"/>
      <c r="J256" s="167" t="s">
        <v>383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338</v>
      </c>
      <c r="D257" s="21">
        <v>1</v>
      </c>
      <c r="E257" s="174" t="s">
        <v>382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340</v>
      </c>
      <c r="D258" s="166">
        <f>D257*D256</f>
        <v>55000</v>
      </c>
      <c r="E258" s="165"/>
      <c r="F258" s="165"/>
      <c r="G258" s="165"/>
      <c r="H258" s="165"/>
      <c r="I258" s="165"/>
      <c r="J258" s="167" t="s">
        <v>383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382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343</v>
      </c>
      <c r="D260" s="168">
        <f>D258/D250</f>
        <v>28.205128205128204</v>
      </c>
      <c r="E260" s="174"/>
      <c r="F260" s="174"/>
      <c r="G260" s="174"/>
      <c r="H260" s="165"/>
      <c r="I260" s="165"/>
      <c r="J260" s="167" t="s">
        <v>383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6" t="s">
        <v>27</v>
      </c>
      <c r="E263" s="207"/>
      <c r="F263" s="207"/>
      <c r="G263" s="207"/>
      <c r="H263" s="207"/>
      <c r="I263" s="208"/>
      <c r="J263" s="20"/>
      <c r="K263" s="206" t="s">
        <v>388</v>
      </c>
      <c r="L263" s="207"/>
      <c r="M263" s="20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1950</v>
      </c>
      <c r="I264" s="21">
        <f>D250</f>
        <v>1950</v>
      </c>
      <c r="J264" s="20"/>
      <c r="K264" s="20" t="s">
        <v>28</v>
      </c>
      <c r="L264" s="127"/>
      <c r="M264" s="21">
        <f>I264</f>
        <v>1950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55000</v>
      </c>
      <c r="J265" s="20"/>
      <c r="K265" s="20" t="s">
        <v>29</v>
      </c>
      <c r="L265" s="20"/>
      <c r="M265" s="21">
        <f>I265</f>
        <v>55000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-0.53119035407657067</v>
      </c>
      <c r="I267" s="3">
        <f>((I265/I264)^(1/I266))-1</f>
        <v>0.39647385059042928</v>
      </c>
      <c r="J267" s="20"/>
      <c r="K267" s="23" t="s">
        <v>389</v>
      </c>
      <c r="L267" s="23"/>
      <c r="M267" s="191">
        <f>(M265-M264)/M264</f>
        <v>27.205128205128204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28.205128205128204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-0.53119035407657067</v>
      </c>
      <c r="I270" s="3">
        <f>((I265/I264)^(1/I269))-1</f>
        <v>0.39647385059042928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427</v>
      </c>
      <c r="C3" s="225"/>
      <c r="F3" s="224" t="s">
        <v>428</v>
      </c>
      <c r="G3" s="225"/>
    </row>
    <row r="4" spans="2:7">
      <c r="B4" s="186" t="s">
        <v>429</v>
      </c>
      <c r="C4" s="186"/>
      <c r="F4" s="186" t="s">
        <v>430</v>
      </c>
      <c r="G4" s="186"/>
    </row>
    <row r="5" spans="2:7">
      <c r="B5" s="186" t="s">
        <v>431</v>
      </c>
      <c r="C5" s="186"/>
      <c r="F5" s="186" t="s">
        <v>291</v>
      </c>
      <c r="G5" s="186"/>
    </row>
    <row r="6" spans="2:7">
      <c r="B6" s="186" t="s">
        <v>432</v>
      </c>
      <c r="C6" s="186"/>
      <c r="F6" s="186" t="s">
        <v>433</v>
      </c>
      <c r="G6" s="186"/>
    </row>
    <row r="7" spans="2:7">
      <c r="B7" s="186" t="s">
        <v>434</v>
      </c>
      <c r="C7" s="186"/>
      <c r="F7" s="186" t="s">
        <v>435</v>
      </c>
      <c r="G7" s="186"/>
    </row>
    <row r="8" spans="2:7">
      <c r="B8" s="186" t="s">
        <v>436</v>
      </c>
      <c r="C8" s="186"/>
      <c r="F8" s="186" t="s">
        <v>437</v>
      </c>
      <c r="G8" s="186"/>
    </row>
    <row r="9" spans="2:7">
      <c r="B9" s="186" t="s">
        <v>438</v>
      </c>
      <c r="C9" s="186"/>
      <c r="F9" s="186" t="s">
        <v>439</v>
      </c>
      <c r="G9" s="186"/>
    </row>
    <row r="10" spans="2:7">
      <c r="B10" s="186" t="s">
        <v>437</v>
      </c>
      <c r="C10" s="186"/>
      <c r="F10" s="186"/>
      <c r="G10" s="186"/>
    </row>
    <row r="11" spans="2:7">
      <c r="B11" s="186" t="s">
        <v>440</v>
      </c>
      <c r="C11" s="186"/>
      <c r="F11" s="186"/>
      <c r="G11" s="186"/>
    </row>
    <row r="12" spans="2:7">
      <c r="B12" s="186" t="s">
        <v>441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2016-10-12T02:32:43Z</dcterms:modified>
</cp:coreProperties>
</file>
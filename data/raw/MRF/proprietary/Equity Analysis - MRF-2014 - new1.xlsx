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D220" i="18" l="1"/>
  <c r="C1" i="18" l="1"/>
  <c r="Q45" i="18" l="1"/>
  <c r="P45" i="18"/>
  <c r="O45" i="18"/>
  <c r="N45" i="18"/>
  <c r="M45" i="18"/>
  <c r="L45" i="18"/>
  <c r="K45" i="18"/>
  <c r="J45" i="18"/>
  <c r="I45" i="18"/>
  <c r="H45" i="18"/>
  <c r="H43" i="18"/>
  <c r="I43" i="18"/>
  <c r="J43" i="18"/>
  <c r="K43" i="18"/>
  <c r="L43" i="18"/>
  <c r="M43" i="18"/>
  <c r="N43" i="18"/>
  <c r="O43" i="18"/>
  <c r="P43" i="18"/>
  <c r="Q43" i="18"/>
  <c r="Q41" i="18"/>
  <c r="P41" i="18"/>
  <c r="O41" i="18"/>
  <c r="N41" i="18"/>
  <c r="M41" i="18"/>
  <c r="L41" i="18"/>
  <c r="K41" i="18"/>
  <c r="J41" i="18"/>
  <c r="I41" i="18"/>
  <c r="H41" i="18"/>
  <c r="Q39" i="18"/>
  <c r="P39" i="18"/>
  <c r="O39" i="18"/>
  <c r="N39" i="18"/>
  <c r="M39" i="18"/>
  <c r="L39" i="18"/>
  <c r="K39" i="18"/>
  <c r="J39" i="18"/>
  <c r="I39" i="18"/>
  <c r="H39" i="18"/>
  <c r="Q37" i="18"/>
  <c r="P37" i="18"/>
  <c r="O37" i="18"/>
  <c r="N37" i="18"/>
  <c r="M37" i="18"/>
  <c r="L37" i="18"/>
  <c r="K37" i="18"/>
  <c r="J37" i="18"/>
  <c r="I37" i="18"/>
  <c r="H37" i="18"/>
  <c r="Q30" i="18"/>
  <c r="P30" i="18"/>
  <c r="O30" i="18"/>
  <c r="N30" i="18"/>
  <c r="M30" i="18"/>
  <c r="L30" i="18"/>
  <c r="K30" i="18"/>
  <c r="J30" i="18"/>
  <c r="I30" i="18"/>
  <c r="H30" i="18"/>
  <c r="H28" i="18"/>
  <c r="I28" i="18"/>
  <c r="J28" i="18"/>
  <c r="K28" i="18"/>
  <c r="L28" i="18"/>
  <c r="M28" i="18"/>
  <c r="N28" i="18"/>
  <c r="O28" i="18"/>
  <c r="P28" i="18"/>
  <c r="Q28" i="18"/>
  <c r="Q26" i="18"/>
  <c r="P26" i="18"/>
  <c r="O26" i="18"/>
  <c r="N26" i="18"/>
  <c r="M26" i="18"/>
  <c r="L26" i="18"/>
  <c r="K26" i="18"/>
  <c r="J26" i="18"/>
  <c r="I26" i="18"/>
  <c r="H26" i="18"/>
  <c r="Q11" i="18"/>
  <c r="P11" i="18"/>
  <c r="O11" i="18"/>
  <c r="N11" i="18"/>
  <c r="M11" i="18"/>
  <c r="L11" i="18"/>
  <c r="K11" i="18"/>
  <c r="J11" i="18"/>
  <c r="I11" i="18"/>
  <c r="H11" i="18"/>
  <c r="Q8" i="18"/>
  <c r="P8" i="18"/>
  <c r="O8" i="18"/>
  <c r="N8" i="18"/>
  <c r="M8" i="18"/>
  <c r="L8" i="18"/>
  <c r="K8" i="18"/>
  <c r="J8" i="18"/>
  <c r="I8" i="18"/>
  <c r="H8" i="18"/>
  <c r="G8" i="18"/>
  <c r="G45" i="18" l="1"/>
  <c r="R20" i="18" l="1"/>
  <c r="AE56" i="18" l="1"/>
  <c r="AE55" i="18"/>
  <c r="AE53" i="18"/>
  <c r="G56" i="18"/>
  <c r="G180" i="18" s="1"/>
  <c r="H56" i="18"/>
  <c r="H180" i="18" s="1"/>
  <c r="I56" i="18"/>
  <c r="I180" i="18" s="1"/>
  <c r="J56" i="18"/>
  <c r="J180" i="18" s="1"/>
  <c r="K56" i="18"/>
  <c r="K180" i="18" s="1"/>
  <c r="L56" i="18"/>
  <c r="L180" i="18" s="1"/>
  <c r="M56" i="18"/>
  <c r="M180" i="18" s="1"/>
  <c r="N56" i="18"/>
  <c r="N180" i="18" s="1"/>
  <c r="O56" i="18"/>
  <c r="O180" i="18" s="1"/>
  <c r="P56" i="18"/>
  <c r="Q56" i="18"/>
  <c r="Q180" i="18" s="1"/>
  <c r="G55" i="18"/>
  <c r="G179" i="18" s="1"/>
  <c r="H55" i="18"/>
  <c r="H179" i="18" s="1"/>
  <c r="I55" i="18"/>
  <c r="I179" i="18" s="1"/>
  <c r="J55" i="18"/>
  <c r="J179" i="18" s="1"/>
  <c r="K55" i="18"/>
  <c r="K179" i="18" s="1"/>
  <c r="L55" i="18"/>
  <c r="L179" i="18" s="1"/>
  <c r="M55" i="18"/>
  <c r="M179" i="18" s="1"/>
  <c r="N55" i="18"/>
  <c r="N179" i="18" s="1"/>
  <c r="O55" i="18"/>
  <c r="O179" i="18" s="1"/>
  <c r="P55" i="18"/>
  <c r="P179" i="18" s="1"/>
  <c r="Q55" i="18"/>
  <c r="Q179" i="18" s="1"/>
  <c r="R179" i="18" l="1"/>
  <c r="R56" i="18"/>
  <c r="P180" i="18"/>
  <c r="R180" i="18" s="1"/>
  <c r="R55" i="18"/>
  <c r="G122" i="18" l="1"/>
  <c r="H122" i="18"/>
  <c r="I122" i="18"/>
  <c r="J122" i="18"/>
  <c r="K122" i="18"/>
  <c r="L122" i="18"/>
  <c r="M122" i="18"/>
  <c r="N122" i="18"/>
  <c r="O122" i="18"/>
  <c r="P122" i="18"/>
  <c r="Q122" i="18"/>
  <c r="Q121" i="18"/>
  <c r="R122" i="18" l="1"/>
  <c r="H215" i="18"/>
  <c r="H212" i="18"/>
  <c r="H213" i="18"/>
  <c r="H214" i="18"/>
  <c r="Q204" i="18" l="1"/>
  <c r="Q203" i="18"/>
  <c r="Q202" i="18"/>
  <c r="Q186" i="18"/>
  <c r="Q51" i="18"/>
  <c r="Q177" i="18" s="1"/>
  <c r="Q52" i="18"/>
  <c r="Q53" i="18"/>
  <c r="Q94" i="18" s="1"/>
  <c r="Q57" i="18"/>
  <c r="P199" i="18" s="1"/>
  <c r="Q58" i="18"/>
  <c r="Q59" i="18"/>
  <c r="Q60" i="18"/>
  <c r="Q181" i="18" s="1"/>
  <c r="Q61" i="18"/>
  <c r="Q63" i="18"/>
  <c r="Q64" i="18"/>
  <c r="Q65" i="18"/>
  <c r="Q184" i="18" s="1"/>
  <c r="Q67" i="18"/>
  <c r="Q68" i="18"/>
  <c r="Q70" i="18"/>
  <c r="Q71" i="18"/>
  <c r="Q183" i="18" s="1"/>
  <c r="Q73" i="18"/>
  <c r="Q114" i="18" s="1"/>
  <c r="Q115" i="18" s="1"/>
  <c r="Q75" i="18"/>
  <c r="Q77" i="18" s="1"/>
  <c r="Q78" i="18"/>
  <c r="Q79" i="18"/>
  <c r="Q80" i="18"/>
  <c r="Q81" i="18"/>
  <c r="Q83" i="18"/>
  <c r="Q139" i="18" s="1"/>
  <c r="Q84" i="18"/>
  <c r="Q85" i="18"/>
  <c r="Q89" i="18"/>
  <c r="Q90" i="18"/>
  <c r="Q91" i="18"/>
  <c r="Q92" i="18"/>
  <c r="Q93" i="18"/>
  <c r="Q96" i="18"/>
  <c r="Q102" i="18" s="1"/>
  <c r="Q97" i="18"/>
  <c r="Q103" i="18" s="1"/>
  <c r="Q98" i="18"/>
  <c r="Q104" i="18" s="1"/>
  <c r="Q99" i="18"/>
  <c r="Q105" i="18" s="1"/>
  <c r="Q100" i="18"/>
  <c r="Q106" i="18" s="1"/>
  <c r="Q109" i="18"/>
  <c r="Q110" i="18"/>
  <c r="Q111" i="18"/>
  <c r="Q112" i="18"/>
  <c r="Q120" i="18"/>
  <c r="Q124" i="18"/>
  <c r="Q125" i="18"/>
  <c r="Q126" i="18"/>
  <c r="Q129" i="18"/>
  <c r="Q130" i="18"/>
  <c r="Q131" i="18"/>
  <c r="Q132" i="18"/>
  <c r="Q134" i="18"/>
  <c r="Q135" i="18"/>
  <c r="Q137" i="18"/>
  <c r="Q138" i="18" s="1"/>
  <c r="Q141" i="18"/>
  <c r="Q142" i="18"/>
  <c r="T17" i="18"/>
  <c r="T19" i="18"/>
  <c r="T24" i="18"/>
  <c r="T35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18" i="18"/>
  <c r="R16" i="18"/>
  <c r="R15" i="18"/>
  <c r="R14" i="18"/>
  <c r="R13" i="18"/>
  <c r="R12" i="18"/>
  <c r="R10" i="18"/>
  <c r="R9" i="18"/>
  <c r="R7" i="18"/>
  <c r="R6" i="18"/>
  <c r="Q199" i="18" l="1"/>
  <c r="Q178" i="18"/>
  <c r="Q187" i="18" s="1"/>
  <c r="Q188" i="18" s="1"/>
  <c r="Q69" i="18"/>
  <c r="Q182" i="18" s="1"/>
  <c r="Q116" i="18"/>
  <c r="Q117" i="18" s="1"/>
  <c r="Q118" i="18"/>
  <c r="Q185" i="18"/>
  <c r="H53" i="18"/>
  <c r="H94" i="18" s="1"/>
  <c r="I53" i="18"/>
  <c r="I94" i="18" s="1"/>
  <c r="J53" i="18"/>
  <c r="J94" i="18" s="1"/>
  <c r="K53" i="18"/>
  <c r="K94" i="18" s="1"/>
  <c r="L53" i="18"/>
  <c r="L94" i="18" s="1"/>
  <c r="M53" i="18"/>
  <c r="M94" i="18" s="1"/>
  <c r="N53" i="18"/>
  <c r="N94" i="18" s="1"/>
  <c r="O53" i="18"/>
  <c r="O94" i="18" s="1"/>
  <c r="P53" i="18"/>
  <c r="P94" i="18" s="1"/>
  <c r="G53" i="18"/>
  <c r="G94" i="18" s="1"/>
  <c r="G43" i="18"/>
  <c r="H199" i="18" l="1"/>
  <c r="R94" i="18"/>
  <c r="R53" i="18"/>
  <c r="S44" i="18"/>
  <c r="T44" i="18" s="1"/>
  <c r="T42" i="18"/>
  <c r="K195" i="18" l="1"/>
  <c r="K194" i="18"/>
  <c r="K193" i="18"/>
  <c r="K192" i="18"/>
  <c r="AE38" i="18" l="1"/>
  <c r="S38" i="18"/>
  <c r="G39" i="18"/>
  <c r="T38" i="18" l="1"/>
  <c r="T56" i="18" s="1"/>
  <c r="U38" i="18" l="1"/>
  <c r="K199" i="18"/>
  <c r="T199" i="18" s="1"/>
  <c r="T200" i="18" s="1"/>
  <c r="K198" i="18"/>
  <c r="V38" i="18" l="1"/>
  <c r="U213" i="18"/>
  <c r="U214" i="18" s="1"/>
  <c r="D211" i="18"/>
  <c r="G225" i="18" s="1"/>
  <c r="K225" i="18" s="1"/>
  <c r="H211" i="18"/>
  <c r="L109" i="18"/>
  <c r="J109" i="18"/>
  <c r="H109" i="18"/>
  <c r="G109" i="18"/>
  <c r="I109" i="18"/>
  <c r="K109" i="18"/>
  <c r="M109" i="18"/>
  <c r="N109" i="18"/>
  <c r="O109" i="18"/>
  <c r="P109" i="18"/>
  <c r="H142" i="18"/>
  <c r="I142" i="18"/>
  <c r="J142" i="18"/>
  <c r="K142" i="18"/>
  <c r="L142" i="18"/>
  <c r="M142" i="18"/>
  <c r="N142" i="18"/>
  <c r="O142" i="18"/>
  <c r="P142" i="18"/>
  <c r="H141" i="18"/>
  <c r="I141" i="18"/>
  <c r="J141" i="18"/>
  <c r="K141" i="18"/>
  <c r="L141" i="18"/>
  <c r="M141" i="18"/>
  <c r="N141" i="18"/>
  <c r="O141" i="18"/>
  <c r="P141" i="18"/>
  <c r="G229" i="18"/>
  <c r="G230" i="18" s="1"/>
  <c r="AE58" i="18"/>
  <c r="H58" i="18"/>
  <c r="I58" i="18"/>
  <c r="J58" i="18"/>
  <c r="K58" i="18"/>
  <c r="L58" i="18"/>
  <c r="M58" i="18"/>
  <c r="N58" i="18"/>
  <c r="O58" i="18"/>
  <c r="P58" i="18"/>
  <c r="G58" i="18"/>
  <c r="H220" i="18"/>
  <c r="D219" i="18"/>
  <c r="G226" i="18" s="1"/>
  <c r="K226" i="18" s="1"/>
  <c r="H218" i="18"/>
  <c r="I218" i="18" s="1"/>
  <c r="J218" i="18" s="1"/>
  <c r="J219" i="18" s="1"/>
  <c r="H216" i="18"/>
  <c r="H210" i="18"/>
  <c r="H209" i="18"/>
  <c r="I209" i="18" s="1"/>
  <c r="J209" i="18" s="1"/>
  <c r="W38" i="18" l="1"/>
  <c r="G231" i="18"/>
  <c r="G228" i="18"/>
  <c r="D221" i="18"/>
  <c r="K229" i="18"/>
  <c r="R58" i="18"/>
  <c r="K228" i="18"/>
  <c r="I210" i="18"/>
  <c r="J210" i="18" s="1"/>
  <c r="I220" i="18"/>
  <c r="J220" i="18" s="1"/>
  <c r="J221" i="18" s="1"/>
  <c r="H93" i="18"/>
  <c r="I93" i="18"/>
  <c r="J93" i="18"/>
  <c r="K93" i="18"/>
  <c r="L93" i="18"/>
  <c r="M93" i="18"/>
  <c r="N93" i="18"/>
  <c r="O93" i="18"/>
  <c r="P93" i="18"/>
  <c r="G93" i="18"/>
  <c r="G37" i="18"/>
  <c r="G142" i="18"/>
  <c r="G141" i="18"/>
  <c r="AE14" i="18"/>
  <c r="S14" i="18"/>
  <c r="U210" i="18"/>
  <c r="U209" i="18"/>
  <c r="O210" i="18"/>
  <c r="O213" i="18" s="1"/>
  <c r="O209" i="18"/>
  <c r="H100" i="18"/>
  <c r="H106" i="18" s="1"/>
  <c r="I100" i="18"/>
  <c r="I106" i="18" s="1"/>
  <c r="J100" i="18"/>
  <c r="J106" i="18" s="1"/>
  <c r="K100" i="18"/>
  <c r="K106" i="18" s="1"/>
  <c r="L100" i="18"/>
  <c r="L106" i="18" s="1"/>
  <c r="M100" i="18"/>
  <c r="M106" i="18" s="1"/>
  <c r="N100" i="18"/>
  <c r="N106" i="18" s="1"/>
  <c r="O100" i="18"/>
  <c r="O106" i="18" s="1"/>
  <c r="P100" i="18"/>
  <c r="P106" i="18" s="1"/>
  <c r="G100" i="18"/>
  <c r="G106" i="18" s="1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8" i="18"/>
  <c r="H104" i="18" s="1"/>
  <c r="I98" i="18"/>
  <c r="I104" i="18" s="1"/>
  <c r="J98" i="18"/>
  <c r="J104" i="18" s="1"/>
  <c r="K98" i="18"/>
  <c r="K104" i="18" s="1"/>
  <c r="L98" i="18"/>
  <c r="L104" i="18" s="1"/>
  <c r="M98" i="18"/>
  <c r="M104" i="18" s="1"/>
  <c r="N98" i="18"/>
  <c r="N104" i="18" s="1"/>
  <c r="O98" i="18"/>
  <c r="O104" i="18" s="1"/>
  <c r="P98" i="18"/>
  <c r="P104" i="18" s="1"/>
  <c r="G98" i="18"/>
  <c r="G104" i="18" s="1"/>
  <c r="H137" i="18"/>
  <c r="H138" i="18" s="1"/>
  <c r="I137" i="18"/>
  <c r="I138" i="18" s="1"/>
  <c r="J137" i="18"/>
  <c r="J138" i="18" s="1"/>
  <c r="K137" i="18"/>
  <c r="K138" i="18" s="1"/>
  <c r="L137" i="18"/>
  <c r="L138" i="18" s="1"/>
  <c r="M137" i="18"/>
  <c r="M138" i="18" s="1"/>
  <c r="N137" i="18"/>
  <c r="N138" i="18" s="1"/>
  <c r="O137" i="18"/>
  <c r="O138" i="18" s="1"/>
  <c r="P137" i="18"/>
  <c r="P138" i="18" s="1"/>
  <c r="G137" i="18"/>
  <c r="G138" i="18" s="1"/>
  <c r="X38" i="18" l="1"/>
  <c r="R106" i="18"/>
  <c r="R103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R104" i="18"/>
  <c r="I211" i="18"/>
  <c r="J211" i="18" s="1"/>
  <c r="R141" i="18"/>
  <c r="R142" i="18"/>
  <c r="R93" i="18"/>
  <c r="R100" i="18"/>
  <c r="R97" i="18"/>
  <c r="R138" i="18"/>
  <c r="R137" i="18"/>
  <c r="R98" i="18"/>
  <c r="P92" i="18"/>
  <c r="P91" i="18"/>
  <c r="H92" i="18"/>
  <c r="I92" i="18"/>
  <c r="J92" i="18"/>
  <c r="K92" i="18"/>
  <c r="L92" i="18"/>
  <c r="M92" i="18"/>
  <c r="N92" i="18"/>
  <c r="O92" i="18"/>
  <c r="G92" i="18"/>
  <c r="G91" i="18"/>
  <c r="H135" i="18"/>
  <c r="I135" i="18"/>
  <c r="J135" i="18"/>
  <c r="K135" i="18"/>
  <c r="L135" i="18"/>
  <c r="M135" i="18"/>
  <c r="N135" i="18"/>
  <c r="O135" i="18"/>
  <c r="P135" i="18"/>
  <c r="G135" i="18"/>
  <c r="H134" i="18"/>
  <c r="I134" i="18"/>
  <c r="J134" i="18"/>
  <c r="K134" i="18"/>
  <c r="L134" i="18"/>
  <c r="M134" i="18"/>
  <c r="N134" i="18"/>
  <c r="O134" i="18"/>
  <c r="P134" i="18"/>
  <c r="G134" i="18"/>
  <c r="H131" i="18"/>
  <c r="I131" i="18"/>
  <c r="J131" i="18"/>
  <c r="K131" i="18"/>
  <c r="L131" i="18"/>
  <c r="M131" i="18"/>
  <c r="N131" i="18"/>
  <c r="O131" i="18"/>
  <c r="P131" i="18"/>
  <c r="G131" i="18"/>
  <c r="H132" i="18"/>
  <c r="I132" i="18"/>
  <c r="J132" i="18"/>
  <c r="K132" i="18"/>
  <c r="L132" i="18"/>
  <c r="M132" i="18"/>
  <c r="N132" i="18"/>
  <c r="O132" i="18"/>
  <c r="P132" i="18"/>
  <c r="G132" i="18"/>
  <c r="H130" i="18"/>
  <c r="I130" i="18"/>
  <c r="J130" i="18"/>
  <c r="K130" i="18"/>
  <c r="L130" i="18"/>
  <c r="M130" i="18"/>
  <c r="N130" i="18"/>
  <c r="O130" i="18"/>
  <c r="P130" i="18"/>
  <c r="G130" i="18"/>
  <c r="H129" i="18"/>
  <c r="I129" i="18"/>
  <c r="J129" i="18"/>
  <c r="K129" i="18"/>
  <c r="L129" i="18"/>
  <c r="M129" i="18"/>
  <c r="N129" i="18"/>
  <c r="O129" i="18"/>
  <c r="P129" i="18"/>
  <c r="G129" i="18"/>
  <c r="S176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B126" i="18"/>
  <c r="B125" i="18"/>
  <c r="AE32" i="18"/>
  <c r="S32" i="18"/>
  <c r="G112" i="18"/>
  <c r="H112" i="18"/>
  <c r="I112" i="18"/>
  <c r="J112" i="18"/>
  <c r="K112" i="18"/>
  <c r="L112" i="18"/>
  <c r="M112" i="18"/>
  <c r="N112" i="18"/>
  <c r="O112" i="18"/>
  <c r="P112" i="18"/>
  <c r="T214" i="18"/>
  <c r="N213" i="18"/>
  <c r="T211" i="18"/>
  <c r="U211" i="18" s="1"/>
  <c r="U216" i="18" s="1"/>
  <c r="N211" i="18"/>
  <c r="O211" i="18" s="1"/>
  <c r="O216" i="18" s="1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I212" i="18" l="1"/>
  <c r="J212" i="18" s="1"/>
  <c r="I213" i="18" s="1"/>
  <c r="J213" i="18" s="1"/>
  <c r="I214" i="18" s="1"/>
  <c r="J214" i="18" s="1"/>
  <c r="I215" i="18" s="1"/>
  <c r="J215" i="18" s="1"/>
  <c r="I216" i="18" s="1"/>
  <c r="J216" i="18" s="1"/>
  <c r="J217" i="18" s="1"/>
  <c r="Y38" i="18"/>
  <c r="AD14" i="18"/>
  <c r="AF14" i="18"/>
  <c r="T32" i="18"/>
  <c r="U32" i="18" s="1"/>
  <c r="V32" i="18" s="1"/>
  <c r="W32" i="18" s="1"/>
  <c r="X32" i="18" s="1"/>
  <c r="Y32" i="18" s="1"/>
  <c r="Z32" i="18" s="1"/>
  <c r="AA32" i="18" s="1"/>
  <c r="AB32" i="18" s="1"/>
  <c r="AC32" i="18" s="1"/>
  <c r="AD32" i="18" s="1"/>
  <c r="R132" i="18"/>
  <c r="R92" i="18"/>
  <c r="R129" i="18"/>
  <c r="R135" i="18"/>
  <c r="R134" i="18"/>
  <c r="R130" i="18"/>
  <c r="R131" i="18"/>
  <c r="R124" i="18"/>
  <c r="R125" i="18"/>
  <c r="R126" i="18"/>
  <c r="R112" i="18"/>
  <c r="N216" i="18"/>
  <c r="T216" i="18"/>
  <c r="R121" i="18"/>
  <c r="R120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T55" i="18" s="1"/>
  <c r="S40" i="18"/>
  <c r="T40" i="18" s="1"/>
  <c r="T53" i="18" s="1"/>
  <c r="S7" i="18"/>
  <c r="T7" i="18" s="1"/>
  <c r="S6" i="18"/>
  <c r="T6" i="18" s="1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1" i="18"/>
  <c r="AE52" i="18"/>
  <c r="AE57" i="18"/>
  <c r="AE59" i="18"/>
  <c r="AE60" i="18"/>
  <c r="AE61" i="18"/>
  <c r="AE63" i="18"/>
  <c r="AE64" i="18"/>
  <c r="AE65" i="18"/>
  <c r="AE67" i="18"/>
  <c r="AE68" i="18"/>
  <c r="AE69" i="18"/>
  <c r="AE70" i="18"/>
  <c r="AE72" i="18"/>
  <c r="AE73" i="18"/>
  <c r="AE75" i="18"/>
  <c r="AE77" i="18"/>
  <c r="AE78" i="18"/>
  <c r="AE79" i="18"/>
  <c r="AE80" i="18"/>
  <c r="AE81" i="18"/>
  <c r="AE83" i="18"/>
  <c r="AE84" i="18"/>
  <c r="AE85" i="18"/>
  <c r="AE7" i="18"/>
  <c r="AE6" i="18"/>
  <c r="Z38" i="18" l="1"/>
  <c r="AF32" i="18"/>
  <c r="T94" i="18"/>
  <c r="T31" i="18"/>
  <c r="R109" i="18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H99" i="18"/>
  <c r="H105" i="18" s="1"/>
  <c r="I99" i="18"/>
  <c r="I105" i="18" s="1"/>
  <c r="J99" i="18"/>
  <c r="J105" i="18" s="1"/>
  <c r="K99" i="18"/>
  <c r="K105" i="18" s="1"/>
  <c r="L99" i="18"/>
  <c r="L105" i="18" s="1"/>
  <c r="M99" i="18"/>
  <c r="M105" i="18" s="1"/>
  <c r="N99" i="18"/>
  <c r="N105" i="18" s="1"/>
  <c r="O99" i="18"/>
  <c r="O105" i="18" s="1"/>
  <c r="P99" i="18"/>
  <c r="P105" i="18" s="1"/>
  <c r="G99" i="18"/>
  <c r="G105" i="18" s="1"/>
  <c r="G96" i="18"/>
  <c r="G102" i="18" s="1"/>
  <c r="G30" i="18"/>
  <c r="AA38" i="18" l="1"/>
  <c r="U31" i="18"/>
  <c r="T122" i="18"/>
  <c r="R102" i="18"/>
  <c r="R105" i="18"/>
  <c r="U29" i="18"/>
  <c r="R99" i="18"/>
  <c r="R96" i="18"/>
  <c r="H111" i="18"/>
  <c r="I111" i="18"/>
  <c r="J111" i="18"/>
  <c r="K111" i="18"/>
  <c r="L111" i="18"/>
  <c r="M111" i="18"/>
  <c r="N111" i="18"/>
  <c r="O111" i="18"/>
  <c r="P111" i="18"/>
  <c r="G111" i="18"/>
  <c r="H110" i="18"/>
  <c r="I110" i="18"/>
  <c r="J110" i="18"/>
  <c r="K110" i="18"/>
  <c r="L110" i="18"/>
  <c r="M110" i="18"/>
  <c r="N110" i="18"/>
  <c r="O110" i="18"/>
  <c r="P110" i="18"/>
  <c r="G110" i="18"/>
  <c r="AB38" i="18" l="1"/>
  <c r="V31" i="18"/>
  <c r="V29" i="18"/>
  <c r="R110" i="18"/>
  <c r="R111" i="18"/>
  <c r="AF72" i="18"/>
  <c r="AC38" i="18" l="1"/>
  <c r="W31" i="18"/>
  <c r="W29" i="18"/>
  <c r="G186" i="18"/>
  <c r="H186" i="18"/>
  <c r="I186" i="18"/>
  <c r="J186" i="18"/>
  <c r="K186" i="18"/>
  <c r="L186" i="18"/>
  <c r="M186" i="18"/>
  <c r="N186" i="18"/>
  <c r="O186" i="18"/>
  <c r="P186" i="18"/>
  <c r="C9" i="15"/>
  <c r="G73" i="18"/>
  <c r="G114" i="18" s="1"/>
  <c r="G115" i="18" s="1"/>
  <c r="G118" i="18" s="1"/>
  <c r="H73" i="18"/>
  <c r="H114" i="18" s="1"/>
  <c r="H115" i="18" s="1"/>
  <c r="H118" i="18" s="1"/>
  <c r="I73" i="18"/>
  <c r="I114" i="18" s="1"/>
  <c r="I115" i="18" s="1"/>
  <c r="I118" i="18" s="1"/>
  <c r="J73" i="18"/>
  <c r="J114" i="18" s="1"/>
  <c r="J115" i="18" s="1"/>
  <c r="J118" i="18" s="1"/>
  <c r="K73" i="18"/>
  <c r="K114" i="18" s="1"/>
  <c r="K115" i="18" s="1"/>
  <c r="K118" i="18" s="1"/>
  <c r="L73" i="18"/>
  <c r="L114" i="18" s="1"/>
  <c r="L115" i="18" s="1"/>
  <c r="L118" i="18" s="1"/>
  <c r="M73" i="18"/>
  <c r="M114" i="18" s="1"/>
  <c r="M115" i="18" s="1"/>
  <c r="M118" i="18" s="1"/>
  <c r="N73" i="18"/>
  <c r="N114" i="18" s="1"/>
  <c r="N115" i="18" s="1"/>
  <c r="N118" i="18" s="1"/>
  <c r="O73" i="18"/>
  <c r="O114" i="18" s="1"/>
  <c r="O115" i="18" s="1"/>
  <c r="O118" i="18" s="1"/>
  <c r="P73" i="18"/>
  <c r="P114" i="18" s="1"/>
  <c r="AD38" i="18" l="1"/>
  <c r="AF38" i="18"/>
  <c r="X31" i="18"/>
  <c r="T73" i="18"/>
  <c r="T114" i="18" s="1"/>
  <c r="T115" i="18" s="1"/>
  <c r="T118" i="18" s="1"/>
  <c r="X29" i="18"/>
  <c r="R186" i="18"/>
  <c r="N116" i="18"/>
  <c r="N117" i="18" s="1"/>
  <c r="J116" i="18"/>
  <c r="J117" i="18" s="1"/>
  <c r="L116" i="18"/>
  <c r="L117" i="18" s="1"/>
  <c r="H116" i="18"/>
  <c r="H117" i="18" s="1"/>
  <c r="M116" i="18"/>
  <c r="M117" i="18" s="1"/>
  <c r="I116" i="18"/>
  <c r="I117" i="18" s="1"/>
  <c r="O116" i="18"/>
  <c r="O117" i="18" s="1"/>
  <c r="K116" i="18"/>
  <c r="K117" i="18" s="1"/>
  <c r="G116" i="18"/>
  <c r="G117" i="18" s="1"/>
  <c r="P115" i="18"/>
  <c r="P118" i="18" s="1"/>
  <c r="R118" i="18" s="1"/>
  <c r="R114" i="18"/>
  <c r="U44" i="18"/>
  <c r="Y31" i="18" l="1"/>
  <c r="V44" i="18"/>
  <c r="Y29" i="18"/>
  <c r="P116" i="18"/>
  <c r="R115" i="18"/>
  <c r="U73" i="18"/>
  <c r="G83" i="18"/>
  <c r="G139" i="18" s="1"/>
  <c r="H83" i="18"/>
  <c r="H139" i="18" s="1"/>
  <c r="I83" i="18"/>
  <c r="I139" i="18" s="1"/>
  <c r="J83" i="18"/>
  <c r="J139" i="18" s="1"/>
  <c r="K83" i="18"/>
  <c r="K139" i="18" s="1"/>
  <c r="L83" i="18"/>
  <c r="L139" i="18" s="1"/>
  <c r="M83" i="18"/>
  <c r="M139" i="18" s="1"/>
  <c r="N83" i="18"/>
  <c r="N139" i="18" s="1"/>
  <c r="O83" i="18"/>
  <c r="O139" i="18" s="1"/>
  <c r="G84" i="18"/>
  <c r="H84" i="18"/>
  <c r="I84" i="18"/>
  <c r="J84" i="18"/>
  <c r="K84" i="18"/>
  <c r="L84" i="18"/>
  <c r="M84" i="18"/>
  <c r="N84" i="18"/>
  <c r="O84" i="18"/>
  <c r="G85" i="18"/>
  <c r="H85" i="18"/>
  <c r="I85" i="18"/>
  <c r="J85" i="18"/>
  <c r="K85" i="18"/>
  <c r="L85" i="18"/>
  <c r="M85" i="18"/>
  <c r="N85" i="18"/>
  <c r="O85" i="18"/>
  <c r="P85" i="18"/>
  <c r="P84" i="18"/>
  <c r="P83" i="18"/>
  <c r="P139" i="18" s="1"/>
  <c r="H91" i="18"/>
  <c r="I91" i="18"/>
  <c r="J91" i="18"/>
  <c r="K91" i="18"/>
  <c r="L91" i="18"/>
  <c r="M91" i="18"/>
  <c r="N91" i="18"/>
  <c r="O91" i="18"/>
  <c r="G90" i="18"/>
  <c r="H90" i="18"/>
  <c r="I90" i="18"/>
  <c r="J90" i="18"/>
  <c r="K90" i="18"/>
  <c r="L90" i="18"/>
  <c r="M90" i="18"/>
  <c r="N90" i="18"/>
  <c r="O90" i="18"/>
  <c r="G89" i="18"/>
  <c r="H89" i="18"/>
  <c r="I89" i="18"/>
  <c r="J89" i="18"/>
  <c r="K89" i="18"/>
  <c r="L89" i="18"/>
  <c r="M89" i="18"/>
  <c r="N89" i="18"/>
  <c r="O89" i="18"/>
  <c r="P90" i="18"/>
  <c r="G41" i="18"/>
  <c r="G28" i="18"/>
  <c r="G11" i="18"/>
  <c r="G26" i="18"/>
  <c r="Z31" i="18" l="1"/>
  <c r="W44" i="18"/>
  <c r="V73" i="18"/>
  <c r="R139" i="18"/>
  <c r="Z29" i="18"/>
  <c r="R85" i="18"/>
  <c r="R83" i="18"/>
  <c r="R84" i="18"/>
  <c r="R90" i="18"/>
  <c r="R91" i="18"/>
  <c r="P89" i="18"/>
  <c r="R89" i="18" s="1"/>
  <c r="H204" i="18"/>
  <c r="I204" i="18"/>
  <c r="J204" i="18"/>
  <c r="K204" i="18"/>
  <c r="L204" i="18"/>
  <c r="M204" i="18"/>
  <c r="N204" i="18"/>
  <c r="O204" i="18"/>
  <c r="P204" i="18"/>
  <c r="G204" i="18"/>
  <c r="H203" i="18"/>
  <c r="I203" i="18"/>
  <c r="J203" i="18"/>
  <c r="K203" i="18"/>
  <c r="L203" i="18"/>
  <c r="M203" i="18"/>
  <c r="N203" i="18"/>
  <c r="O203" i="18"/>
  <c r="P203" i="18"/>
  <c r="G203" i="18"/>
  <c r="H202" i="18"/>
  <c r="I202" i="18"/>
  <c r="J202" i="18"/>
  <c r="K202" i="18"/>
  <c r="L202" i="18"/>
  <c r="M202" i="18"/>
  <c r="N202" i="18"/>
  <c r="O202" i="18"/>
  <c r="P202" i="18"/>
  <c r="G202" i="18"/>
  <c r="H52" i="18"/>
  <c r="I52" i="18"/>
  <c r="J52" i="18"/>
  <c r="K52" i="18"/>
  <c r="L52" i="18"/>
  <c r="M52" i="18"/>
  <c r="N52" i="18"/>
  <c r="O52" i="18"/>
  <c r="P52" i="18"/>
  <c r="G52" i="18"/>
  <c r="G57" i="18"/>
  <c r="H51" i="18"/>
  <c r="H177" i="18" s="1"/>
  <c r="I51" i="18"/>
  <c r="I177" i="18" s="1"/>
  <c r="J51" i="18"/>
  <c r="J177" i="18" s="1"/>
  <c r="K51" i="18"/>
  <c r="K177" i="18" s="1"/>
  <c r="L51" i="18"/>
  <c r="L177" i="18" s="1"/>
  <c r="M51" i="18"/>
  <c r="M177" i="18" s="1"/>
  <c r="N51" i="18"/>
  <c r="N177" i="18" s="1"/>
  <c r="O51" i="18"/>
  <c r="O177" i="18" s="1"/>
  <c r="P51" i="18"/>
  <c r="P177" i="18" s="1"/>
  <c r="G51" i="18"/>
  <c r="G177" i="18" s="1"/>
  <c r="T97" i="18"/>
  <c r="T103" i="18" s="1"/>
  <c r="AA31" i="18" l="1"/>
  <c r="G185" i="18"/>
  <c r="X44" i="18"/>
  <c r="W73" i="18"/>
  <c r="R177" i="18"/>
  <c r="AA29" i="18"/>
  <c r="U36" i="18"/>
  <c r="R204" i="18"/>
  <c r="R52" i="18"/>
  <c r="R51" i="18"/>
  <c r="R203" i="18"/>
  <c r="R202" i="18"/>
  <c r="U97" i="18" l="1"/>
  <c r="U103" i="18" s="1"/>
  <c r="AB31" i="18"/>
  <c r="Y44" i="18"/>
  <c r="X73" i="18"/>
  <c r="AB29" i="18"/>
  <c r="V36" i="18"/>
  <c r="I80" i="18"/>
  <c r="J80" i="18"/>
  <c r="K80" i="18"/>
  <c r="L80" i="18"/>
  <c r="M80" i="18"/>
  <c r="N80" i="18"/>
  <c r="O80" i="18"/>
  <c r="P80" i="18"/>
  <c r="I81" i="18"/>
  <c r="J81" i="18"/>
  <c r="K81" i="18"/>
  <c r="L81" i="18"/>
  <c r="M81" i="18"/>
  <c r="N81" i="18"/>
  <c r="O81" i="18"/>
  <c r="P81" i="18"/>
  <c r="I75" i="18"/>
  <c r="I77" i="18" s="1"/>
  <c r="J75" i="18"/>
  <c r="J77" i="18" s="1"/>
  <c r="K75" i="18"/>
  <c r="K77" i="18" s="1"/>
  <c r="L75" i="18"/>
  <c r="L77" i="18" s="1"/>
  <c r="M75" i="18"/>
  <c r="M77" i="18" s="1"/>
  <c r="N75" i="18"/>
  <c r="N77" i="18" s="1"/>
  <c r="O75" i="18"/>
  <c r="O77" i="18" s="1"/>
  <c r="P75" i="18"/>
  <c r="P77" i="18" s="1"/>
  <c r="I78" i="18"/>
  <c r="J78" i="18"/>
  <c r="K78" i="18"/>
  <c r="L78" i="18"/>
  <c r="M78" i="18"/>
  <c r="N78" i="18"/>
  <c r="O78" i="18"/>
  <c r="P78" i="18"/>
  <c r="I79" i="18"/>
  <c r="J79" i="18"/>
  <c r="K79" i="18"/>
  <c r="L79" i="18"/>
  <c r="M79" i="18"/>
  <c r="N79" i="18"/>
  <c r="O79" i="18"/>
  <c r="P79" i="18"/>
  <c r="G78" i="18"/>
  <c r="G79" i="18"/>
  <c r="G80" i="18"/>
  <c r="G81" i="18"/>
  <c r="H81" i="18"/>
  <c r="H80" i="18"/>
  <c r="U22" i="18"/>
  <c r="V22" i="18" s="1"/>
  <c r="W22" i="18" s="1"/>
  <c r="X22" i="18" s="1"/>
  <c r="Y22" i="18" s="1"/>
  <c r="Z22" i="18" s="1"/>
  <c r="AA22" i="18" s="1"/>
  <c r="AB22" i="18" s="1"/>
  <c r="AC22" i="18" s="1"/>
  <c r="G75" i="18"/>
  <c r="G77" i="18" s="1"/>
  <c r="H75" i="18"/>
  <c r="H77" i="18" s="1"/>
  <c r="H79" i="18"/>
  <c r="H78" i="18"/>
  <c r="V97" i="18" l="1"/>
  <c r="V103" i="18" s="1"/>
  <c r="AC31" i="18"/>
  <c r="AD31" i="18" s="1"/>
  <c r="Z44" i="18"/>
  <c r="Y73" i="18"/>
  <c r="U23" i="18"/>
  <c r="T100" i="18"/>
  <c r="T106" i="18" s="1"/>
  <c r="AC29" i="18"/>
  <c r="AD22" i="18"/>
  <c r="AF22" i="18"/>
  <c r="W36" i="18"/>
  <c r="R80" i="18"/>
  <c r="R81" i="18"/>
  <c r="R79" i="18"/>
  <c r="R77" i="18"/>
  <c r="R78" i="18"/>
  <c r="R75" i="18"/>
  <c r="T58" i="18"/>
  <c r="U21" i="18"/>
  <c r="R73" i="18"/>
  <c r="R176" i="18"/>
  <c r="AF31" i="18" l="1"/>
  <c r="W97" i="18"/>
  <c r="W103" i="18" s="1"/>
  <c r="Z73" i="18"/>
  <c r="AA44" i="18"/>
  <c r="V23" i="18"/>
  <c r="U100" i="18"/>
  <c r="U106" i="18" s="1"/>
  <c r="AF29" i="18"/>
  <c r="AD29" i="18"/>
  <c r="U20" i="18"/>
  <c r="T75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3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O71" i="18"/>
  <c r="O183" i="18" s="1"/>
  <c r="O70" i="18"/>
  <c r="O68" i="18"/>
  <c r="O67" i="18"/>
  <c r="O65" i="18"/>
  <c r="O184" i="18" s="1"/>
  <c r="O64" i="18"/>
  <c r="O63" i="18"/>
  <c r="O61" i="18"/>
  <c r="O60" i="18"/>
  <c r="O181" i="18" s="1"/>
  <c r="O59" i="18"/>
  <c r="O57" i="18"/>
  <c r="X97" i="18" l="1"/>
  <c r="X103" i="18" s="1"/>
  <c r="AA73" i="18"/>
  <c r="AB44" i="18"/>
  <c r="U75" i="18"/>
  <c r="T131" i="18"/>
  <c r="T141" i="18"/>
  <c r="T132" i="18"/>
  <c r="T142" i="18"/>
  <c r="W23" i="18"/>
  <c r="V100" i="18"/>
  <c r="V106" i="18" s="1"/>
  <c r="T125" i="18"/>
  <c r="T126" i="18"/>
  <c r="T124" i="18"/>
  <c r="T112" i="18"/>
  <c r="P117" i="18"/>
  <c r="R117" i="18" s="1"/>
  <c r="R116" i="18"/>
  <c r="T96" i="18"/>
  <c r="T102" i="18" s="1"/>
  <c r="T121" i="18"/>
  <c r="T120" i="18"/>
  <c r="U18" i="18"/>
  <c r="O178" i="18"/>
  <c r="O187" i="18" s="1"/>
  <c r="O188" i="18" s="1"/>
  <c r="O185" i="18"/>
  <c r="V20" i="18"/>
  <c r="U27" i="18"/>
  <c r="Y36" i="18"/>
  <c r="U25" i="18"/>
  <c r="T89" i="18"/>
  <c r="W21" i="18"/>
  <c r="AD33" i="18"/>
  <c r="AD34" i="18"/>
  <c r="AD9" i="18"/>
  <c r="O69" i="18"/>
  <c r="O182" i="18" s="1"/>
  <c r="G65" i="18"/>
  <c r="G184" i="18" s="1"/>
  <c r="H65" i="18"/>
  <c r="H184" i="18" s="1"/>
  <c r="I65" i="18"/>
  <c r="I184" i="18" s="1"/>
  <c r="J65" i="18"/>
  <c r="J184" i="18" s="1"/>
  <c r="K65" i="18"/>
  <c r="K184" i="18" s="1"/>
  <c r="L65" i="18"/>
  <c r="L184" i="18" s="1"/>
  <c r="M65" i="18"/>
  <c r="M184" i="18" s="1"/>
  <c r="N65" i="18"/>
  <c r="N184" i="18" s="1"/>
  <c r="P65" i="18"/>
  <c r="Y97" i="18" l="1"/>
  <c r="Y103" i="18" s="1"/>
  <c r="U93" i="18"/>
  <c r="U122" i="18"/>
  <c r="AC44" i="18"/>
  <c r="AB73" i="18"/>
  <c r="U132" i="18"/>
  <c r="U142" i="18"/>
  <c r="U131" i="18"/>
  <c r="U141" i="18"/>
  <c r="X23" i="18"/>
  <c r="W100" i="18"/>
  <c r="W106" i="18" s="1"/>
  <c r="U124" i="18"/>
  <c r="U126" i="18"/>
  <c r="U125" i="18"/>
  <c r="U112" i="18"/>
  <c r="U96" i="18"/>
  <c r="U102" i="18" s="1"/>
  <c r="U121" i="18"/>
  <c r="U120" i="18"/>
  <c r="V18" i="18"/>
  <c r="W20" i="18"/>
  <c r="V75" i="18"/>
  <c r="V27" i="18"/>
  <c r="V25" i="18"/>
  <c r="V122" i="18" s="1"/>
  <c r="U89" i="18"/>
  <c r="Z36" i="18"/>
  <c r="X21" i="18"/>
  <c r="P184" i="18"/>
  <c r="R184" i="18" s="1"/>
  <c r="R65" i="18"/>
  <c r="G64" i="18"/>
  <c r="H64" i="18"/>
  <c r="I64" i="18"/>
  <c r="J64" i="18"/>
  <c r="K64" i="18"/>
  <c r="L64" i="18"/>
  <c r="M64" i="18"/>
  <c r="N64" i="18"/>
  <c r="P64" i="18"/>
  <c r="G63" i="18"/>
  <c r="H63" i="18"/>
  <c r="I63" i="18"/>
  <c r="J63" i="18"/>
  <c r="K63" i="18"/>
  <c r="L63" i="18"/>
  <c r="M63" i="18"/>
  <c r="N63" i="18"/>
  <c r="P63" i="18"/>
  <c r="Z97" i="18" l="1"/>
  <c r="Z103" i="18" s="1"/>
  <c r="AF44" i="18"/>
  <c r="AC73" i="18"/>
  <c r="AD44" i="18"/>
  <c r="V131" i="18"/>
  <c r="V141" i="18"/>
  <c r="V132" i="18"/>
  <c r="V142" i="18"/>
  <c r="V93" i="18"/>
  <c r="Y23" i="18"/>
  <c r="X100" i="18"/>
  <c r="X106" i="18" s="1"/>
  <c r="V126" i="18"/>
  <c r="V125" i="18"/>
  <c r="V124" i="18"/>
  <c r="V112" i="18"/>
  <c r="V96" i="18"/>
  <c r="V102" i="18" s="1"/>
  <c r="V121" i="18"/>
  <c r="V120" i="18"/>
  <c r="W18" i="18"/>
  <c r="X20" i="18"/>
  <c r="W75" i="18"/>
  <c r="W27" i="18"/>
  <c r="W25" i="18"/>
  <c r="V89" i="18"/>
  <c r="AA36" i="18"/>
  <c r="Y21" i="18"/>
  <c r="R63" i="18"/>
  <c r="R64" i="18"/>
  <c r="C46" i="15"/>
  <c r="AA97" i="18" l="1"/>
  <c r="AA103" i="18" s="1"/>
  <c r="W93" i="18"/>
  <c r="W122" i="18"/>
  <c r="T163" i="18"/>
  <c r="Q191" i="18" s="1"/>
  <c r="AF73" i="18"/>
  <c r="U163" i="18" s="1"/>
  <c r="AD73" i="18"/>
  <c r="W132" i="18"/>
  <c r="W142" i="18"/>
  <c r="W131" i="18"/>
  <c r="W141" i="18"/>
  <c r="Z23" i="18"/>
  <c r="Y100" i="18"/>
  <c r="Y106" i="18" s="1"/>
  <c r="W112" i="18"/>
  <c r="W126" i="18"/>
  <c r="W125" i="18"/>
  <c r="W124" i="18"/>
  <c r="W96" i="18"/>
  <c r="W102" i="18" s="1"/>
  <c r="W121" i="18"/>
  <c r="W120" i="18"/>
  <c r="X18" i="18"/>
  <c r="Y20" i="18"/>
  <c r="X75" i="18"/>
  <c r="X27" i="18"/>
  <c r="X25" i="18"/>
  <c r="X122" i="18" s="1"/>
  <c r="W89" i="18"/>
  <c r="AB36" i="18"/>
  <c r="Z21" i="18"/>
  <c r="T176" i="18"/>
  <c r="H57" i="18"/>
  <c r="I57" i="18"/>
  <c r="J57" i="18"/>
  <c r="K57" i="18"/>
  <c r="L57" i="18"/>
  <c r="L185" i="18" s="1"/>
  <c r="M57" i="18"/>
  <c r="N57" i="18"/>
  <c r="N185" i="18" s="1"/>
  <c r="P57" i="18"/>
  <c r="G71" i="18"/>
  <c r="H71" i="18"/>
  <c r="H183" i="18" s="1"/>
  <c r="I71" i="18"/>
  <c r="I183" i="18" s="1"/>
  <c r="J71" i="18"/>
  <c r="J183" i="18" s="1"/>
  <c r="K71" i="18"/>
  <c r="K183" i="18" s="1"/>
  <c r="L71" i="18"/>
  <c r="L183" i="18" s="1"/>
  <c r="M71" i="18"/>
  <c r="M183" i="18" s="1"/>
  <c r="N71" i="18"/>
  <c r="P71" i="18"/>
  <c r="G70" i="18"/>
  <c r="H70" i="18"/>
  <c r="I70" i="18"/>
  <c r="J70" i="18"/>
  <c r="K70" i="18"/>
  <c r="L70" i="18"/>
  <c r="M70" i="18"/>
  <c r="N70" i="18"/>
  <c r="P70" i="18"/>
  <c r="G68" i="18"/>
  <c r="H68" i="18"/>
  <c r="I68" i="18"/>
  <c r="J68" i="18"/>
  <c r="K68" i="18"/>
  <c r="L68" i="18"/>
  <c r="M68" i="18"/>
  <c r="N68" i="18"/>
  <c r="P68" i="18"/>
  <c r="G67" i="18"/>
  <c r="H67" i="18"/>
  <c r="I67" i="18"/>
  <c r="J67" i="18"/>
  <c r="K67" i="18"/>
  <c r="L67" i="18"/>
  <c r="M67" i="18"/>
  <c r="N67" i="18"/>
  <c r="P67" i="18"/>
  <c r="G61" i="18"/>
  <c r="H61" i="18"/>
  <c r="I61" i="18"/>
  <c r="J61" i="18"/>
  <c r="K61" i="18"/>
  <c r="L61" i="18"/>
  <c r="M61" i="18"/>
  <c r="N61" i="18"/>
  <c r="P61" i="18"/>
  <c r="G60" i="18"/>
  <c r="H60" i="18"/>
  <c r="H181" i="18" s="1"/>
  <c r="I60" i="18"/>
  <c r="I181" i="18" s="1"/>
  <c r="J60" i="18"/>
  <c r="J181" i="18" s="1"/>
  <c r="K60" i="18"/>
  <c r="K181" i="18" s="1"/>
  <c r="L60" i="18"/>
  <c r="L181" i="18" s="1"/>
  <c r="M60" i="18"/>
  <c r="M181" i="18" s="1"/>
  <c r="N60" i="18"/>
  <c r="P60" i="18"/>
  <c r="G59" i="18"/>
  <c r="H59" i="18"/>
  <c r="I59" i="18"/>
  <c r="J59" i="18"/>
  <c r="K59" i="18"/>
  <c r="L59" i="18"/>
  <c r="M59" i="18"/>
  <c r="N59" i="18"/>
  <c r="P59" i="18"/>
  <c r="T129" i="18"/>
  <c r="T137" i="18"/>
  <c r="T138" i="18" s="1"/>
  <c r="T98" i="18"/>
  <c r="T104" i="18" s="1"/>
  <c r="R145" i="18" l="1"/>
  <c r="Q198" i="18" s="1"/>
  <c r="T186" i="18"/>
  <c r="T180" i="18"/>
  <c r="T179" i="18"/>
  <c r="AB97" i="18"/>
  <c r="AB103" i="18" s="1"/>
  <c r="T109" i="18"/>
  <c r="S163" i="18"/>
  <c r="P191" i="18" s="1"/>
  <c r="X131" i="18"/>
  <c r="X141" i="18"/>
  <c r="X93" i="18"/>
  <c r="X132" i="18"/>
  <c r="X142" i="18"/>
  <c r="AA23" i="18"/>
  <c r="Z100" i="18"/>
  <c r="Z106" i="18" s="1"/>
  <c r="T91" i="18"/>
  <c r="T92" i="18"/>
  <c r="T135" i="18"/>
  <c r="T134" i="18"/>
  <c r="T99" i="18"/>
  <c r="T105" i="18" s="1"/>
  <c r="T130" i="18"/>
  <c r="H185" i="18"/>
  <c r="H178" i="18"/>
  <c r="H187" i="18" s="1"/>
  <c r="H188" i="18" s="1"/>
  <c r="X112" i="18"/>
  <c r="X125" i="18"/>
  <c r="X124" i="18"/>
  <c r="X126" i="18"/>
  <c r="T111" i="18"/>
  <c r="T116" i="18"/>
  <c r="T117" i="18" s="1"/>
  <c r="X96" i="18"/>
  <c r="X102" i="18" s="1"/>
  <c r="X121" i="18"/>
  <c r="X120" i="18"/>
  <c r="T110" i="18"/>
  <c r="Y18" i="18"/>
  <c r="P178" i="18"/>
  <c r="P187" i="18" s="1"/>
  <c r="P185" i="18"/>
  <c r="R185" i="18" s="1"/>
  <c r="K178" i="18"/>
  <c r="K187" i="18" s="1"/>
  <c r="K188" i="18" s="1"/>
  <c r="K185" i="18"/>
  <c r="J178" i="18"/>
  <c r="J187" i="18" s="1"/>
  <c r="J188" i="18" s="1"/>
  <c r="J185" i="18"/>
  <c r="M178" i="18"/>
  <c r="M187" i="18" s="1"/>
  <c r="M188" i="18" s="1"/>
  <c r="M185" i="18"/>
  <c r="I178" i="18"/>
  <c r="I187" i="18" s="1"/>
  <c r="I188" i="18" s="1"/>
  <c r="I185" i="18"/>
  <c r="Z20" i="18"/>
  <c r="Y75" i="18"/>
  <c r="H69" i="18"/>
  <c r="H182" i="18" s="1"/>
  <c r="Y27" i="18"/>
  <c r="U12" i="18"/>
  <c r="U15" i="18"/>
  <c r="U129" i="18" s="1"/>
  <c r="U13" i="18"/>
  <c r="U10" i="18"/>
  <c r="U16" i="18"/>
  <c r="U137" i="18" s="1"/>
  <c r="U138" i="18" s="1"/>
  <c r="U6" i="18"/>
  <c r="U7" i="18"/>
  <c r="Y25" i="18"/>
  <c r="X89" i="18"/>
  <c r="U40" i="18"/>
  <c r="T90" i="18"/>
  <c r="AC36" i="18"/>
  <c r="L69" i="18"/>
  <c r="L182" i="18" s="1"/>
  <c r="K69" i="18"/>
  <c r="K182" i="18" s="1"/>
  <c r="J69" i="18"/>
  <c r="J182" i="18" s="1"/>
  <c r="AA21" i="18"/>
  <c r="U176" i="18"/>
  <c r="U186" i="18" s="1"/>
  <c r="I69" i="18"/>
  <c r="I182" i="18" s="1"/>
  <c r="R59" i="18"/>
  <c r="G181" i="18"/>
  <c r="R60" i="18"/>
  <c r="R61" i="18"/>
  <c r="R68" i="18"/>
  <c r="R70" i="18"/>
  <c r="G178" i="18"/>
  <c r="G187" i="18" s="1"/>
  <c r="G188" i="18" s="1"/>
  <c r="R57" i="18"/>
  <c r="G183" i="18"/>
  <c r="R71" i="18"/>
  <c r="G69" i="18"/>
  <c r="R67" i="18"/>
  <c r="N181" i="18"/>
  <c r="N178" i="18"/>
  <c r="N187" i="18" s="1"/>
  <c r="N188" i="18" s="1"/>
  <c r="N183" i="18"/>
  <c r="P181" i="18"/>
  <c r="L178" i="18"/>
  <c r="L187" i="18" s="1"/>
  <c r="L188" i="18" s="1"/>
  <c r="N69" i="18"/>
  <c r="M69" i="18"/>
  <c r="M182" i="18" s="1"/>
  <c r="P183" i="18"/>
  <c r="P69" i="18"/>
  <c r="T68" i="18"/>
  <c r="C6" i="12"/>
  <c r="C26" i="15"/>
  <c r="C58" i="15"/>
  <c r="C57" i="15"/>
  <c r="C54" i="15"/>
  <c r="C53" i="15"/>
  <c r="C50" i="15"/>
  <c r="C49" i="15"/>
  <c r="C45" i="15"/>
  <c r="T198" i="18" l="1"/>
  <c r="T197" i="18" s="1"/>
  <c r="P198" i="18"/>
  <c r="Y93" i="18"/>
  <c r="Y122" i="18"/>
  <c r="P188" i="18"/>
  <c r="R187" i="18"/>
  <c r="U98" i="18"/>
  <c r="U104" i="18" s="1"/>
  <c r="U53" i="18"/>
  <c r="U94" i="18" s="1"/>
  <c r="U199" i="18"/>
  <c r="V199" i="18" s="1"/>
  <c r="W199" i="18" s="1"/>
  <c r="X199" i="18" s="1"/>
  <c r="Y199" i="18" s="1"/>
  <c r="Z199" i="18" s="1"/>
  <c r="AA199" i="18" s="1"/>
  <c r="AB199" i="18" s="1"/>
  <c r="AC199" i="18" s="1"/>
  <c r="AD199" i="18" s="1"/>
  <c r="AE199" i="18" s="1"/>
  <c r="AF199" i="18" s="1"/>
  <c r="AG199" i="18" s="1"/>
  <c r="AH199" i="18" s="1"/>
  <c r="AI199" i="18" s="1"/>
  <c r="AJ199" i="18" s="1"/>
  <c r="AK199" i="18" s="1"/>
  <c r="AL199" i="18" s="1"/>
  <c r="AM199" i="18" s="1"/>
  <c r="AN199" i="18" s="1"/>
  <c r="AO199" i="18" s="1"/>
  <c r="AP199" i="18" s="1"/>
  <c r="AQ199" i="18" s="1"/>
  <c r="AR199" i="18" s="1"/>
  <c r="AS199" i="18" s="1"/>
  <c r="AT199" i="18" s="1"/>
  <c r="U109" i="18"/>
  <c r="Y131" i="18"/>
  <c r="Y141" i="18"/>
  <c r="Y132" i="18"/>
  <c r="Y142" i="18"/>
  <c r="AF36" i="18"/>
  <c r="AC97" i="18"/>
  <c r="AB23" i="18"/>
  <c r="AA100" i="18"/>
  <c r="AA106" i="18" s="1"/>
  <c r="U135" i="18"/>
  <c r="U134" i="18"/>
  <c r="U99" i="18"/>
  <c r="U105" i="18" s="1"/>
  <c r="U130" i="18"/>
  <c r="U92" i="18"/>
  <c r="Y124" i="18"/>
  <c r="Y125" i="18"/>
  <c r="Y126" i="18"/>
  <c r="Y112" i="18"/>
  <c r="Y96" i="18"/>
  <c r="Y102" i="18" s="1"/>
  <c r="Y121" i="18"/>
  <c r="Y120" i="18"/>
  <c r="U110" i="18"/>
  <c r="U111" i="18"/>
  <c r="Z18" i="18"/>
  <c r="AA20" i="18"/>
  <c r="Z75" i="18"/>
  <c r="T67" i="18"/>
  <c r="T84" i="18"/>
  <c r="T63" i="18"/>
  <c r="T65" i="18"/>
  <c r="T184" i="18" s="1"/>
  <c r="T71" i="18"/>
  <c r="T183" i="18" s="1"/>
  <c r="T81" i="18"/>
  <c r="T83" i="18"/>
  <c r="T139" i="18" s="1"/>
  <c r="T52" i="18"/>
  <c r="T51" i="18"/>
  <c r="T177" i="18" s="1"/>
  <c r="T64" i="18"/>
  <c r="T60" i="18"/>
  <c r="T61" i="18"/>
  <c r="T70" i="18"/>
  <c r="T59" i="18"/>
  <c r="T85" i="18"/>
  <c r="T57" i="18"/>
  <c r="T185" i="18" s="1"/>
  <c r="Z27" i="18"/>
  <c r="V15" i="18"/>
  <c r="V129" i="18" s="1"/>
  <c r="V13" i="18"/>
  <c r="V12" i="18"/>
  <c r="T69" i="18"/>
  <c r="V16" i="18"/>
  <c r="V137" i="18" s="1"/>
  <c r="V138" i="18" s="1"/>
  <c r="V10" i="18"/>
  <c r="V7" i="18"/>
  <c r="V6" i="18"/>
  <c r="AD36" i="18"/>
  <c r="Z25" i="18"/>
  <c r="Y89" i="18"/>
  <c r="V40" i="18"/>
  <c r="U91" i="18"/>
  <c r="U90" i="18"/>
  <c r="U42" i="18"/>
  <c r="T78" i="18"/>
  <c r="T79" i="18"/>
  <c r="T80" i="18"/>
  <c r="T77" i="18"/>
  <c r="AB21" i="18"/>
  <c r="V176" i="18"/>
  <c r="V186" i="18" s="1"/>
  <c r="R181" i="18"/>
  <c r="R178" i="18"/>
  <c r="R183" i="18"/>
  <c r="G182" i="18"/>
  <c r="R69" i="18"/>
  <c r="N182" i="18"/>
  <c r="P182" i="18"/>
  <c r="C16" i="15"/>
  <c r="C21" i="15"/>
  <c r="C10" i="15"/>
  <c r="U56" i="18" l="1"/>
  <c r="U180" i="18" s="1"/>
  <c r="U55" i="18"/>
  <c r="U179" i="18" s="1"/>
  <c r="Z93" i="18"/>
  <c r="Z122" i="18"/>
  <c r="V98" i="18"/>
  <c r="V104" i="18" s="1"/>
  <c r="V53" i="18"/>
  <c r="V94" i="18" s="1"/>
  <c r="U200" i="18"/>
  <c r="V200" i="18" s="1"/>
  <c r="W200" i="18" s="1"/>
  <c r="X200" i="18" s="1"/>
  <c r="Y200" i="18" s="1"/>
  <c r="Z200" i="18" s="1"/>
  <c r="AA200" i="18" s="1"/>
  <c r="AB200" i="18" s="1"/>
  <c r="AC200" i="18" s="1"/>
  <c r="AD200" i="18" s="1"/>
  <c r="AE200" i="18" s="1"/>
  <c r="AF200" i="18" s="1"/>
  <c r="AG200" i="18" s="1"/>
  <c r="AH200" i="18" s="1"/>
  <c r="AI200" i="18" s="1"/>
  <c r="AJ200" i="18" s="1"/>
  <c r="AK200" i="18" s="1"/>
  <c r="AL200" i="18" s="1"/>
  <c r="AM200" i="18" s="1"/>
  <c r="AN200" i="18" s="1"/>
  <c r="AO200" i="18" s="1"/>
  <c r="AP200" i="18" s="1"/>
  <c r="AQ200" i="18" s="1"/>
  <c r="AR200" i="18" s="1"/>
  <c r="AS200" i="18" s="1"/>
  <c r="AT200" i="18" s="1"/>
  <c r="AD97" i="18"/>
  <c r="AC103" i="18"/>
  <c r="AD103" i="18" s="1"/>
  <c r="U198" i="18"/>
  <c r="V198" i="18" s="1"/>
  <c r="W198" i="18" s="1"/>
  <c r="X198" i="18" s="1"/>
  <c r="Y198" i="18" s="1"/>
  <c r="Z198" i="18" s="1"/>
  <c r="AA198" i="18" s="1"/>
  <c r="AB198" i="18" s="1"/>
  <c r="AC198" i="18" s="1"/>
  <c r="AD198" i="18" s="1"/>
  <c r="V109" i="18"/>
  <c r="U114" i="18"/>
  <c r="U115" i="18" s="1"/>
  <c r="U58" i="18"/>
  <c r="Z131" i="18"/>
  <c r="Z141" i="18"/>
  <c r="Z132" i="18"/>
  <c r="Z142" i="18"/>
  <c r="AC23" i="18"/>
  <c r="AB100" i="18"/>
  <c r="AB106" i="18" s="1"/>
  <c r="V99" i="18"/>
  <c r="V105" i="18" s="1"/>
  <c r="V130" i="18"/>
  <c r="V135" i="18"/>
  <c r="V134" i="18"/>
  <c r="V92" i="18"/>
  <c r="Z126" i="18"/>
  <c r="Z125" i="18"/>
  <c r="Z124" i="18"/>
  <c r="Z112" i="18"/>
  <c r="U67" i="18"/>
  <c r="Z96" i="18"/>
  <c r="Z102" i="18" s="1"/>
  <c r="Z121" i="18"/>
  <c r="Z120" i="18"/>
  <c r="V110" i="18"/>
  <c r="V111" i="18"/>
  <c r="U63" i="18"/>
  <c r="AA18" i="18"/>
  <c r="AB20" i="18"/>
  <c r="AA75" i="18"/>
  <c r="U65" i="18"/>
  <c r="U184" i="18" s="1"/>
  <c r="U71" i="18"/>
  <c r="U183" i="18" s="1"/>
  <c r="U81" i="18"/>
  <c r="U83" i="18"/>
  <c r="U139" i="18" s="1"/>
  <c r="U51" i="18"/>
  <c r="U177" i="18" s="1"/>
  <c r="U52" i="18"/>
  <c r="U60" i="18"/>
  <c r="U59" i="18"/>
  <c r="U70" i="18"/>
  <c r="U85" i="18"/>
  <c r="U64" i="18"/>
  <c r="U61" i="18"/>
  <c r="U57" i="18"/>
  <c r="U185" i="18" s="1"/>
  <c r="U68" i="18"/>
  <c r="U84" i="18"/>
  <c r="AA27" i="18"/>
  <c r="W13" i="18"/>
  <c r="W12" i="18"/>
  <c r="W15" i="18"/>
  <c r="W129" i="18" s="1"/>
  <c r="W10" i="18"/>
  <c r="W16" i="18"/>
  <c r="W137" i="18" s="1"/>
  <c r="W138" i="18" s="1"/>
  <c r="W6" i="18"/>
  <c r="W7" i="18"/>
  <c r="W40" i="18"/>
  <c r="V91" i="18"/>
  <c r="V90" i="18"/>
  <c r="AA25" i="18"/>
  <c r="Z89" i="18"/>
  <c r="V42" i="18"/>
  <c r="U80" i="18"/>
  <c r="U79" i="18"/>
  <c r="U78" i="18"/>
  <c r="U77" i="18"/>
  <c r="AC21" i="18"/>
  <c r="AF21" i="18" s="1"/>
  <c r="T182" i="18"/>
  <c r="W176" i="18"/>
  <c r="W186" i="18" s="1"/>
  <c r="T178" i="18"/>
  <c r="T187" i="18" s="1"/>
  <c r="T181" i="18"/>
  <c r="R182" i="18"/>
  <c r="D31" i="8"/>
  <c r="D29" i="8"/>
  <c r="D28" i="8"/>
  <c r="D13" i="8"/>
  <c r="D30" i="8" s="1"/>
  <c r="E14" i="8"/>
  <c r="F14" i="8" s="1"/>
  <c r="G14" i="8" s="1"/>
  <c r="H14" i="8" s="1"/>
  <c r="I14" i="8" s="1"/>
  <c r="V56" i="18" l="1"/>
  <c r="V180" i="18" s="1"/>
  <c r="V55" i="18"/>
  <c r="V179" i="18" s="1"/>
  <c r="AA93" i="18"/>
  <c r="AA122" i="18"/>
  <c r="U116" i="18"/>
  <c r="U117" i="18" s="1"/>
  <c r="U118" i="18"/>
  <c r="W98" i="18"/>
  <c r="W104" i="18" s="1"/>
  <c r="W53" i="18"/>
  <c r="W94" i="18" s="1"/>
  <c r="U197" i="18"/>
  <c r="V197" i="18" s="1"/>
  <c r="W197" i="18" s="1"/>
  <c r="X197" i="18" s="1"/>
  <c r="Y197" i="18" s="1"/>
  <c r="Z197" i="18" s="1"/>
  <c r="AA197" i="18" s="1"/>
  <c r="AB197" i="18" s="1"/>
  <c r="AC197" i="18" s="1"/>
  <c r="AD197" i="18" s="1"/>
  <c r="AE198" i="18"/>
  <c r="AF198" i="18" s="1"/>
  <c r="AG198" i="18" s="1"/>
  <c r="AH198" i="18" s="1"/>
  <c r="AI198" i="18" s="1"/>
  <c r="AJ198" i="18" s="1"/>
  <c r="AK198" i="18" s="1"/>
  <c r="AL198" i="18" s="1"/>
  <c r="AM198" i="18" s="1"/>
  <c r="AN198" i="18" s="1"/>
  <c r="AO198" i="18" s="1"/>
  <c r="AP198" i="18" s="1"/>
  <c r="AQ198" i="18" s="1"/>
  <c r="AR198" i="18" s="1"/>
  <c r="AS198" i="18" s="1"/>
  <c r="AT198" i="18" s="1"/>
  <c r="W109" i="18"/>
  <c r="V114" i="18"/>
  <c r="V115" i="18" s="1"/>
  <c r="V58" i="18"/>
  <c r="AA131" i="18"/>
  <c r="AA141" i="18"/>
  <c r="AA132" i="18"/>
  <c r="AA142" i="18"/>
  <c r="AF23" i="18"/>
  <c r="AC100" i="18"/>
  <c r="AD23" i="18"/>
  <c r="W92" i="18"/>
  <c r="W134" i="18"/>
  <c r="W135" i="18"/>
  <c r="W99" i="18"/>
  <c r="W105" i="18" s="1"/>
  <c r="W130" i="18"/>
  <c r="AA126" i="18"/>
  <c r="AA125" i="18"/>
  <c r="AA124" i="18"/>
  <c r="AA112" i="18"/>
  <c r="V67" i="18"/>
  <c r="U69" i="18"/>
  <c r="U182" i="18" s="1"/>
  <c r="AA96" i="18"/>
  <c r="AA102" i="18" s="1"/>
  <c r="AA121" i="18"/>
  <c r="AA120" i="18"/>
  <c r="W111" i="18"/>
  <c r="W110" i="18"/>
  <c r="AB18" i="18"/>
  <c r="AC20" i="18"/>
  <c r="AB75" i="18"/>
  <c r="V85" i="18"/>
  <c r="V84" i="18"/>
  <c r="V63" i="18"/>
  <c r="V71" i="18"/>
  <c r="V183" i="18" s="1"/>
  <c r="V70" i="18"/>
  <c r="V65" i="18"/>
  <c r="V184" i="18" s="1"/>
  <c r="V68" i="18"/>
  <c r="V59" i="18"/>
  <c r="V81" i="18"/>
  <c r="V83" i="18"/>
  <c r="V139" i="18" s="1"/>
  <c r="V52" i="18"/>
  <c r="V51" i="18"/>
  <c r="V177" i="18" s="1"/>
  <c r="V64" i="18"/>
  <c r="V60" i="18"/>
  <c r="V61" i="18"/>
  <c r="V57" i="18"/>
  <c r="V185" i="18" s="1"/>
  <c r="AB27" i="18"/>
  <c r="X12" i="18"/>
  <c r="X15" i="18"/>
  <c r="X129" i="18" s="1"/>
  <c r="X13" i="18"/>
  <c r="X16" i="18"/>
  <c r="X137" i="18" s="1"/>
  <c r="X138" i="18" s="1"/>
  <c r="X10" i="18"/>
  <c r="X7" i="18"/>
  <c r="X6" i="18"/>
  <c r="AB25" i="18"/>
  <c r="AB122" i="18" s="1"/>
  <c r="AA89" i="18"/>
  <c r="X40" i="18"/>
  <c r="W90" i="18"/>
  <c r="W91" i="18"/>
  <c r="W42" i="18"/>
  <c r="V80" i="18"/>
  <c r="V78" i="18"/>
  <c r="V79" i="18"/>
  <c r="V77" i="18"/>
  <c r="AD21" i="18"/>
  <c r="X176" i="18"/>
  <c r="X186" i="18" s="1"/>
  <c r="U178" i="18"/>
  <c r="U187" i="18" s="1"/>
  <c r="U181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56" i="18" l="1"/>
  <c r="W180" i="18" s="1"/>
  <c r="W55" i="18"/>
  <c r="W179" i="18" s="1"/>
  <c r="V116" i="18"/>
  <c r="V117" i="18" s="1"/>
  <c r="V118" i="18"/>
  <c r="X98" i="18"/>
  <c r="X104" i="18" s="1"/>
  <c r="X53" i="18"/>
  <c r="X94" i="18" s="1"/>
  <c r="AE197" i="18"/>
  <c r="AF197" i="18" s="1"/>
  <c r="AG197" i="18" s="1"/>
  <c r="AH197" i="18" s="1"/>
  <c r="AI197" i="18" s="1"/>
  <c r="AJ197" i="18" s="1"/>
  <c r="AK197" i="18" s="1"/>
  <c r="AL197" i="18" s="1"/>
  <c r="AM197" i="18" s="1"/>
  <c r="AN197" i="18" s="1"/>
  <c r="AO197" i="18" s="1"/>
  <c r="AP197" i="18" s="1"/>
  <c r="AQ197" i="18" s="1"/>
  <c r="AR197" i="18" s="1"/>
  <c r="AS197" i="18" s="1"/>
  <c r="AT197" i="18" s="1"/>
  <c r="AD100" i="18"/>
  <c r="AC106" i="18"/>
  <c r="AD106" i="18" s="1"/>
  <c r="X109" i="18"/>
  <c r="W114" i="18"/>
  <c r="W115" i="18" s="1"/>
  <c r="W58" i="18"/>
  <c r="AB131" i="18"/>
  <c r="AB141" i="18"/>
  <c r="AB132" i="18"/>
  <c r="AB142" i="18"/>
  <c r="AF20" i="18"/>
  <c r="AB93" i="18"/>
  <c r="X135" i="18"/>
  <c r="X134" i="18"/>
  <c r="X99" i="18"/>
  <c r="X105" i="18" s="1"/>
  <c r="X130" i="18"/>
  <c r="X92" i="18"/>
  <c r="AB125" i="18"/>
  <c r="AB124" i="18"/>
  <c r="AB126" i="18"/>
  <c r="AB112" i="18"/>
  <c r="V69" i="18"/>
  <c r="V182" i="18" s="1"/>
  <c r="AB96" i="18"/>
  <c r="AB102" i="18" s="1"/>
  <c r="AB121" i="18"/>
  <c r="AB120" i="18"/>
  <c r="W70" i="18"/>
  <c r="X111" i="18"/>
  <c r="X110" i="18"/>
  <c r="AC18" i="18"/>
  <c r="W85" i="18"/>
  <c r="W61" i="18"/>
  <c r="W68" i="18"/>
  <c r="AD20" i="18"/>
  <c r="AC75" i="18"/>
  <c r="W59" i="18"/>
  <c r="W67" i="18"/>
  <c r="W64" i="18"/>
  <c r="W84" i="18"/>
  <c r="W60" i="18"/>
  <c r="W65" i="18"/>
  <c r="W184" i="18" s="1"/>
  <c r="W81" i="18"/>
  <c r="W83" i="18"/>
  <c r="W139" i="18" s="1"/>
  <c r="W51" i="18"/>
  <c r="W177" i="18" s="1"/>
  <c r="W52" i="18"/>
  <c r="W63" i="18"/>
  <c r="W71" i="18"/>
  <c r="W183" i="18" s="1"/>
  <c r="W57" i="18"/>
  <c r="W185" i="18" s="1"/>
  <c r="AC27" i="18"/>
  <c r="AC142" i="18" s="1"/>
  <c r="AD142" i="18" s="1"/>
  <c r="Y15" i="18"/>
  <c r="Y129" i="18" s="1"/>
  <c r="Y13" i="18"/>
  <c r="Y12" i="18"/>
  <c r="Y10" i="18"/>
  <c r="Y16" i="18"/>
  <c r="Y137" i="18" s="1"/>
  <c r="Y138" i="18" s="1"/>
  <c r="Y6" i="18"/>
  <c r="Y7" i="18"/>
  <c r="Y40" i="18"/>
  <c r="X91" i="18"/>
  <c r="X90" i="18"/>
  <c r="AC25" i="18"/>
  <c r="AB89" i="18"/>
  <c r="X42" i="18"/>
  <c r="W80" i="18"/>
  <c r="W78" i="18"/>
  <c r="W79" i="18"/>
  <c r="W77" i="18"/>
  <c r="Y176" i="18"/>
  <c r="Y186" i="18" s="1"/>
  <c r="V178" i="18"/>
  <c r="V187" i="18" s="1"/>
  <c r="V181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X56" i="18" l="1"/>
  <c r="X180" i="18" s="1"/>
  <c r="X55" i="18"/>
  <c r="X179" i="18" s="1"/>
  <c r="AC93" i="18"/>
  <c r="AD93" i="18" s="1"/>
  <c r="AC122" i="18"/>
  <c r="AD122" i="18" s="1"/>
  <c r="W116" i="18"/>
  <c r="W117" i="18" s="1"/>
  <c r="W118" i="18"/>
  <c r="Y98" i="18"/>
  <c r="Y104" i="18" s="1"/>
  <c r="Y53" i="18"/>
  <c r="Y94" i="18" s="1"/>
  <c r="Y109" i="18"/>
  <c r="X114" i="18"/>
  <c r="X115" i="18" s="1"/>
  <c r="X58" i="18"/>
  <c r="AC131" i="18"/>
  <c r="AD131" i="18" s="1"/>
  <c r="AC141" i="18"/>
  <c r="AD141" i="18" s="1"/>
  <c r="Y99" i="18"/>
  <c r="Y105" i="18" s="1"/>
  <c r="Y130" i="18"/>
  <c r="Y135" i="18"/>
  <c r="Y134" i="18"/>
  <c r="AF27" i="18"/>
  <c r="AC132" i="18"/>
  <c r="AD132" i="18" s="1"/>
  <c r="Y92" i="18"/>
  <c r="AC124" i="18"/>
  <c r="AD124" i="18" s="1"/>
  <c r="AC126" i="18"/>
  <c r="AD126" i="18" s="1"/>
  <c r="AC125" i="18"/>
  <c r="AD125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12" i="18"/>
  <c r="AD112" i="18" s="1"/>
  <c r="W69" i="18"/>
  <c r="W182" i="18" s="1"/>
  <c r="X68" i="18"/>
  <c r="AC96" i="18"/>
  <c r="AC121" i="18"/>
  <c r="AD121" i="18" s="1"/>
  <c r="AC120" i="18"/>
  <c r="AD120" i="18" s="1"/>
  <c r="Y111" i="18"/>
  <c r="Y110" i="18"/>
  <c r="AF25" i="18"/>
  <c r="AF18" i="18"/>
  <c r="AD18" i="18"/>
  <c r="T165" i="18"/>
  <c r="AF75" i="18"/>
  <c r="AD75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71" i="18"/>
  <c r="X183" i="18" s="1"/>
  <c r="X70" i="18"/>
  <c r="X65" i="18"/>
  <c r="X184" i="18" s="1"/>
  <c r="X67" i="18"/>
  <c r="X64" i="18"/>
  <c r="X84" i="18"/>
  <c r="X63" i="18"/>
  <c r="X85" i="18"/>
  <c r="X81" i="18"/>
  <c r="X83" i="18"/>
  <c r="X139" i="18" s="1"/>
  <c r="X52" i="18"/>
  <c r="X51" i="18"/>
  <c r="X177" i="18" s="1"/>
  <c r="X59" i="18"/>
  <c r="X60" i="18"/>
  <c r="X61" i="18"/>
  <c r="X57" i="18"/>
  <c r="X185" i="18" s="1"/>
  <c r="AD27" i="18"/>
  <c r="Z12" i="18"/>
  <c r="Z15" i="18"/>
  <c r="Z129" i="18" s="1"/>
  <c r="Z13" i="18"/>
  <c r="Z10" i="18"/>
  <c r="Z16" i="18"/>
  <c r="Z137" i="18" s="1"/>
  <c r="Z138" i="18" s="1"/>
  <c r="Z7" i="18"/>
  <c r="Z6" i="18"/>
  <c r="AD25" i="18"/>
  <c r="AC89" i="18"/>
  <c r="AD89" i="18" s="1"/>
  <c r="Z40" i="18"/>
  <c r="Y91" i="18"/>
  <c r="Y90" i="18"/>
  <c r="O31" i="9"/>
  <c r="O32" i="9" s="1"/>
  <c r="Y42" i="18"/>
  <c r="X80" i="18"/>
  <c r="X78" i="18"/>
  <c r="X79" i="18"/>
  <c r="X77" i="18"/>
  <c r="Z176" i="18"/>
  <c r="Z186" i="18" s="1"/>
  <c r="W178" i="18"/>
  <c r="W187" i="18" s="1"/>
  <c r="W181" i="18"/>
  <c r="P31" i="11"/>
  <c r="N32" i="11"/>
  <c r="T19" i="9"/>
  <c r="D22" i="9"/>
  <c r="Y56" i="18" l="1"/>
  <c r="Y180" i="18" s="1"/>
  <c r="Y55" i="18"/>
  <c r="Y179" i="18" s="1"/>
  <c r="X116" i="18"/>
  <c r="X117" i="18" s="1"/>
  <c r="X118" i="18"/>
  <c r="Z98" i="18"/>
  <c r="Z104" i="18" s="1"/>
  <c r="Z53" i="18"/>
  <c r="Z94" i="18" s="1"/>
  <c r="AD96" i="18"/>
  <c r="AC102" i="18"/>
  <c r="AD102" i="18" s="1"/>
  <c r="Z109" i="18"/>
  <c r="Y114" i="18"/>
  <c r="Y115" i="18" s="1"/>
  <c r="Y58" i="18"/>
  <c r="Z135" i="18"/>
  <c r="Z134" i="18"/>
  <c r="Z99" i="18"/>
  <c r="Z105" i="18" s="1"/>
  <c r="Z130" i="18"/>
  <c r="Z92" i="18"/>
  <c r="X69" i="18"/>
  <c r="X182" i="18" s="1"/>
  <c r="Y61" i="18"/>
  <c r="Z110" i="18"/>
  <c r="Z111" i="18"/>
  <c r="U165" i="18"/>
  <c r="S165" i="18" s="1"/>
  <c r="Y63" i="18"/>
  <c r="Y70" i="18"/>
  <c r="Y57" i="18"/>
  <c r="Y185" i="18" s="1"/>
  <c r="Y65" i="18"/>
  <c r="Y184" i="18" s="1"/>
  <c r="Y60" i="18"/>
  <c r="Y59" i="18"/>
  <c r="Y81" i="18"/>
  <c r="Y83" i="18"/>
  <c r="Y139" i="18" s="1"/>
  <c r="Y52" i="18"/>
  <c r="Y51" i="18"/>
  <c r="Y177" i="18" s="1"/>
  <c r="Y85" i="18"/>
  <c r="Y64" i="18"/>
  <c r="Y71" i="18"/>
  <c r="Y183" i="18" s="1"/>
  <c r="Y68" i="18"/>
  <c r="Y67" i="18"/>
  <c r="Y84" i="18"/>
  <c r="AA13" i="18"/>
  <c r="AA12" i="18"/>
  <c r="AA15" i="18"/>
  <c r="AA129" i="18" s="1"/>
  <c r="AA10" i="18"/>
  <c r="AA16" i="18"/>
  <c r="AA137" i="18" s="1"/>
  <c r="AA138" i="18" s="1"/>
  <c r="AA6" i="18"/>
  <c r="AA7" i="18"/>
  <c r="AA40" i="18"/>
  <c r="Z91" i="18"/>
  <c r="Z90" i="18"/>
  <c r="Z42" i="18"/>
  <c r="Y80" i="18"/>
  <c r="Y78" i="18"/>
  <c r="Y79" i="18"/>
  <c r="Y77" i="18"/>
  <c r="AA176" i="18"/>
  <c r="AA186" i="18" s="1"/>
  <c r="X178" i="18"/>
  <c r="X187" i="18" s="1"/>
  <c r="X181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Z56" i="18" l="1"/>
  <c r="Z180" i="18" s="1"/>
  <c r="Z55" i="18"/>
  <c r="Z179" i="18" s="1"/>
  <c r="Y116" i="18"/>
  <c r="Y117" i="18" s="1"/>
  <c r="Y118" i="18"/>
  <c r="AA98" i="18"/>
  <c r="AA104" i="18" s="1"/>
  <c r="AA53" i="18"/>
  <c r="AA94" i="18" s="1"/>
  <c r="AA109" i="18"/>
  <c r="Z114" i="18"/>
  <c r="Z115" i="18" s="1"/>
  <c r="Z58" i="18"/>
  <c r="AA99" i="18"/>
  <c r="AA105" i="18" s="1"/>
  <c r="AA130" i="18"/>
  <c r="AA134" i="18"/>
  <c r="AA135" i="18"/>
  <c r="AA92" i="18"/>
  <c r="AA110" i="18"/>
  <c r="AA111" i="18"/>
  <c r="Y69" i="18"/>
  <c r="Y182" i="18" s="1"/>
  <c r="Z81" i="18"/>
  <c r="Z83" i="18"/>
  <c r="Z139" i="18" s="1"/>
  <c r="Z51" i="18"/>
  <c r="Z177" i="18" s="1"/>
  <c r="Z52" i="18"/>
  <c r="Z65" i="18"/>
  <c r="Z184" i="18" s="1"/>
  <c r="Z71" i="18"/>
  <c r="Z183" i="18" s="1"/>
  <c r="Z70" i="18"/>
  <c r="Z68" i="18"/>
  <c r="Z59" i="18"/>
  <c r="Z57" i="18"/>
  <c r="Z185" i="18" s="1"/>
  <c r="Z64" i="18"/>
  <c r="Z60" i="18"/>
  <c r="Z61" i="18"/>
  <c r="Z67" i="18"/>
  <c r="Z84" i="18"/>
  <c r="Z63" i="18"/>
  <c r="Z85" i="18"/>
  <c r="AB12" i="18"/>
  <c r="AB15" i="18"/>
  <c r="AB129" i="18" s="1"/>
  <c r="AB13" i="18"/>
  <c r="AB10" i="18"/>
  <c r="AB16" i="18"/>
  <c r="AB137" i="18" s="1"/>
  <c r="AB138" i="18" s="1"/>
  <c r="AB7" i="18"/>
  <c r="AB6" i="18"/>
  <c r="AB40" i="18"/>
  <c r="AA90" i="18"/>
  <c r="AA91" i="18"/>
  <c r="AA42" i="18"/>
  <c r="Z80" i="18"/>
  <c r="Z78" i="18"/>
  <c r="Z79" i="18"/>
  <c r="Z77" i="18"/>
  <c r="AB176" i="18"/>
  <c r="AB186" i="18" s="1"/>
  <c r="Y178" i="18"/>
  <c r="Y187" i="18" s="1"/>
  <c r="Y181" i="18"/>
  <c r="N34" i="11"/>
  <c r="O33" i="11"/>
  <c r="D25" i="8"/>
  <c r="D23" i="8"/>
  <c r="AA56" i="18" l="1"/>
  <c r="AA180" i="18" s="1"/>
  <c r="AA55" i="18"/>
  <c r="AA179" i="18" s="1"/>
  <c r="Z116" i="18"/>
  <c r="Z117" i="18" s="1"/>
  <c r="Z118" i="18"/>
  <c r="AB98" i="18"/>
  <c r="AB104" i="18" s="1"/>
  <c r="AB53" i="18"/>
  <c r="AB94" i="18" s="1"/>
  <c r="AB109" i="18"/>
  <c r="AA114" i="18"/>
  <c r="AA115" i="18" s="1"/>
  <c r="AA58" i="18"/>
  <c r="AB92" i="18"/>
  <c r="AB134" i="18"/>
  <c r="AB135" i="18"/>
  <c r="AB99" i="18"/>
  <c r="AB105" i="18" s="1"/>
  <c r="AB130" i="18"/>
  <c r="AB110" i="18"/>
  <c r="AB111" i="18"/>
  <c r="Z69" i="18"/>
  <c r="Z182" i="18" s="1"/>
  <c r="AA81" i="18"/>
  <c r="AA83" i="18"/>
  <c r="AA139" i="18" s="1"/>
  <c r="AA52" i="18"/>
  <c r="AA51" i="18"/>
  <c r="AA177" i="18" s="1"/>
  <c r="AA59" i="18"/>
  <c r="AA70" i="18"/>
  <c r="AA60" i="18"/>
  <c r="AA65" i="18"/>
  <c r="AA184" i="18" s="1"/>
  <c r="AA68" i="18"/>
  <c r="AA67" i="18"/>
  <c r="AA85" i="18"/>
  <c r="AA71" i="18"/>
  <c r="AA183" i="18" s="1"/>
  <c r="AA57" i="18"/>
  <c r="AA185" i="18" s="1"/>
  <c r="AA64" i="18"/>
  <c r="AA84" i="18"/>
  <c r="AA63" i="18"/>
  <c r="AA61" i="18"/>
  <c r="AC15" i="18"/>
  <c r="AC13" i="18"/>
  <c r="AF13" i="18" s="1"/>
  <c r="AC12" i="18"/>
  <c r="AC130" i="18" s="1"/>
  <c r="AD130" i="18" s="1"/>
  <c r="AC10" i="18"/>
  <c r="AC16" i="18"/>
  <c r="AC6" i="18"/>
  <c r="AF6" i="18" s="1"/>
  <c r="AC7" i="18"/>
  <c r="AF7" i="18" s="1"/>
  <c r="AC40" i="18"/>
  <c r="AB91" i="18"/>
  <c r="AB90" i="18"/>
  <c r="AB42" i="18"/>
  <c r="AA80" i="18"/>
  <c r="AA78" i="18"/>
  <c r="AA79" i="18"/>
  <c r="AA77" i="18"/>
  <c r="AC176" i="18"/>
  <c r="AC186" i="18" s="1"/>
  <c r="Z178" i="18"/>
  <c r="Z187" i="18" s="1"/>
  <c r="Z181" i="18"/>
  <c r="N35" i="11"/>
  <c r="O34" i="11"/>
  <c r="D35" i="8"/>
  <c r="E5" i="8"/>
  <c r="E18" i="8" s="1"/>
  <c r="D18" i="8"/>
  <c r="D19" i="8"/>
  <c r="D21" i="8"/>
  <c r="D20" i="8"/>
  <c r="AB56" i="18" l="1"/>
  <c r="AB180" i="18" s="1"/>
  <c r="AB55" i="18"/>
  <c r="AB179" i="18" s="1"/>
  <c r="AA116" i="18"/>
  <c r="AA117" i="18" s="1"/>
  <c r="AA118" i="18"/>
  <c r="AC98" i="18"/>
  <c r="AC104" i="18" s="1"/>
  <c r="AD104" i="18" s="1"/>
  <c r="AC53" i="18"/>
  <c r="AC109" i="18"/>
  <c r="AD186" i="18"/>
  <c r="AF186" i="18" s="1"/>
  <c r="AB114" i="18"/>
  <c r="AB115" i="18" s="1"/>
  <c r="AB58" i="18"/>
  <c r="AF16" i="18"/>
  <c r="AC137" i="18"/>
  <c r="AC135" i="18"/>
  <c r="AD135" i="18" s="1"/>
  <c r="AC134" i="18"/>
  <c r="AD134" i="18" s="1"/>
  <c r="AF15" i="18"/>
  <c r="AC129" i="18"/>
  <c r="AD129" i="18" s="1"/>
  <c r="AC92" i="18"/>
  <c r="AD92" i="18" s="1"/>
  <c r="AF10" i="18"/>
  <c r="AD109" i="18"/>
  <c r="AF12" i="18"/>
  <c r="AC99" i="18"/>
  <c r="AF40" i="18"/>
  <c r="AC110" i="18"/>
  <c r="AD110" i="18" s="1"/>
  <c r="AC111" i="18"/>
  <c r="AD111" i="18" s="1"/>
  <c r="AA69" i="18"/>
  <c r="AA182" i="18" s="1"/>
  <c r="AB81" i="18"/>
  <c r="AB83" i="18"/>
  <c r="AB139" i="18" s="1"/>
  <c r="AB51" i="18"/>
  <c r="AB177" i="18" s="1"/>
  <c r="AB52" i="18"/>
  <c r="AB63" i="18"/>
  <c r="AB71" i="18"/>
  <c r="AB183" i="18" s="1"/>
  <c r="AB57" i="18"/>
  <c r="AB185" i="18" s="1"/>
  <c r="AB65" i="18"/>
  <c r="AB184" i="18" s="1"/>
  <c r="AB68" i="18"/>
  <c r="AB84" i="18"/>
  <c r="AB59" i="18"/>
  <c r="AB60" i="18"/>
  <c r="AB61" i="18"/>
  <c r="AB64" i="18"/>
  <c r="AB85" i="18"/>
  <c r="AB67" i="18"/>
  <c r="AB70" i="18"/>
  <c r="AD15" i="18"/>
  <c r="AD13" i="18"/>
  <c r="T159" i="18"/>
  <c r="AD12" i="18"/>
  <c r="AD10" i="18"/>
  <c r="AD16" i="18"/>
  <c r="AD7" i="18"/>
  <c r="AD6" i="18"/>
  <c r="AC91" i="18"/>
  <c r="AD91" i="18" s="1"/>
  <c r="AC90" i="18"/>
  <c r="AD90" i="18" s="1"/>
  <c r="AD40" i="18"/>
  <c r="AC42" i="18"/>
  <c r="AB80" i="18"/>
  <c r="AB78" i="18"/>
  <c r="AB79" i="18"/>
  <c r="AB77" i="18"/>
  <c r="AD176" i="18"/>
  <c r="AF176" i="18" s="1"/>
  <c r="AA178" i="18"/>
  <c r="AA187" i="18" s="1"/>
  <c r="AA181" i="18"/>
  <c r="N36" i="11"/>
  <c r="O35" i="11"/>
  <c r="F5" i="8"/>
  <c r="G5" i="8" s="1"/>
  <c r="H5" i="8" s="1"/>
  <c r="I5" i="8" s="1"/>
  <c r="AD53" i="18" l="1"/>
  <c r="AF53" i="18"/>
  <c r="AC56" i="18"/>
  <c r="AC180" i="18" s="1"/>
  <c r="AD180" i="18" s="1"/>
  <c r="AF180" i="18" s="1"/>
  <c r="AC55" i="18"/>
  <c r="AC179" i="18" s="1"/>
  <c r="AD179" i="18" s="1"/>
  <c r="AF179" i="18" s="1"/>
  <c r="AB116" i="18"/>
  <c r="AB117" i="18" s="1"/>
  <c r="AB118" i="18"/>
  <c r="AD98" i="18"/>
  <c r="AC94" i="18"/>
  <c r="AD94" i="18" s="1"/>
  <c r="AD99" i="18"/>
  <c r="AC105" i="18"/>
  <c r="AD105" i="18" s="1"/>
  <c r="AC114" i="18"/>
  <c r="AC115" i="18" s="1"/>
  <c r="AC58" i="18"/>
  <c r="AD137" i="18"/>
  <c r="AC138" i="18"/>
  <c r="AD138" i="18" s="1"/>
  <c r="AF42" i="18"/>
  <c r="U159" i="18"/>
  <c r="U160" i="18" s="1"/>
  <c r="AB69" i="18"/>
  <c r="AB182" i="18" s="1"/>
  <c r="AC81" i="18"/>
  <c r="AC83" i="18"/>
  <c r="AC51" i="18"/>
  <c r="AC177" i="18" s="1"/>
  <c r="AD177" i="18" s="1"/>
  <c r="AF177" i="18" s="1"/>
  <c r="AC52" i="18"/>
  <c r="AC63" i="18"/>
  <c r="AC68" i="18"/>
  <c r="AC57" i="18"/>
  <c r="AC65" i="18"/>
  <c r="T154" i="18" s="1"/>
  <c r="AC61" i="18"/>
  <c r="AC84" i="18"/>
  <c r="AC60" i="18"/>
  <c r="AF60" i="18" s="1"/>
  <c r="AC59" i="18"/>
  <c r="AC70" i="18"/>
  <c r="AC85" i="18"/>
  <c r="AC64" i="18"/>
  <c r="AC71" i="18"/>
  <c r="AC67" i="18"/>
  <c r="T160" i="18"/>
  <c r="Q194" i="18" s="1"/>
  <c r="AC80" i="18"/>
  <c r="AC78" i="18"/>
  <c r="AD42" i="18"/>
  <c r="AC79" i="18"/>
  <c r="AC77" i="18"/>
  <c r="AB178" i="18"/>
  <c r="AB187" i="18" s="1"/>
  <c r="AB181" i="18"/>
  <c r="N37" i="11"/>
  <c r="O36" i="11"/>
  <c r="F18" i="8"/>
  <c r="G18" i="8"/>
  <c r="AD55" i="18" l="1"/>
  <c r="AF55" i="18"/>
  <c r="AD56" i="18"/>
  <c r="AF56" i="18"/>
  <c r="AC116" i="18"/>
  <c r="AC117" i="18" s="1"/>
  <c r="AC118" i="18"/>
  <c r="AF57" i="18"/>
  <c r="AC185" i="18"/>
  <c r="AF58" i="18"/>
  <c r="AD58" i="18"/>
  <c r="AF83" i="18"/>
  <c r="AC139" i="18"/>
  <c r="AD139" i="18" s="1"/>
  <c r="AD114" i="18"/>
  <c r="S159" i="18"/>
  <c r="S160" i="18"/>
  <c r="AD84" i="18"/>
  <c r="AF84" i="18"/>
  <c r="AD52" i="18"/>
  <c r="AF52" i="18"/>
  <c r="T156" i="18"/>
  <c r="AF70" i="18"/>
  <c r="AC183" i="18"/>
  <c r="AD183" i="18" s="1"/>
  <c r="AF183" i="18" s="1"/>
  <c r="AF71" i="18"/>
  <c r="AD51" i="18"/>
  <c r="AF51" i="18"/>
  <c r="AD68" i="18"/>
  <c r="AF68" i="18"/>
  <c r="T150" i="18"/>
  <c r="AF67" i="18"/>
  <c r="T149" i="18"/>
  <c r="AF61" i="18"/>
  <c r="AC184" i="18"/>
  <c r="AD184" i="18" s="1"/>
  <c r="AF184" i="18" s="1"/>
  <c r="AF65" i="18"/>
  <c r="AD64" i="18"/>
  <c r="AF64" i="18"/>
  <c r="T147" i="18"/>
  <c r="Q193" i="18" s="1"/>
  <c r="AF59" i="18"/>
  <c r="T152" i="18"/>
  <c r="AF63" i="18"/>
  <c r="AD85" i="18"/>
  <c r="AF85" i="18"/>
  <c r="T173" i="18"/>
  <c r="Q195" i="18" s="1"/>
  <c r="AF81" i="18"/>
  <c r="T170" i="18"/>
  <c r="AF80" i="18"/>
  <c r="T169" i="18"/>
  <c r="AF79" i="18"/>
  <c r="T167" i="18"/>
  <c r="AF77" i="18"/>
  <c r="T168" i="18"/>
  <c r="AF78" i="18"/>
  <c r="AD70" i="18"/>
  <c r="T153" i="18"/>
  <c r="AD59" i="18"/>
  <c r="AD61" i="18"/>
  <c r="U149" i="18" s="1"/>
  <c r="AD63" i="18"/>
  <c r="Q192" i="18"/>
  <c r="AD81" i="18"/>
  <c r="AD67" i="18"/>
  <c r="T157" i="18"/>
  <c r="AC69" i="18"/>
  <c r="AD65" i="18"/>
  <c r="AD71" i="18"/>
  <c r="AD83" i="18"/>
  <c r="AD79" i="18"/>
  <c r="AD78" i="18"/>
  <c r="AD77" i="18"/>
  <c r="AD80" i="18"/>
  <c r="T146" i="18"/>
  <c r="Q196" i="18" s="1"/>
  <c r="Q197" i="18" s="1"/>
  <c r="AD57" i="18"/>
  <c r="AC178" i="18"/>
  <c r="AC187" i="18" s="1"/>
  <c r="AD187" i="18" s="1"/>
  <c r="AD60" i="18"/>
  <c r="U148" i="18" s="1"/>
  <c r="AC181" i="18"/>
  <c r="T148" i="18"/>
  <c r="N38" i="11"/>
  <c r="O37" i="11"/>
  <c r="H18" i="8"/>
  <c r="T171" i="18" l="1"/>
  <c r="M194" i="18"/>
  <c r="P194" i="18"/>
  <c r="AD185" i="18"/>
  <c r="AF185" i="18" s="1"/>
  <c r="U146" i="18"/>
  <c r="S146" i="18" s="1"/>
  <c r="AD115" i="18"/>
  <c r="U157" i="18"/>
  <c r="S157" i="18" s="1"/>
  <c r="U147" i="18"/>
  <c r="S147" i="18" s="1"/>
  <c r="U156" i="18"/>
  <c r="S156" i="18" s="1"/>
  <c r="U152" i="18"/>
  <c r="S152" i="18" s="1"/>
  <c r="U154" i="18"/>
  <c r="S154" i="18" s="1"/>
  <c r="P192" i="18" s="1"/>
  <c r="U173" i="18"/>
  <c r="S173" i="18" s="1"/>
  <c r="P195" i="18" s="1"/>
  <c r="U169" i="18"/>
  <c r="S169" i="18" s="1"/>
  <c r="AD69" i="18"/>
  <c r="AF69" i="18"/>
  <c r="U150" i="18"/>
  <c r="S150" i="18" s="1"/>
  <c r="S149" i="18"/>
  <c r="U153" i="18"/>
  <c r="S153" i="18" s="1"/>
  <c r="U167" i="18"/>
  <c r="S167" i="18" s="1"/>
  <c r="AC182" i="18"/>
  <c r="AD182" i="18" s="1"/>
  <c r="AF182" i="18" s="1"/>
  <c r="U170" i="18"/>
  <c r="S170" i="18" s="1"/>
  <c r="U168" i="18"/>
  <c r="AD181" i="18"/>
  <c r="AF181" i="18" s="1"/>
  <c r="AD178" i="18"/>
  <c r="AF178" i="18" s="1"/>
  <c r="AF187" i="18" s="1"/>
  <c r="S148" i="18"/>
  <c r="N39" i="11"/>
  <c r="O38" i="11"/>
  <c r="I18" i="8"/>
  <c r="S168" i="18" l="1"/>
  <c r="S171" i="18" s="1"/>
  <c r="U171" i="18"/>
  <c r="M193" i="18"/>
  <c r="P193" i="18"/>
  <c r="P196" i="18"/>
  <c r="P197" i="18" s="1"/>
  <c r="M195" i="18"/>
  <c r="M192" i="18"/>
  <c r="AD117" i="18"/>
  <c r="AD116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<sst xmlns="http://schemas.openxmlformats.org/spreadsheetml/2006/main" count="662" uniqueCount="468">
  <si>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</si>
  <si>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</si>
  <si>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</si>
  <si>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</si>
  <si>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</si>
  <si>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</si>
  <si>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</si>
  <si>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</si>
  <si>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</si>
  <si>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</si>
  <si>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</si>
  <si>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</si>
  <si>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</si>
  <si>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</si>
  <si>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</si>
  <si>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</si>
  <si>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</si>
  <si>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</si>
  <si>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</si>
  <si>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</si>
  <si>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</si>
  <si>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</si>
  <si>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</si>
  <si>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</si>
  <si>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</si>
  <si>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</si>
  <si>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</si>
  <si>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</si>
  <si>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</si>
  <si>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</si>
  <si>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</si>
  <si>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</si>
  <si>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</si>
  <si>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</si>
  <si>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</si>
  <si>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</si>
  <si>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</si>
  <si>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</si>
  <si>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</si>
  <si>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</si>
  <si>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</si>
  <si>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</si>
  <si>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</si>
  <si>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</si>
  <si>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</si>
  <si>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</si>
  <si>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</si>
  <si>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</si>
  <si>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</si>
  <si>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</si>
  <si>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</si>
  <si>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</si>
  <si>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</si>
  <si>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</si>
  <si>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</si>
  <si>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</si>
  <si>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</si>
  <si>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</si>
  <si>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</si>
  <si>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</si>
  <si>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</si>
  <si>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</si>
  <si>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</si>
  <si>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</si>
  <si>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</si>
  <si>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</si>
  <si>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</si>
  <si>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</si>
  <si>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</si>
  <si>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</si>
  <si>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</si>
  <si>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</si>
  <si>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</si>
  <si>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</si>
  <si>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</si>
  <si>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</si>
  <si>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</si>
  <si>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</si>
  <si>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</si>
  <si>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</si>
  <si>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</si>
  <si>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</si>
  <si>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</si>
  <si>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</si>
  <si>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</si>
  <si>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</si>
  <si>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</si>
  <si>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</si>
  <si>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</si>
  <si>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</si>
  <si>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</si>
  <si>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</si>
  <si>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</si>
  <si>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</si>
  <si>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</si>
  <si>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</si>
  <si>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</si>
  <si>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</si>
  <si>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</si>
  <si>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</si>
  <si>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</si>
  <si>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</si>
  <si>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</si>
  <si>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</si>
  <si>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</si>
  <si>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</si>
  <si>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</si>
  <si>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</si>
  <si>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</si>
  <si>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</si>
  <si>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</si>
  <si>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</si>
  <si>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</si>
  <si>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</si>
  <si>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</si>
  <si>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</si>
  <si>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</si>
  <si>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</si>
  <si>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</si>
  <si>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</si>
  <si>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</si>
  <si>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</si>
  <si>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</si>
  <si>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</si>
  <si>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</si>
  <si>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</si>
  <si>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</si>
  <si>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</si>
  <si>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</si>
  <si>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</si>
  <si>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</si>
  <si>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</si>
  <si>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</si>
  <si>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</si>
  <si>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</si>
  <si>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</si>
  <si>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</si>
  <si>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</si>
  <si>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</si>
  <si>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</si>
  <si>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</si>
  <si>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</si>
  <si>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</si>
  <si>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</si>
  <si>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</si>
  <si>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</si>
  <si>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</si>
  <si>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</si>
  <si>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</si>
  <si>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</si>
  <si>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</si>
  <si>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</si>
  <si>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</si>
  <si>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</si>
  <si>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</si>
  <si>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</si>
  <si>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</si>
  <si>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</si>
  <si>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</si>
  <si>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</si>
  <si>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</si>
  <si>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</si>
  <si>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</si>
  <si>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</si>
  <si>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</si>
  <si>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</si>
  <si>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</si>
  <si>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</si>
  <si>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</si>
  <si>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</si>
  <si>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</si>
  <si>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</si>
  <si>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</si>
  <si>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</si>
  <si>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</si>
  <si>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</si>
  <si>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</si>
  <si>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</si>
  <si>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</si>
  <si>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</si>
  <si>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</si>
  <si>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</si>
  <si>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</si>
  <si>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</si>
  <si>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</si>
  <si>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</si>
  <si>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</si>
  <si>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</si>
  <si>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</si>
  <si>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</si>
  <si>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</si>
  <si>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</si>
  <si>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</si>
  <si>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</si>
  <si>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</si>
  <si>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</si>
  <si>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</si>
  <si>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</si>
  <si>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</si>
  <si>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</si>
  <si>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</si>
  <si>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</si>
  <si>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</si>
  <si>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</si>
  <si>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</si>
  <si>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</si>
  <si>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</si>
  <si>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</si>
  <si>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</si>
  <si>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</si>
  <si>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</si>
  <si>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</si>
  <si>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</si>
  <si>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</si>
  <si>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</si>
  <si>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</si>
  <si>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</si>
  <si>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</si>
  <si>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</si>
  <si>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</si>
  <si>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</si>
  <si>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</si>
  <si>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</si>
  <si>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</si>
  <si>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</si>
  <si>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</si>
  <si>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</si>
  <si>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</si>
  <si>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</si>
  <si>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</si>
  <si>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</si>
  <si>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</si>
  <si>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</si>
  <si>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</si>
  <si>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</si>
  <si>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</si>
  <si>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</si>
  <si>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</si>
  <si>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</si>
  <si>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</si>
  <si>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</si>
  <si>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</si>
  <si>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</si>
  <si>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</si>
  <si>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</si>
  <si>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</si>
  <si>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</si>
  <si>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</si>
  <si>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</si>
  <si>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</si>
  <si>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</si>
  <si>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</si>
  <si>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</si>
  <si>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</si>
  <si>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</si>
  <si>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</si>
  <si>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</si>
  <si>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</si>
  <si>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</si>
  <si>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</si>
  <si>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</si>
  <si>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</si>
  <si>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</si>
  <si>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</si>
  <si>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</si>
  <si>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</si>
  <si>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</si>
  <si>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</si>
  <si>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</si>
  <si>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</si>
  <si>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</si>
  <si>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</si>
  <si>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</si>
  <si>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</si>
  <si>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</si>
  <si>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</si>
  <si>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</si>
  <si>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</si>
  <si>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</si>
  <si>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</si>
  <si>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</si>
  <si>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</si>
  <si>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</si>
  <si>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</si>
  <si>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</si>
  <si>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</si>
  <si>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</si>
  <si>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</si>
  <si>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</si>
  <si>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</si>
  <si>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</si>
  <si>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</si>
  <si>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</si>
  <si>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</si>
  <si>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</si>
  <si>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</si>
  <si>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</si>
  <si>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</si>
  <si>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</si>
  <si>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</si>
  <si>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</si>
  <si>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</si>
  <si>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</si>
  <si>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</si>
  <si>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</si>
  <si>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</si>
  <si>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</si>
  <si>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</si>
  <si>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</si>
  <si>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</si>
  <si>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</si>
  <si>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</si>
  <si>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</si>
  <si>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</si>
  <si>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</si>
  <si>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</si>
  <si>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</si>
  <si>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</si>
  <si>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</si>
  <si>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</si>
  <si>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</si>
  <si>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</si>
  <si>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</si>
  <si>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</si>
  <si>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</si>
  <si>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</si>
  <si>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</si>
  <si>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</si>
  <si>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</si>
  <si>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</si>
  <si>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</si>
  <si>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</si>
  <si>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</si>
  <si>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</si>
  <si>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</si>
  <si>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</si>
  <si>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</si>
  <si>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</si>
  <si>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</si>
  <si>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</si>
  <si>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</si>
  <si>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</si>
  <si>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</si>
  <si>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</si>
  <si>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</si>
  <si>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</si>
  <si>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</si>
  <si>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</si>
  <si>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</si>
  <si>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</si>
  <si>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</si>
  <si>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</si>
  <si>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</si>
  <si>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</si>
  <si>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</si>
  <si>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</si>
  <si>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</si>
  <si>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</si>
  <si>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</si>
  <si>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</si>
  <si>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</si>
  <si>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</si>
  <si>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</si>
  <si>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</si>
  <si>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</si>
  <si>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</si>
  <si>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</si>
  <si>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</si>
  <si>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</si>
  <si>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</si>
  <si>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</si>
  <si>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</si>
  <si>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</si>
  <si>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</si>
  <si>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</si>
  <si>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</si>
  <si>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</si>
  <si>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</si>
  <si>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</si>
  <si>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</si>
  <si>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</si>
  <si>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</si>
  <si>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</si>
  <si>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</si>
  <si>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</si>
  <si>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</si>
  <si>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</si>
  <si>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</si>
  <si>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</si>
  <si>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</si>
  <si>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</si>
  <si>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</si>
  <si>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</si>
  <si>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</si>
  <si>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</si>
  <si>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</si>
  <si>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</si>
  <si>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</si>
  <si>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</si>
  <si>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</si>
  <si>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</si>
  <si>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</si>
  <si>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</si>
  <si>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</si>
  <si>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</si>
  <si>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</si>
  <si>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</si>
  <si>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</si>
  <si>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</si>
  <si>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</si>
  <si>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</si>
  <si>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</si>
  <si>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</si>
  <si>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</si>
  <si>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</si>
  <si>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</si>
  <si>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</si>
  <si>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</si>
  <si>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</si>
  <si>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</si>
  <si>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</si>
  <si>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</si>
  <si>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</si>
  <si>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</si>
  <si>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</si>
  <si>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</si>
  <si>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</si>
  <si>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</si>
  <si>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</si>
  <si>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</si>
  <si>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</si>
  <si>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</si>
  <si>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</si>
  <si>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</si>
  <si>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</si>
  <si>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</si>
  <si>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</si>
  <si>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</si>
  <si>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</si>
  <si>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</si>
  <si>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</si>
  <si>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</si>
  <si>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</si>
  <si>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</si>
  <si>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</si>
  <si>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</si>
  <si>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</si>
  <si>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</si>
  <si>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</si>
  <si>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</si>
  <si>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</si>
  <si>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</si>
  <si>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</si>
  <si>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</si>
  <si>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</si>
  <si>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</si>
  <si>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</si>
  <si>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</si>
  <si>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</si>
  <si>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</si>
  <si>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</si>
  <si>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</si>
  <si>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</si>
  <si>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</si>
  <si>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</si>
  <si>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2nd highest Expenses Comp. ( Selling exp )</t>
  </si>
  <si>
    <t>in Cr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</si>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</sst>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rgb="FFFF000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172" fontId="5" fillId="5" borderId="1" xfId="0" applyNumberFormat="1" applyFont="1" applyFill="1" applyBorder="1"/>
    <xf numFmtId="10" fontId="4" fillId="6" borderId="4" xfId="1" applyNumberFormat="1" applyFont="1" applyFill="1" applyBorder="1"/>
    <xf numFmtId="0" fontId="5" fillId="7" borderId="1" xfId="0" applyFont="1" applyFill="1" applyBorder="1"/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43" fontId="4" fillId="0" borderId="1" xfId="2" applyNumberFormat="1" applyFont="1" applyBorder="1"/>
    <xf numFmtId="175" fontId="16" fillId="2" borderId="1" xfId="2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38048"/>
        <c:axId val="187139584"/>
      </c:lineChart>
      <c:catAx>
        <c:axId val="187138048"/>
        <c:scaling>
          <c:orientation val="minMax"/>
        </c:scaling>
        <c:delete val="0"/>
        <c:axPos val="b"/>
        <c:majorTickMark val="out"/>
        <c:minorTickMark val="none"/>
        <c:tickLblPos val="nextTo"/>
        <c:crossAx val="187139584"/>
        <c:crosses val="autoZero"/>
        <c:auto val="1"/>
        <c:lblAlgn val="ctr"/>
        <c:lblOffset val="100"/>
        <c:noMultiLvlLbl val="0"/>
      </c:catAx>
      <c:valAx>
        <c:axId val="18713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1380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317</v>
      </c>
      <c r="C9" s="151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33"/>
  <sheetViews>
    <sheetView tabSelected="1" zoomScale="80" zoomScaleNormal="80" workbookViewId="0">
      <pane xSplit="2" ySplit="3" topLeftCell="D166" activePane="bottomRight" state="frozen"/>
      <selection pane="topRight" activeCell="C1" sqref="C1"/>
      <selection pane="bottomLeft" activeCell="A5" sqref="A5"/>
      <selection pane="bottomRight" activeCell="P177" sqref="P177"/>
    </sheetView>
  </sheetViews>
  <sheetFormatPr defaultRowHeight="12.75" x14ac:dyDescent="0.2"/>
  <cols>
    <col min="1" max="1" width="4.7109375" style="104" customWidth="1"/>
    <col min="2" max="2" width="37.140625" style="104" customWidth="1"/>
    <col min="3" max="3" width="7.85546875" style="104" customWidth="1"/>
    <col min="4" max="4" width="10.5703125" style="104" customWidth="1"/>
    <col min="5" max="5" width="8.42578125" style="104" bestFit="1" customWidth="1"/>
    <col min="6" max="6" width="9" style="104" bestFit="1" customWidth="1"/>
    <col min="7" max="7" width="13.5703125" style="104" bestFit="1" customWidth="1"/>
    <col min="8" max="12" width="11.28515625" style="104" bestFit="1" customWidth="1"/>
    <col min="13" max="15" width="10.28515625" style="104" bestFit="1" customWidth="1"/>
    <col min="16" max="16" width="11.2851562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8" width="11.28515625" style="104" bestFit="1" customWidth="1"/>
    <col min="29" max="29" width="11.425781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f>P2</f>
        <v>0.18</v>
      </c>
      <c r="F1" s="104" t="s">
        <v>252</v>
      </c>
      <c r="H1" s="126">
        <v>2004</v>
      </c>
      <c r="J1" s="104" t="s">
        <v>325</v>
      </c>
      <c r="L1" s="163">
        <v>0.05</v>
      </c>
      <c r="N1" s="104" t="s">
        <v>396</v>
      </c>
      <c r="P1" s="163">
        <v>0.05</v>
      </c>
    </row>
    <row r="2" spans="2:32" x14ac:dyDescent="0.2">
      <c r="B2" s="152" t="s">
        <v>313</v>
      </c>
      <c r="C2" s="120"/>
      <c r="F2" s="104" t="s">
        <v>253</v>
      </c>
      <c r="H2" s="126">
        <v>2014</v>
      </c>
      <c r="J2" s="104" t="s">
        <v>326</v>
      </c>
      <c r="L2" s="163">
        <v>0.15</v>
      </c>
      <c r="N2" s="104" t="s">
        <v>464</v>
      </c>
      <c r="P2" s="163">
        <v>0.18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201" t="s">
        <v>290</v>
      </c>
      <c r="AF2" s="202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5" t="s">
        <v>1</v>
      </c>
      <c r="AE3" s="203" t="s">
        <v>291</v>
      </c>
      <c r="AF3" s="204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6"/>
      <c r="AE4" s="20"/>
      <c r="AF4" s="20"/>
    </row>
    <row r="5" spans="2:32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19" t="s">
        <v>467</v>
      </c>
      <c r="R5" s="20"/>
      <c r="S5" s="20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36"/>
      <c r="AE5" s="20"/>
      <c r="AF5" s="153"/>
    </row>
    <row r="6" spans="2:32" x14ac:dyDescent="0.2">
      <c r="B6" s="20" t="s">
        <v>16</v>
      </c>
      <c r="C6" s="140"/>
      <c r="D6" s="140"/>
      <c r="E6" s="146"/>
      <c r="F6" s="146"/>
      <c r="G6" s="146">
        <v>700</v>
      </c>
      <c r="H6" s="146">
        <v>719</v>
      </c>
      <c r="I6" s="146">
        <v>820</v>
      </c>
      <c r="J6" s="146">
        <v>979</v>
      </c>
      <c r="K6" s="146">
        <v>1112</v>
      </c>
      <c r="L6" s="146">
        <v>1351</v>
      </c>
      <c r="M6" s="146">
        <v>1684</v>
      </c>
      <c r="N6" s="146">
        <v>2289</v>
      </c>
      <c r="O6" s="146">
        <v>2856</v>
      </c>
      <c r="P6" s="146">
        <v>3651</v>
      </c>
      <c r="Q6" s="146">
        <v>4535</v>
      </c>
      <c r="R6" s="118">
        <f>((Q6/G6)^(1/($H$2-$H$1) ))-1</f>
        <v>0.20544645783547688</v>
      </c>
      <c r="S6" s="31">
        <f>$L$2</f>
        <v>0.15</v>
      </c>
      <c r="T6" s="153">
        <f>Q6*(1+$S6)</f>
        <v>5215.25</v>
      </c>
      <c r="U6" s="153">
        <f>T6*(1+$S6)</f>
        <v>5997.5374999999995</v>
      </c>
      <c r="V6" s="153">
        <f t="shared" ref="V6:AC6" si="0">U6*(1+$S6)</f>
        <v>6897.1681249999992</v>
      </c>
      <c r="W6" s="153">
        <f t="shared" si="0"/>
        <v>7931.7433437499985</v>
      </c>
      <c r="X6" s="153">
        <f t="shared" si="0"/>
        <v>9121.5048453124982</v>
      </c>
      <c r="Y6" s="153">
        <f t="shared" si="0"/>
        <v>10489.730572109373</v>
      </c>
      <c r="Z6" s="153">
        <f t="shared" si="0"/>
        <v>12063.190157925777</v>
      </c>
      <c r="AA6" s="153">
        <f t="shared" si="0"/>
        <v>13872.668681614643</v>
      </c>
      <c r="AB6" s="153">
        <f t="shared" si="0"/>
        <v>15953.568983856838</v>
      </c>
      <c r="AC6" s="153">
        <f t="shared" si="0"/>
        <v>18346.604331435363</v>
      </c>
      <c r="AD6" s="137">
        <f>((AC6/G6)^(1/($AC$3-$H$1) ))-1</f>
        <v>0.17739688572324597</v>
      </c>
      <c r="AE6" s="31">
        <f>$L$1</f>
        <v>0.05</v>
      </c>
      <c r="AF6" s="145">
        <f t="shared" ref="AF6:AF44" si="1">(AC6*(1+AE6))/($C$1-AE6)</f>
        <v>148184.11190774717</v>
      </c>
    </row>
    <row r="7" spans="2:32" x14ac:dyDescent="0.2">
      <c r="B7" s="20" t="s">
        <v>240</v>
      </c>
      <c r="C7" s="140"/>
      <c r="D7" s="140"/>
      <c r="E7" s="146"/>
      <c r="F7" s="146"/>
      <c r="G7" s="146">
        <v>704</v>
      </c>
      <c r="H7" s="146">
        <v>723</v>
      </c>
      <c r="I7" s="146">
        <v>824</v>
      </c>
      <c r="J7" s="146">
        <v>983</v>
      </c>
      <c r="K7" s="146">
        <v>1117</v>
      </c>
      <c r="L7" s="146">
        <v>1355</v>
      </c>
      <c r="M7" s="146">
        <v>1688</v>
      </c>
      <c r="N7" s="146">
        <v>2294</v>
      </c>
      <c r="O7" s="146">
        <v>2861</v>
      </c>
      <c r="P7" s="146">
        <v>3655</v>
      </c>
      <c r="Q7" s="146">
        <v>4539</v>
      </c>
      <c r="R7" s="118">
        <f>((Q7/G7)^(1/($H$2-$H$1) ))-1</f>
        <v>0.20486600866331628</v>
      </c>
      <c r="S7" s="31">
        <f>$L$2</f>
        <v>0.15</v>
      </c>
      <c r="T7" s="153">
        <f t="shared" ref="T7:T44" si="2">Q7*(1+$S7)</f>
        <v>5219.8499999999995</v>
      </c>
      <c r="U7" s="153">
        <f t="shared" ref="U7:AC7" si="3">T7*(1+$S7)</f>
        <v>6002.8274999999985</v>
      </c>
      <c r="V7" s="153">
        <f t="shared" si="3"/>
        <v>6903.2516249999981</v>
      </c>
      <c r="W7" s="153">
        <f t="shared" si="3"/>
        <v>7938.7393687499971</v>
      </c>
      <c r="X7" s="153">
        <f t="shared" si="3"/>
        <v>9129.5502740624961</v>
      </c>
      <c r="Y7" s="153">
        <f t="shared" si="3"/>
        <v>10498.98281517187</v>
      </c>
      <c r="Z7" s="153">
        <f t="shared" si="3"/>
        <v>12073.83023744765</v>
      </c>
      <c r="AA7" s="153">
        <f t="shared" si="3"/>
        <v>13884.904773064796</v>
      </c>
      <c r="AB7" s="153">
        <f t="shared" si="3"/>
        <v>15967.640489024514</v>
      </c>
      <c r="AC7" s="153">
        <f t="shared" si="3"/>
        <v>18362.786562378191</v>
      </c>
      <c r="AD7" s="137">
        <f>((AC7/G7)^(1/($AC$3-$H$1) ))-1</f>
        <v>0.17711338024967405</v>
      </c>
      <c r="AE7" s="31">
        <f>$L$1</f>
        <v>0.05</v>
      </c>
      <c r="AF7" s="145">
        <f t="shared" si="1"/>
        <v>148314.8145422854</v>
      </c>
    </row>
    <row r="8" spans="2:32" x14ac:dyDescent="0.2">
      <c r="B8" s="20"/>
      <c r="C8" s="140"/>
      <c r="D8" s="140"/>
      <c r="E8" s="146"/>
      <c r="F8" s="146"/>
      <c r="G8" s="147">
        <f>(G7-F7)/G7</f>
        <v>1</v>
      </c>
      <c r="H8" s="150">
        <f t="shared" ref="H8:Q8" si="4">(H7-G7)/G7</f>
        <v>2.6988636363636364E-2</v>
      </c>
      <c r="I8" s="150">
        <f t="shared" si="4"/>
        <v>0.1396957123098202</v>
      </c>
      <c r="J8" s="150">
        <f t="shared" si="4"/>
        <v>0.19296116504854369</v>
      </c>
      <c r="K8" s="150">
        <f t="shared" si="4"/>
        <v>0.1363173957273652</v>
      </c>
      <c r="L8" s="150">
        <f t="shared" si="4"/>
        <v>0.21307072515666964</v>
      </c>
      <c r="M8" s="150">
        <f t="shared" si="4"/>
        <v>0.24575645756457565</v>
      </c>
      <c r="N8" s="150">
        <f t="shared" si="4"/>
        <v>0.35900473933649291</v>
      </c>
      <c r="O8" s="150">
        <f t="shared" si="4"/>
        <v>0.24716652136006975</v>
      </c>
      <c r="P8" s="150">
        <f t="shared" si="4"/>
        <v>0.27752534078993357</v>
      </c>
      <c r="Q8" s="150">
        <f t="shared" si="4"/>
        <v>0.24186046511627907</v>
      </c>
      <c r="R8" s="128"/>
      <c r="S8" s="20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36"/>
      <c r="AE8" s="136"/>
      <c r="AF8" s="145"/>
    </row>
    <row r="9" spans="2:32" x14ac:dyDescent="0.2">
      <c r="B9" s="20" t="s">
        <v>269</v>
      </c>
      <c r="C9" s="140"/>
      <c r="D9" s="140"/>
      <c r="E9" s="146"/>
      <c r="F9" s="146"/>
      <c r="G9" s="146">
        <v>460</v>
      </c>
      <c r="H9" s="146">
        <v>462</v>
      </c>
      <c r="I9" s="146">
        <v>670</v>
      </c>
      <c r="J9" s="146">
        <v>745</v>
      </c>
      <c r="K9" s="146">
        <v>1033</v>
      </c>
      <c r="L9" s="146">
        <v>967</v>
      </c>
      <c r="M9" s="146">
        <v>1202</v>
      </c>
      <c r="N9" s="146">
        <v>2318</v>
      </c>
      <c r="O9" s="146">
        <v>2499</v>
      </c>
      <c r="P9" s="146">
        <v>2849</v>
      </c>
      <c r="Q9" s="146">
        <v>0</v>
      </c>
      <c r="R9" s="118">
        <f>((Q9/G9)^(1/($H$2-$H$1) ))-1</f>
        <v>-1</v>
      </c>
      <c r="S9" s="31">
        <f t="shared" ref="S9:S40" si="5">$L$2</f>
        <v>0.15</v>
      </c>
      <c r="T9" s="153">
        <f t="shared" si="2"/>
        <v>0</v>
      </c>
      <c r="U9" s="153">
        <f t="shared" ref="U9" si="6">T9*(1+$S9)</f>
        <v>0</v>
      </c>
      <c r="V9" s="153">
        <f t="shared" ref="V9" si="7">U9*(1+$S9)</f>
        <v>0</v>
      </c>
      <c r="W9" s="153">
        <f t="shared" ref="W9" si="8">V9*(1+$S9)</f>
        <v>0</v>
      </c>
      <c r="X9" s="153">
        <f t="shared" ref="X9" si="9">W9*(1+$S9)</f>
        <v>0</v>
      </c>
      <c r="Y9" s="153">
        <f t="shared" ref="Y9" si="10">X9*(1+$S9)</f>
        <v>0</v>
      </c>
      <c r="Z9" s="153">
        <f t="shared" ref="Z9" si="11">Y9*(1+$S9)</f>
        <v>0</v>
      </c>
      <c r="AA9" s="153">
        <f t="shared" ref="AA9" si="12">Z9*(1+$S9)</f>
        <v>0</v>
      </c>
      <c r="AB9" s="153">
        <f t="shared" ref="AB9" si="13">AA9*(1+$S9)</f>
        <v>0</v>
      </c>
      <c r="AC9" s="153">
        <f t="shared" ref="AC9" si="14">AB9*(1+$S9)</f>
        <v>0</v>
      </c>
      <c r="AD9" s="137">
        <f>((AC9/G9)^(1/($AC$3-$H$1) ))-1</f>
        <v>-1</v>
      </c>
      <c r="AE9" s="31">
        <f t="shared" ref="AE9:AE84" si="15">$L$1</f>
        <v>0.05</v>
      </c>
      <c r="AF9" s="145">
        <f t="shared" si="1"/>
        <v>0</v>
      </c>
    </row>
    <row r="10" spans="2:32" x14ac:dyDescent="0.2">
      <c r="B10" s="20" t="s">
        <v>4</v>
      </c>
      <c r="C10" s="140"/>
      <c r="D10" s="140"/>
      <c r="E10" s="146"/>
      <c r="F10" s="146"/>
      <c r="G10" s="146">
        <v>292</v>
      </c>
      <c r="H10" s="146">
        <v>400</v>
      </c>
      <c r="I10" s="146">
        <v>540</v>
      </c>
      <c r="J10" s="146">
        <v>607</v>
      </c>
      <c r="K10" s="146">
        <v>962</v>
      </c>
      <c r="L10" s="146">
        <v>292</v>
      </c>
      <c r="M10" s="146">
        <v>952</v>
      </c>
      <c r="N10" s="146">
        <v>1516</v>
      </c>
      <c r="O10" s="146">
        <v>1631</v>
      </c>
      <c r="P10" s="146">
        <v>1428</v>
      </c>
      <c r="Q10" s="146">
        <v>0</v>
      </c>
      <c r="R10" s="118">
        <f>((Q10/G10)^(1/($H$2-$H$1) ))-1</f>
        <v>-1</v>
      </c>
      <c r="S10" s="31">
        <f t="shared" si="5"/>
        <v>0.15</v>
      </c>
      <c r="T10" s="153">
        <f t="shared" si="2"/>
        <v>0</v>
      </c>
      <c r="U10" s="153">
        <f t="shared" ref="U10:AC10" si="16">T10*(1+$S10)</f>
        <v>0</v>
      </c>
      <c r="V10" s="153">
        <f t="shared" si="16"/>
        <v>0</v>
      </c>
      <c r="W10" s="153">
        <f t="shared" si="16"/>
        <v>0</v>
      </c>
      <c r="X10" s="153">
        <f t="shared" si="16"/>
        <v>0</v>
      </c>
      <c r="Y10" s="153">
        <f t="shared" si="16"/>
        <v>0</v>
      </c>
      <c r="Z10" s="153">
        <f t="shared" si="16"/>
        <v>0</v>
      </c>
      <c r="AA10" s="153">
        <f t="shared" si="16"/>
        <v>0</v>
      </c>
      <c r="AB10" s="153">
        <f t="shared" si="16"/>
        <v>0</v>
      </c>
      <c r="AC10" s="153">
        <f t="shared" si="16"/>
        <v>0</v>
      </c>
      <c r="AD10" s="137">
        <f t="shared" ref="AD10:AD42" si="17">((AC10/G10)^(1/($AC$3-$H$1) ))-1</f>
        <v>-1</v>
      </c>
      <c r="AE10" s="31">
        <f t="shared" si="15"/>
        <v>0.05</v>
      </c>
      <c r="AF10" s="145">
        <f t="shared" si="1"/>
        <v>0</v>
      </c>
    </row>
    <row r="11" spans="2:32" x14ac:dyDescent="0.2">
      <c r="B11" s="20"/>
      <c r="C11" s="140"/>
      <c r="D11" s="140"/>
      <c r="E11" s="146"/>
      <c r="F11" s="146"/>
      <c r="G11" s="147">
        <f>(G10-F10)/G10</f>
        <v>1</v>
      </c>
      <c r="H11" s="150">
        <f t="shared" ref="H11:Q11" si="18">(H10-G10)/G10</f>
        <v>0.36986301369863012</v>
      </c>
      <c r="I11" s="150">
        <f t="shared" si="18"/>
        <v>0.35</v>
      </c>
      <c r="J11" s="150">
        <f t="shared" si="18"/>
        <v>0.12407407407407407</v>
      </c>
      <c r="K11" s="150">
        <f t="shared" si="18"/>
        <v>0.58484349258649093</v>
      </c>
      <c r="L11" s="150">
        <f t="shared" si="18"/>
        <v>-0.69646569646569645</v>
      </c>
      <c r="M11" s="150">
        <f t="shared" si="18"/>
        <v>2.2602739726027399</v>
      </c>
      <c r="N11" s="150">
        <f t="shared" si="18"/>
        <v>0.59243697478991597</v>
      </c>
      <c r="O11" s="150">
        <f t="shared" si="18"/>
        <v>7.5857519788918207E-2</v>
      </c>
      <c r="P11" s="150">
        <f t="shared" si="18"/>
        <v>-0.12446351931330472</v>
      </c>
      <c r="Q11" s="150">
        <f t="shared" si="18"/>
        <v>-1</v>
      </c>
      <c r="R11" s="128"/>
      <c r="S11" s="20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19"/>
      <c r="AE11" s="31">
        <f t="shared" si="15"/>
        <v>0.05</v>
      </c>
      <c r="AF11" s="153"/>
    </row>
    <row r="12" spans="2:32" x14ac:dyDescent="0.2">
      <c r="B12" s="20" t="s">
        <v>2</v>
      </c>
      <c r="C12" s="140"/>
      <c r="D12" s="140"/>
      <c r="E12" s="146"/>
      <c r="F12" s="146"/>
      <c r="G12" s="146">
        <v>40</v>
      </c>
      <c r="H12" s="146">
        <v>36</v>
      </c>
      <c r="I12" s="146">
        <v>53</v>
      </c>
      <c r="J12" s="146">
        <v>73</v>
      </c>
      <c r="K12" s="146">
        <v>102</v>
      </c>
      <c r="L12" s="146">
        <v>60</v>
      </c>
      <c r="M12" s="146">
        <v>54</v>
      </c>
      <c r="N12" s="146">
        <v>58</v>
      </c>
      <c r="O12" s="146">
        <v>65</v>
      </c>
      <c r="P12" s="146">
        <v>337</v>
      </c>
      <c r="Q12" s="146">
        <v>0</v>
      </c>
      <c r="R12" s="118">
        <f>((Q12/G12)^(1/($H$2-$H$1) ))-1</f>
        <v>-1</v>
      </c>
      <c r="S12" s="31">
        <f t="shared" si="5"/>
        <v>0.15</v>
      </c>
      <c r="T12" s="153">
        <f t="shared" si="2"/>
        <v>0</v>
      </c>
      <c r="U12" s="153">
        <f t="shared" ref="U12:AC12" si="19">T12*(1+$S12)</f>
        <v>0</v>
      </c>
      <c r="V12" s="153">
        <f t="shared" si="19"/>
        <v>0</v>
      </c>
      <c r="W12" s="153">
        <f t="shared" si="19"/>
        <v>0</v>
      </c>
      <c r="X12" s="153">
        <f t="shared" si="19"/>
        <v>0</v>
      </c>
      <c r="Y12" s="153">
        <f t="shared" si="19"/>
        <v>0</v>
      </c>
      <c r="Z12" s="153">
        <f t="shared" si="19"/>
        <v>0</v>
      </c>
      <c r="AA12" s="153">
        <f t="shared" si="19"/>
        <v>0</v>
      </c>
      <c r="AB12" s="153">
        <f t="shared" si="19"/>
        <v>0</v>
      </c>
      <c r="AC12" s="153">
        <f t="shared" si="19"/>
        <v>0</v>
      </c>
      <c r="AD12" s="137">
        <f t="shared" si="17"/>
        <v>-1</v>
      </c>
      <c r="AE12" s="31">
        <f t="shared" si="15"/>
        <v>0.05</v>
      </c>
      <c r="AF12" s="145">
        <f t="shared" si="1"/>
        <v>0</v>
      </c>
    </row>
    <row r="13" spans="2:32" x14ac:dyDescent="0.2">
      <c r="B13" s="20" t="s">
        <v>218</v>
      </c>
      <c r="C13" s="140"/>
      <c r="D13" s="140"/>
      <c r="E13" s="146"/>
      <c r="F13" s="146"/>
      <c r="G13" s="146">
        <v>75</v>
      </c>
      <c r="H13" s="146">
        <v>76</v>
      </c>
      <c r="I13" s="146">
        <v>65</v>
      </c>
      <c r="J13" s="146">
        <v>67</v>
      </c>
      <c r="K13" s="146">
        <v>64</v>
      </c>
      <c r="L13" s="146">
        <v>144</v>
      </c>
      <c r="M13" s="146">
        <v>73</v>
      </c>
      <c r="N13" s="146">
        <v>73</v>
      </c>
      <c r="O13" s="146">
        <v>430</v>
      </c>
      <c r="P13" s="146">
        <v>904</v>
      </c>
      <c r="Q13" s="146">
        <v>0</v>
      </c>
      <c r="R13" s="118">
        <f>((Q13/G13)^(1/($H$2-$H$1) ))-1</f>
        <v>-1</v>
      </c>
      <c r="S13" s="31">
        <f t="shared" si="5"/>
        <v>0.15</v>
      </c>
      <c r="T13" s="153">
        <f t="shared" si="2"/>
        <v>0</v>
      </c>
      <c r="U13" s="153">
        <f t="shared" ref="U13:AC13" si="20">T13*(1+$S13)</f>
        <v>0</v>
      </c>
      <c r="V13" s="153">
        <f t="shared" si="20"/>
        <v>0</v>
      </c>
      <c r="W13" s="153">
        <f t="shared" si="20"/>
        <v>0</v>
      </c>
      <c r="X13" s="153">
        <f t="shared" si="20"/>
        <v>0</v>
      </c>
      <c r="Y13" s="153">
        <f t="shared" si="20"/>
        <v>0</v>
      </c>
      <c r="Z13" s="153">
        <f t="shared" si="20"/>
        <v>0</v>
      </c>
      <c r="AA13" s="153">
        <f t="shared" si="20"/>
        <v>0</v>
      </c>
      <c r="AB13" s="153">
        <f t="shared" si="20"/>
        <v>0</v>
      </c>
      <c r="AC13" s="153">
        <f t="shared" si="20"/>
        <v>0</v>
      </c>
      <c r="AD13" s="137">
        <f t="shared" si="17"/>
        <v>-1</v>
      </c>
      <c r="AE13" s="31">
        <f t="shared" si="15"/>
        <v>0.05</v>
      </c>
      <c r="AF13" s="145">
        <f t="shared" si="1"/>
        <v>0</v>
      </c>
    </row>
    <row r="14" spans="2:32" x14ac:dyDescent="0.2">
      <c r="B14" s="20" t="s">
        <v>371</v>
      </c>
      <c r="C14" s="140"/>
      <c r="D14" s="140"/>
      <c r="E14" s="146"/>
      <c r="F14" s="146"/>
      <c r="G14" s="146">
        <v>403</v>
      </c>
      <c r="H14" s="146">
        <v>482</v>
      </c>
      <c r="I14" s="146">
        <v>565</v>
      </c>
      <c r="J14" s="146">
        <v>694</v>
      </c>
      <c r="K14" s="146">
        <v>985</v>
      </c>
      <c r="L14" s="146">
        <v>652</v>
      </c>
      <c r="M14" s="146">
        <v>1112</v>
      </c>
      <c r="N14" s="146">
        <v>1528</v>
      </c>
      <c r="O14" s="146">
        <v>1664</v>
      </c>
      <c r="P14" s="146">
        <v>1817</v>
      </c>
      <c r="Q14" s="146">
        <v>1826</v>
      </c>
      <c r="R14" s="118">
        <f>((Q14/G14)^(1/($H$2-$H$1) ))-1</f>
        <v>0.16310674083300492</v>
      </c>
      <c r="S14" s="31">
        <f t="shared" si="5"/>
        <v>0.15</v>
      </c>
      <c r="T14" s="153">
        <f t="shared" si="2"/>
        <v>2099.8999999999996</v>
      </c>
      <c r="U14" s="153">
        <f t="shared" ref="U14" si="21">T14*(1+$S14)</f>
        <v>2414.8849999999993</v>
      </c>
      <c r="V14" s="153">
        <f t="shared" ref="V14" si="22">U14*(1+$S14)</f>
        <v>2777.117749999999</v>
      </c>
      <c r="W14" s="153">
        <f t="shared" ref="W14" si="23">V14*(1+$S14)</f>
        <v>3193.6854124999986</v>
      </c>
      <c r="X14" s="153">
        <f t="shared" ref="X14" si="24">W14*(1+$S14)</f>
        <v>3672.738224374998</v>
      </c>
      <c r="Y14" s="153">
        <f t="shared" ref="Y14" si="25">X14*(1+$S14)</f>
        <v>4223.6489580312473</v>
      </c>
      <c r="Z14" s="153">
        <f t="shared" ref="Z14" si="26">Y14*(1+$S14)</f>
        <v>4857.196301735934</v>
      </c>
      <c r="AA14" s="153">
        <f t="shared" ref="AA14" si="27">Z14*(1+$S14)</f>
        <v>5585.7757469963235</v>
      </c>
      <c r="AB14" s="153">
        <f t="shared" ref="AB14" si="28">AA14*(1+$S14)</f>
        <v>6423.6421090457716</v>
      </c>
      <c r="AC14" s="153">
        <f t="shared" ref="AC14" si="29">AB14*(1+$S14)</f>
        <v>7387.1884254026363</v>
      </c>
      <c r="AD14" s="137">
        <f t="shared" ref="AD14" si="30">((AC14/G14)^(1/($AC$3-$H$1) ))-1</f>
        <v>0.15653480360858807</v>
      </c>
      <c r="AE14" s="31">
        <f t="shared" si="15"/>
        <v>0.05</v>
      </c>
      <c r="AF14" s="145">
        <f t="shared" ref="AF14" si="31">(AC14*(1+AE14))/($C$1-AE14)</f>
        <v>59665.752666713597</v>
      </c>
    </row>
    <row r="15" spans="2:32" x14ac:dyDescent="0.2">
      <c r="B15" s="20" t="s">
        <v>19</v>
      </c>
      <c r="C15" s="140"/>
      <c r="D15" s="140"/>
      <c r="E15" s="146"/>
      <c r="F15" s="146"/>
      <c r="G15" s="146">
        <v>839</v>
      </c>
      <c r="H15" s="146">
        <v>917</v>
      </c>
      <c r="I15" s="146">
        <v>1158</v>
      </c>
      <c r="J15" s="146">
        <v>1319</v>
      </c>
      <c r="K15" s="146">
        <v>1695</v>
      </c>
      <c r="L15" s="146">
        <v>1289</v>
      </c>
      <c r="M15" s="146">
        <v>1972</v>
      </c>
      <c r="N15" s="146">
        <v>2887</v>
      </c>
      <c r="O15" s="146">
        <v>3183</v>
      </c>
      <c r="P15" s="146">
        <v>3712</v>
      </c>
      <c r="Q15" s="146">
        <v>0</v>
      </c>
      <c r="R15" s="118">
        <f>((Q15/G15)^(1/($H$2-$H$1) ))-1</f>
        <v>-1</v>
      </c>
      <c r="S15" s="31">
        <f t="shared" si="5"/>
        <v>0.15</v>
      </c>
      <c r="T15" s="153">
        <f t="shared" si="2"/>
        <v>0</v>
      </c>
      <c r="U15" s="153">
        <f t="shared" ref="U15:AC15" si="32">T15*(1+$S15)</f>
        <v>0</v>
      </c>
      <c r="V15" s="153">
        <f t="shared" si="32"/>
        <v>0</v>
      </c>
      <c r="W15" s="153">
        <f t="shared" si="32"/>
        <v>0</v>
      </c>
      <c r="X15" s="153">
        <f t="shared" si="32"/>
        <v>0</v>
      </c>
      <c r="Y15" s="153">
        <f t="shared" si="32"/>
        <v>0</v>
      </c>
      <c r="Z15" s="153">
        <f t="shared" si="32"/>
        <v>0</v>
      </c>
      <c r="AA15" s="153">
        <f t="shared" si="32"/>
        <v>0</v>
      </c>
      <c r="AB15" s="153">
        <f t="shared" si="32"/>
        <v>0</v>
      </c>
      <c r="AC15" s="153">
        <f t="shared" si="32"/>
        <v>0</v>
      </c>
      <c r="AD15" s="137">
        <f t="shared" si="17"/>
        <v>-1</v>
      </c>
      <c r="AE15" s="31">
        <f t="shared" si="15"/>
        <v>0.05</v>
      </c>
      <c r="AF15" s="145">
        <f t="shared" si="1"/>
        <v>0</v>
      </c>
    </row>
    <row r="16" spans="2:32" x14ac:dyDescent="0.2">
      <c r="B16" s="20" t="s">
        <v>23</v>
      </c>
      <c r="C16" s="140"/>
      <c r="D16" s="140"/>
      <c r="E16" s="146"/>
      <c r="F16" s="146"/>
      <c r="G16" s="146">
        <v>469</v>
      </c>
      <c r="H16" s="146">
        <v>503</v>
      </c>
      <c r="I16" s="146">
        <v>578</v>
      </c>
      <c r="J16" s="146">
        <v>620</v>
      </c>
      <c r="K16" s="146">
        <v>701</v>
      </c>
      <c r="L16" s="146">
        <v>282</v>
      </c>
      <c r="M16" s="146">
        <v>740</v>
      </c>
      <c r="N16" s="146">
        <v>629</v>
      </c>
      <c r="O16" s="146">
        <v>730</v>
      </c>
      <c r="P16" s="146">
        <v>847</v>
      </c>
      <c r="Q16" s="146">
        <v>0</v>
      </c>
      <c r="R16" s="118">
        <f>((Q16/G16)^(1/($H$2-$H$1) ))-1</f>
        <v>-1</v>
      </c>
      <c r="S16" s="31">
        <f t="shared" si="5"/>
        <v>0.15</v>
      </c>
      <c r="T16" s="153">
        <f t="shared" si="2"/>
        <v>0</v>
      </c>
      <c r="U16" s="153">
        <f t="shared" ref="U16:AC16" si="33">T16*(1+$S16)</f>
        <v>0</v>
      </c>
      <c r="V16" s="153">
        <f t="shared" si="33"/>
        <v>0</v>
      </c>
      <c r="W16" s="153">
        <f t="shared" si="33"/>
        <v>0</v>
      </c>
      <c r="X16" s="153">
        <f t="shared" si="33"/>
        <v>0</v>
      </c>
      <c r="Y16" s="153">
        <f t="shared" si="33"/>
        <v>0</v>
      </c>
      <c r="Z16" s="153">
        <f t="shared" si="33"/>
        <v>0</v>
      </c>
      <c r="AA16" s="153">
        <f t="shared" si="33"/>
        <v>0</v>
      </c>
      <c r="AB16" s="153">
        <f t="shared" si="33"/>
        <v>0</v>
      </c>
      <c r="AC16" s="153">
        <f t="shared" si="33"/>
        <v>0</v>
      </c>
      <c r="AD16" s="137">
        <f t="shared" si="17"/>
        <v>-1</v>
      </c>
      <c r="AE16" s="31">
        <f t="shared" si="15"/>
        <v>0.05</v>
      </c>
      <c r="AF16" s="145">
        <f t="shared" si="1"/>
        <v>0</v>
      </c>
    </row>
    <row r="17" spans="2:32" x14ac:dyDescent="0.2">
      <c r="B17" s="20"/>
      <c r="C17" s="140"/>
      <c r="D17" s="140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28"/>
      <c r="S17" s="20"/>
      <c r="T17" s="153">
        <f t="shared" si="2"/>
        <v>0</v>
      </c>
      <c r="U17" s="153"/>
      <c r="V17" s="153"/>
      <c r="W17" s="153"/>
      <c r="X17" s="153"/>
      <c r="Y17" s="153"/>
      <c r="Z17" s="153"/>
      <c r="AA17" s="153"/>
      <c r="AB17" s="153"/>
      <c r="AC17" s="153"/>
      <c r="AD17" s="138"/>
      <c r="AE17" s="136"/>
      <c r="AF17" s="153"/>
    </row>
    <row r="18" spans="2:32" x14ac:dyDescent="0.2">
      <c r="B18" s="20" t="s">
        <v>277</v>
      </c>
      <c r="C18" s="140"/>
      <c r="D18" s="140"/>
      <c r="E18" s="146"/>
      <c r="F18" s="146"/>
      <c r="G18" s="146">
        <v>398</v>
      </c>
      <c r="H18" s="146">
        <v>419</v>
      </c>
      <c r="I18" s="146">
        <v>654</v>
      </c>
      <c r="J18" s="146">
        <v>660</v>
      </c>
      <c r="K18" s="146">
        <v>870</v>
      </c>
      <c r="L18" s="146">
        <v>936</v>
      </c>
      <c r="M18" s="146">
        <v>1330</v>
      </c>
      <c r="N18" s="146">
        <v>1972</v>
      </c>
      <c r="O18" s="146">
        <v>2918</v>
      </c>
      <c r="P18" s="146">
        <v>2974</v>
      </c>
      <c r="Q18" s="146">
        <v>0</v>
      </c>
      <c r="R18" s="118">
        <f>((Q18/G18)^(1/($H$2-$H$1) ))-1</f>
        <v>-1</v>
      </c>
      <c r="S18" s="31">
        <f t="shared" si="5"/>
        <v>0.15</v>
      </c>
      <c r="T18" s="153">
        <f t="shared" si="2"/>
        <v>0</v>
      </c>
      <c r="U18" s="153">
        <f t="shared" ref="U18:U34" si="34">T18*(1+$S18)</f>
        <v>0</v>
      </c>
      <c r="V18" s="153">
        <f t="shared" ref="V18:V34" si="35">U18*(1+$S18)</f>
        <v>0</v>
      </c>
      <c r="W18" s="153">
        <f t="shared" ref="W18:W34" si="36">V18*(1+$S18)</f>
        <v>0</v>
      </c>
      <c r="X18" s="153">
        <f t="shared" ref="X18:X36" si="37">W18*(1+$S18)</f>
        <v>0</v>
      </c>
      <c r="Y18" s="153">
        <f t="shared" ref="Y18:Y36" si="38">X18*(1+$S18)</f>
        <v>0</v>
      </c>
      <c r="Z18" s="153">
        <f t="shared" ref="Z18:Z36" si="39">Y18*(1+$S18)</f>
        <v>0</v>
      </c>
      <c r="AA18" s="153">
        <f t="shared" ref="AA18:AA36" si="40">Z18*(1+$S18)</f>
        <v>0</v>
      </c>
      <c r="AB18" s="153">
        <f t="shared" ref="AB18:AB36" si="41">AA18*(1+$S18)</f>
        <v>0</v>
      </c>
      <c r="AC18" s="153">
        <f t="shared" ref="AC18:AC36" si="42">AB18*(1+$S18)</f>
        <v>0</v>
      </c>
      <c r="AD18" s="137">
        <f t="shared" si="17"/>
        <v>-1</v>
      </c>
      <c r="AE18" s="31">
        <f t="shared" si="15"/>
        <v>0.05</v>
      </c>
      <c r="AF18" s="145">
        <f t="shared" si="1"/>
        <v>0</v>
      </c>
    </row>
    <row r="19" spans="2:32" x14ac:dyDescent="0.2">
      <c r="B19" s="20"/>
      <c r="C19" s="140"/>
      <c r="D19" s="140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28"/>
      <c r="S19" s="20"/>
      <c r="T19" s="153">
        <f t="shared" si="2"/>
        <v>0</v>
      </c>
      <c r="U19" s="153"/>
      <c r="V19" s="153"/>
      <c r="W19" s="153"/>
      <c r="X19" s="153"/>
      <c r="Y19" s="153"/>
      <c r="Z19" s="153"/>
      <c r="AA19" s="153"/>
      <c r="AB19" s="153"/>
      <c r="AC19" s="153"/>
      <c r="AD19" s="138"/>
      <c r="AE19" s="136"/>
      <c r="AF19" s="153"/>
    </row>
    <row r="20" spans="2:32" x14ac:dyDescent="0.2">
      <c r="B20" s="20" t="s">
        <v>283</v>
      </c>
      <c r="C20" s="140"/>
      <c r="D20" s="140"/>
      <c r="E20" s="146"/>
      <c r="F20" s="146"/>
      <c r="G20" s="146">
        <v>100</v>
      </c>
      <c r="H20" s="146">
        <v>62</v>
      </c>
      <c r="I20" s="146">
        <v>275</v>
      </c>
      <c r="J20" s="146">
        <v>306</v>
      </c>
      <c r="K20" s="146">
        <v>269</v>
      </c>
      <c r="L20" s="146">
        <v>862</v>
      </c>
      <c r="M20" s="146">
        <v>157</v>
      </c>
      <c r="N20" s="146">
        <v>277</v>
      </c>
      <c r="O20" s="146">
        <v>1022</v>
      </c>
      <c r="P20" s="146">
        <v>1422</v>
      </c>
      <c r="Q20" s="146">
        <v>0</v>
      </c>
      <c r="R20" s="118">
        <f>((Q20/G20)^(1/($H$2-$H$1) ))-1</f>
        <v>-1</v>
      </c>
      <c r="S20" s="31">
        <f t="shared" si="5"/>
        <v>0.15</v>
      </c>
      <c r="T20" s="153">
        <f t="shared" si="2"/>
        <v>0</v>
      </c>
      <c r="U20" s="153">
        <f t="shared" ref="U20:U22" si="43">T20*(1+$S20)</f>
        <v>0</v>
      </c>
      <c r="V20" s="153">
        <f t="shared" ref="V20:V22" si="44">U20*(1+$S20)</f>
        <v>0</v>
      </c>
      <c r="W20" s="153">
        <f t="shared" ref="W20:W22" si="45">V20*(1+$S20)</f>
        <v>0</v>
      </c>
      <c r="X20" s="153">
        <f t="shared" ref="X20:X22" si="46">W20*(1+$S20)</f>
        <v>0</v>
      </c>
      <c r="Y20" s="153">
        <f t="shared" ref="Y20:Y22" si="47">X20*(1+$S20)</f>
        <v>0</v>
      </c>
      <c r="Z20" s="153">
        <f t="shared" ref="Z20:Z22" si="48">Y20*(1+$S20)</f>
        <v>0</v>
      </c>
      <c r="AA20" s="153">
        <f t="shared" ref="AA20:AA22" si="49">Z20*(1+$S20)</f>
        <v>0</v>
      </c>
      <c r="AB20" s="153">
        <f t="shared" ref="AB20:AB22" si="50">AA20*(1+$S20)</f>
        <v>0</v>
      </c>
      <c r="AC20" s="153">
        <f t="shared" ref="AC20:AC22" si="51">AB20*(1+$S20)</f>
        <v>0</v>
      </c>
      <c r="AD20" s="137">
        <f t="shared" ref="AD20:AD22" si="52">((AC20/G20)^(1/($AC$3-$H$1) ))-1</f>
        <v>-1</v>
      </c>
      <c r="AE20" s="31">
        <f t="shared" si="15"/>
        <v>0.05</v>
      </c>
      <c r="AF20" s="145">
        <f t="shared" si="1"/>
        <v>0</v>
      </c>
    </row>
    <row r="21" spans="2:32" x14ac:dyDescent="0.2">
      <c r="B21" s="20" t="s">
        <v>284</v>
      </c>
      <c r="C21" s="140"/>
      <c r="D21" s="140"/>
      <c r="E21" s="146"/>
      <c r="F21" s="146"/>
      <c r="G21" s="146">
        <v>-185</v>
      </c>
      <c r="H21" s="146">
        <v>-231</v>
      </c>
      <c r="I21" s="146">
        <v>-227</v>
      </c>
      <c r="J21" s="146">
        <v>-335</v>
      </c>
      <c r="K21" s="146">
        <v>-566</v>
      </c>
      <c r="L21" s="146">
        <v>-233</v>
      </c>
      <c r="M21" s="146">
        <v>-786</v>
      </c>
      <c r="N21" s="146">
        <v>-1110</v>
      </c>
      <c r="O21" s="146">
        <v>-966</v>
      </c>
      <c r="P21" s="146">
        <v>-883</v>
      </c>
      <c r="Q21" s="146">
        <v>0</v>
      </c>
      <c r="R21" s="118">
        <f>((Q21/G21)^(1/($H$2-$H$1) ))-1</f>
        <v>-1</v>
      </c>
      <c r="S21" s="31">
        <f t="shared" si="5"/>
        <v>0.15</v>
      </c>
      <c r="T21" s="153">
        <f t="shared" si="2"/>
        <v>0</v>
      </c>
      <c r="U21" s="153">
        <f t="shared" si="43"/>
        <v>0</v>
      </c>
      <c r="V21" s="153">
        <f t="shared" si="44"/>
        <v>0</v>
      </c>
      <c r="W21" s="153">
        <f t="shared" si="45"/>
        <v>0</v>
      </c>
      <c r="X21" s="153">
        <f t="shared" si="46"/>
        <v>0</v>
      </c>
      <c r="Y21" s="153">
        <f t="shared" si="47"/>
        <v>0</v>
      </c>
      <c r="Z21" s="153">
        <f t="shared" si="48"/>
        <v>0</v>
      </c>
      <c r="AA21" s="153">
        <f t="shared" si="49"/>
        <v>0</v>
      </c>
      <c r="AB21" s="153">
        <f t="shared" si="50"/>
        <v>0</v>
      </c>
      <c r="AC21" s="153">
        <f t="shared" si="51"/>
        <v>0</v>
      </c>
      <c r="AD21" s="137">
        <f t="shared" si="52"/>
        <v>-1</v>
      </c>
      <c r="AE21" s="31">
        <f t="shared" si="15"/>
        <v>0.05</v>
      </c>
      <c r="AF21" s="145">
        <f t="shared" si="1"/>
        <v>0</v>
      </c>
    </row>
    <row r="22" spans="2:32" x14ac:dyDescent="0.2">
      <c r="B22" s="20" t="s">
        <v>285</v>
      </c>
      <c r="C22" s="140"/>
      <c r="D22" s="140"/>
      <c r="E22" s="146"/>
      <c r="F22" s="146"/>
      <c r="G22" s="146">
        <v>83</v>
      </c>
      <c r="H22" s="146">
        <v>117</v>
      </c>
      <c r="I22" s="146">
        <v>-40</v>
      </c>
      <c r="J22" s="146">
        <v>49</v>
      </c>
      <c r="K22" s="146">
        <v>326</v>
      </c>
      <c r="L22" s="146">
        <v>-672</v>
      </c>
      <c r="M22" s="146">
        <v>623</v>
      </c>
      <c r="N22" s="146">
        <v>845</v>
      </c>
      <c r="O22" s="146">
        <v>-51</v>
      </c>
      <c r="P22" s="146">
        <v>-313</v>
      </c>
      <c r="Q22" s="146">
        <v>0</v>
      </c>
      <c r="R22" s="118">
        <f>((Q22/G22)^(1/($H$2-$H$1) ))-1</f>
        <v>-1</v>
      </c>
      <c r="S22" s="31">
        <f t="shared" si="5"/>
        <v>0.15</v>
      </c>
      <c r="T22" s="153">
        <f t="shared" si="2"/>
        <v>0</v>
      </c>
      <c r="U22" s="153">
        <f t="shared" si="43"/>
        <v>0</v>
      </c>
      <c r="V22" s="153">
        <f t="shared" si="44"/>
        <v>0</v>
      </c>
      <c r="W22" s="153">
        <f t="shared" si="45"/>
        <v>0</v>
      </c>
      <c r="X22" s="153">
        <f t="shared" si="46"/>
        <v>0</v>
      </c>
      <c r="Y22" s="153">
        <f t="shared" si="47"/>
        <v>0</v>
      </c>
      <c r="Z22" s="153">
        <f t="shared" si="48"/>
        <v>0</v>
      </c>
      <c r="AA22" s="153">
        <f t="shared" si="49"/>
        <v>0</v>
      </c>
      <c r="AB22" s="153">
        <f t="shared" si="50"/>
        <v>0</v>
      </c>
      <c r="AC22" s="153">
        <f t="shared" si="51"/>
        <v>0</v>
      </c>
      <c r="AD22" s="137">
        <f t="shared" si="52"/>
        <v>-1</v>
      </c>
      <c r="AE22" s="31">
        <f t="shared" si="15"/>
        <v>0.05</v>
      </c>
      <c r="AF22" s="145">
        <f t="shared" si="1"/>
        <v>0</v>
      </c>
    </row>
    <row r="23" spans="2:32" x14ac:dyDescent="0.2">
      <c r="B23" s="20" t="s">
        <v>294</v>
      </c>
      <c r="C23" s="140"/>
      <c r="D23" s="140"/>
      <c r="E23" s="146"/>
      <c r="F23" s="146"/>
      <c r="G23" s="146">
        <v>112</v>
      </c>
      <c r="H23" s="146">
        <v>58</v>
      </c>
      <c r="I23" s="146">
        <v>53</v>
      </c>
      <c r="J23" s="146">
        <v>73</v>
      </c>
      <c r="K23" s="146">
        <v>102</v>
      </c>
      <c r="L23" s="146">
        <v>60</v>
      </c>
      <c r="M23" s="146">
        <v>53</v>
      </c>
      <c r="N23" s="146">
        <v>57</v>
      </c>
      <c r="O23" s="146">
        <v>59</v>
      </c>
      <c r="P23" s="146">
        <v>285</v>
      </c>
      <c r="Q23" s="146">
        <v>0</v>
      </c>
      <c r="R23" s="118">
        <f>((Q23/G23)^(1/($H$2-$H$1) ))-1</f>
        <v>-1</v>
      </c>
      <c r="S23" s="31">
        <f t="shared" si="5"/>
        <v>0.15</v>
      </c>
      <c r="T23" s="153">
        <f t="shared" si="2"/>
        <v>0</v>
      </c>
      <c r="U23" s="153">
        <f t="shared" ref="U23" si="53">T23*(1+$S23)</f>
        <v>0</v>
      </c>
      <c r="V23" s="153">
        <f t="shared" ref="V23" si="54">U23*(1+$S23)</f>
        <v>0</v>
      </c>
      <c r="W23" s="153">
        <f t="shared" ref="W23" si="55">V23*(1+$S23)</f>
        <v>0</v>
      </c>
      <c r="X23" s="153">
        <f t="shared" ref="X23" si="56">W23*(1+$S23)</f>
        <v>0</v>
      </c>
      <c r="Y23" s="153">
        <f t="shared" ref="Y23" si="57">X23*(1+$S23)</f>
        <v>0</v>
      </c>
      <c r="Z23" s="153">
        <f t="shared" ref="Z23" si="58">Y23*(1+$S23)</f>
        <v>0</v>
      </c>
      <c r="AA23" s="153">
        <f t="shared" ref="AA23" si="59">Z23*(1+$S23)</f>
        <v>0</v>
      </c>
      <c r="AB23" s="153">
        <f t="shared" ref="AB23" si="60">AA23*(1+$S23)</f>
        <v>0</v>
      </c>
      <c r="AC23" s="153">
        <f t="shared" ref="AC23" si="61">AB23*(1+$S23)</f>
        <v>0</v>
      </c>
      <c r="AD23" s="137">
        <f t="shared" ref="AD23" si="62">((AC23/G23)^(1/($AC$3-$H$1) ))-1</f>
        <v>-1</v>
      </c>
      <c r="AE23" s="31">
        <f t="shared" si="15"/>
        <v>0.05</v>
      </c>
      <c r="AF23" s="145">
        <f t="shared" si="1"/>
        <v>0</v>
      </c>
    </row>
    <row r="24" spans="2:32" x14ac:dyDescent="0.2">
      <c r="B24" s="20"/>
      <c r="C24" s="140"/>
      <c r="D24" s="140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28"/>
      <c r="S24" s="20"/>
      <c r="T24" s="153">
        <f t="shared" si="2"/>
        <v>0</v>
      </c>
      <c r="U24" s="153"/>
      <c r="V24" s="153"/>
      <c r="W24" s="153"/>
      <c r="X24" s="153"/>
      <c r="Y24" s="153"/>
      <c r="Z24" s="153"/>
      <c r="AA24" s="153"/>
      <c r="AB24" s="153"/>
      <c r="AC24" s="153"/>
      <c r="AD24" s="119"/>
      <c r="AE24" s="136"/>
      <c r="AF24" s="153"/>
    </row>
    <row r="25" spans="2:32" x14ac:dyDescent="0.2">
      <c r="B25" s="20" t="s">
        <v>89</v>
      </c>
      <c r="C25" s="140"/>
      <c r="D25" s="140"/>
      <c r="E25" s="146"/>
      <c r="F25" s="146"/>
      <c r="G25" s="146">
        <v>2309</v>
      </c>
      <c r="H25" s="146">
        <v>2575</v>
      </c>
      <c r="I25" s="146">
        <v>3781</v>
      </c>
      <c r="J25" s="146">
        <v>4502</v>
      </c>
      <c r="K25" s="146">
        <v>5152</v>
      </c>
      <c r="L25" s="146">
        <v>5481</v>
      </c>
      <c r="M25" s="146">
        <v>7651</v>
      </c>
      <c r="N25" s="146">
        <v>10477</v>
      </c>
      <c r="O25" s="146">
        <v>12027</v>
      </c>
      <c r="P25" s="146">
        <v>12300</v>
      </c>
      <c r="Q25" s="146">
        <v>13329</v>
      </c>
      <c r="R25" s="118">
        <f>((Q25/G25)^(1/($H$2-$H$1) ))-1</f>
        <v>0.19161884693310838</v>
      </c>
      <c r="S25" s="31">
        <f t="shared" si="5"/>
        <v>0.15</v>
      </c>
      <c r="T25" s="153">
        <f t="shared" si="2"/>
        <v>15328.349999999999</v>
      </c>
      <c r="U25" s="153">
        <f t="shared" si="34"/>
        <v>17627.602499999997</v>
      </c>
      <c r="V25" s="153">
        <f t="shared" si="35"/>
        <v>20271.742874999996</v>
      </c>
      <c r="W25" s="153">
        <f t="shared" si="36"/>
        <v>23312.504306249994</v>
      </c>
      <c r="X25" s="153">
        <f t="shared" si="37"/>
        <v>26809.37995218749</v>
      </c>
      <c r="Y25" s="153">
        <f t="shared" si="38"/>
        <v>30830.78694501561</v>
      </c>
      <c r="Z25" s="153">
        <f t="shared" si="39"/>
        <v>35455.40498676795</v>
      </c>
      <c r="AA25" s="153">
        <f t="shared" si="40"/>
        <v>40773.715734783138</v>
      </c>
      <c r="AB25" s="153">
        <f t="shared" si="41"/>
        <v>46889.773095000608</v>
      </c>
      <c r="AC25" s="153">
        <f t="shared" si="42"/>
        <v>53923.239059250693</v>
      </c>
      <c r="AD25" s="137">
        <f t="shared" si="17"/>
        <v>0.17062448034075994</v>
      </c>
      <c r="AE25" s="31">
        <f t="shared" si="15"/>
        <v>0.05</v>
      </c>
      <c r="AF25" s="145">
        <f t="shared" si="1"/>
        <v>435533.85394010175</v>
      </c>
    </row>
    <row r="26" spans="2:32" s="123" customFormat="1" x14ac:dyDescent="0.2">
      <c r="B26" s="23"/>
      <c r="C26" s="148"/>
      <c r="D26" s="148"/>
      <c r="E26" s="149"/>
      <c r="F26" s="149"/>
      <c r="G26" s="147">
        <f>(G25-F25)/G25</f>
        <v>1</v>
      </c>
      <c r="H26" s="150">
        <f t="shared" ref="H26:Q26" si="63">(H25-G25)/G25</f>
        <v>0.11520138588133391</v>
      </c>
      <c r="I26" s="150">
        <f t="shared" si="63"/>
        <v>0.46834951456310681</v>
      </c>
      <c r="J26" s="150">
        <f t="shared" si="63"/>
        <v>0.19069029357312881</v>
      </c>
      <c r="K26" s="150">
        <f t="shared" si="63"/>
        <v>0.14438027543314083</v>
      </c>
      <c r="L26" s="150">
        <f t="shared" si="63"/>
        <v>6.3858695652173919E-2</v>
      </c>
      <c r="M26" s="150">
        <f t="shared" si="63"/>
        <v>0.39591315453384418</v>
      </c>
      <c r="N26" s="150">
        <f t="shared" si="63"/>
        <v>0.36936348189779111</v>
      </c>
      <c r="O26" s="150">
        <f t="shared" si="63"/>
        <v>0.14794311348668512</v>
      </c>
      <c r="P26" s="150">
        <f t="shared" si="63"/>
        <v>2.2698927413320032E-2</v>
      </c>
      <c r="Q26" s="150">
        <f t="shared" si="63"/>
        <v>8.3658536585365859E-2</v>
      </c>
      <c r="R26" s="128"/>
      <c r="S26" s="20"/>
      <c r="T26" s="153"/>
      <c r="U26" s="154"/>
      <c r="V26" s="154"/>
      <c r="W26" s="154"/>
      <c r="X26" s="154"/>
      <c r="Y26" s="154"/>
      <c r="Z26" s="154"/>
      <c r="AA26" s="154"/>
      <c r="AB26" s="154"/>
      <c r="AC26" s="154"/>
      <c r="AD26" s="119"/>
      <c r="AE26" s="136"/>
      <c r="AF26" s="153"/>
    </row>
    <row r="27" spans="2:32" x14ac:dyDescent="0.2">
      <c r="B27" s="20" t="s">
        <v>261</v>
      </c>
      <c r="C27" s="140"/>
      <c r="D27" s="140"/>
      <c r="E27" s="146"/>
      <c r="F27" s="146"/>
      <c r="G27" s="146">
        <v>2009</v>
      </c>
      <c r="H27" s="146">
        <v>2404</v>
      </c>
      <c r="I27" s="146">
        <v>3483</v>
      </c>
      <c r="J27" s="146">
        <v>4039</v>
      </c>
      <c r="K27" s="146">
        <v>4716</v>
      </c>
      <c r="L27" s="146">
        <v>4765</v>
      </c>
      <c r="M27" s="146">
        <v>6790</v>
      </c>
      <c r="N27" s="146">
        <v>9243</v>
      </c>
      <c r="O27" s="146">
        <v>10723</v>
      </c>
      <c r="P27" s="146">
        <v>10495</v>
      </c>
      <c r="Q27" s="146">
        <v>11811</v>
      </c>
      <c r="R27" s="118">
        <f>((Q27/G27)^(1/($H$2-$H$1) ))-1</f>
        <v>0.19379752254199611</v>
      </c>
      <c r="S27" s="31">
        <f t="shared" si="5"/>
        <v>0.15</v>
      </c>
      <c r="T27" s="153">
        <f t="shared" si="2"/>
        <v>13582.65</v>
      </c>
      <c r="U27" s="153">
        <f t="shared" si="34"/>
        <v>15620.047499999999</v>
      </c>
      <c r="V27" s="153">
        <f t="shared" si="35"/>
        <v>17963.054624999997</v>
      </c>
      <c r="W27" s="153">
        <f t="shared" si="36"/>
        <v>20657.512818749994</v>
      </c>
      <c r="X27" s="153">
        <f t="shared" si="37"/>
        <v>23756.139741562492</v>
      </c>
      <c r="Y27" s="153">
        <f t="shared" si="38"/>
        <v>27319.560702796865</v>
      </c>
      <c r="Z27" s="153">
        <f t="shared" si="39"/>
        <v>31417.494808216394</v>
      </c>
      <c r="AA27" s="153">
        <f t="shared" si="40"/>
        <v>36130.119029448848</v>
      </c>
      <c r="AB27" s="153">
        <f t="shared" si="41"/>
        <v>41549.636883866173</v>
      </c>
      <c r="AC27" s="153">
        <f t="shared" si="42"/>
        <v>47782.082416446094</v>
      </c>
      <c r="AD27" s="137">
        <f t="shared" si="17"/>
        <v>0.17169413710374748</v>
      </c>
      <c r="AE27" s="31">
        <f t="shared" si="15"/>
        <v>0.05</v>
      </c>
      <c r="AF27" s="145">
        <f t="shared" si="1"/>
        <v>385932.20413283381</v>
      </c>
    </row>
    <row r="28" spans="2:32" s="123" customFormat="1" x14ac:dyDescent="0.2">
      <c r="B28" s="23"/>
      <c r="C28" s="148"/>
      <c r="D28" s="148"/>
      <c r="E28" s="149"/>
      <c r="F28" s="149"/>
      <c r="G28" s="147">
        <f t="shared" ref="G28" si="64">(G27-F27)/G27</f>
        <v>1</v>
      </c>
      <c r="H28" s="150">
        <f t="shared" ref="H28:Q28" si="65">(H27-G27)/G27</f>
        <v>0.19661523145843704</v>
      </c>
      <c r="I28" s="150">
        <f t="shared" si="65"/>
        <v>0.44883527454242927</v>
      </c>
      <c r="J28" s="150">
        <f t="shared" si="65"/>
        <v>0.15963250071777205</v>
      </c>
      <c r="K28" s="150">
        <f t="shared" si="65"/>
        <v>0.16761574647189897</v>
      </c>
      <c r="L28" s="150">
        <f t="shared" si="65"/>
        <v>1.0390161153519931E-2</v>
      </c>
      <c r="M28" s="150">
        <f t="shared" si="65"/>
        <v>0.4249737670514166</v>
      </c>
      <c r="N28" s="150">
        <f t="shared" si="65"/>
        <v>0.36126656848306332</v>
      </c>
      <c r="O28" s="150">
        <f t="shared" si="65"/>
        <v>0.16012117277940063</v>
      </c>
      <c r="P28" s="150">
        <f t="shared" si="65"/>
        <v>-2.1262706332183159E-2</v>
      </c>
      <c r="Q28" s="150">
        <f t="shared" si="65"/>
        <v>0.12539304430681278</v>
      </c>
      <c r="R28" s="128"/>
      <c r="S28" s="20"/>
      <c r="T28" s="153"/>
      <c r="U28" s="154"/>
      <c r="V28" s="154"/>
      <c r="W28" s="154"/>
      <c r="X28" s="154"/>
      <c r="Y28" s="154"/>
      <c r="Z28" s="154"/>
      <c r="AA28" s="154"/>
      <c r="AB28" s="154"/>
      <c r="AC28" s="154"/>
      <c r="AD28" s="119"/>
      <c r="AE28" s="136"/>
      <c r="AF28" s="153"/>
    </row>
    <row r="29" spans="2:32" s="123" customFormat="1" x14ac:dyDescent="0.2">
      <c r="B29" s="20" t="s">
        <v>322</v>
      </c>
      <c r="C29" s="148"/>
      <c r="D29" s="148"/>
      <c r="E29" s="149"/>
      <c r="F29" s="146"/>
      <c r="G29" s="146">
        <v>40</v>
      </c>
      <c r="H29" s="146">
        <v>32</v>
      </c>
      <c r="I29" s="146">
        <v>50</v>
      </c>
      <c r="J29" s="146">
        <v>50</v>
      </c>
      <c r="K29" s="146">
        <v>66</v>
      </c>
      <c r="L29" s="146">
        <v>69</v>
      </c>
      <c r="M29" s="146">
        <v>63</v>
      </c>
      <c r="N29" s="146">
        <v>93</v>
      </c>
      <c r="O29" s="146">
        <v>159</v>
      </c>
      <c r="P29" s="146">
        <v>196</v>
      </c>
      <c r="Q29" s="146">
        <v>231</v>
      </c>
      <c r="R29" s="118">
        <f>((Q29/G29)^(1/($H$2-$H$1) ))-1</f>
        <v>0.19166778464467593</v>
      </c>
      <c r="S29" s="31">
        <f t="shared" si="5"/>
        <v>0.15</v>
      </c>
      <c r="T29" s="153">
        <f t="shared" si="2"/>
        <v>265.64999999999998</v>
      </c>
      <c r="U29" s="153">
        <f t="shared" ref="U29" si="66">T29*(1+$S29)</f>
        <v>305.49749999999995</v>
      </c>
      <c r="V29" s="153">
        <f t="shared" ref="V29" si="67">U29*(1+$S29)</f>
        <v>351.32212499999991</v>
      </c>
      <c r="W29" s="153">
        <f t="shared" ref="W29" si="68">V29*(1+$S29)</f>
        <v>404.02044374999986</v>
      </c>
      <c r="X29" s="153">
        <f t="shared" ref="X29" si="69">W29*(1+$S29)</f>
        <v>464.62351031249977</v>
      </c>
      <c r="Y29" s="153">
        <f t="shared" ref="Y29" si="70">X29*(1+$S29)</f>
        <v>534.31703685937475</v>
      </c>
      <c r="Z29" s="153">
        <f t="shared" ref="Z29" si="71">Y29*(1+$S29)</f>
        <v>614.46459238828095</v>
      </c>
      <c r="AA29" s="153">
        <f t="shared" ref="AA29" si="72">Z29*(1+$S29)</f>
        <v>706.63428124652307</v>
      </c>
      <c r="AB29" s="153">
        <f t="shared" ref="AB29" si="73">AA29*(1+$S29)</f>
        <v>812.62942343350142</v>
      </c>
      <c r="AC29" s="153">
        <f t="shared" ref="AC29" si="74">AB29*(1+$S29)</f>
        <v>934.52383694852654</v>
      </c>
      <c r="AD29" s="137">
        <f t="shared" ref="AD29" si="75">((AC29/G29)^(1/($AC$3-$H$1) ))-1</f>
        <v>0.17064851784870827</v>
      </c>
      <c r="AE29" s="31">
        <f t="shared" si="15"/>
        <v>0.05</v>
      </c>
      <c r="AF29" s="145">
        <f t="shared" ref="AF29" si="76">(AC29*(1+AE29))/($C$1-AE29)</f>
        <v>7548.0771445842529</v>
      </c>
    </row>
    <row r="30" spans="2:32" s="123" customFormat="1" x14ac:dyDescent="0.2">
      <c r="B30" s="23"/>
      <c r="C30" s="148"/>
      <c r="D30" s="148"/>
      <c r="E30" s="149"/>
      <c r="F30" s="149"/>
      <c r="G30" s="147">
        <f t="shared" ref="G30" si="77">(G29-F29)/G29</f>
        <v>1</v>
      </c>
      <c r="H30" s="150">
        <f t="shared" ref="H30:Q30" si="78">(H29-G29)/G29</f>
        <v>-0.2</v>
      </c>
      <c r="I30" s="150">
        <f t="shared" si="78"/>
        <v>0.5625</v>
      </c>
      <c r="J30" s="150">
        <f t="shared" si="78"/>
        <v>0</v>
      </c>
      <c r="K30" s="150">
        <f t="shared" si="78"/>
        <v>0.32</v>
      </c>
      <c r="L30" s="150">
        <f t="shared" si="78"/>
        <v>4.5454545454545456E-2</v>
      </c>
      <c r="M30" s="150">
        <f t="shared" si="78"/>
        <v>-8.6956521739130432E-2</v>
      </c>
      <c r="N30" s="150">
        <f t="shared" si="78"/>
        <v>0.47619047619047616</v>
      </c>
      <c r="O30" s="150">
        <f t="shared" si="78"/>
        <v>0.70967741935483875</v>
      </c>
      <c r="P30" s="150">
        <f t="shared" si="78"/>
        <v>0.23270440251572327</v>
      </c>
      <c r="Q30" s="150">
        <f t="shared" si="78"/>
        <v>0.17857142857142858</v>
      </c>
      <c r="R30" s="128"/>
      <c r="S30" s="20"/>
      <c r="T30" s="153"/>
      <c r="U30" s="154"/>
      <c r="V30" s="154"/>
      <c r="W30" s="154"/>
      <c r="X30" s="154"/>
      <c r="Y30" s="154"/>
      <c r="Z30" s="154"/>
      <c r="AA30" s="154"/>
      <c r="AB30" s="154"/>
      <c r="AC30" s="154"/>
      <c r="AD30" s="161"/>
      <c r="AE30" s="136"/>
      <c r="AF30" s="153"/>
    </row>
    <row r="31" spans="2:32" x14ac:dyDescent="0.2">
      <c r="B31" s="20" t="s">
        <v>330</v>
      </c>
      <c r="C31" s="140"/>
      <c r="D31" s="140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18" t="e">
        <f>((Q31/G31)^(1/($H$2-$H$1) ))-1</f>
        <v>#DIV/0!</v>
      </c>
      <c r="S31" s="31">
        <f t="shared" si="5"/>
        <v>0.15</v>
      </c>
      <c r="T31" s="153">
        <f t="shared" si="2"/>
        <v>0</v>
      </c>
      <c r="U31" s="153">
        <f>T31*(1+$S31)</f>
        <v>0</v>
      </c>
      <c r="V31" s="153">
        <f t="shared" ref="V31:AC32" si="79">U31*(1+$S31)</f>
        <v>0</v>
      </c>
      <c r="W31" s="153">
        <f t="shared" si="79"/>
        <v>0</v>
      </c>
      <c r="X31" s="153">
        <f t="shared" si="79"/>
        <v>0</v>
      </c>
      <c r="Y31" s="153">
        <f t="shared" si="79"/>
        <v>0</v>
      </c>
      <c r="Z31" s="153">
        <f t="shared" si="79"/>
        <v>0</v>
      </c>
      <c r="AA31" s="153">
        <f t="shared" si="79"/>
        <v>0</v>
      </c>
      <c r="AB31" s="153">
        <f t="shared" si="79"/>
        <v>0</v>
      </c>
      <c r="AC31" s="153">
        <f t="shared" si="79"/>
        <v>0</v>
      </c>
      <c r="AD31" s="137" t="e">
        <f t="shared" ref="AD31" si="80">((AC31/G31)^(1/($AC$3-$H$1) ))-1</f>
        <v>#DIV/0!</v>
      </c>
      <c r="AE31" s="31">
        <f t="shared" si="15"/>
        <v>0.05</v>
      </c>
      <c r="AF31" s="145">
        <f t="shared" si="1"/>
        <v>0</v>
      </c>
    </row>
    <row r="32" spans="2:32" x14ac:dyDescent="0.2">
      <c r="B32" s="20" t="s">
        <v>329</v>
      </c>
      <c r="C32" s="140"/>
      <c r="D32" s="140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18" t="e">
        <f>((Q32/G32)^(1/($H$2-$H$1) ))-1</f>
        <v>#DIV/0!</v>
      </c>
      <c r="S32" s="31">
        <f t="shared" si="5"/>
        <v>0.15</v>
      </c>
      <c r="T32" s="153">
        <f t="shared" si="2"/>
        <v>0</v>
      </c>
      <c r="U32" s="153">
        <f>T32*(1+$S32)</f>
        <v>0</v>
      </c>
      <c r="V32" s="153">
        <f t="shared" si="79"/>
        <v>0</v>
      </c>
      <c r="W32" s="153">
        <f t="shared" si="79"/>
        <v>0</v>
      </c>
      <c r="X32" s="153">
        <f t="shared" si="79"/>
        <v>0</v>
      </c>
      <c r="Y32" s="153">
        <f t="shared" si="79"/>
        <v>0</v>
      </c>
      <c r="Z32" s="153">
        <f t="shared" si="79"/>
        <v>0</v>
      </c>
      <c r="AA32" s="153">
        <f t="shared" si="79"/>
        <v>0</v>
      </c>
      <c r="AB32" s="153">
        <f t="shared" si="79"/>
        <v>0</v>
      </c>
      <c r="AC32" s="153">
        <f t="shared" si="79"/>
        <v>0</v>
      </c>
      <c r="AD32" s="137" t="e">
        <f t="shared" ref="AD32" si="81">((AC32/G32)^(1/($AC$3-$H$1) ))-1</f>
        <v>#DIV/0!</v>
      </c>
      <c r="AE32" s="31">
        <f t="shared" si="15"/>
        <v>0.05</v>
      </c>
      <c r="AF32" s="145">
        <f t="shared" si="1"/>
        <v>0</v>
      </c>
    </row>
    <row r="33" spans="2:32" x14ac:dyDescent="0.2">
      <c r="B33" s="20" t="s">
        <v>314</v>
      </c>
      <c r="C33" s="140"/>
      <c r="D33" s="140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18" t="e">
        <f>((Q33/G33)^(1/($H$2-$H$1) ))-1</f>
        <v>#DIV/0!</v>
      </c>
      <c r="S33" s="31">
        <f t="shared" si="5"/>
        <v>0.15</v>
      </c>
      <c r="T33" s="153">
        <f t="shared" si="2"/>
        <v>0</v>
      </c>
      <c r="U33" s="153">
        <f t="shared" si="34"/>
        <v>0</v>
      </c>
      <c r="V33" s="153">
        <f t="shared" si="35"/>
        <v>0</v>
      </c>
      <c r="W33" s="153">
        <f t="shared" si="36"/>
        <v>0</v>
      </c>
      <c r="X33" s="153">
        <f t="shared" si="37"/>
        <v>0</v>
      </c>
      <c r="Y33" s="153">
        <f t="shared" si="38"/>
        <v>0</v>
      </c>
      <c r="Z33" s="153">
        <f t="shared" si="39"/>
        <v>0</v>
      </c>
      <c r="AA33" s="153">
        <f t="shared" si="40"/>
        <v>0</v>
      </c>
      <c r="AB33" s="153">
        <f t="shared" si="41"/>
        <v>0</v>
      </c>
      <c r="AC33" s="153">
        <f t="shared" si="42"/>
        <v>0</v>
      </c>
      <c r="AD33" s="137" t="e">
        <f t="shared" si="17"/>
        <v>#DIV/0!</v>
      </c>
      <c r="AE33" s="31">
        <f t="shared" si="15"/>
        <v>0.05</v>
      </c>
      <c r="AF33" s="145">
        <f t="shared" si="1"/>
        <v>0</v>
      </c>
    </row>
    <row r="34" spans="2:32" x14ac:dyDescent="0.2">
      <c r="B34" s="20" t="s">
        <v>465</v>
      </c>
      <c r="C34" s="140"/>
      <c r="D34" s="140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18" t="e">
        <f>((Q34/G34)^(1/($H$2-$H$1) ))-1</f>
        <v>#DIV/0!</v>
      </c>
      <c r="S34" s="31">
        <f t="shared" si="5"/>
        <v>0.15</v>
      </c>
      <c r="T34" s="153">
        <f t="shared" si="2"/>
        <v>0</v>
      </c>
      <c r="U34" s="153">
        <f t="shared" si="34"/>
        <v>0</v>
      </c>
      <c r="V34" s="153">
        <f t="shared" si="35"/>
        <v>0</v>
      </c>
      <c r="W34" s="153">
        <f t="shared" si="36"/>
        <v>0</v>
      </c>
      <c r="X34" s="153">
        <f t="shared" si="37"/>
        <v>0</v>
      </c>
      <c r="Y34" s="153">
        <f t="shared" si="38"/>
        <v>0</v>
      </c>
      <c r="Z34" s="153">
        <f t="shared" si="39"/>
        <v>0</v>
      </c>
      <c r="AA34" s="153">
        <f t="shared" si="40"/>
        <v>0</v>
      </c>
      <c r="AB34" s="153">
        <f t="shared" si="41"/>
        <v>0</v>
      </c>
      <c r="AC34" s="153">
        <f t="shared" si="42"/>
        <v>0</v>
      </c>
      <c r="AD34" s="137" t="e">
        <f t="shared" si="17"/>
        <v>#DIV/0!</v>
      </c>
      <c r="AE34" s="31">
        <f t="shared" si="15"/>
        <v>0.05</v>
      </c>
      <c r="AF34" s="145">
        <f t="shared" si="1"/>
        <v>0</v>
      </c>
    </row>
    <row r="35" spans="2:32" x14ac:dyDescent="0.2">
      <c r="B35" s="20"/>
      <c r="C35" s="140"/>
      <c r="D35" s="140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28"/>
      <c r="S35" s="20"/>
      <c r="T35" s="153">
        <f t="shared" si="2"/>
        <v>0</v>
      </c>
      <c r="U35" s="153"/>
      <c r="V35" s="153"/>
      <c r="W35" s="153"/>
      <c r="X35" s="153"/>
      <c r="Y35" s="153"/>
      <c r="Z35" s="153"/>
      <c r="AA35" s="153"/>
      <c r="AB35" s="153"/>
      <c r="AC35" s="153"/>
      <c r="AD35" s="138"/>
      <c r="AE35" s="136"/>
      <c r="AF35" s="153"/>
    </row>
    <row r="36" spans="2:32" x14ac:dyDescent="0.2">
      <c r="B36" s="20" t="s">
        <v>278</v>
      </c>
      <c r="C36" s="140"/>
      <c r="D36" s="140"/>
      <c r="E36" s="146"/>
      <c r="F36" s="146"/>
      <c r="G36" s="146">
        <v>220</v>
      </c>
      <c r="H36" s="146">
        <v>200</v>
      </c>
      <c r="I36" s="146">
        <v>241</v>
      </c>
      <c r="J36" s="146">
        <v>437</v>
      </c>
      <c r="K36" s="146">
        <v>438</v>
      </c>
      <c r="L36" s="146">
        <v>704</v>
      </c>
      <c r="M36" s="146">
        <v>835</v>
      </c>
      <c r="N36" s="146">
        <v>814</v>
      </c>
      <c r="O36" s="146">
        <v>1272</v>
      </c>
      <c r="P36" s="146">
        <v>1780</v>
      </c>
      <c r="Q36" s="146">
        <v>1584</v>
      </c>
      <c r="R36" s="118">
        <f>((Q36/G36)^(1/($H$2-$H$1) ))-1</f>
        <v>0.21824110663778651</v>
      </c>
      <c r="S36" s="31">
        <f t="shared" si="5"/>
        <v>0.15</v>
      </c>
      <c r="T36" s="153">
        <f t="shared" si="2"/>
        <v>1821.6</v>
      </c>
      <c r="U36" s="153">
        <f t="shared" ref="U36" si="82">T36*(1+$S36)</f>
        <v>2094.8399999999997</v>
      </c>
      <c r="V36" s="153">
        <f t="shared" ref="V36" si="83">U36*(1+$S36)</f>
        <v>2409.0659999999993</v>
      </c>
      <c r="W36" s="153">
        <f t="shared" ref="W36" si="84">V36*(1+$S36)</f>
        <v>2770.4258999999988</v>
      </c>
      <c r="X36" s="153">
        <f t="shared" si="37"/>
        <v>3185.9897849999984</v>
      </c>
      <c r="Y36" s="153">
        <f t="shared" si="38"/>
        <v>3663.8882527499977</v>
      </c>
      <c r="Z36" s="153">
        <f t="shared" si="39"/>
        <v>4213.4714906624968</v>
      </c>
      <c r="AA36" s="153">
        <f t="shared" si="40"/>
        <v>4845.4922142618707</v>
      </c>
      <c r="AB36" s="153">
        <f t="shared" si="41"/>
        <v>5572.3160464011507</v>
      </c>
      <c r="AC36" s="153">
        <f t="shared" si="42"/>
        <v>6408.1634533613233</v>
      </c>
      <c r="AD36" s="137">
        <f t="shared" si="17"/>
        <v>0.1836288576380074</v>
      </c>
      <c r="AE36" s="31">
        <f t="shared" si="15"/>
        <v>0.05</v>
      </c>
      <c r="AF36" s="145">
        <f t="shared" si="1"/>
        <v>51758.243277149144</v>
      </c>
    </row>
    <row r="37" spans="2:32" s="123" customFormat="1" x14ac:dyDescent="0.2">
      <c r="B37" s="23"/>
      <c r="C37" s="148"/>
      <c r="D37" s="148"/>
      <c r="E37" s="149"/>
      <c r="F37" s="149"/>
      <c r="G37" s="147">
        <f t="shared" ref="G37" si="85">(G36-F36)/G36</f>
        <v>1</v>
      </c>
      <c r="H37" s="150">
        <f t="shared" ref="H37:Q37" si="86">(H36-G36)/G36</f>
        <v>-9.0909090909090912E-2</v>
      </c>
      <c r="I37" s="150">
        <f t="shared" si="86"/>
        <v>0.20499999999999999</v>
      </c>
      <c r="J37" s="150">
        <f t="shared" si="86"/>
        <v>0.81327800829875518</v>
      </c>
      <c r="K37" s="150">
        <f t="shared" si="86"/>
        <v>2.2883295194508009E-3</v>
      </c>
      <c r="L37" s="150">
        <f t="shared" si="86"/>
        <v>0.60730593607305938</v>
      </c>
      <c r="M37" s="150">
        <f t="shared" si="86"/>
        <v>0.18607954545454544</v>
      </c>
      <c r="N37" s="150">
        <f t="shared" si="86"/>
        <v>-2.5149700598802394E-2</v>
      </c>
      <c r="O37" s="150">
        <f t="shared" si="86"/>
        <v>0.5626535626535627</v>
      </c>
      <c r="P37" s="150">
        <f t="shared" si="86"/>
        <v>0.39937106918238996</v>
      </c>
      <c r="Q37" s="150">
        <f t="shared" si="86"/>
        <v>-0.1101123595505618</v>
      </c>
      <c r="R37" s="128"/>
      <c r="S37" s="20"/>
      <c r="T37" s="153"/>
      <c r="U37" s="154"/>
      <c r="V37" s="154"/>
      <c r="W37" s="154"/>
      <c r="X37" s="154"/>
      <c r="Y37" s="154"/>
      <c r="Z37" s="154"/>
      <c r="AA37" s="154"/>
      <c r="AB37" s="154"/>
      <c r="AC37" s="154"/>
      <c r="AD37" s="138"/>
      <c r="AE37" s="136"/>
      <c r="AF37" s="155"/>
    </row>
    <row r="38" spans="2:32" s="123" customFormat="1" x14ac:dyDescent="0.2">
      <c r="B38" s="20" t="s">
        <v>398</v>
      </c>
      <c r="C38" s="148"/>
      <c r="D38" s="148"/>
      <c r="E38" s="149"/>
      <c r="F38" s="149"/>
      <c r="G38" s="146">
        <v>168</v>
      </c>
      <c r="H38" s="146">
        <v>44</v>
      </c>
      <c r="I38" s="146">
        <v>99</v>
      </c>
      <c r="J38" s="146">
        <v>259</v>
      </c>
      <c r="K38" s="146">
        <v>199</v>
      </c>
      <c r="L38" s="146">
        <v>396</v>
      </c>
      <c r="M38" s="146">
        <v>536</v>
      </c>
      <c r="N38" s="146">
        <v>893</v>
      </c>
      <c r="O38" s="146">
        <v>843</v>
      </c>
      <c r="P38" s="146">
        <v>1235</v>
      </c>
      <c r="Q38" s="146">
        <v>1353</v>
      </c>
      <c r="R38" s="118">
        <f>((Q38/G38)^(1/($H$2-$H$1) ))-1</f>
        <v>0.23196636657010572</v>
      </c>
      <c r="S38" s="31">
        <f t="shared" si="5"/>
        <v>0.15</v>
      </c>
      <c r="T38" s="153">
        <f t="shared" si="2"/>
        <v>1555.9499999999998</v>
      </c>
      <c r="U38" s="153">
        <f t="shared" ref="U38" si="87">T38*(1+$S38)</f>
        <v>1789.3424999999997</v>
      </c>
      <c r="V38" s="153">
        <f t="shared" ref="V38" si="88">U38*(1+$S38)</f>
        <v>2057.7438749999997</v>
      </c>
      <c r="W38" s="153">
        <f t="shared" ref="W38" si="89">V38*(1+$S38)</f>
        <v>2366.4054562499996</v>
      </c>
      <c r="X38" s="153">
        <f t="shared" ref="X38" si="90">W38*(1+$S38)</f>
        <v>2721.3662746874993</v>
      </c>
      <c r="Y38" s="153">
        <f t="shared" ref="Y38" si="91">X38*(1+$S38)</f>
        <v>3129.571215890624</v>
      </c>
      <c r="Z38" s="153">
        <f t="shared" ref="Z38" si="92">Y38*(1+$S38)</f>
        <v>3599.0068982742173</v>
      </c>
      <c r="AA38" s="153">
        <f t="shared" ref="AA38" si="93">Z38*(1+$S38)</f>
        <v>4138.8579330153498</v>
      </c>
      <c r="AB38" s="153">
        <f t="shared" ref="AB38" si="94">AA38*(1+$S38)</f>
        <v>4759.6866229676516</v>
      </c>
      <c r="AC38" s="153">
        <f t="shared" ref="AC38" si="95">AB38*(1+$S38)</f>
        <v>5473.6396164127991</v>
      </c>
      <c r="AD38" s="137">
        <f t="shared" ref="AD38" si="96">((AC38/G38)^(1/($AC$3-$H$1) ))-1</f>
        <v>0.19027783376639484</v>
      </c>
      <c r="AE38" s="31">
        <f t="shared" si="15"/>
        <v>0.05</v>
      </c>
      <c r="AF38" s="145">
        <f t="shared" ref="AF38" si="97">(AC38*(1+AE38))/($C$1-AE38)</f>
        <v>44210.166132564918</v>
      </c>
    </row>
    <row r="39" spans="2:32" s="123" customFormat="1" x14ac:dyDescent="0.2">
      <c r="B39" s="23"/>
      <c r="C39" s="148"/>
      <c r="D39" s="148"/>
      <c r="E39" s="149"/>
      <c r="F39" s="149"/>
      <c r="G39" s="147">
        <f t="shared" ref="G39" si="98">(G38-F38)/G38</f>
        <v>1</v>
      </c>
      <c r="H39" s="150">
        <f t="shared" ref="H39:Q39" si="99">(H38-G38)/G38</f>
        <v>-0.73809523809523814</v>
      </c>
      <c r="I39" s="150">
        <f t="shared" si="99"/>
        <v>1.25</v>
      </c>
      <c r="J39" s="150">
        <f t="shared" si="99"/>
        <v>1.6161616161616161</v>
      </c>
      <c r="K39" s="150">
        <f t="shared" si="99"/>
        <v>-0.23166023166023167</v>
      </c>
      <c r="L39" s="150">
        <f t="shared" si="99"/>
        <v>0.98994974874371855</v>
      </c>
      <c r="M39" s="150">
        <f t="shared" si="99"/>
        <v>0.35353535353535354</v>
      </c>
      <c r="N39" s="150">
        <f t="shared" si="99"/>
        <v>0.66604477611940294</v>
      </c>
      <c r="O39" s="150">
        <f t="shared" si="99"/>
        <v>-5.5991041433370664E-2</v>
      </c>
      <c r="P39" s="150">
        <f t="shared" si="99"/>
        <v>0.46500593119810202</v>
      </c>
      <c r="Q39" s="150">
        <f t="shared" si="99"/>
        <v>9.5546558704453444E-2</v>
      </c>
      <c r="R39" s="128"/>
      <c r="S39" s="20"/>
      <c r="T39" s="153"/>
      <c r="U39" s="154"/>
      <c r="V39" s="154"/>
      <c r="W39" s="154"/>
      <c r="X39" s="154"/>
      <c r="Y39" s="154"/>
      <c r="Z39" s="154"/>
      <c r="AA39" s="154"/>
      <c r="AB39" s="154"/>
      <c r="AC39" s="154"/>
      <c r="AD39" s="138"/>
      <c r="AE39" s="136"/>
      <c r="AF39" s="155"/>
    </row>
    <row r="40" spans="2:32" x14ac:dyDescent="0.2">
      <c r="B40" s="20" t="s">
        <v>399</v>
      </c>
      <c r="C40" s="140"/>
      <c r="D40" s="140"/>
      <c r="E40" s="146"/>
      <c r="F40" s="146"/>
      <c r="G40" s="146">
        <v>118</v>
      </c>
      <c r="H40" s="146">
        <v>29</v>
      </c>
      <c r="I40" s="146">
        <v>79</v>
      </c>
      <c r="J40" s="146">
        <v>170</v>
      </c>
      <c r="K40" s="146">
        <v>143</v>
      </c>
      <c r="L40" s="146">
        <v>251</v>
      </c>
      <c r="M40" s="146">
        <v>357</v>
      </c>
      <c r="N40" s="146">
        <v>619</v>
      </c>
      <c r="O40" s="146">
        <v>580</v>
      </c>
      <c r="P40" s="146">
        <v>808</v>
      </c>
      <c r="Q40" s="146">
        <v>908</v>
      </c>
      <c r="R40" s="118">
        <f>((Q40/G40)^(1/($H$2-$H$1) ))-1</f>
        <v>0.22636679792368497</v>
      </c>
      <c r="S40" s="31">
        <f t="shared" si="5"/>
        <v>0.15</v>
      </c>
      <c r="T40" s="153">
        <f t="shared" si="2"/>
        <v>1044.1999999999998</v>
      </c>
      <c r="U40" s="153">
        <f t="shared" ref="U40:AC40" si="100">T40*(1+$S40)</f>
        <v>1200.8299999999997</v>
      </c>
      <c r="V40" s="153">
        <f t="shared" si="100"/>
        <v>1380.9544999999996</v>
      </c>
      <c r="W40" s="153">
        <f t="shared" si="100"/>
        <v>1588.0976749999995</v>
      </c>
      <c r="X40" s="153">
        <f t="shared" si="100"/>
        <v>1826.3123262499994</v>
      </c>
      <c r="Y40" s="153">
        <f t="shared" si="100"/>
        <v>2100.2591751874993</v>
      </c>
      <c r="Z40" s="153">
        <f t="shared" si="100"/>
        <v>2415.2980514656242</v>
      </c>
      <c r="AA40" s="153">
        <f t="shared" si="100"/>
        <v>2777.5927591854675</v>
      </c>
      <c r="AB40" s="153">
        <f t="shared" si="100"/>
        <v>3194.2316730632874</v>
      </c>
      <c r="AC40" s="153">
        <f t="shared" si="100"/>
        <v>3673.3664240227804</v>
      </c>
      <c r="AD40" s="137">
        <f t="shared" si="17"/>
        <v>0.18756971063270123</v>
      </c>
      <c r="AE40" s="31">
        <f t="shared" si="15"/>
        <v>0.05</v>
      </c>
      <c r="AF40" s="145">
        <f t="shared" si="1"/>
        <v>29669.498040183997</v>
      </c>
    </row>
    <row r="41" spans="2:32" s="123" customFormat="1" x14ac:dyDescent="0.2">
      <c r="B41" s="23"/>
      <c r="C41" s="148"/>
      <c r="D41" s="148"/>
      <c r="E41" s="149"/>
      <c r="F41" s="149"/>
      <c r="G41" s="147">
        <f>(G40-F40)/G40</f>
        <v>1</v>
      </c>
      <c r="H41" s="150">
        <f t="shared" ref="H41:Q41" si="101">(H40-G40)/G40</f>
        <v>-0.75423728813559321</v>
      </c>
      <c r="I41" s="150">
        <f t="shared" si="101"/>
        <v>1.7241379310344827</v>
      </c>
      <c r="J41" s="150">
        <f t="shared" si="101"/>
        <v>1.1518987341772151</v>
      </c>
      <c r="K41" s="150">
        <f t="shared" si="101"/>
        <v>-0.1588235294117647</v>
      </c>
      <c r="L41" s="150">
        <f t="shared" si="101"/>
        <v>0.75524475524475521</v>
      </c>
      <c r="M41" s="150">
        <f t="shared" si="101"/>
        <v>0.42231075697211157</v>
      </c>
      <c r="N41" s="150">
        <f t="shared" si="101"/>
        <v>0.73389355742296913</v>
      </c>
      <c r="O41" s="150">
        <f t="shared" si="101"/>
        <v>-6.3004846526655903E-2</v>
      </c>
      <c r="P41" s="150">
        <f t="shared" si="101"/>
        <v>0.39310344827586208</v>
      </c>
      <c r="Q41" s="150">
        <f t="shared" si="101"/>
        <v>0.12376237623762376</v>
      </c>
      <c r="R41" s="128"/>
      <c r="S41" s="20"/>
      <c r="T41" s="153"/>
      <c r="U41" s="154"/>
      <c r="V41" s="154"/>
      <c r="W41" s="154"/>
      <c r="X41" s="154"/>
      <c r="Y41" s="154"/>
      <c r="Z41" s="154"/>
      <c r="AA41" s="154"/>
      <c r="AB41" s="154"/>
      <c r="AC41" s="154"/>
      <c r="AD41" s="138"/>
      <c r="AE41" s="136"/>
      <c r="AF41" s="155"/>
    </row>
    <row r="42" spans="2:32" x14ac:dyDescent="0.2">
      <c r="B42" s="20" t="s">
        <v>239</v>
      </c>
      <c r="C42" s="141"/>
      <c r="D42" s="141"/>
      <c r="E42" s="144"/>
      <c r="F42" s="144"/>
      <c r="G42" s="144">
        <v>0.42</v>
      </c>
      <c r="H42" s="144">
        <v>0.42</v>
      </c>
      <c r="I42" s="144">
        <v>0.42</v>
      </c>
      <c r="J42" s="144">
        <v>0.42</v>
      </c>
      <c r="K42" s="144">
        <v>0.42</v>
      </c>
      <c r="L42" s="144">
        <v>0.42</v>
      </c>
      <c r="M42" s="144">
        <v>0.42</v>
      </c>
      <c r="N42" s="144">
        <v>0.42</v>
      </c>
      <c r="O42" s="144">
        <v>0.42</v>
      </c>
      <c r="P42" s="144">
        <v>0.42</v>
      </c>
      <c r="Q42" s="144">
        <v>0.42</v>
      </c>
      <c r="R42" s="118">
        <f>((Q42/G42)^(1/($H$2-$H$1) ))-1</f>
        <v>0</v>
      </c>
      <c r="S42" s="31">
        <v>0.02</v>
      </c>
      <c r="T42" s="153">
        <f t="shared" si="2"/>
        <v>0.4284</v>
      </c>
      <c r="U42" s="153">
        <f t="shared" ref="U42:AC42" si="102">T42*(1+$S42)</f>
        <v>0.43696800000000002</v>
      </c>
      <c r="V42" s="153">
        <f t="shared" si="102"/>
        <v>0.44570736000000005</v>
      </c>
      <c r="W42" s="153">
        <f t="shared" si="102"/>
        <v>0.45462150720000005</v>
      </c>
      <c r="X42" s="153">
        <f t="shared" si="102"/>
        <v>0.46371393734400007</v>
      </c>
      <c r="Y42" s="153">
        <f t="shared" si="102"/>
        <v>0.4729882160908801</v>
      </c>
      <c r="Z42" s="153">
        <f t="shared" si="102"/>
        <v>0.48244798041269771</v>
      </c>
      <c r="AA42" s="153">
        <f t="shared" si="102"/>
        <v>0.49209694002095167</v>
      </c>
      <c r="AB42" s="153">
        <f t="shared" si="102"/>
        <v>0.50193887882137067</v>
      </c>
      <c r="AC42" s="153">
        <f t="shared" si="102"/>
        <v>0.51197765639779813</v>
      </c>
      <c r="AD42" s="137">
        <f t="shared" si="17"/>
        <v>9.9504938362078299E-3</v>
      </c>
      <c r="AE42" s="31">
        <f t="shared" si="15"/>
        <v>0.05</v>
      </c>
      <c r="AF42" s="145">
        <f t="shared" si="1"/>
        <v>4.1352041478283699</v>
      </c>
    </row>
    <row r="43" spans="2:32" x14ac:dyDescent="0.2">
      <c r="B43" s="20"/>
      <c r="C43" s="141"/>
      <c r="D43" s="141"/>
      <c r="E43" s="142"/>
      <c r="F43" s="146"/>
      <c r="G43" s="147">
        <f>(G42-F42)/G42</f>
        <v>1</v>
      </c>
      <c r="H43" s="150">
        <f t="shared" ref="H43:Q43" si="103">(H42-G42)/G42</f>
        <v>0</v>
      </c>
      <c r="I43" s="150">
        <f t="shared" si="103"/>
        <v>0</v>
      </c>
      <c r="J43" s="150">
        <f t="shared" si="103"/>
        <v>0</v>
      </c>
      <c r="K43" s="150">
        <f t="shared" si="103"/>
        <v>0</v>
      </c>
      <c r="L43" s="150">
        <f t="shared" si="103"/>
        <v>0</v>
      </c>
      <c r="M43" s="150">
        <f t="shared" si="103"/>
        <v>0</v>
      </c>
      <c r="N43" s="150">
        <f t="shared" si="103"/>
        <v>0</v>
      </c>
      <c r="O43" s="150">
        <f t="shared" si="103"/>
        <v>0</v>
      </c>
      <c r="P43" s="150">
        <f t="shared" si="103"/>
        <v>0</v>
      </c>
      <c r="Q43" s="150">
        <f t="shared" si="103"/>
        <v>0</v>
      </c>
      <c r="R43" s="128"/>
      <c r="S43" s="20"/>
      <c r="T43" s="153"/>
      <c r="U43" s="153"/>
      <c r="V43" s="153"/>
      <c r="W43" s="153"/>
      <c r="X43" s="153"/>
      <c r="Y43" s="153"/>
      <c r="Z43" s="153"/>
      <c r="AA43" s="153"/>
      <c r="AB43" s="153"/>
      <c r="AC43" s="153"/>
      <c r="AD43" s="137"/>
      <c r="AE43" s="31"/>
      <c r="AF43" s="145"/>
    </row>
    <row r="44" spans="2:32" x14ac:dyDescent="0.2">
      <c r="B44" s="20" t="s">
        <v>282</v>
      </c>
      <c r="C44" s="144"/>
      <c r="D44" s="144"/>
      <c r="E44" s="144"/>
      <c r="F44" s="146"/>
      <c r="G44" s="144">
        <v>20</v>
      </c>
      <c r="H44" s="144">
        <v>20</v>
      </c>
      <c r="I44" s="144">
        <v>20</v>
      </c>
      <c r="J44" s="144">
        <v>20</v>
      </c>
      <c r="K44" s="144">
        <v>20</v>
      </c>
      <c r="L44" s="144">
        <v>25</v>
      </c>
      <c r="M44" s="144">
        <v>50</v>
      </c>
      <c r="N44" s="144">
        <v>25</v>
      </c>
      <c r="O44" s="144">
        <v>25</v>
      </c>
      <c r="P44" s="146">
        <v>30</v>
      </c>
      <c r="Q44" s="146">
        <v>50</v>
      </c>
      <c r="R44" s="118">
        <f>((Q44/G44)^(1/($H$2-$H$1) ))-1</f>
        <v>9.5958226385217227E-2</v>
      </c>
      <c r="S44" s="31">
        <f>P1</f>
        <v>0.05</v>
      </c>
      <c r="T44" s="153">
        <f t="shared" si="2"/>
        <v>52.5</v>
      </c>
      <c r="U44" s="153">
        <f t="shared" ref="U44" si="104">T44*(1+$S44)</f>
        <v>55.125</v>
      </c>
      <c r="V44" s="153">
        <f t="shared" ref="V44" si="105">U44*(1+$S44)</f>
        <v>57.881250000000001</v>
      </c>
      <c r="W44" s="153">
        <f t="shared" ref="W44" si="106">V44*(1+$S44)</f>
        <v>60.775312500000005</v>
      </c>
      <c r="X44" s="153">
        <f t="shared" ref="X44" si="107">W44*(1+$S44)</f>
        <v>63.814078125000009</v>
      </c>
      <c r="Y44" s="153">
        <f t="shared" ref="Y44" si="108">X44*(1+$S44)</f>
        <v>67.004782031250016</v>
      </c>
      <c r="Z44" s="153">
        <f t="shared" ref="Z44" si="109">Y44*(1+$S44)</f>
        <v>70.355021132812524</v>
      </c>
      <c r="AA44" s="153">
        <f t="shared" ref="AA44" si="110">Z44*(1+$S44)</f>
        <v>73.872772189453158</v>
      </c>
      <c r="AB44" s="153">
        <f t="shared" ref="AB44" si="111">AA44*(1+$S44)</f>
        <v>77.566410798925816</v>
      </c>
      <c r="AC44" s="153">
        <f t="shared" ref="AC44" si="112">AB44*(1+$S44)</f>
        <v>81.444731338872103</v>
      </c>
      <c r="AD44" s="137">
        <f t="shared" ref="AD44" si="113">((AC44/G44)^(1/($AC$3-$H$1) ))-1</f>
        <v>7.2733022566415784E-2</v>
      </c>
      <c r="AE44" s="31">
        <f t="shared" si="15"/>
        <v>0.05</v>
      </c>
      <c r="AF44" s="145">
        <f t="shared" si="1"/>
        <v>657.82283004473629</v>
      </c>
    </row>
    <row r="45" spans="2:32" x14ac:dyDescent="0.2">
      <c r="B45" s="20"/>
      <c r="C45" s="144"/>
      <c r="D45" s="144"/>
      <c r="E45" s="144"/>
      <c r="F45" s="146"/>
      <c r="G45" s="147">
        <f>(G44-F44)/G44</f>
        <v>1</v>
      </c>
      <c r="H45" s="150">
        <f t="shared" ref="H45:Q45" si="114">(H44-G44)/G44</f>
        <v>0</v>
      </c>
      <c r="I45" s="150">
        <f t="shared" si="114"/>
        <v>0</v>
      </c>
      <c r="J45" s="150">
        <f t="shared" si="114"/>
        <v>0</v>
      </c>
      <c r="K45" s="150">
        <f t="shared" si="114"/>
        <v>0</v>
      </c>
      <c r="L45" s="150">
        <f t="shared" si="114"/>
        <v>0.25</v>
      </c>
      <c r="M45" s="150">
        <f t="shared" si="114"/>
        <v>1</v>
      </c>
      <c r="N45" s="150">
        <f t="shared" si="114"/>
        <v>-0.5</v>
      </c>
      <c r="O45" s="150">
        <f t="shared" si="114"/>
        <v>0</v>
      </c>
      <c r="P45" s="150">
        <f t="shared" si="114"/>
        <v>0.2</v>
      </c>
      <c r="Q45" s="150">
        <f t="shared" si="114"/>
        <v>0.66666666666666663</v>
      </c>
      <c r="R45" s="128"/>
      <c r="S45" s="20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37"/>
      <c r="AE45" s="196"/>
      <c r="AF45" s="145"/>
    </row>
    <row r="46" spans="2:32" x14ac:dyDescent="0.2">
      <c r="B46" s="20" t="s">
        <v>424</v>
      </c>
      <c r="C46" s="20"/>
      <c r="D46" s="20"/>
      <c r="E46" s="127"/>
      <c r="F46" s="127"/>
      <c r="G46" s="146">
        <v>0</v>
      </c>
      <c r="H46" s="146">
        <v>0</v>
      </c>
      <c r="I46" s="146">
        <v>0</v>
      </c>
      <c r="J46" s="146">
        <v>0</v>
      </c>
      <c r="K46" s="146">
        <v>0</v>
      </c>
      <c r="L46" s="146">
        <v>0</v>
      </c>
      <c r="M46" s="146">
        <v>0</v>
      </c>
      <c r="N46" s="146">
        <v>0</v>
      </c>
      <c r="O46" s="146">
        <v>0</v>
      </c>
      <c r="P46" s="146">
        <v>0</v>
      </c>
      <c r="Q46" s="146">
        <v>0</v>
      </c>
      <c r="R46" s="128"/>
      <c r="S46" s="128"/>
      <c r="T46" s="153"/>
      <c r="U46" s="153"/>
      <c r="V46" s="153"/>
      <c r="W46" s="153"/>
      <c r="X46" s="153"/>
      <c r="Y46" s="153"/>
      <c r="Z46" s="153"/>
      <c r="AA46" s="153"/>
      <c r="AB46" s="153"/>
      <c r="AC46" s="153"/>
      <c r="AD46" s="138"/>
      <c r="AE46" s="136"/>
      <c r="AF46" s="153"/>
    </row>
    <row r="47" spans="2:32" x14ac:dyDescent="0.2">
      <c r="B47" s="20" t="s">
        <v>422</v>
      </c>
      <c r="C47" s="20"/>
      <c r="D47" s="20"/>
      <c r="E47" s="127"/>
      <c r="F47" s="127"/>
      <c r="G47" s="146">
        <v>0</v>
      </c>
      <c r="H47" s="146">
        <v>0</v>
      </c>
      <c r="I47" s="146">
        <v>0</v>
      </c>
      <c r="J47" s="146">
        <v>0</v>
      </c>
      <c r="K47" s="146">
        <v>0</v>
      </c>
      <c r="L47" s="146">
        <v>0</v>
      </c>
      <c r="M47" s="146">
        <v>0</v>
      </c>
      <c r="N47" s="146">
        <v>0</v>
      </c>
      <c r="O47" s="146">
        <v>0</v>
      </c>
      <c r="P47" s="146">
        <v>0</v>
      </c>
      <c r="Q47" s="146">
        <v>0</v>
      </c>
      <c r="R47" s="128"/>
      <c r="S47" s="128"/>
      <c r="T47" s="153"/>
      <c r="U47" s="153"/>
      <c r="V47" s="153"/>
      <c r="W47" s="153"/>
      <c r="X47" s="153"/>
      <c r="Y47" s="153"/>
      <c r="Z47" s="153"/>
      <c r="AA47" s="153"/>
      <c r="AB47" s="153"/>
      <c r="AC47" s="153"/>
      <c r="AD47" s="138"/>
      <c r="AE47" s="136"/>
      <c r="AF47" s="153"/>
    </row>
    <row r="48" spans="2:32" x14ac:dyDescent="0.2">
      <c r="B48" s="20" t="s">
        <v>423</v>
      </c>
      <c r="C48" s="20"/>
      <c r="D48" s="20"/>
      <c r="E48" s="127"/>
      <c r="F48" s="127"/>
      <c r="G48" s="146">
        <v>0</v>
      </c>
      <c r="H48" s="146">
        <v>0</v>
      </c>
      <c r="I48" s="146">
        <v>0</v>
      </c>
      <c r="J48" s="146">
        <v>0</v>
      </c>
      <c r="K48" s="146">
        <v>0</v>
      </c>
      <c r="L48" s="146">
        <v>0</v>
      </c>
      <c r="M48" s="146">
        <v>0</v>
      </c>
      <c r="N48" s="146">
        <v>0</v>
      </c>
      <c r="O48" s="146">
        <v>0</v>
      </c>
      <c r="P48" s="146">
        <v>0</v>
      </c>
      <c r="Q48" s="146">
        <v>0</v>
      </c>
      <c r="R48" s="128"/>
      <c r="S48" s="128"/>
      <c r="T48" s="153"/>
      <c r="U48" s="153"/>
      <c r="V48" s="153"/>
      <c r="W48" s="153"/>
      <c r="X48" s="153"/>
      <c r="Y48" s="153"/>
      <c r="Z48" s="153"/>
      <c r="AA48" s="153"/>
      <c r="AB48" s="153"/>
      <c r="AC48" s="153"/>
      <c r="AD48" s="138"/>
      <c r="AE48" s="136"/>
      <c r="AF48" s="153"/>
    </row>
    <row r="49" spans="2:32" x14ac:dyDescent="0.2">
      <c r="B49" s="20"/>
      <c r="C49" s="20"/>
      <c r="D49" s="20"/>
      <c r="E49" s="127"/>
      <c r="F49" s="127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28"/>
      <c r="S49" s="128"/>
      <c r="T49" s="153"/>
      <c r="U49" s="153"/>
      <c r="V49" s="153"/>
      <c r="W49" s="153"/>
      <c r="X49" s="153"/>
      <c r="Y49" s="153"/>
      <c r="Z49" s="153"/>
      <c r="AA49" s="153"/>
      <c r="AB49" s="153"/>
      <c r="AC49" s="153"/>
      <c r="AD49" s="138"/>
      <c r="AE49" s="136"/>
      <c r="AF49" s="153"/>
    </row>
    <row r="50" spans="2:32" x14ac:dyDescent="0.2">
      <c r="B50" s="108" t="s">
        <v>243</v>
      </c>
      <c r="C50" s="20"/>
      <c r="D50" s="20"/>
      <c r="E50" s="127"/>
      <c r="F50" s="127"/>
      <c r="G50" s="127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8"/>
      <c r="S50" s="128"/>
      <c r="T50" s="153"/>
      <c r="U50" s="153"/>
      <c r="V50" s="153"/>
      <c r="W50" s="153"/>
      <c r="X50" s="153"/>
      <c r="Y50" s="153"/>
      <c r="Z50" s="153"/>
      <c r="AA50" s="153"/>
      <c r="AB50" s="153"/>
      <c r="AC50" s="153"/>
      <c r="AD50" s="138"/>
      <c r="AE50" s="136"/>
      <c r="AF50" s="153"/>
    </row>
    <row r="51" spans="2:32" x14ac:dyDescent="0.2">
      <c r="B51" s="20" t="s">
        <v>302</v>
      </c>
      <c r="C51" s="133"/>
      <c r="D51" s="133"/>
      <c r="E51" s="133"/>
      <c r="F51" s="133"/>
      <c r="G51" s="133">
        <f t="shared" ref="G51:P51" si="115">G25/G42</f>
        <v>5497.6190476190477</v>
      </c>
      <c r="H51" s="133">
        <f t="shared" si="115"/>
        <v>6130.9523809523807</v>
      </c>
      <c r="I51" s="133">
        <f t="shared" si="115"/>
        <v>9002.3809523809523</v>
      </c>
      <c r="J51" s="133">
        <f t="shared" si="115"/>
        <v>10719.04761904762</v>
      </c>
      <c r="K51" s="133">
        <f t="shared" si="115"/>
        <v>12266.666666666668</v>
      </c>
      <c r="L51" s="133">
        <f t="shared" si="115"/>
        <v>13050</v>
      </c>
      <c r="M51" s="133">
        <f t="shared" si="115"/>
        <v>18216.666666666668</v>
      </c>
      <c r="N51" s="133">
        <f t="shared" si="115"/>
        <v>24945.238095238095</v>
      </c>
      <c r="O51" s="133">
        <f t="shared" si="115"/>
        <v>28635.714285714286</v>
      </c>
      <c r="P51" s="133">
        <f t="shared" si="115"/>
        <v>29285.714285714286</v>
      </c>
      <c r="Q51" s="133">
        <f t="shared" ref="Q51" si="116">Q25/Q42</f>
        <v>31735.714285714286</v>
      </c>
      <c r="R51" s="118">
        <f>((P51/G51)^(1/($H$2-$H$1) ))-1</f>
        <v>0.18208339802614004</v>
      </c>
      <c r="S51" s="128"/>
      <c r="T51" s="157">
        <f t="shared" ref="T51:AC51" si="117">T25/T42</f>
        <v>35780.462184873948</v>
      </c>
      <c r="U51" s="157">
        <f t="shared" si="117"/>
        <v>40340.717169220618</v>
      </c>
      <c r="V51" s="157">
        <f t="shared" si="117"/>
        <v>45482.181122160502</v>
      </c>
      <c r="W51" s="157">
        <f t="shared" si="117"/>
        <v>51278.929696553503</v>
      </c>
      <c r="X51" s="157">
        <f t="shared" si="117"/>
        <v>57814.479559839725</v>
      </c>
      <c r="Y51" s="157">
        <f t="shared" si="117"/>
        <v>65182.991660603599</v>
      </c>
      <c r="Z51" s="157">
        <f t="shared" si="117"/>
        <v>73490.627852641308</v>
      </c>
      <c r="AA51" s="157">
        <f t="shared" si="117"/>
        <v>82857.080422095576</v>
      </c>
      <c r="AB51" s="157">
        <f t="shared" si="117"/>
        <v>93417.29655432346</v>
      </c>
      <c r="AC51" s="157">
        <f t="shared" si="117"/>
        <v>105323.42258575681</v>
      </c>
      <c r="AD51" s="137">
        <f t="shared" ref="AD51" si="118">((AC51/G51)^(1/($AC$3-$H$1) ))-1</f>
        <v>0.15909095295774978</v>
      </c>
      <c r="AE51" s="31">
        <f t="shared" si="15"/>
        <v>0.05</v>
      </c>
      <c r="AF51" s="145">
        <f t="shared" ref="AF51:AF52" si="119">(AC51*(1+AE51))/($C$1-AE51)</f>
        <v>850689.18242342037</v>
      </c>
    </row>
    <row r="52" spans="2:32" x14ac:dyDescent="0.2">
      <c r="B52" s="20" t="s">
        <v>303</v>
      </c>
      <c r="C52" s="133"/>
      <c r="D52" s="133"/>
      <c r="E52" s="133"/>
      <c r="F52" s="133"/>
      <c r="G52" s="133">
        <f t="shared" ref="G52:P52" si="120">G27/G42</f>
        <v>4783.3333333333339</v>
      </c>
      <c r="H52" s="133">
        <f t="shared" si="120"/>
        <v>5723.8095238095239</v>
      </c>
      <c r="I52" s="133">
        <f t="shared" si="120"/>
        <v>8292.8571428571431</v>
      </c>
      <c r="J52" s="133">
        <f t="shared" si="120"/>
        <v>9616.6666666666679</v>
      </c>
      <c r="K52" s="133">
        <f t="shared" si="120"/>
        <v>11228.571428571429</v>
      </c>
      <c r="L52" s="133">
        <f t="shared" si="120"/>
        <v>11345.238095238095</v>
      </c>
      <c r="M52" s="133">
        <f t="shared" si="120"/>
        <v>16166.666666666668</v>
      </c>
      <c r="N52" s="133">
        <f t="shared" si="120"/>
        <v>22007.142857142859</v>
      </c>
      <c r="O52" s="133">
        <f t="shared" si="120"/>
        <v>25530.952380952382</v>
      </c>
      <c r="P52" s="133">
        <f t="shared" si="120"/>
        <v>24988.09523809524</v>
      </c>
      <c r="Q52" s="133">
        <f t="shared" ref="Q52" si="121">Q27/Q42</f>
        <v>28121.428571428572</v>
      </c>
      <c r="R52" s="118">
        <f>((P52/G52)^(1/($H$2-$H$1) ))-1</f>
        <v>0.17977788386188975</v>
      </c>
      <c r="S52" s="128"/>
      <c r="T52" s="157">
        <f t="shared" ref="T52:AC52" si="122">T27/T42</f>
        <v>31705.532212885151</v>
      </c>
      <c r="U52" s="157">
        <f t="shared" si="122"/>
        <v>35746.433377272471</v>
      </c>
      <c r="V52" s="157">
        <f t="shared" si="122"/>
        <v>40302.351356728759</v>
      </c>
      <c r="W52" s="157">
        <f t="shared" si="122"/>
        <v>45438.925549253014</v>
      </c>
      <c r="X52" s="157">
        <f t="shared" si="122"/>
        <v>51230.161158471528</v>
      </c>
      <c r="Y52" s="157">
        <f t="shared" si="122"/>
        <v>57759.495423766915</v>
      </c>
      <c r="Z52" s="157">
        <f t="shared" si="122"/>
        <v>65120.999742482301</v>
      </c>
      <c r="AA52" s="157">
        <f t="shared" si="122"/>
        <v>73420.73500377906</v>
      </c>
      <c r="AB52" s="157">
        <f t="shared" si="122"/>
        <v>82778.279661123437</v>
      </c>
      <c r="AC52" s="157">
        <f t="shared" si="122"/>
        <v>93328.452559109748</v>
      </c>
      <c r="AD52" s="137">
        <f t="shared" ref="AD52" si="123">((AC52/G52)^(1/($AC$3-$H$1) ))-1</f>
        <v>0.16015007097345024</v>
      </c>
      <c r="AE52" s="31">
        <f t="shared" si="15"/>
        <v>0.05</v>
      </c>
      <c r="AF52" s="145">
        <f t="shared" si="119"/>
        <v>753806.73220819409</v>
      </c>
    </row>
    <row r="53" spans="2:32" x14ac:dyDescent="0.2">
      <c r="B53" s="20" t="s">
        <v>425</v>
      </c>
      <c r="C53" s="133"/>
      <c r="D53" s="133"/>
      <c r="E53" s="133"/>
      <c r="F53" s="133"/>
      <c r="G53" s="133">
        <f>G38-G40</f>
        <v>50</v>
      </c>
      <c r="H53" s="133">
        <f t="shared" ref="H53:P53" si="124">H38-H40</f>
        <v>15</v>
      </c>
      <c r="I53" s="133">
        <f t="shared" si="124"/>
        <v>20</v>
      </c>
      <c r="J53" s="133">
        <f t="shared" si="124"/>
        <v>89</v>
      </c>
      <c r="K53" s="133">
        <f t="shared" si="124"/>
        <v>56</v>
      </c>
      <c r="L53" s="133">
        <f t="shared" si="124"/>
        <v>145</v>
      </c>
      <c r="M53" s="133">
        <f t="shared" si="124"/>
        <v>179</v>
      </c>
      <c r="N53" s="133">
        <f t="shared" si="124"/>
        <v>274</v>
      </c>
      <c r="O53" s="133">
        <f t="shared" si="124"/>
        <v>263</v>
      </c>
      <c r="P53" s="133">
        <f t="shared" si="124"/>
        <v>427</v>
      </c>
      <c r="Q53" s="133">
        <f t="shared" ref="Q53" si="125">Q38-Q40</f>
        <v>445</v>
      </c>
      <c r="R53" s="118">
        <f>((P53/G53)^(1/($H$2-$H$1) ))-1</f>
        <v>0.23921250440837349</v>
      </c>
      <c r="S53" s="128"/>
      <c r="T53" s="133">
        <f t="shared" ref="T53:AC53" si="126">T38-T40</f>
        <v>511.75</v>
      </c>
      <c r="U53" s="133">
        <f t="shared" si="126"/>
        <v>588.51250000000005</v>
      </c>
      <c r="V53" s="133">
        <f t="shared" si="126"/>
        <v>676.78937500000006</v>
      </c>
      <c r="W53" s="133">
        <f t="shared" si="126"/>
        <v>778.30778125000006</v>
      </c>
      <c r="X53" s="133">
        <f t="shared" si="126"/>
        <v>895.05394843749991</v>
      </c>
      <c r="Y53" s="133">
        <f t="shared" si="126"/>
        <v>1029.3120407031247</v>
      </c>
      <c r="Z53" s="133">
        <f t="shared" si="126"/>
        <v>1183.7088468085931</v>
      </c>
      <c r="AA53" s="133">
        <f t="shared" si="126"/>
        <v>1361.2651738298823</v>
      </c>
      <c r="AB53" s="133">
        <f t="shared" si="126"/>
        <v>1565.4549499043642</v>
      </c>
      <c r="AC53" s="133">
        <f t="shared" si="126"/>
        <v>1800.2731923900187</v>
      </c>
      <c r="AD53" s="137">
        <f t="shared" ref="AD53" si="127">((AC53/G53)^(1/($AC$3-$H$1) ))-1</f>
        <v>0.1962402760097226</v>
      </c>
      <c r="AE53" s="31">
        <f t="shared" si="15"/>
        <v>0.05</v>
      </c>
      <c r="AF53" s="145">
        <f t="shared" ref="AF53" si="128">(AC53*(1+AE53))/($C$1-AE53)</f>
        <v>14540.66809238092</v>
      </c>
    </row>
    <row r="54" spans="2:32" x14ac:dyDescent="0.2">
      <c r="B54" s="20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28"/>
      <c r="S54" s="128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19"/>
      <c r="AE54" s="136"/>
      <c r="AF54" s="145"/>
    </row>
    <row r="55" spans="2:32" x14ac:dyDescent="0.2">
      <c r="B55" s="20" t="s">
        <v>460</v>
      </c>
      <c r="C55" s="133"/>
      <c r="D55" s="133"/>
      <c r="E55" s="133"/>
      <c r="F55" s="133"/>
      <c r="G55" s="25">
        <f t="shared" ref="G55:P55" si="129">G36/G42</f>
        <v>523.80952380952385</v>
      </c>
      <c r="H55" s="25">
        <f t="shared" si="129"/>
        <v>476.1904761904762</v>
      </c>
      <c r="I55" s="25">
        <f t="shared" si="129"/>
        <v>573.80952380952385</v>
      </c>
      <c r="J55" s="25">
        <f t="shared" si="129"/>
        <v>1040.4761904761906</v>
      </c>
      <c r="K55" s="25">
        <f t="shared" si="129"/>
        <v>1042.8571428571429</v>
      </c>
      <c r="L55" s="25">
        <f t="shared" si="129"/>
        <v>1676.1904761904761</v>
      </c>
      <c r="M55" s="25">
        <f t="shared" si="129"/>
        <v>1988.0952380952381</v>
      </c>
      <c r="N55" s="25">
        <f t="shared" si="129"/>
        <v>1938.0952380952381</v>
      </c>
      <c r="O55" s="25">
        <f t="shared" si="129"/>
        <v>3028.5714285714289</v>
      </c>
      <c r="P55" s="25">
        <f t="shared" si="129"/>
        <v>4238.0952380952385</v>
      </c>
      <c r="Q55" s="25">
        <f>Q36/Q42</f>
        <v>3771.4285714285716</v>
      </c>
      <c r="R55" s="118">
        <f t="shared" ref="R55:R61" si="130">((P55/G55)^(1/($H$2-$H$1) ))-1</f>
        <v>0.23253633803572948</v>
      </c>
      <c r="S55" s="128"/>
      <c r="T55" s="112">
        <f>T36/T42</f>
        <v>4252.1008403361338</v>
      </c>
      <c r="U55" s="112">
        <f t="shared" ref="U55:AC55" si="131">U36/U42</f>
        <v>4794.0352611632879</v>
      </c>
      <c r="V55" s="112">
        <f t="shared" si="131"/>
        <v>5405.0397552331178</v>
      </c>
      <c r="W55" s="112">
        <f t="shared" si="131"/>
        <v>6093.9173710961613</v>
      </c>
      <c r="X55" s="112">
        <f t="shared" si="131"/>
        <v>6870.5931144711612</v>
      </c>
      <c r="Y55" s="112">
        <f t="shared" si="131"/>
        <v>7746.2569427861117</v>
      </c>
      <c r="Z55" s="112">
        <f t="shared" si="131"/>
        <v>8733.5249845137514</v>
      </c>
      <c r="AA55" s="112">
        <f t="shared" si="131"/>
        <v>9846.6213060694245</v>
      </c>
      <c r="AB55" s="112">
        <f t="shared" si="131"/>
        <v>11101.582845078274</v>
      </c>
      <c r="AC55" s="112">
        <f t="shared" si="131"/>
        <v>12516.490462588248</v>
      </c>
      <c r="AD55" s="137">
        <f t="shared" ref="AD55:AD56" si="132">((AC55/G55)^(1/($AC$3-$H$1) ))-1</f>
        <v>0.17196720518656083</v>
      </c>
      <c r="AE55" s="31">
        <f t="shared" si="15"/>
        <v>0.05</v>
      </c>
      <c r="AF55" s="145">
        <f t="shared" ref="AF55:AF56" si="133">(AC55*(1+AE55))/($C$1-AE55)</f>
        <v>101094.73065936663</v>
      </c>
    </row>
    <row r="56" spans="2:32" x14ac:dyDescent="0.2">
      <c r="B56" s="20" t="s">
        <v>461</v>
      </c>
      <c r="C56" s="133"/>
      <c r="D56" s="133"/>
      <c r="E56" s="133"/>
      <c r="F56" s="133"/>
      <c r="G56" s="25">
        <f t="shared" ref="G56:P56" si="134">G38/G42</f>
        <v>400</v>
      </c>
      <c r="H56" s="25">
        <f t="shared" si="134"/>
        <v>104.76190476190476</v>
      </c>
      <c r="I56" s="25">
        <f t="shared" si="134"/>
        <v>235.71428571428572</v>
      </c>
      <c r="J56" s="25">
        <f t="shared" si="134"/>
        <v>616.66666666666674</v>
      </c>
      <c r="K56" s="25">
        <f t="shared" si="134"/>
        <v>473.80952380952385</v>
      </c>
      <c r="L56" s="25">
        <f t="shared" si="134"/>
        <v>942.85714285714289</v>
      </c>
      <c r="M56" s="25">
        <f t="shared" si="134"/>
        <v>1276.1904761904761</v>
      </c>
      <c r="N56" s="25">
        <f t="shared" si="134"/>
        <v>2126.1904761904761</v>
      </c>
      <c r="O56" s="25">
        <f t="shared" si="134"/>
        <v>2007.1428571428571</v>
      </c>
      <c r="P56" s="25">
        <f t="shared" si="134"/>
        <v>2940.4761904761904</v>
      </c>
      <c r="Q56" s="25">
        <f>Q38/Q42</f>
        <v>3221.4285714285716</v>
      </c>
      <c r="R56" s="118">
        <f t="shared" si="130"/>
        <v>0.22077539553402969</v>
      </c>
      <c r="S56" s="128"/>
      <c r="T56" s="112">
        <f>T38/T42</f>
        <v>3632.0028011204477</v>
      </c>
      <c r="U56" s="112">
        <f t="shared" ref="U56:AC56" si="135">U38/U42</f>
        <v>4094.9051189103084</v>
      </c>
      <c r="V56" s="112">
        <f t="shared" si="135"/>
        <v>4616.8047909282886</v>
      </c>
      <c r="W56" s="112">
        <f t="shared" si="135"/>
        <v>5205.2210878113056</v>
      </c>
      <c r="X56" s="112">
        <f t="shared" si="135"/>
        <v>5868.6316186107852</v>
      </c>
      <c r="Y56" s="112">
        <f t="shared" si="135"/>
        <v>6616.5944719631389</v>
      </c>
      <c r="Z56" s="112">
        <f t="shared" si="135"/>
        <v>7459.8859242721664</v>
      </c>
      <c r="AA56" s="112">
        <f t="shared" si="135"/>
        <v>8410.6556989343044</v>
      </c>
      <c r="AB56" s="112">
        <f t="shared" si="135"/>
        <v>9482.6020135043618</v>
      </c>
      <c r="AC56" s="112">
        <f t="shared" si="135"/>
        <v>10691.168936794133</v>
      </c>
      <c r="AD56" s="137">
        <f t="shared" si="132"/>
        <v>0.1785506725633943</v>
      </c>
      <c r="AE56" s="31">
        <f t="shared" si="15"/>
        <v>0.05</v>
      </c>
      <c r="AF56" s="145">
        <f t="shared" si="133"/>
        <v>86351.749104875678</v>
      </c>
    </row>
    <row r="57" spans="2:32" x14ac:dyDescent="0.2">
      <c r="B57" s="20" t="s">
        <v>257</v>
      </c>
      <c r="C57" s="25"/>
      <c r="D57" s="25"/>
      <c r="E57" s="25"/>
      <c r="F57" s="133"/>
      <c r="G57" s="133">
        <f t="shared" ref="G57:P57" si="136">G40/G42</f>
        <v>280.95238095238096</v>
      </c>
      <c r="H57" s="133">
        <f t="shared" si="136"/>
        <v>69.047619047619051</v>
      </c>
      <c r="I57" s="133">
        <f t="shared" si="136"/>
        <v>188.0952380952381</v>
      </c>
      <c r="J57" s="133">
        <f t="shared" si="136"/>
        <v>404.76190476190476</v>
      </c>
      <c r="K57" s="133">
        <f t="shared" si="136"/>
        <v>340.47619047619048</v>
      </c>
      <c r="L57" s="133">
        <f t="shared" si="136"/>
        <v>597.61904761904759</v>
      </c>
      <c r="M57" s="133">
        <f t="shared" si="136"/>
        <v>850</v>
      </c>
      <c r="N57" s="133">
        <f t="shared" si="136"/>
        <v>1473.8095238095239</v>
      </c>
      <c r="O57" s="133">
        <f t="shared" si="136"/>
        <v>1380.952380952381</v>
      </c>
      <c r="P57" s="133">
        <f t="shared" si="136"/>
        <v>1923.8095238095239</v>
      </c>
      <c r="Q57" s="133">
        <f t="shared" ref="Q57" si="137">Q40/Q42</f>
        <v>2161.9047619047619</v>
      </c>
      <c r="R57" s="118">
        <f t="shared" si="130"/>
        <v>0.21214042531358901</v>
      </c>
      <c r="S57" s="128"/>
      <c r="T57" s="157">
        <f t="shared" ref="T57:AC57" si="138">T40/T42</f>
        <v>2437.4416433239958</v>
      </c>
      <c r="U57" s="157">
        <f t="shared" si="138"/>
        <v>2748.0959704143088</v>
      </c>
      <c r="V57" s="157">
        <f t="shared" si="138"/>
        <v>3098.3434960553477</v>
      </c>
      <c r="W57" s="157">
        <f t="shared" si="138"/>
        <v>3493.2304122192645</v>
      </c>
      <c r="X57" s="157">
        <f t="shared" si="138"/>
        <v>3938.4460529923076</v>
      </c>
      <c r="Y57" s="157">
        <f t="shared" si="138"/>
        <v>4440.4048636677981</v>
      </c>
      <c r="Z57" s="157">
        <f t="shared" si="138"/>
        <v>5006.3388168803604</v>
      </c>
      <c r="AA57" s="157">
        <f t="shared" si="138"/>
        <v>5644.401607267072</v>
      </c>
      <c r="AB57" s="157">
        <f t="shared" si="138"/>
        <v>6363.7861258403263</v>
      </c>
      <c r="AC57" s="157">
        <f t="shared" si="138"/>
        <v>7174.8569065846805</v>
      </c>
      <c r="AD57" s="137">
        <f t="shared" ref="AD57:AD71" si="139">((AC57/G57)^(1/($AC$3-$H$1) ))-1</f>
        <v>0.17586923109648911</v>
      </c>
      <c r="AE57" s="31">
        <f t="shared" si="15"/>
        <v>0.05</v>
      </c>
      <c r="AF57" s="145">
        <f t="shared" ref="AF57:AF85" si="140">(AC57*(1+AE57))/($C$1-AE57)</f>
        <v>57950.767322414722</v>
      </c>
    </row>
    <row r="58" spans="2:32" x14ac:dyDescent="0.2">
      <c r="B58" s="20" t="s">
        <v>386</v>
      </c>
      <c r="C58" s="133"/>
      <c r="D58" s="133"/>
      <c r="E58" s="133"/>
      <c r="F58" s="133"/>
      <c r="G58" s="133">
        <f>G20/G42</f>
        <v>238.0952380952381</v>
      </c>
      <c r="H58" s="133">
        <f t="shared" ref="H58:P58" si="141">H20/H42</f>
        <v>147.61904761904762</v>
      </c>
      <c r="I58" s="133">
        <f t="shared" si="141"/>
        <v>654.76190476190482</v>
      </c>
      <c r="J58" s="133">
        <f t="shared" si="141"/>
        <v>728.57142857142856</v>
      </c>
      <c r="K58" s="133">
        <f t="shared" si="141"/>
        <v>640.47619047619048</v>
      </c>
      <c r="L58" s="133">
        <f t="shared" si="141"/>
        <v>2052.3809523809523</v>
      </c>
      <c r="M58" s="133">
        <f t="shared" si="141"/>
        <v>373.8095238095238</v>
      </c>
      <c r="N58" s="133">
        <f t="shared" si="141"/>
        <v>659.52380952380952</v>
      </c>
      <c r="O58" s="133">
        <f t="shared" si="141"/>
        <v>2433.3333333333335</v>
      </c>
      <c r="P58" s="133">
        <f t="shared" si="141"/>
        <v>3385.7142857142858</v>
      </c>
      <c r="Q58" s="133">
        <f t="shared" ref="Q58" si="142">Q20/Q42</f>
        <v>0</v>
      </c>
      <c r="R58" s="118">
        <f t="shared" si="130"/>
        <v>0.30403713705750435</v>
      </c>
      <c r="S58" s="128"/>
      <c r="T58" s="133">
        <f t="shared" ref="T58:AC58" si="143">T20/T42</f>
        <v>0</v>
      </c>
      <c r="U58" s="133">
        <f t="shared" si="143"/>
        <v>0</v>
      </c>
      <c r="V58" s="133">
        <f t="shared" si="143"/>
        <v>0</v>
      </c>
      <c r="W58" s="133">
        <f t="shared" si="143"/>
        <v>0</v>
      </c>
      <c r="X58" s="133">
        <f t="shared" si="143"/>
        <v>0</v>
      </c>
      <c r="Y58" s="133">
        <f t="shared" si="143"/>
        <v>0</v>
      </c>
      <c r="Z58" s="133">
        <f t="shared" si="143"/>
        <v>0</v>
      </c>
      <c r="AA58" s="133">
        <f t="shared" si="143"/>
        <v>0</v>
      </c>
      <c r="AB58" s="133">
        <f t="shared" si="143"/>
        <v>0</v>
      </c>
      <c r="AC58" s="133">
        <f t="shared" si="143"/>
        <v>0</v>
      </c>
      <c r="AD58" s="137">
        <f t="shared" ref="AD58" si="144">((AC58/G58)^(1/($AC$3-$H$1) ))-1</f>
        <v>-1</v>
      </c>
      <c r="AE58" s="31">
        <f t="shared" si="15"/>
        <v>0.05</v>
      </c>
      <c r="AF58" s="145">
        <f t="shared" si="140"/>
        <v>0</v>
      </c>
    </row>
    <row r="59" spans="2:32" x14ac:dyDescent="0.2">
      <c r="B59" s="20" t="s">
        <v>245</v>
      </c>
      <c r="C59" s="25"/>
      <c r="D59" s="25"/>
      <c r="E59" s="25"/>
      <c r="F59" s="133"/>
      <c r="G59" s="133">
        <f t="shared" ref="G59:P59" si="145">G7/G42</f>
        <v>1676.1904761904761</v>
      </c>
      <c r="H59" s="133">
        <f t="shared" si="145"/>
        <v>1721.4285714285716</v>
      </c>
      <c r="I59" s="133">
        <f t="shared" si="145"/>
        <v>1961.9047619047619</v>
      </c>
      <c r="J59" s="133">
        <f t="shared" si="145"/>
        <v>2340.4761904761904</v>
      </c>
      <c r="K59" s="133">
        <f t="shared" si="145"/>
        <v>2659.5238095238096</v>
      </c>
      <c r="L59" s="133">
        <f t="shared" si="145"/>
        <v>3226.1904761904761</v>
      </c>
      <c r="M59" s="133">
        <f t="shared" si="145"/>
        <v>4019.0476190476193</v>
      </c>
      <c r="N59" s="133">
        <f t="shared" si="145"/>
        <v>5461.9047619047624</v>
      </c>
      <c r="O59" s="133">
        <f t="shared" si="145"/>
        <v>6811.9047619047624</v>
      </c>
      <c r="P59" s="133">
        <f t="shared" si="145"/>
        <v>8702.3809523809523</v>
      </c>
      <c r="Q59" s="133">
        <f t="shared" ref="Q59" si="146">Q7/Q42</f>
        <v>10807.142857142857</v>
      </c>
      <c r="R59" s="118">
        <f t="shared" si="130"/>
        <v>0.17904796275138235</v>
      </c>
      <c r="S59" s="128"/>
      <c r="T59" s="157">
        <f t="shared" ref="T59:AC59" si="147">T7/T42</f>
        <v>12184.523809523807</v>
      </c>
      <c r="U59" s="157">
        <f t="shared" si="147"/>
        <v>13737.453314659193</v>
      </c>
      <c r="V59" s="157">
        <f t="shared" si="147"/>
        <v>15488.30520770399</v>
      </c>
      <c r="W59" s="157">
        <f t="shared" si="147"/>
        <v>17462.30489103881</v>
      </c>
      <c r="X59" s="157">
        <f t="shared" si="147"/>
        <v>19687.892769308462</v>
      </c>
      <c r="Y59" s="157">
        <f t="shared" si="147"/>
        <v>22197.134004612479</v>
      </c>
      <c r="Z59" s="157">
        <f t="shared" si="147"/>
        <v>25026.18049539642</v>
      </c>
      <c r="AA59" s="157">
        <f t="shared" si="147"/>
        <v>28215.791735005765</v>
      </c>
      <c r="AB59" s="157">
        <f t="shared" si="147"/>
        <v>31811.922054173167</v>
      </c>
      <c r="AC59" s="157">
        <f t="shared" si="147"/>
        <v>35866.382708136407</v>
      </c>
      <c r="AD59" s="137">
        <f t="shared" si="139"/>
        <v>0.16551592125918235</v>
      </c>
      <c r="AE59" s="31">
        <f t="shared" si="15"/>
        <v>0.05</v>
      </c>
      <c r="AF59" s="145">
        <f t="shared" si="140"/>
        <v>289690.01418110175</v>
      </c>
    </row>
    <row r="60" spans="2:32" x14ac:dyDescent="0.2">
      <c r="B60" s="20" t="s">
        <v>246</v>
      </c>
      <c r="C60" s="127"/>
      <c r="D60" s="127"/>
      <c r="E60" s="127"/>
      <c r="F60" s="143"/>
      <c r="G60" s="143">
        <f t="shared" ref="G60:P60" si="148">G6/G42</f>
        <v>1666.6666666666667</v>
      </c>
      <c r="H60" s="143">
        <f t="shared" si="148"/>
        <v>1711.9047619047619</v>
      </c>
      <c r="I60" s="143">
        <f t="shared" si="148"/>
        <v>1952.3809523809525</v>
      </c>
      <c r="J60" s="143">
        <f t="shared" si="148"/>
        <v>2330.9523809523812</v>
      </c>
      <c r="K60" s="143">
        <f t="shared" si="148"/>
        <v>2647.6190476190477</v>
      </c>
      <c r="L60" s="143">
        <f t="shared" si="148"/>
        <v>3216.666666666667</v>
      </c>
      <c r="M60" s="143">
        <f t="shared" si="148"/>
        <v>4009.5238095238096</v>
      </c>
      <c r="N60" s="143">
        <f t="shared" si="148"/>
        <v>5450</v>
      </c>
      <c r="O60" s="143">
        <f t="shared" si="148"/>
        <v>6800</v>
      </c>
      <c r="P60" s="143">
        <f t="shared" si="148"/>
        <v>8692.8571428571431</v>
      </c>
      <c r="Q60" s="143">
        <f t="shared" ref="Q60" si="149">Q6/Q42</f>
        <v>10797.619047619048</v>
      </c>
      <c r="R60" s="118">
        <f t="shared" si="130"/>
        <v>0.17959080706178288</v>
      </c>
      <c r="S60" s="128"/>
      <c r="T60" s="156">
        <f t="shared" ref="T60:AC60" si="150">T6/T42</f>
        <v>12173.786181139123</v>
      </c>
      <c r="U60" s="156">
        <f t="shared" si="150"/>
        <v>13725.347165009793</v>
      </c>
      <c r="V60" s="156">
        <f t="shared" si="150"/>
        <v>15474.656117413</v>
      </c>
      <c r="W60" s="156">
        <f t="shared" si="150"/>
        <v>17446.916210808773</v>
      </c>
      <c r="X60" s="156">
        <f t="shared" si="150"/>
        <v>19670.542786696165</v>
      </c>
      <c r="Y60" s="156">
        <f t="shared" si="150"/>
        <v>22177.572749706458</v>
      </c>
      <c r="Z60" s="156">
        <f t="shared" si="150"/>
        <v>25004.126139374926</v>
      </c>
      <c r="AA60" s="156">
        <f t="shared" si="150"/>
        <v>28190.926529687415</v>
      </c>
      <c r="AB60" s="156">
        <f t="shared" si="150"/>
        <v>31783.887754059338</v>
      </c>
      <c r="AC60" s="156">
        <f t="shared" si="150"/>
        <v>35834.775408988469</v>
      </c>
      <c r="AD60" s="137">
        <f t="shared" si="139"/>
        <v>0.16579663350726026</v>
      </c>
      <c r="AE60" s="31">
        <f t="shared" si="15"/>
        <v>0.05</v>
      </c>
      <c r="AF60" s="145">
        <f t="shared" si="140"/>
        <v>289434.72445721459</v>
      </c>
    </row>
    <row r="61" spans="2:32" x14ac:dyDescent="0.2">
      <c r="B61" s="20" t="s">
        <v>247</v>
      </c>
      <c r="C61" s="127"/>
      <c r="D61" s="127"/>
      <c r="E61" s="127"/>
      <c r="F61" s="143"/>
      <c r="G61" s="143">
        <f t="shared" ref="G61:P61" si="151">G10/G42</f>
        <v>695.2380952380953</v>
      </c>
      <c r="H61" s="143">
        <f t="shared" si="151"/>
        <v>952.38095238095241</v>
      </c>
      <c r="I61" s="143">
        <f t="shared" si="151"/>
        <v>1285.7142857142858</v>
      </c>
      <c r="J61" s="143">
        <f t="shared" si="151"/>
        <v>1445.2380952380952</v>
      </c>
      <c r="K61" s="143">
        <f t="shared" si="151"/>
        <v>2290.4761904761904</v>
      </c>
      <c r="L61" s="143">
        <f t="shared" si="151"/>
        <v>695.2380952380953</v>
      </c>
      <c r="M61" s="143">
        <f t="shared" si="151"/>
        <v>2266.666666666667</v>
      </c>
      <c r="N61" s="143">
        <f t="shared" si="151"/>
        <v>3609.5238095238096</v>
      </c>
      <c r="O61" s="143">
        <f t="shared" si="151"/>
        <v>3883.3333333333335</v>
      </c>
      <c r="P61" s="143">
        <f t="shared" si="151"/>
        <v>3400</v>
      </c>
      <c r="Q61" s="143">
        <f t="shared" ref="Q61" si="152">Q10/Q42</f>
        <v>0</v>
      </c>
      <c r="R61" s="118">
        <f t="shared" si="130"/>
        <v>0.17201868523748032</v>
      </c>
      <c r="S61" s="128"/>
      <c r="T61" s="156">
        <f t="shared" ref="T61:AC61" si="153">T10/T42</f>
        <v>0</v>
      </c>
      <c r="U61" s="156">
        <f t="shared" si="153"/>
        <v>0</v>
      </c>
      <c r="V61" s="156">
        <f t="shared" si="153"/>
        <v>0</v>
      </c>
      <c r="W61" s="156">
        <f t="shared" si="153"/>
        <v>0</v>
      </c>
      <c r="X61" s="156">
        <f t="shared" si="153"/>
        <v>0</v>
      </c>
      <c r="Y61" s="156">
        <f t="shared" si="153"/>
        <v>0</v>
      </c>
      <c r="Z61" s="156">
        <f t="shared" si="153"/>
        <v>0</v>
      </c>
      <c r="AA61" s="156">
        <f t="shared" si="153"/>
        <v>0</v>
      </c>
      <c r="AB61" s="156">
        <f t="shared" si="153"/>
        <v>0</v>
      </c>
      <c r="AC61" s="156">
        <f t="shared" si="153"/>
        <v>0</v>
      </c>
      <c r="AD61" s="137">
        <f t="shared" si="139"/>
        <v>-1</v>
      </c>
      <c r="AE61" s="31">
        <f t="shared" si="15"/>
        <v>0.05</v>
      </c>
      <c r="AF61" s="145">
        <f t="shared" si="140"/>
        <v>0</v>
      </c>
    </row>
    <row r="62" spans="2:32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28"/>
      <c r="S62" s="128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38"/>
      <c r="AE62" s="136"/>
      <c r="AF62" s="145"/>
    </row>
    <row r="63" spans="2:32" x14ac:dyDescent="0.2">
      <c r="B63" s="20" t="s">
        <v>270</v>
      </c>
      <c r="C63" s="127"/>
      <c r="D63" s="127"/>
      <c r="E63" s="127"/>
      <c r="F63" s="143"/>
      <c r="G63" s="143">
        <f t="shared" ref="G63:P63" si="154">(G7-G10)/G42</f>
        <v>980.95238095238096</v>
      </c>
      <c r="H63" s="143">
        <f t="shared" si="154"/>
        <v>769.04761904761904</v>
      </c>
      <c r="I63" s="143">
        <f t="shared" si="154"/>
        <v>676.19047619047626</v>
      </c>
      <c r="J63" s="143">
        <f t="shared" si="154"/>
        <v>895.2380952380953</v>
      </c>
      <c r="K63" s="143">
        <f t="shared" si="154"/>
        <v>369.04761904761904</v>
      </c>
      <c r="L63" s="143">
        <f t="shared" si="154"/>
        <v>2530.9523809523812</v>
      </c>
      <c r="M63" s="143">
        <f t="shared" si="154"/>
        <v>1752.3809523809525</v>
      </c>
      <c r="N63" s="143">
        <f t="shared" si="154"/>
        <v>1852.3809523809525</v>
      </c>
      <c r="O63" s="143">
        <f t="shared" si="154"/>
        <v>2928.5714285714289</v>
      </c>
      <c r="P63" s="143">
        <f t="shared" si="154"/>
        <v>5302.3809523809523</v>
      </c>
      <c r="Q63" s="143">
        <f t="shared" ref="Q63" si="155">(Q7-Q10)/Q42</f>
        <v>10807.142857142857</v>
      </c>
      <c r="R63" s="118">
        <f>((P63/G63)^(1/($H$2-$H$1) ))-1</f>
        <v>0.18381080638691483</v>
      </c>
      <c r="S63" s="128"/>
      <c r="T63" s="156">
        <f t="shared" ref="T63:AC63" si="156">(T7-T10)/T42</f>
        <v>12184.523809523807</v>
      </c>
      <c r="U63" s="156">
        <f t="shared" si="156"/>
        <v>13737.453314659193</v>
      </c>
      <c r="V63" s="156">
        <f t="shared" si="156"/>
        <v>15488.30520770399</v>
      </c>
      <c r="W63" s="156">
        <f t="shared" si="156"/>
        <v>17462.30489103881</v>
      </c>
      <c r="X63" s="156">
        <f t="shared" si="156"/>
        <v>19687.892769308462</v>
      </c>
      <c r="Y63" s="156">
        <f t="shared" si="156"/>
        <v>22197.134004612479</v>
      </c>
      <c r="Z63" s="156">
        <f t="shared" si="156"/>
        <v>25026.18049539642</v>
      </c>
      <c r="AA63" s="156">
        <f t="shared" si="156"/>
        <v>28215.791735005765</v>
      </c>
      <c r="AB63" s="156">
        <f t="shared" si="156"/>
        <v>31811.922054173167</v>
      </c>
      <c r="AC63" s="156">
        <f t="shared" si="156"/>
        <v>35866.382708136407</v>
      </c>
      <c r="AD63" s="137">
        <f t="shared" si="139"/>
        <v>0.19715940746534533</v>
      </c>
      <c r="AE63" s="31">
        <f t="shared" si="15"/>
        <v>0.05</v>
      </c>
      <c r="AF63" s="145">
        <f t="shared" si="140"/>
        <v>289690.01418110175</v>
      </c>
    </row>
    <row r="64" spans="2:32" x14ac:dyDescent="0.2">
      <c r="B64" s="20" t="s">
        <v>271</v>
      </c>
      <c r="C64" s="127"/>
      <c r="D64" s="127"/>
      <c r="E64" s="127"/>
      <c r="F64" s="143"/>
      <c r="G64" s="143">
        <f t="shared" ref="G64:P64" si="157">(G7-G10-G9)/G42</f>
        <v>-114.28571428571429</v>
      </c>
      <c r="H64" s="143">
        <f t="shared" si="157"/>
        <v>-330.95238095238096</v>
      </c>
      <c r="I64" s="143">
        <f t="shared" si="157"/>
        <v>-919.04761904761904</v>
      </c>
      <c r="J64" s="143">
        <f t="shared" si="157"/>
        <v>-878.57142857142856</v>
      </c>
      <c r="K64" s="143">
        <f t="shared" si="157"/>
        <v>-2090.4761904761904</v>
      </c>
      <c r="L64" s="143">
        <f t="shared" si="157"/>
        <v>228.57142857142858</v>
      </c>
      <c r="M64" s="143">
        <f t="shared" si="157"/>
        <v>-1109.5238095238096</v>
      </c>
      <c r="N64" s="143">
        <f t="shared" si="157"/>
        <v>-3666.666666666667</v>
      </c>
      <c r="O64" s="143">
        <f t="shared" si="157"/>
        <v>-3021.4285714285716</v>
      </c>
      <c r="P64" s="143">
        <f t="shared" si="157"/>
        <v>-1480.952380952381</v>
      </c>
      <c r="Q64" s="143">
        <f t="shared" ref="Q64" si="158">(Q7-Q10-Q9)/Q42</f>
        <v>10807.142857142857</v>
      </c>
      <c r="R64" s="118">
        <f>((P64/G64)^(1/($H$2-$H$1) ))-1</f>
        <v>0.29197739384472521</v>
      </c>
      <c r="S64" s="128"/>
      <c r="T64" s="156">
        <f t="shared" ref="T64:AC64" si="159">(T7-T10-T9)/T42</f>
        <v>12184.523809523807</v>
      </c>
      <c r="U64" s="156">
        <f t="shared" si="159"/>
        <v>13737.453314659193</v>
      </c>
      <c r="V64" s="156">
        <f t="shared" si="159"/>
        <v>15488.30520770399</v>
      </c>
      <c r="W64" s="156">
        <f t="shared" si="159"/>
        <v>17462.30489103881</v>
      </c>
      <c r="X64" s="156">
        <f t="shared" si="159"/>
        <v>19687.892769308462</v>
      </c>
      <c r="Y64" s="156">
        <f t="shared" si="159"/>
        <v>22197.134004612479</v>
      </c>
      <c r="Z64" s="156">
        <f t="shared" si="159"/>
        <v>25026.18049539642</v>
      </c>
      <c r="AA64" s="156">
        <f t="shared" si="159"/>
        <v>28215.791735005765</v>
      </c>
      <c r="AB64" s="156">
        <f t="shared" si="159"/>
        <v>31811.922054173167</v>
      </c>
      <c r="AC64" s="156">
        <f t="shared" si="159"/>
        <v>35866.382708136407</v>
      </c>
      <c r="AD64" s="137" t="e">
        <f t="shared" si="139"/>
        <v>#NUM!</v>
      </c>
      <c r="AE64" s="31">
        <f t="shared" si="15"/>
        <v>0.05</v>
      </c>
      <c r="AF64" s="145">
        <f t="shared" si="140"/>
        <v>289690.01418110175</v>
      </c>
    </row>
    <row r="65" spans="2:32" x14ac:dyDescent="0.2">
      <c r="B65" s="20" t="s">
        <v>276</v>
      </c>
      <c r="C65" s="127"/>
      <c r="D65" s="127"/>
      <c r="E65" s="127"/>
      <c r="F65" s="143"/>
      <c r="G65" s="143">
        <f t="shared" ref="G65:P65" si="160">(G7+G15-G10-G9)/G42</f>
        <v>1883.3333333333335</v>
      </c>
      <c r="H65" s="143">
        <f t="shared" si="160"/>
        <v>1852.3809523809525</v>
      </c>
      <c r="I65" s="143">
        <f t="shared" si="160"/>
        <v>1838.0952380952381</v>
      </c>
      <c r="J65" s="143">
        <f t="shared" si="160"/>
        <v>2261.9047619047619</v>
      </c>
      <c r="K65" s="143">
        <f t="shared" si="160"/>
        <v>1945.2380952380954</v>
      </c>
      <c r="L65" s="143">
        <f t="shared" si="160"/>
        <v>3297.6190476190477</v>
      </c>
      <c r="M65" s="143">
        <f t="shared" si="160"/>
        <v>3585.7142857142858</v>
      </c>
      <c r="N65" s="143">
        <f t="shared" si="160"/>
        <v>3207.1428571428573</v>
      </c>
      <c r="O65" s="143">
        <f t="shared" si="160"/>
        <v>4557.1428571428569</v>
      </c>
      <c r="P65" s="143">
        <f t="shared" si="160"/>
        <v>7357.1428571428578</v>
      </c>
      <c r="Q65" s="143">
        <f t="shared" ref="Q65" si="161">(Q7+Q15-Q10-Q9)/Q42</f>
        <v>10807.142857142857</v>
      </c>
      <c r="R65" s="118">
        <f>((P65/G65)^(1/($H$2-$H$1) ))-1</f>
        <v>0.14598306444530418</v>
      </c>
      <c r="S65" s="128"/>
      <c r="T65" s="156">
        <f t="shared" ref="T65:AC65" si="162">(T7+T15-T10-T9)/T42</f>
        <v>12184.523809523807</v>
      </c>
      <c r="U65" s="156">
        <f t="shared" si="162"/>
        <v>13737.453314659193</v>
      </c>
      <c r="V65" s="156">
        <f t="shared" si="162"/>
        <v>15488.30520770399</v>
      </c>
      <c r="W65" s="156">
        <f t="shared" si="162"/>
        <v>17462.30489103881</v>
      </c>
      <c r="X65" s="156">
        <f t="shared" si="162"/>
        <v>19687.892769308462</v>
      </c>
      <c r="Y65" s="156">
        <f t="shared" si="162"/>
        <v>22197.134004612479</v>
      </c>
      <c r="Z65" s="156">
        <f t="shared" si="162"/>
        <v>25026.18049539642</v>
      </c>
      <c r="AA65" s="156">
        <f t="shared" si="162"/>
        <v>28215.791735005765</v>
      </c>
      <c r="AB65" s="156">
        <f t="shared" si="162"/>
        <v>31811.922054173167</v>
      </c>
      <c r="AC65" s="156">
        <f t="shared" si="162"/>
        <v>35866.382708136407</v>
      </c>
      <c r="AD65" s="137">
        <f t="shared" si="139"/>
        <v>0.15874538977861374</v>
      </c>
      <c r="AE65" s="31">
        <f t="shared" si="15"/>
        <v>0.05</v>
      </c>
      <c r="AF65" s="145">
        <f t="shared" si="140"/>
        <v>289690.01418110175</v>
      </c>
    </row>
    <row r="66" spans="2:32" x14ac:dyDescent="0.2">
      <c r="B66" s="20"/>
      <c r="C66" s="127"/>
      <c r="D66" s="127"/>
      <c r="E66" s="127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28"/>
      <c r="S66" s="128"/>
      <c r="T66" s="153"/>
      <c r="U66" s="153"/>
      <c r="V66" s="153"/>
      <c r="W66" s="153"/>
      <c r="X66" s="153"/>
      <c r="Y66" s="153"/>
      <c r="Z66" s="153"/>
      <c r="AA66" s="153"/>
      <c r="AB66" s="153"/>
      <c r="AC66" s="153"/>
      <c r="AD66" s="138"/>
      <c r="AE66" s="136"/>
      <c r="AF66" s="153"/>
    </row>
    <row r="67" spans="2:32" x14ac:dyDescent="0.2">
      <c r="B67" s="20" t="s">
        <v>248</v>
      </c>
      <c r="C67" s="127"/>
      <c r="D67" s="127"/>
      <c r="E67" s="127"/>
      <c r="F67" s="143"/>
      <c r="G67" s="143">
        <f t="shared" ref="G67:P67" si="163">G12/G42</f>
        <v>95.238095238095241</v>
      </c>
      <c r="H67" s="143">
        <f t="shared" si="163"/>
        <v>85.714285714285722</v>
      </c>
      <c r="I67" s="143">
        <f t="shared" si="163"/>
        <v>126.19047619047619</v>
      </c>
      <c r="J67" s="143">
        <f t="shared" si="163"/>
        <v>173.80952380952382</v>
      </c>
      <c r="K67" s="143">
        <f t="shared" si="163"/>
        <v>242.85714285714286</v>
      </c>
      <c r="L67" s="143">
        <f t="shared" si="163"/>
        <v>142.85714285714286</v>
      </c>
      <c r="M67" s="143">
        <f t="shared" si="163"/>
        <v>128.57142857142858</v>
      </c>
      <c r="N67" s="143">
        <f t="shared" si="163"/>
        <v>138.0952380952381</v>
      </c>
      <c r="O67" s="143">
        <f t="shared" si="163"/>
        <v>154.76190476190476</v>
      </c>
      <c r="P67" s="143">
        <f t="shared" si="163"/>
        <v>802.38095238095241</v>
      </c>
      <c r="Q67" s="143">
        <f t="shared" ref="Q67" si="164">Q12/Q42</f>
        <v>0</v>
      </c>
      <c r="R67" s="118">
        <f>((P67/G67)^(1/($H$2-$H$1) ))-1</f>
        <v>0.23753357650737827</v>
      </c>
      <c r="S67" s="128"/>
      <c r="T67" s="156">
        <f t="shared" ref="T67:AC67" si="165">T12/T42</f>
        <v>0</v>
      </c>
      <c r="U67" s="156">
        <f t="shared" si="165"/>
        <v>0</v>
      </c>
      <c r="V67" s="156">
        <f t="shared" si="165"/>
        <v>0</v>
      </c>
      <c r="W67" s="156">
        <f t="shared" si="165"/>
        <v>0</v>
      </c>
      <c r="X67" s="156">
        <f t="shared" si="165"/>
        <v>0</v>
      </c>
      <c r="Y67" s="156">
        <f t="shared" si="165"/>
        <v>0</v>
      </c>
      <c r="Z67" s="156">
        <f t="shared" si="165"/>
        <v>0</v>
      </c>
      <c r="AA67" s="156">
        <f t="shared" si="165"/>
        <v>0</v>
      </c>
      <c r="AB67" s="156">
        <f t="shared" si="165"/>
        <v>0</v>
      </c>
      <c r="AC67" s="156">
        <f t="shared" si="165"/>
        <v>0</v>
      </c>
      <c r="AD67" s="137">
        <f t="shared" si="139"/>
        <v>-1</v>
      </c>
      <c r="AE67" s="31">
        <f t="shared" si="15"/>
        <v>0.05</v>
      </c>
      <c r="AF67" s="145">
        <f t="shared" si="140"/>
        <v>0</v>
      </c>
    </row>
    <row r="68" spans="2:32" x14ac:dyDescent="0.2">
      <c r="B68" s="20" t="s">
        <v>255</v>
      </c>
      <c r="C68" s="127"/>
      <c r="D68" s="127"/>
      <c r="E68" s="127"/>
      <c r="F68" s="143"/>
      <c r="G68" s="143">
        <f t="shared" ref="G68:P68" si="166">G13/G42</f>
        <v>178.57142857142858</v>
      </c>
      <c r="H68" s="143">
        <f t="shared" si="166"/>
        <v>180.95238095238096</v>
      </c>
      <c r="I68" s="143">
        <f t="shared" si="166"/>
        <v>154.76190476190476</v>
      </c>
      <c r="J68" s="143">
        <f t="shared" si="166"/>
        <v>159.52380952380952</v>
      </c>
      <c r="K68" s="143">
        <f t="shared" si="166"/>
        <v>152.38095238095238</v>
      </c>
      <c r="L68" s="143">
        <f t="shared" si="166"/>
        <v>342.85714285714289</v>
      </c>
      <c r="M68" s="143">
        <f t="shared" si="166"/>
        <v>173.80952380952382</v>
      </c>
      <c r="N68" s="143">
        <f t="shared" si="166"/>
        <v>173.80952380952382</v>
      </c>
      <c r="O68" s="143">
        <f t="shared" si="166"/>
        <v>1023.8095238095239</v>
      </c>
      <c r="P68" s="143">
        <f t="shared" si="166"/>
        <v>2152.3809523809523</v>
      </c>
      <c r="Q68" s="143">
        <f t="shared" ref="Q68" si="167">Q13/Q42</f>
        <v>0</v>
      </c>
      <c r="R68" s="118">
        <f>((P68/G68)^(1/($H$2-$H$1) ))-1</f>
        <v>0.28265753481827671</v>
      </c>
      <c r="S68" s="128"/>
      <c r="T68" s="156">
        <f t="shared" ref="T68:AC68" si="168">T13/T42</f>
        <v>0</v>
      </c>
      <c r="U68" s="156">
        <f t="shared" si="168"/>
        <v>0</v>
      </c>
      <c r="V68" s="156">
        <f t="shared" si="168"/>
        <v>0</v>
      </c>
      <c r="W68" s="156">
        <f t="shared" si="168"/>
        <v>0</v>
      </c>
      <c r="X68" s="156">
        <f t="shared" si="168"/>
        <v>0</v>
      </c>
      <c r="Y68" s="156">
        <f t="shared" si="168"/>
        <v>0</v>
      </c>
      <c r="Z68" s="156">
        <f t="shared" si="168"/>
        <v>0</v>
      </c>
      <c r="AA68" s="156">
        <f t="shared" si="168"/>
        <v>0</v>
      </c>
      <c r="AB68" s="156">
        <f t="shared" si="168"/>
        <v>0</v>
      </c>
      <c r="AC68" s="156">
        <f t="shared" si="168"/>
        <v>0</v>
      </c>
      <c r="AD68" s="137">
        <f t="shared" si="139"/>
        <v>-1</v>
      </c>
      <c r="AE68" s="31">
        <f t="shared" si="15"/>
        <v>0.05</v>
      </c>
      <c r="AF68" s="145">
        <f t="shared" si="140"/>
        <v>0</v>
      </c>
    </row>
    <row r="69" spans="2:32" x14ac:dyDescent="0.2">
      <c r="B69" s="20" t="s">
        <v>256</v>
      </c>
      <c r="C69" s="127"/>
      <c r="D69" s="127"/>
      <c r="E69" s="127"/>
      <c r="F69" s="143"/>
      <c r="G69" s="143">
        <f t="shared" ref="G69:P69" si="169">(G67+G68)</f>
        <v>273.80952380952385</v>
      </c>
      <c r="H69" s="143">
        <f t="shared" si="169"/>
        <v>266.66666666666669</v>
      </c>
      <c r="I69" s="143">
        <f t="shared" si="169"/>
        <v>280.95238095238096</v>
      </c>
      <c r="J69" s="143">
        <f t="shared" si="169"/>
        <v>333.33333333333337</v>
      </c>
      <c r="K69" s="143">
        <f t="shared" si="169"/>
        <v>395.23809523809524</v>
      </c>
      <c r="L69" s="143">
        <f t="shared" si="169"/>
        <v>485.71428571428578</v>
      </c>
      <c r="M69" s="143">
        <f t="shared" si="169"/>
        <v>302.38095238095241</v>
      </c>
      <c r="N69" s="143">
        <f t="shared" si="169"/>
        <v>311.90476190476193</v>
      </c>
      <c r="O69" s="143">
        <f t="shared" ref="O69" si="170">(O67+O68)</f>
        <v>1178.5714285714287</v>
      </c>
      <c r="P69" s="143">
        <f t="shared" si="169"/>
        <v>2954.7619047619046</v>
      </c>
      <c r="Q69" s="143">
        <f t="shared" ref="Q69" si="171">(Q67+Q68)</f>
        <v>0</v>
      </c>
      <c r="R69" s="118">
        <f>((P69/G69)^(1/($H$2-$H$1) ))-1</f>
        <v>0.26854942886077549</v>
      </c>
      <c r="S69" s="128"/>
      <c r="T69" s="156">
        <f t="shared" ref="T69:AC69" si="172">(T67+T68)</f>
        <v>0</v>
      </c>
      <c r="U69" s="156">
        <f t="shared" si="172"/>
        <v>0</v>
      </c>
      <c r="V69" s="156">
        <f t="shared" si="172"/>
        <v>0</v>
      </c>
      <c r="W69" s="156">
        <f t="shared" si="172"/>
        <v>0</v>
      </c>
      <c r="X69" s="156">
        <f t="shared" si="172"/>
        <v>0</v>
      </c>
      <c r="Y69" s="156">
        <f t="shared" si="172"/>
        <v>0</v>
      </c>
      <c r="Z69" s="156">
        <f t="shared" si="172"/>
        <v>0</v>
      </c>
      <c r="AA69" s="156">
        <f t="shared" si="172"/>
        <v>0</v>
      </c>
      <c r="AB69" s="156">
        <f t="shared" si="172"/>
        <v>0</v>
      </c>
      <c r="AC69" s="156">
        <f t="shared" si="172"/>
        <v>0</v>
      </c>
      <c r="AD69" s="137">
        <f t="shared" si="139"/>
        <v>-1</v>
      </c>
      <c r="AE69" s="31">
        <f t="shared" si="15"/>
        <v>0.05</v>
      </c>
      <c r="AF69" s="145">
        <f t="shared" si="140"/>
        <v>0</v>
      </c>
    </row>
    <row r="70" spans="2:32" x14ac:dyDescent="0.2">
      <c r="B70" s="20" t="s">
        <v>249</v>
      </c>
      <c r="C70" s="127"/>
      <c r="D70" s="127"/>
      <c r="E70" s="127"/>
      <c r="F70" s="143"/>
      <c r="G70" s="143">
        <f t="shared" ref="G70:P70" si="173">G15/G42</f>
        <v>1997.6190476190477</v>
      </c>
      <c r="H70" s="143">
        <f t="shared" si="173"/>
        <v>2183.3333333333335</v>
      </c>
      <c r="I70" s="143">
        <f t="shared" si="173"/>
        <v>2757.1428571428573</v>
      </c>
      <c r="J70" s="143">
        <f t="shared" si="173"/>
        <v>3140.4761904761904</v>
      </c>
      <c r="K70" s="143">
        <f t="shared" si="173"/>
        <v>4035.7142857142858</v>
      </c>
      <c r="L70" s="143">
        <f t="shared" si="173"/>
        <v>3069.0476190476193</v>
      </c>
      <c r="M70" s="143">
        <f t="shared" si="173"/>
        <v>4695.2380952380954</v>
      </c>
      <c r="N70" s="143">
        <f t="shared" si="173"/>
        <v>6873.8095238095239</v>
      </c>
      <c r="O70" s="143">
        <f t="shared" si="173"/>
        <v>7578.5714285714284</v>
      </c>
      <c r="P70" s="143">
        <f t="shared" si="173"/>
        <v>8838.0952380952385</v>
      </c>
      <c r="Q70" s="143">
        <f t="shared" ref="Q70" si="174">Q15/Q42</f>
        <v>0</v>
      </c>
      <c r="R70" s="118">
        <f>((P70/G70)^(1/($H$2-$H$1) ))-1</f>
        <v>0.16033822830578015</v>
      </c>
      <c r="S70" s="128"/>
      <c r="T70" s="156">
        <f t="shared" ref="T70:AC70" si="175">T15/T42</f>
        <v>0</v>
      </c>
      <c r="U70" s="156">
        <f t="shared" si="175"/>
        <v>0</v>
      </c>
      <c r="V70" s="156">
        <f t="shared" si="175"/>
        <v>0</v>
      </c>
      <c r="W70" s="156">
        <f t="shared" si="175"/>
        <v>0</v>
      </c>
      <c r="X70" s="156">
        <f t="shared" si="175"/>
        <v>0</v>
      </c>
      <c r="Y70" s="156">
        <f t="shared" si="175"/>
        <v>0</v>
      </c>
      <c r="Z70" s="156">
        <f t="shared" si="175"/>
        <v>0</v>
      </c>
      <c r="AA70" s="156">
        <f t="shared" si="175"/>
        <v>0</v>
      </c>
      <c r="AB70" s="156">
        <f t="shared" si="175"/>
        <v>0</v>
      </c>
      <c r="AC70" s="156">
        <f t="shared" si="175"/>
        <v>0</v>
      </c>
      <c r="AD70" s="137">
        <f t="shared" si="139"/>
        <v>-1</v>
      </c>
      <c r="AE70" s="31">
        <f t="shared" si="15"/>
        <v>0.05</v>
      </c>
      <c r="AF70" s="145">
        <f t="shared" si="140"/>
        <v>0</v>
      </c>
    </row>
    <row r="71" spans="2:32" x14ac:dyDescent="0.2">
      <c r="B71" s="20" t="s">
        <v>250</v>
      </c>
      <c r="C71" s="127"/>
      <c r="D71" s="127"/>
      <c r="E71" s="127"/>
      <c r="F71" s="143"/>
      <c r="G71" s="143">
        <f t="shared" ref="G71:P71" si="176">G16/G42</f>
        <v>1116.6666666666667</v>
      </c>
      <c r="H71" s="143">
        <f t="shared" si="176"/>
        <v>1197.6190476190477</v>
      </c>
      <c r="I71" s="143">
        <f t="shared" si="176"/>
        <v>1376.1904761904761</v>
      </c>
      <c r="J71" s="143">
        <f t="shared" si="176"/>
        <v>1476.1904761904761</v>
      </c>
      <c r="K71" s="143">
        <f t="shared" si="176"/>
        <v>1669.047619047619</v>
      </c>
      <c r="L71" s="143">
        <f t="shared" si="176"/>
        <v>671.42857142857144</v>
      </c>
      <c r="M71" s="143">
        <f t="shared" si="176"/>
        <v>1761.9047619047619</v>
      </c>
      <c r="N71" s="143">
        <f t="shared" si="176"/>
        <v>1497.6190476190477</v>
      </c>
      <c r="O71" s="143">
        <f t="shared" si="176"/>
        <v>1738.0952380952381</v>
      </c>
      <c r="P71" s="143">
        <f t="shared" si="176"/>
        <v>2016.6666666666667</v>
      </c>
      <c r="Q71" s="143">
        <f t="shared" ref="Q71" si="177">Q16/Q42</f>
        <v>0</v>
      </c>
      <c r="R71" s="118">
        <f>((P71/G71)^(1/($H$2-$H$1) ))-1</f>
        <v>6.089171242743241E-2</v>
      </c>
      <c r="S71" s="128"/>
      <c r="T71" s="156">
        <f t="shared" ref="T71:AC71" si="178">T16/T42</f>
        <v>0</v>
      </c>
      <c r="U71" s="156">
        <f t="shared" si="178"/>
        <v>0</v>
      </c>
      <c r="V71" s="156">
        <f t="shared" si="178"/>
        <v>0</v>
      </c>
      <c r="W71" s="156">
        <f t="shared" si="178"/>
        <v>0</v>
      </c>
      <c r="X71" s="156">
        <f t="shared" si="178"/>
        <v>0</v>
      </c>
      <c r="Y71" s="156">
        <f t="shared" si="178"/>
        <v>0</v>
      </c>
      <c r="Z71" s="156">
        <f t="shared" si="178"/>
        <v>0</v>
      </c>
      <c r="AA71" s="156">
        <f t="shared" si="178"/>
        <v>0</v>
      </c>
      <c r="AB71" s="156">
        <f t="shared" si="178"/>
        <v>0</v>
      </c>
      <c r="AC71" s="156">
        <f t="shared" si="178"/>
        <v>0</v>
      </c>
      <c r="AD71" s="137">
        <f t="shared" si="139"/>
        <v>-1</v>
      </c>
      <c r="AE71" s="136"/>
      <c r="AF71" s="145">
        <f t="shared" si="140"/>
        <v>0</v>
      </c>
    </row>
    <row r="72" spans="2:32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28"/>
      <c r="S72" s="128"/>
      <c r="T72" s="153"/>
      <c r="U72" s="153"/>
      <c r="V72" s="153"/>
      <c r="W72" s="153"/>
      <c r="X72" s="153"/>
      <c r="Y72" s="153"/>
      <c r="Z72" s="153"/>
      <c r="AA72" s="153"/>
      <c r="AB72" s="153"/>
      <c r="AC72" s="153"/>
      <c r="AD72" s="138"/>
      <c r="AE72" s="31">
        <f t="shared" si="15"/>
        <v>0.05</v>
      </c>
      <c r="AF72" s="145">
        <f t="shared" si="140"/>
        <v>0</v>
      </c>
    </row>
    <row r="73" spans="2:32" x14ac:dyDescent="0.2">
      <c r="B73" s="20" t="s">
        <v>282</v>
      </c>
      <c r="C73" s="158"/>
      <c r="D73" s="158"/>
      <c r="E73" s="158"/>
      <c r="F73" s="158"/>
      <c r="G73" s="158">
        <f t="shared" ref="G73:P73" si="179">G44</f>
        <v>20</v>
      </c>
      <c r="H73" s="158">
        <f t="shared" si="179"/>
        <v>20</v>
      </c>
      <c r="I73" s="158">
        <f t="shared" si="179"/>
        <v>20</v>
      </c>
      <c r="J73" s="158">
        <f t="shared" si="179"/>
        <v>20</v>
      </c>
      <c r="K73" s="158">
        <f t="shared" si="179"/>
        <v>20</v>
      </c>
      <c r="L73" s="158">
        <f t="shared" si="179"/>
        <v>25</v>
      </c>
      <c r="M73" s="158">
        <f t="shared" si="179"/>
        <v>50</v>
      </c>
      <c r="N73" s="158">
        <f t="shared" si="179"/>
        <v>25</v>
      </c>
      <c r="O73" s="158">
        <f t="shared" si="179"/>
        <v>25</v>
      </c>
      <c r="P73" s="158">
        <f t="shared" si="179"/>
        <v>30</v>
      </c>
      <c r="Q73" s="158">
        <f t="shared" ref="Q73" si="180">Q44</f>
        <v>50</v>
      </c>
      <c r="R73" s="118">
        <f>((P73/G73)^(1/($H$2-$H$1) ))-1</f>
        <v>4.1379743992410623E-2</v>
      </c>
      <c r="S73" s="128"/>
      <c r="T73" s="158">
        <f t="shared" ref="T73:AC73" si="181">T44</f>
        <v>52.5</v>
      </c>
      <c r="U73" s="158">
        <f t="shared" si="181"/>
        <v>55.125</v>
      </c>
      <c r="V73" s="158">
        <f t="shared" si="181"/>
        <v>57.881250000000001</v>
      </c>
      <c r="W73" s="158">
        <f t="shared" si="181"/>
        <v>60.775312500000005</v>
      </c>
      <c r="X73" s="158">
        <f t="shared" si="181"/>
        <v>63.814078125000009</v>
      </c>
      <c r="Y73" s="158">
        <f t="shared" si="181"/>
        <v>67.004782031250016</v>
      </c>
      <c r="Z73" s="158">
        <f t="shared" si="181"/>
        <v>70.355021132812524</v>
      </c>
      <c r="AA73" s="158">
        <f t="shared" si="181"/>
        <v>73.872772189453158</v>
      </c>
      <c r="AB73" s="158">
        <f t="shared" si="181"/>
        <v>77.566410798925816</v>
      </c>
      <c r="AC73" s="158">
        <f t="shared" si="181"/>
        <v>81.444731338872103</v>
      </c>
      <c r="AD73" s="137">
        <f t="shared" ref="AD73" si="182">((AC73/G73)^(1/($AC$3-$H$1) ))-1</f>
        <v>7.2733022566415784E-2</v>
      </c>
      <c r="AE73" s="31">
        <f t="shared" si="15"/>
        <v>0.05</v>
      </c>
      <c r="AF73" s="145">
        <f t="shared" si="140"/>
        <v>657.82283004473629</v>
      </c>
    </row>
    <row r="74" spans="2:32" x14ac:dyDescent="0.2">
      <c r="B74" s="20"/>
      <c r="C74" s="127"/>
      <c r="D74" s="127"/>
      <c r="E74" s="127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28"/>
      <c r="S74" s="128"/>
      <c r="T74" s="153"/>
      <c r="U74" s="153"/>
      <c r="V74" s="153"/>
      <c r="W74" s="153"/>
      <c r="X74" s="153"/>
      <c r="Y74" s="153"/>
      <c r="Z74" s="153"/>
      <c r="AA74" s="153"/>
      <c r="AB74" s="153"/>
      <c r="AC74" s="153"/>
      <c r="AD74" s="138"/>
      <c r="AE74" s="136"/>
      <c r="AF74" s="153"/>
    </row>
    <row r="75" spans="2:32" x14ac:dyDescent="0.2">
      <c r="B75" s="20" t="s">
        <v>315</v>
      </c>
      <c r="C75" s="127"/>
      <c r="D75" s="127"/>
      <c r="E75" s="127"/>
      <c r="F75" s="143"/>
      <c r="G75" s="143">
        <f t="shared" ref="G75:P75" si="183">G20+G21</f>
        <v>-85</v>
      </c>
      <c r="H75" s="143">
        <f t="shared" si="183"/>
        <v>-169</v>
      </c>
      <c r="I75" s="143">
        <f t="shared" si="183"/>
        <v>48</v>
      </c>
      <c r="J75" s="143">
        <f t="shared" si="183"/>
        <v>-29</v>
      </c>
      <c r="K75" s="143">
        <f t="shared" si="183"/>
        <v>-297</v>
      </c>
      <c r="L75" s="143">
        <f t="shared" si="183"/>
        <v>629</v>
      </c>
      <c r="M75" s="143">
        <f t="shared" si="183"/>
        <v>-629</v>
      </c>
      <c r="N75" s="143">
        <f t="shared" si="183"/>
        <v>-833</v>
      </c>
      <c r="O75" s="143">
        <f t="shared" si="183"/>
        <v>56</v>
      </c>
      <c r="P75" s="143">
        <f t="shared" si="183"/>
        <v>539</v>
      </c>
      <c r="Q75" s="143">
        <f t="shared" ref="Q75" si="184">Q20+Q21</f>
        <v>0</v>
      </c>
      <c r="R75" s="118" t="e">
        <f>((P75/G75)^(1/($H$2-$H$1) ))-1</f>
        <v>#NUM!</v>
      </c>
      <c r="S75" s="128"/>
      <c r="T75" s="143">
        <f t="shared" ref="T75:AC75" si="185">T20+T21</f>
        <v>0</v>
      </c>
      <c r="U75" s="143">
        <f t="shared" si="185"/>
        <v>0</v>
      </c>
      <c r="V75" s="143">
        <f t="shared" si="185"/>
        <v>0</v>
      </c>
      <c r="W75" s="143">
        <f t="shared" si="185"/>
        <v>0</v>
      </c>
      <c r="X75" s="143">
        <f t="shared" si="185"/>
        <v>0</v>
      </c>
      <c r="Y75" s="143">
        <f t="shared" si="185"/>
        <v>0</v>
      </c>
      <c r="Z75" s="143">
        <f t="shared" si="185"/>
        <v>0</v>
      </c>
      <c r="AA75" s="143">
        <f t="shared" si="185"/>
        <v>0</v>
      </c>
      <c r="AB75" s="143">
        <f t="shared" si="185"/>
        <v>0</v>
      </c>
      <c r="AC75" s="143">
        <f t="shared" si="185"/>
        <v>0</v>
      </c>
      <c r="AD75" s="137">
        <f t="shared" ref="AD75:AD80" si="186">((AC75/G75)^(1/($AC$3-$H$1) ))-1</f>
        <v>-1</v>
      </c>
      <c r="AE75" s="31">
        <f t="shared" si="15"/>
        <v>0.05</v>
      </c>
      <c r="AF75" s="145">
        <f t="shared" si="140"/>
        <v>0</v>
      </c>
    </row>
    <row r="76" spans="2:32" x14ac:dyDescent="0.2">
      <c r="B76" s="20"/>
      <c r="C76" s="127"/>
      <c r="D76" s="127"/>
      <c r="E76" s="127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28"/>
      <c r="S76" s="128"/>
      <c r="T76" s="145"/>
      <c r="U76" s="145"/>
      <c r="V76" s="145"/>
      <c r="W76" s="145"/>
      <c r="X76" s="145"/>
      <c r="Y76" s="145"/>
      <c r="Z76" s="145"/>
      <c r="AA76" s="145"/>
      <c r="AB76" s="145"/>
      <c r="AC76" s="145"/>
      <c r="AD76" s="138"/>
      <c r="AE76" s="136"/>
      <c r="AF76" s="145"/>
    </row>
    <row r="77" spans="2:32" x14ac:dyDescent="0.2">
      <c r="B77" s="20" t="s">
        <v>316</v>
      </c>
      <c r="C77" s="127"/>
      <c r="D77" s="127"/>
      <c r="E77" s="127"/>
      <c r="F77" s="143"/>
      <c r="G77" s="143">
        <f t="shared" ref="G77:P77" si="187">G75/G42</f>
        <v>-202.38095238095238</v>
      </c>
      <c r="H77" s="143">
        <f t="shared" si="187"/>
        <v>-402.38095238095241</v>
      </c>
      <c r="I77" s="143">
        <f t="shared" si="187"/>
        <v>114.28571428571429</v>
      </c>
      <c r="J77" s="143">
        <f t="shared" si="187"/>
        <v>-69.047619047619051</v>
      </c>
      <c r="K77" s="143">
        <f t="shared" si="187"/>
        <v>-707.14285714285722</v>
      </c>
      <c r="L77" s="143">
        <f t="shared" si="187"/>
        <v>1497.6190476190477</v>
      </c>
      <c r="M77" s="143">
        <f t="shared" si="187"/>
        <v>-1497.6190476190477</v>
      </c>
      <c r="N77" s="143">
        <f t="shared" si="187"/>
        <v>-1983.3333333333335</v>
      </c>
      <c r="O77" s="143">
        <f t="shared" si="187"/>
        <v>133.33333333333334</v>
      </c>
      <c r="P77" s="143">
        <f t="shared" si="187"/>
        <v>1283.3333333333335</v>
      </c>
      <c r="Q77" s="143">
        <f t="shared" ref="Q77" si="188">Q75/Q42</f>
        <v>0</v>
      </c>
      <c r="R77" s="118" t="e">
        <f>((P77/G77)^(1/($H$2-$H$1) ))-1</f>
        <v>#NUM!</v>
      </c>
      <c r="S77" s="128"/>
      <c r="T77" s="145">
        <f t="shared" ref="T77:AC77" si="189">T75/T42</f>
        <v>0</v>
      </c>
      <c r="U77" s="145">
        <f t="shared" si="189"/>
        <v>0</v>
      </c>
      <c r="V77" s="145">
        <f t="shared" si="189"/>
        <v>0</v>
      </c>
      <c r="W77" s="145">
        <f t="shared" si="189"/>
        <v>0</v>
      </c>
      <c r="X77" s="145">
        <f t="shared" si="189"/>
        <v>0</v>
      </c>
      <c r="Y77" s="145">
        <f t="shared" si="189"/>
        <v>0</v>
      </c>
      <c r="Z77" s="145">
        <f t="shared" si="189"/>
        <v>0</v>
      </c>
      <c r="AA77" s="145">
        <f t="shared" si="189"/>
        <v>0</v>
      </c>
      <c r="AB77" s="145">
        <f t="shared" si="189"/>
        <v>0</v>
      </c>
      <c r="AC77" s="145">
        <f t="shared" si="189"/>
        <v>0</v>
      </c>
      <c r="AD77" s="137">
        <f t="shared" si="186"/>
        <v>-1</v>
      </c>
      <c r="AE77" s="31">
        <f t="shared" si="15"/>
        <v>0.05</v>
      </c>
      <c r="AF77" s="145">
        <f t="shared" si="140"/>
        <v>0</v>
      </c>
    </row>
    <row r="78" spans="2:32" x14ac:dyDescent="0.2">
      <c r="B78" s="20" t="s">
        <v>286</v>
      </c>
      <c r="C78" s="127"/>
      <c r="D78" s="127"/>
      <c r="E78" s="127"/>
      <c r="F78" s="143"/>
      <c r="G78" s="143">
        <f t="shared" ref="G78:P78" si="190">G20/G42</f>
        <v>238.0952380952381</v>
      </c>
      <c r="H78" s="143">
        <f t="shared" si="190"/>
        <v>147.61904761904762</v>
      </c>
      <c r="I78" s="143">
        <f t="shared" si="190"/>
        <v>654.76190476190482</v>
      </c>
      <c r="J78" s="143">
        <f t="shared" si="190"/>
        <v>728.57142857142856</v>
      </c>
      <c r="K78" s="143">
        <f t="shared" si="190"/>
        <v>640.47619047619048</v>
      </c>
      <c r="L78" s="143">
        <f t="shared" si="190"/>
        <v>2052.3809523809523</v>
      </c>
      <c r="M78" s="143">
        <f t="shared" si="190"/>
        <v>373.8095238095238</v>
      </c>
      <c r="N78" s="143">
        <f t="shared" si="190"/>
        <v>659.52380952380952</v>
      </c>
      <c r="O78" s="143">
        <f t="shared" si="190"/>
        <v>2433.3333333333335</v>
      </c>
      <c r="P78" s="143">
        <f t="shared" si="190"/>
        <v>3385.7142857142858</v>
      </c>
      <c r="Q78" s="143">
        <f t="shared" ref="Q78" si="191">Q20/Q42</f>
        <v>0</v>
      </c>
      <c r="R78" s="118">
        <f>((P78/G78)^(1/($H$2-$H$1) ))-1</f>
        <v>0.30403713705750435</v>
      </c>
      <c r="S78" s="128"/>
      <c r="T78" s="145">
        <f t="shared" ref="T78:AC78" si="192">T20/T42</f>
        <v>0</v>
      </c>
      <c r="U78" s="145">
        <f t="shared" si="192"/>
        <v>0</v>
      </c>
      <c r="V78" s="145">
        <f t="shared" si="192"/>
        <v>0</v>
      </c>
      <c r="W78" s="145">
        <f t="shared" si="192"/>
        <v>0</v>
      </c>
      <c r="X78" s="145">
        <f t="shared" si="192"/>
        <v>0</v>
      </c>
      <c r="Y78" s="145">
        <f t="shared" si="192"/>
        <v>0</v>
      </c>
      <c r="Z78" s="145">
        <f t="shared" si="192"/>
        <v>0</v>
      </c>
      <c r="AA78" s="145">
        <f t="shared" si="192"/>
        <v>0</v>
      </c>
      <c r="AB78" s="145">
        <f t="shared" si="192"/>
        <v>0</v>
      </c>
      <c r="AC78" s="145">
        <f t="shared" si="192"/>
        <v>0</v>
      </c>
      <c r="AD78" s="137">
        <f t="shared" si="186"/>
        <v>-1</v>
      </c>
      <c r="AE78" s="31">
        <f t="shared" si="15"/>
        <v>0.05</v>
      </c>
      <c r="AF78" s="145">
        <f t="shared" si="140"/>
        <v>0</v>
      </c>
    </row>
    <row r="79" spans="2:32" x14ac:dyDescent="0.2">
      <c r="B79" s="20" t="s">
        <v>287</v>
      </c>
      <c r="C79" s="127"/>
      <c r="D79" s="127"/>
      <c r="E79" s="127"/>
      <c r="F79" s="143"/>
      <c r="G79" s="143">
        <f t="shared" ref="G79:P79" si="193">G21/G42</f>
        <v>-440.47619047619048</v>
      </c>
      <c r="H79" s="143">
        <f t="shared" si="193"/>
        <v>-550</v>
      </c>
      <c r="I79" s="143">
        <f t="shared" si="193"/>
        <v>-540.47619047619048</v>
      </c>
      <c r="J79" s="143">
        <f t="shared" si="193"/>
        <v>-797.61904761904759</v>
      </c>
      <c r="K79" s="143">
        <f t="shared" si="193"/>
        <v>-1347.6190476190477</v>
      </c>
      <c r="L79" s="143">
        <f t="shared" si="193"/>
        <v>-554.76190476190482</v>
      </c>
      <c r="M79" s="143">
        <f t="shared" si="193"/>
        <v>-1871.4285714285716</v>
      </c>
      <c r="N79" s="143">
        <f t="shared" si="193"/>
        <v>-2642.8571428571431</v>
      </c>
      <c r="O79" s="143">
        <f t="shared" si="193"/>
        <v>-2300</v>
      </c>
      <c r="P79" s="143">
        <f t="shared" si="193"/>
        <v>-2102.3809523809523</v>
      </c>
      <c r="Q79" s="143">
        <f t="shared" ref="Q79" si="194">Q21/Q42</f>
        <v>0</v>
      </c>
      <c r="R79" s="118">
        <f>((P79/G79)^(1/($H$2-$H$1) ))-1</f>
        <v>0.16917332301590693</v>
      </c>
      <c r="S79" s="128"/>
      <c r="T79" s="145">
        <f t="shared" ref="T79:AC79" si="195">T21/T42</f>
        <v>0</v>
      </c>
      <c r="U79" s="145">
        <f t="shared" si="195"/>
        <v>0</v>
      </c>
      <c r="V79" s="145">
        <f t="shared" si="195"/>
        <v>0</v>
      </c>
      <c r="W79" s="145">
        <f t="shared" si="195"/>
        <v>0</v>
      </c>
      <c r="X79" s="145">
        <f t="shared" si="195"/>
        <v>0</v>
      </c>
      <c r="Y79" s="145">
        <f t="shared" si="195"/>
        <v>0</v>
      </c>
      <c r="Z79" s="145">
        <f t="shared" si="195"/>
        <v>0</v>
      </c>
      <c r="AA79" s="145">
        <f t="shared" si="195"/>
        <v>0</v>
      </c>
      <c r="AB79" s="145">
        <f t="shared" si="195"/>
        <v>0</v>
      </c>
      <c r="AC79" s="145">
        <f t="shared" si="195"/>
        <v>0</v>
      </c>
      <c r="AD79" s="137">
        <f t="shared" si="186"/>
        <v>-1</v>
      </c>
      <c r="AE79" s="31">
        <f t="shared" si="15"/>
        <v>0.05</v>
      </c>
      <c r="AF79" s="145">
        <f t="shared" si="140"/>
        <v>0</v>
      </c>
    </row>
    <row r="80" spans="2:32" x14ac:dyDescent="0.2">
      <c r="B80" s="20" t="s">
        <v>288</v>
      </c>
      <c r="C80" s="127"/>
      <c r="D80" s="127"/>
      <c r="E80" s="127"/>
      <c r="F80" s="143"/>
      <c r="G80" s="143">
        <f t="shared" ref="G80:P80" si="196">G22/G42</f>
        <v>197.61904761904762</v>
      </c>
      <c r="H80" s="143">
        <f t="shared" si="196"/>
        <v>278.57142857142856</v>
      </c>
      <c r="I80" s="143">
        <f t="shared" si="196"/>
        <v>-95.238095238095241</v>
      </c>
      <c r="J80" s="143">
        <f t="shared" si="196"/>
        <v>116.66666666666667</v>
      </c>
      <c r="K80" s="143">
        <f t="shared" si="196"/>
        <v>776.19047619047626</v>
      </c>
      <c r="L80" s="143">
        <f t="shared" si="196"/>
        <v>-1600</v>
      </c>
      <c r="M80" s="143">
        <f t="shared" si="196"/>
        <v>1483.3333333333335</v>
      </c>
      <c r="N80" s="143">
        <f t="shared" si="196"/>
        <v>2011.9047619047619</v>
      </c>
      <c r="O80" s="143">
        <f t="shared" si="196"/>
        <v>-121.42857142857143</v>
      </c>
      <c r="P80" s="143">
        <f t="shared" si="196"/>
        <v>-745.2380952380953</v>
      </c>
      <c r="Q80" s="143">
        <f t="shared" ref="Q80" si="197">Q22/Q42</f>
        <v>0</v>
      </c>
      <c r="R80" s="118" t="e">
        <f>((P80/G80)^(1/($H$2-$H$1) ))-1</f>
        <v>#NUM!</v>
      </c>
      <c r="S80" s="128"/>
      <c r="T80" s="145">
        <f t="shared" ref="T80:AC80" si="198">T22/T42</f>
        <v>0</v>
      </c>
      <c r="U80" s="145">
        <f t="shared" si="198"/>
        <v>0</v>
      </c>
      <c r="V80" s="145">
        <f t="shared" si="198"/>
        <v>0</v>
      </c>
      <c r="W80" s="145">
        <f t="shared" si="198"/>
        <v>0</v>
      </c>
      <c r="X80" s="145">
        <f t="shared" si="198"/>
        <v>0</v>
      </c>
      <c r="Y80" s="145">
        <f t="shared" si="198"/>
        <v>0</v>
      </c>
      <c r="Z80" s="145">
        <f t="shared" si="198"/>
        <v>0</v>
      </c>
      <c r="AA80" s="145">
        <f t="shared" si="198"/>
        <v>0</v>
      </c>
      <c r="AB80" s="145">
        <f t="shared" si="198"/>
        <v>0</v>
      </c>
      <c r="AC80" s="145">
        <f t="shared" si="198"/>
        <v>0</v>
      </c>
      <c r="AD80" s="137">
        <f t="shared" si="186"/>
        <v>-1</v>
      </c>
      <c r="AE80" s="31">
        <f t="shared" si="15"/>
        <v>0.05</v>
      </c>
      <c r="AF80" s="145">
        <f t="shared" si="140"/>
        <v>0</v>
      </c>
    </row>
    <row r="81" spans="2:32" x14ac:dyDescent="0.2">
      <c r="B81" s="20" t="s">
        <v>295</v>
      </c>
      <c r="C81" s="127"/>
      <c r="D81" s="127"/>
      <c r="E81" s="127"/>
      <c r="F81" s="143"/>
      <c r="G81" s="143">
        <f t="shared" ref="G81:P81" si="199">G23/G42</f>
        <v>266.66666666666669</v>
      </c>
      <c r="H81" s="143">
        <f t="shared" si="199"/>
        <v>138.0952380952381</v>
      </c>
      <c r="I81" s="143">
        <f t="shared" si="199"/>
        <v>126.19047619047619</v>
      </c>
      <c r="J81" s="143">
        <f t="shared" si="199"/>
        <v>173.80952380952382</v>
      </c>
      <c r="K81" s="143">
        <f t="shared" si="199"/>
        <v>242.85714285714286</v>
      </c>
      <c r="L81" s="143">
        <f t="shared" si="199"/>
        <v>142.85714285714286</v>
      </c>
      <c r="M81" s="143">
        <f t="shared" si="199"/>
        <v>126.19047619047619</v>
      </c>
      <c r="N81" s="143">
        <f t="shared" si="199"/>
        <v>135.71428571428572</v>
      </c>
      <c r="O81" s="143">
        <f t="shared" si="199"/>
        <v>140.47619047619048</v>
      </c>
      <c r="P81" s="143">
        <f t="shared" si="199"/>
        <v>678.57142857142856</v>
      </c>
      <c r="Q81" s="143">
        <f t="shared" ref="Q81" si="200">Q23/Q42</f>
        <v>0</v>
      </c>
      <c r="R81" s="118">
        <f>((P81/G81)^(1/($H$2-$H$1) ))-1</f>
        <v>9.7899743792774885E-2</v>
      </c>
      <c r="S81" s="128"/>
      <c r="T81" s="145">
        <f t="shared" ref="T81:AC81" si="201">T23/T42</f>
        <v>0</v>
      </c>
      <c r="U81" s="145">
        <f t="shared" si="201"/>
        <v>0</v>
      </c>
      <c r="V81" s="145">
        <f t="shared" si="201"/>
        <v>0</v>
      </c>
      <c r="W81" s="145">
        <f t="shared" si="201"/>
        <v>0</v>
      </c>
      <c r="X81" s="145">
        <f t="shared" si="201"/>
        <v>0</v>
      </c>
      <c r="Y81" s="145">
        <f t="shared" si="201"/>
        <v>0</v>
      </c>
      <c r="Z81" s="145">
        <f t="shared" si="201"/>
        <v>0</v>
      </c>
      <c r="AA81" s="145">
        <f t="shared" si="201"/>
        <v>0</v>
      </c>
      <c r="AB81" s="145">
        <f t="shared" si="201"/>
        <v>0</v>
      </c>
      <c r="AC81" s="145">
        <f t="shared" si="201"/>
        <v>0</v>
      </c>
      <c r="AD81" s="137">
        <f t="shared" ref="AD81" si="202">((AC81/G81)^(1/($AC$3-$H$1) ))-1</f>
        <v>-1</v>
      </c>
      <c r="AE81" s="31">
        <f t="shared" si="15"/>
        <v>0.05</v>
      </c>
      <c r="AF81" s="145">
        <f t="shared" si="140"/>
        <v>0</v>
      </c>
    </row>
    <row r="82" spans="2:32" x14ac:dyDescent="0.2">
      <c r="B82" s="20"/>
      <c r="C82" s="127"/>
      <c r="D82" s="127"/>
      <c r="E82" s="127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28"/>
      <c r="S82" s="128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38"/>
      <c r="AE82" s="136"/>
      <c r="AF82" s="153"/>
    </row>
    <row r="83" spans="2:32" x14ac:dyDescent="0.2">
      <c r="B83" s="20" t="s">
        <v>309</v>
      </c>
      <c r="C83" s="143"/>
      <c r="D83" s="143"/>
      <c r="E83" s="143"/>
      <c r="F83" s="143"/>
      <c r="G83" s="143">
        <f t="shared" ref="G83:P83" si="203">G36/G42</f>
        <v>523.80952380952385</v>
      </c>
      <c r="H83" s="143">
        <f t="shared" si="203"/>
        <v>476.1904761904762</v>
      </c>
      <c r="I83" s="143">
        <f t="shared" si="203"/>
        <v>573.80952380952385</v>
      </c>
      <c r="J83" s="143">
        <f t="shared" si="203"/>
        <v>1040.4761904761906</v>
      </c>
      <c r="K83" s="143">
        <f t="shared" si="203"/>
        <v>1042.8571428571429</v>
      </c>
      <c r="L83" s="143">
        <f t="shared" si="203"/>
        <v>1676.1904761904761</v>
      </c>
      <c r="M83" s="143">
        <f t="shared" si="203"/>
        <v>1988.0952380952381</v>
      </c>
      <c r="N83" s="143">
        <f t="shared" si="203"/>
        <v>1938.0952380952381</v>
      </c>
      <c r="O83" s="143">
        <f t="shared" si="203"/>
        <v>3028.5714285714289</v>
      </c>
      <c r="P83" s="143">
        <f t="shared" si="203"/>
        <v>4238.0952380952385</v>
      </c>
      <c r="Q83" s="143">
        <f t="shared" ref="Q83" si="204">Q36/Q42</f>
        <v>3771.4285714285716</v>
      </c>
      <c r="R83" s="118">
        <f>((P83/G83)^(1/($H$2-$H$1) ))-1</f>
        <v>0.23253633803572948</v>
      </c>
      <c r="S83" s="128"/>
      <c r="T83" s="143">
        <f t="shared" ref="T83:AC83" si="205">T36/T42</f>
        <v>4252.1008403361338</v>
      </c>
      <c r="U83" s="143">
        <f t="shared" si="205"/>
        <v>4794.0352611632879</v>
      </c>
      <c r="V83" s="143">
        <f t="shared" si="205"/>
        <v>5405.0397552331178</v>
      </c>
      <c r="W83" s="143">
        <f t="shared" si="205"/>
        <v>6093.9173710961613</v>
      </c>
      <c r="X83" s="143">
        <f t="shared" si="205"/>
        <v>6870.5931144711612</v>
      </c>
      <c r="Y83" s="143">
        <f t="shared" si="205"/>
        <v>7746.2569427861117</v>
      </c>
      <c r="Z83" s="143">
        <f t="shared" si="205"/>
        <v>8733.5249845137514</v>
      </c>
      <c r="AA83" s="143">
        <f t="shared" si="205"/>
        <v>9846.6213060694245</v>
      </c>
      <c r="AB83" s="143">
        <f t="shared" si="205"/>
        <v>11101.582845078274</v>
      </c>
      <c r="AC83" s="143">
        <f t="shared" si="205"/>
        <v>12516.490462588248</v>
      </c>
      <c r="AD83" s="137">
        <f t="shared" ref="AD83:AD85" si="206">((AC83/G83)^(1/($AC$3-$H$1) ))-1</f>
        <v>0.17196720518656083</v>
      </c>
      <c r="AE83" s="31">
        <f t="shared" si="15"/>
        <v>0.05</v>
      </c>
      <c r="AF83" s="145">
        <f t="shared" si="140"/>
        <v>101094.73065936663</v>
      </c>
    </row>
    <row r="84" spans="2:32" x14ac:dyDescent="0.2">
      <c r="B84" s="20" t="s">
        <v>310</v>
      </c>
      <c r="C84" s="143"/>
      <c r="D84" s="143"/>
      <c r="E84" s="143"/>
      <c r="F84" s="143"/>
      <c r="G84" s="143">
        <f t="shared" ref="G84:P84" si="207">G40/G42</f>
        <v>280.95238095238096</v>
      </c>
      <c r="H84" s="143">
        <f t="shared" si="207"/>
        <v>69.047619047619051</v>
      </c>
      <c r="I84" s="143">
        <f t="shared" si="207"/>
        <v>188.0952380952381</v>
      </c>
      <c r="J84" s="143">
        <f t="shared" si="207"/>
        <v>404.76190476190476</v>
      </c>
      <c r="K84" s="143">
        <f t="shared" si="207"/>
        <v>340.47619047619048</v>
      </c>
      <c r="L84" s="143">
        <f t="shared" si="207"/>
        <v>597.61904761904759</v>
      </c>
      <c r="M84" s="143">
        <f t="shared" si="207"/>
        <v>850</v>
      </c>
      <c r="N84" s="143">
        <f t="shared" si="207"/>
        <v>1473.8095238095239</v>
      </c>
      <c r="O84" s="143">
        <f t="shared" si="207"/>
        <v>1380.952380952381</v>
      </c>
      <c r="P84" s="143">
        <f t="shared" si="207"/>
        <v>1923.8095238095239</v>
      </c>
      <c r="Q84" s="143">
        <f t="shared" ref="Q84" si="208">Q40/Q42</f>
        <v>2161.9047619047619</v>
      </c>
      <c r="R84" s="118">
        <f>((P84/G84)^(1/($H$2-$H$1) ))-1</f>
        <v>0.21214042531358901</v>
      </c>
      <c r="S84" s="128"/>
      <c r="T84" s="143">
        <f t="shared" ref="T84:AC84" si="209">T40/T42</f>
        <v>2437.4416433239958</v>
      </c>
      <c r="U84" s="143">
        <f t="shared" si="209"/>
        <v>2748.0959704143088</v>
      </c>
      <c r="V84" s="143">
        <f t="shared" si="209"/>
        <v>3098.3434960553477</v>
      </c>
      <c r="W84" s="143">
        <f t="shared" si="209"/>
        <v>3493.2304122192645</v>
      </c>
      <c r="X84" s="143">
        <f t="shared" si="209"/>
        <v>3938.4460529923076</v>
      </c>
      <c r="Y84" s="143">
        <f t="shared" si="209"/>
        <v>4440.4048636677981</v>
      </c>
      <c r="Z84" s="143">
        <f t="shared" si="209"/>
        <v>5006.3388168803604</v>
      </c>
      <c r="AA84" s="143">
        <f t="shared" si="209"/>
        <v>5644.401607267072</v>
      </c>
      <c r="AB84" s="143">
        <f t="shared" si="209"/>
        <v>6363.7861258403263</v>
      </c>
      <c r="AC84" s="143">
        <f t="shared" si="209"/>
        <v>7174.8569065846805</v>
      </c>
      <c r="AD84" s="137">
        <f t="shared" si="206"/>
        <v>0.17586923109648911</v>
      </c>
      <c r="AE84" s="31">
        <f t="shared" si="15"/>
        <v>0.05</v>
      </c>
      <c r="AF84" s="145">
        <f t="shared" si="140"/>
        <v>57950.767322414722</v>
      </c>
    </row>
    <row r="85" spans="2:32" x14ac:dyDescent="0.2">
      <c r="B85" s="20" t="s">
        <v>311</v>
      </c>
      <c r="C85" s="143"/>
      <c r="D85" s="143"/>
      <c r="E85" s="143"/>
      <c r="F85" s="143"/>
      <c r="G85" s="143">
        <f t="shared" ref="G85:P85" si="210">G6/G42</f>
        <v>1666.6666666666667</v>
      </c>
      <c r="H85" s="143">
        <f t="shared" si="210"/>
        <v>1711.9047619047619</v>
      </c>
      <c r="I85" s="143">
        <f t="shared" si="210"/>
        <v>1952.3809523809525</v>
      </c>
      <c r="J85" s="143">
        <f t="shared" si="210"/>
        <v>2330.9523809523812</v>
      </c>
      <c r="K85" s="143">
        <f t="shared" si="210"/>
        <v>2647.6190476190477</v>
      </c>
      <c r="L85" s="143">
        <f t="shared" si="210"/>
        <v>3216.666666666667</v>
      </c>
      <c r="M85" s="143">
        <f t="shared" si="210"/>
        <v>4009.5238095238096</v>
      </c>
      <c r="N85" s="143">
        <f t="shared" si="210"/>
        <v>5450</v>
      </c>
      <c r="O85" s="143">
        <f t="shared" si="210"/>
        <v>6800</v>
      </c>
      <c r="P85" s="143">
        <f t="shared" si="210"/>
        <v>8692.8571428571431</v>
      </c>
      <c r="Q85" s="143">
        <f t="shared" ref="Q85" si="211">Q6/Q42</f>
        <v>10797.619047619048</v>
      </c>
      <c r="R85" s="118">
        <f>((P85/G85)^(1/($H$2-$H$1) ))-1</f>
        <v>0.17959080706178288</v>
      </c>
      <c r="S85" s="128"/>
      <c r="T85" s="143">
        <f t="shared" ref="T85:AC85" si="212">T6/T42</f>
        <v>12173.786181139123</v>
      </c>
      <c r="U85" s="143">
        <f t="shared" si="212"/>
        <v>13725.347165009793</v>
      </c>
      <c r="V85" s="143">
        <f t="shared" si="212"/>
        <v>15474.656117413</v>
      </c>
      <c r="W85" s="143">
        <f t="shared" si="212"/>
        <v>17446.916210808773</v>
      </c>
      <c r="X85" s="143">
        <f t="shared" si="212"/>
        <v>19670.542786696165</v>
      </c>
      <c r="Y85" s="143">
        <f t="shared" si="212"/>
        <v>22177.572749706458</v>
      </c>
      <c r="Z85" s="143">
        <f t="shared" si="212"/>
        <v>25004.126139374926</v>
      </c>
      <c r="AA85" s="143">
        <f t="shared" si="212"/>
        <v>28190.926529687415</v>
      </c>
      <c r="AB85" s="143">
        <f t="shared" si="212"/>
        <v>31783.887754059338</v>
      </c>
      <c r="AC85" s="143">
        <f t="shared" si="212"/>
        <v>35834.775408988469</v>
      </c>
      <c r="AD85" s="137">
        <f t="shared" si="206"/>
        <v>0.16579663350726026</v>
      </c>
      <c r="AE85" s="31">
        <f t="shared" ref="AE85" si="213">$L$1</f>
        <v>0.05</v>
      </c>
      <c r="AF85" s="145">
        <f t="shared" si="140"/>
        <v>289434.72445721459</v>
      </c>
    </row>
    <row r="86" spans="2:32" x14ac:dyDescent="0.2">
      <c r="B86" s="20"/>
      <c r="C86" s="127"/>
      <c r="D86" s="127"/>
      <c r="E86" s="127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28"/>
      <c r="S86" s="128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38"/>
      <c r="AE86" s="20"/>
      <c r="AF86" s="153"/>
    </row>
    <row r="87" spans="2:32" x14ac:dyDescent="0.2">
      <c r="B87" s="20"/>
      <c r="C87" s="127"/>
      <c r="D87" s="127"/>
      <c r="E87" s="127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28"/>
      <c r="S87" s="128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38"/>
      <c r="AE87" s="20"/>
      <c r="AF87" s="153"/>
    </row>
    <row r="88" spans="2:32" x14ac:dyDescent="0.2">
      <c r="B88" s="108" t="s">
        <v>308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</row>
    <row r="89" spans="2:32" x14ac:dyDescent="0.2">
      <c r="B89" s="20" t="s">
        <v>307</v>
      </c>
      <c r="C89" s="151"/>
      <c r="D89" s="151"/>
      <c r="E89" s="151"/>
      <c r="F89" s="151"/>
      <c r="G89" s="151">
        <f t="shared" ref="G89:P89" si="214">G36/G25</f>
        <v>9.5279341706366386E-2</v>
      </c>
      <c r="H89" s="151">
        <f t="shared" si="214"/>
        <v>7.7669902912621352E-2</v>
      </c>
      <c r="I89" s="151">
        <f t="shared" si="214"/>
        <v>6.3739751388521559E-2</v>
      </c>
      <c r="J89" s="151">
        <f t="shared" si="214"/>
        <v>9.7067969791203912E-2</v>
      </c>
      <c r="K89" s="151">
        <f t="shared" si="214"/>
        <v>8.501552795031056E-2</v>
      </c>
      <c r="L89" s="151">
        <f t="shared" si="214"/>
        <v>0.12844371465061119</v>
      </c>
      <c r="M89" s="151">
        <f t="shared" si="214"/>
        <v>0.10913606064566723</v>
      </c>
      <c r="N89" s="151">
        <f t="shared" si="214"/>
        <v>7.7693996373007543E-2</v>
      </c>
      <c r="O89" s="151">
        <f t="shared" si="214"/>
        <v>0.10576203542030431</v>
      </c>
      <c r="P89" s="151">
        <f t="shared" si="214"/>
        <v>0.14471544715447154</v>
      </c>
      <c r="Q89" s="151">
        <f t="shared" ref="Q89" si="215">Q36/Q25</f>
        <v>0.11883862255232951</v>
      </c>
      <c r="R89" s="118">
        <f t="shared" ref="R89:R142" si="216">((P89/G89)^(1/($H$2-$H$1) ))-1</f>
        <v>4.2681370953890907E-2</v>
      </c>
      <c r="S89" s="151"/>
      <c r="T89" s="151">
        <f t="shared" ref="T89:AC89" si="217">T36/T25</f>
        <v>0.11883862255232951</v>
      </c>
      <c r="U89" s="151">
        <f t="shared" si="217"/>
        <v>0.11883862255232951</v>
      </c>
      <c r="V89" s="151">
        <f t="shared" si="217"/>
        <v>0.11883862255232949</v>
      </c>
      <c r="W89" s="151">
        <f t="shared" si="217"/>
        <v>0.11883862255232949</v>
      </c>
      <c r="X89" s="151">
        <f t="shared" si="217"/>
        <v>0.11883862255232949</v>
      </c>
      <c r="Y89" s="151">
        <f t="shared" si="217"/>
        <v>0.11883862255232949</v>
      </c>
      <c r="Z89" s="151">
        <f t="shared" si="217"/>
        <v>0.11883862255232948</v>
      </c>
      <c r="AA89" s="151">
        <f t="shared" si="217"/>
        <v>0.11883862255232948</v>
      </c>
      <c r="AB89" s="151">
        <f t="shared" si="217"/>
        <v>0.11883862255232946</v>
      </c>
      <c r="AC89" s="151">
        <f t="shared" si="217"/>
        <v>0.11883862255232948</v>
      </c>
      <c r="AD89" s="137">
        <f t="shared" ref="AD89:AD129" si="218">((AC89/G89)^(1/($AC$3-$H$1) ))-1</f>
        <v>1.1108923071096122E-2</v>
      </c>
      <c r="AE89" s="145"/>
      <c r="AF89" s="145"/>
    </row>
    <row r="90" spans="2:32" x14ac:dyDescent="0.2">
      <c r="B90" s="20" t="s">
        <v>266</v>
      </c>
      <c r="C90" s="151"/>
      <c r="D90" s="151"/>
      <c r="E90" s="151"/>
      <c r="F90" s="151"/>
      <c r="G90" s="151">
        <f t="shared" ref="G90:P90" si="219">G40/G25</f>
        <v>5.1104374187960155E-2</v>
      </c>
      <c r="H90" s="151">
        <f t="shared" si="219"/>
        <v>1.1262135922330097E-2</v>
      </c>
      <c r="I90" s="151">
        <f t="shared" si="219"/>
        <v>2.089394340121661E-2</v>
      </c>
      <c r="J90" s="151">
        <f t="shared" si="219"/>
        <v>3.7760995113282986E-2</v>
      </c>
      <c r="K90" s="151">
        <f t="shared" si="219"/>
        <v>2.7756211180124224E-2</v>
      </c>
      <c r="L90" s="151">
        <f t="shared" si="219"/>
        <v>4.579456303594235E-2</v>
      </c>
      <c r="M90" s="151">
        <f t="shared" si="219"/>
        <v>4.6660567246111617E-2</v>
      </c>
      <c r="N90" s="151">
        <f t="shared" si="219"/>
        <v>5.9081798224682638E-2</v>
      </c>
      <c r="O90" s="151">
        <f t="shared" si="219"/>
        <v>4.8224827471522409E-2</v>
      </c>
      <c r="P90" s="151">
        <f t="shared" si="219"/>
        <v>6.5691056910569104E-2</v>
      </c>
      <c r="Q90" s="151">
        <f t="shared" ref="Q90" si="220">Q40/Q25</f>
        <v>6.8122139695400999E-2</v>
      </c>
      <c r="R90" s="118">
        <f t="shared" si="216"/>
        <v>2.5427163039121181E-2</v>
      </c>
      <c r="S90" s="151"/>
      <c r="T90" s="151">
        <f t="shared" ref="T90:AC90" si="221">T40/T25</f>
        <v>6.8122139695400999E-2</v>
      </c>
      <c r="U90" s="151">
        <f t="shared" si="221"/>
        <v>6.8122139695400999E-2</v>
      </c>
      <c r="V90" s="151">
        <f t="shared" si="221"/>
        <v>6.8122139695400999E-2</v>
      </c>
      <c r="W90" s="151">
        <f t="shared" si="221"/>
        <v>6.8122139695400999E-2</v>
      </c>
      <c r="X90" s="151">
        <f t="shared" si="221"/>
        <v>6.8122139695401013E-2</v>
      </c>
      <c r="Y90" s="151">
        <f t="shared" si="221"/>
        <v>6.8122139695401013E-2</v>
      </c>
      <c r="Z90" s="151">
        <f t="shared" si="221"/>
        <v>6.8122139695401027E-2</v>
      </c>
      <c r="AA90" s="151">
        <f t="shared" si="221"/>
        <v>6.8122139695401013E-2</v>
      </c>
      <c r="AB90" s="151">
        <f t="shared" si="221"/>
        <v>6.8122139695401013E-2</v>
      </c>
      <c r="AC90" s="151">
        <f t="shared" si="221"/>
        <v>6.8122139695401027E-2</v>
      </c>
      <c r="AD90" s="137">
        <f t="shared" si="218"/>
        <v>1.4475376669902396E-2</v>
      </c>
      <c r="AE90" s="145"/>
      <c r="AF90" s="145"/>
    </row>
    <row r="91" spans="2:32" x14ac:dyDescent="0.2">
      <c r="B91" s="20" t="s">
        <v>357</v>
      </c>
      <c r="C91" s="151"/>
      <c r="D91" s="151"/>
      <c r="E91" s="151"/>
      <c r="F91" s="151"/>
      <c r="G91" s="151">
        <f>G40/G7</f>
        <v>0.16761363636363635</v>
      </c>
      <c r="H91" s="151">
        <f t="shared" ref="H91:O91" si="222">H40/H7</f>
        <v>4.0110650069156296E-2</v>
      </c>
      <c r="I91" s="151">
        <f t="shared" si="222"/>
        <v>9.5873786407766989E-2</v>
      </c>
      <c r="J91" s="151">
        <f t="shared" si="222"/>
        <v>0.17293997965412003</v>
      </c>
      <c r="K91" s="151">
        <f t="shared" si="222"/>
        <v>0.12802148612354522</v>
      </c>
      <c r="L91" s="151">
        <f t="shared" si="222"/>
        <v>0.18523985239852397</v>
      </c>
      <c r="M91" s="151">
        <f t="shared" si="222"/>
        <v>0.21149289099526067</v>
      </c>
      <c r="N91" s="151">
        <f t="shared" si="222"/>
        <v>0.26983435047951176</v>
      </c>
      <c r="O91" s="151">
        <f t="shared" si="222"/>
        <v>0.20272631946871722</v>
      </c>
      <c r="P91" s="151">
        <f t="shared" ref="P91:Q91" si="223">P40/P7</f>
        <v>0.22106703146374829</v>
      </c>
      <c r="Q91" s="151">
        <f t="shared" si="223"/>
        <v>0.20004406256884777</v>
      </c>
      <c r="R91" s="118">
        <f t="shared" si="216"/>
        <v>2.8067104653642261E-2</v>
      </c>
      <c r="S91" s="20"/>
      <c r="T91" s="151">
        <f t="shared" ref="T91" si="224">T40/T7</f>
        <v>0.20004406256884774</v>
      </c>
      <c r="U91" s="151">
        <f t="shared" ref="U91:AC91" si="225">U40/U7</f>
        <v>0.20004406256884777</v>
      </c>
      <c r="V91" s="151">
        <f t="shared" si="225"/>
        <v>0.20004406256884777</v>
      </c>
      <c r="W91" s="151">
        <f t="shared" si="225"/>
        <v>0.20004406256884777</v>
      </c>
      <c r="X91" s="151">
        <f t="shared" si="225"/>
        <v>0.20004406256884777</v>
      </c>
      <c r="Y91" s="151">
        <f t="shared" si="225"/>
        <v>0.2000440625688478</v>
      </c>
      <c r="Z91" s="151">
        <f t="shared" si="225"/>
        <v>0.2000440625688478</v>
      </c>
      <c r="AA91" s="151">
        <f t="shared" si="225"/>
        <v>0.2000440625688478</v>
      </c>
      <c r="AB91" s="151">
        <f t="shared" si="225"/>
        <v>0.2000440625688478</v>
      </c>
      <c r="AC91" s="151">
        <f t="shared" si="225"/>
        <v>0.2000440625688478</v>
      </c>
      <c r="AD91" s="137">
        <f t="shared" si="218"/>
        <v>8.8830273773707891E-3</v>
      </c>
      <c r="AE91" s="145"/>
      <c r="AF91" s="145"/>
    </row>
    <row r="92" spans="2:32" x14ac:dyDescent="0.2">
      <c r="B92" s="20" t="s">
        <v>358</v>
      </c>
      <c r="C92" s="151"/>
      <c r="D92" s="151"/>
      <c r="E92" s="151"/>
      <c r="F92" s="151"/>
      <c r="G92" s="151">
        <f>(G40)/(G7+G10)</f>
        <v>0.11847389558232932</v>
      </c>
      <c r="H92" s="151">
        <f t="shared" ref="H92:O92" si="226">(H40)/(H7+H10)</f>
        <v>2.5823686553873553E-2</v>
      </c>
      <c r="I92" s="151">
        <f t="shared" si="226"/>
        <v>5.7917888563049851E-2</v>
      </c>
      <c r="J92" s="151">
        <f t="shared" si="226"/>
        <v>0.1069182389937107</v>
      </c>
      <c r="K92" s="151">
        <f t="shared" si="226"/>
        <v>6.8783068783068779E-2</v>
      </c>
      <c r="L92" s="151">
        <f t="shared" si="226"/>
        <v>0.15239829993928355</v>
      </c>
      <c r="M92" s="151">
        <f t="shared" si="226"/>
        <v>0.13522727272727272</v>
      </c>
      <c r="N92" s="151">
        <f t="shared" si="226"/>
        <v>0.16246719160104986</v>
      </c>
      <c r="O92" s="151">
        <f t="shared" si="226"/>
        <v>0.12911843276936777</v>
      </c>
      <c r="P92" s="151">
        <f t="shared" ref="P92:Q92" si="227">(P40)/(P7+P10)</f>
        <v>0.15896124336022036</v>
      </c>
      <c r="Q92" s="151">
        <f t="shared" si="227"/>
        <v>0.20004406256884777</v>
      </c>
      <c r="R92" s="118">
        <f t="shared" si="216"/>
        <v>2.9833127952173299E-2</v>
      </c>
      <c r="S92" s="20"/>
      <c r="T92" s="151">
        <f t="shared" ref="T92:AC92" si="228">(T40)/(T7+T10)</f>
        <v>0.20004406256884774</v>
      </c>
      <c r="U92" s="151">
        <f t="shared" si="228"/>
        <v>0.20004406256884777</v>
      </c>
      <c r="V92" s="151">
        <f t="shared" si="228"/>
        <v>0.20004406256884777</v>
      </c>
      <c r="W92" s="151">
        <f t="shared" si="228"/>
        <v>0.20004406256884777</v>
      </c>
      <c r="X92" s="151">
        <f t="shared" si="228"/>
        <v>0.20004406256884777</v>
      </c>
      <c r="Y92" s="151">
        <f t="shared" si="228"/>
        <v>0.2000440625688478</v>
      </c>
      <c r="Z92" s="151">
        <f t="shared" si="228"/>
        <v>0.2000440625688478</v>
      </c>
      <c r="AA92" s="151">
        <f t="shared" si="228"/>
        <v>0.2000440625688478</v>
      </c>
      <c r="AB92" s="151">
        <f t="shared" si="228"/>
        <v>0.2000440625688478</v>
      </c>
      <c r="AC92" s="151">
        <f t="shared" si="228"/>
        <v>0.2000440625688478</v>
      </c>
      <c r="AD92" s="137">
        <f t="shared" si="218"/>
        <v>2.6538281964294752E-2</v>
      </c>
      <c r="AE92" s="145"/>
      <c r="AF92" s="145"/>
    </row>
    <row r="93" spans="2:32" x14ac:dyDescent="0.2">
      <c r="B93" s="20" t="s">
        <v>374</v>
      </c>
      <c r="C93" s="151"/>
      <c r="D93" s="151"/>
      <c r="E93" s="151"/>
      <c r="F93" s="151"/>
      <c r="G93" s="151">
        <f>G20/G25</f>
        <v>4.3308791684711995E-2</v>
      </c>
      <c r="H93" s="151">
        <f t="shared" ref="H93:P93" si="229">H20/H25</f>
        <v>2.4077669902912623E-2</v>
      </c>
      <c r="I93" s="151">
        <f t="shared" si="229"/>
        <v>7.2732081459931236E-2</v>
      </c>
      <c r="J93" s="151">
        <f t="shared" si="229"/>
        <v>6.7969791203909377E-2</v>
      </c>
      <c r="K93" s="151">
        <f t="shared" si="229"/>
        <v>5.2212732919254656E-2</v>
      </c>
      <c r="L93" s="151">
        <f t="shared" si="229"/>
        <v>0.15727057106367451</v>
      </c>
      <c r="M93" s="151">
        <f t="shared" si="229"/>
        <v>2.0520193438766175E-2</v>
      </c>
      <c r="N93" s="151">
        <f t="shared" si="229"/>
        <v>2.6438866087620503E-2</v>
      </c>
      <c r="O93" s="151">
        <f t="shared" si="229"/>
        <v>8.4975471854992934E-2</v>
      </c>
      <c r="P93" s="151">
        <f t="shared" si="229"/>
        <v>0.11560975609756098</v>
      </c>
      <c r="Q93" s="151">
        <f t="shared" ref="Q93" si="230">Q20/Q25</f>
        <v>0</v>
      </c>
      <c r="R93" s="118">
        <f t="shared" si="216"/>
        <v>0.10316847291401299</v>
      </c>
      <c r="S93" s="20"/>
      <c r="T93" s="151">
        <f t="shared" ref="T93:AC93" si="231">T20/T25</f>
        <v>0</v>
      </c>
      <c r="U93" s="151">
        <f t="shared" si="231"/>
        <v>0</v>
      </c>
      <c r="V93" s="151">
        <f t="shared" si="231"/>
        <v>0</v>
      </c>
      <c r="W93" s="151">
        <f t="shared" si="231"/>
        <v>0</v>
      </c>
      <c r="X93" s="151">
        <f t="shared" si="231"/>
        <v>0</v>
      </c>
      <c r="Y93" s="151">
        <f t="shared" si="231"/>
        <v>0</v>
      </c>
      <c r="Z93" s="151">
        <f t="shared" si="231"/>
        <v>0</v>
      </c>
      <c r="AA93" s="151">
        <f t="shared" si="231"/>
        <v>0</v>
      </c>
      <c r="AB93" s="151">
        <f t="shared" si="231"/>
        <v>0</v>
      </c>
      <c r="AC93" s="151">
        <f t="shared" si="231"/>
        <v>0</v>
      </c>
      <c r="AD93" s="137">
        <f t="shared" si="218"/>
        <v>-1</v>
      </c>
      <c r="AE93" s="145"/>
      <c r="AF93" s="145"/>
    </row>
    <row r="94" spans="2:32" x14ac:dyDescent="0.2">
      <c r="B94" s="20" t="s">
        <v>426</v>
      </c>
      <c r="C94" s="151"/>
      <c r="D94" s="151"/>
      <c r="E94" s="151"/>
      <c r="F94" s="151"/>
      <c r="G94" s="151">
        <f>G53/G25</f>
        <v>2.1654395842355997E-2</v>
      </c>
      <c r="H94" s="151">
        <f t="shared" ref="H94:P94" si="232">H53/H25</f>
        <v>5.8252427184466021E-3</v>
      </c>
      <c r="I94" s="151">
        <f t="shared" si="232"/>
        <v>5.2896059243586349E-3</v>
      </c>
      <c r="J94" s="151">
        <f t="shared" si="232"/>
        <v>1.9768991559306975E-2</v>
      </c>
      <c r="K94" s="151">
        <f t="shared" si="232"/>
        <v>1.0869565217391304E-2</v>
      </c>
      <c r="L94" s="151">
        <f t="shared" si="232"/>
        <v>2.6455026455026454E-2</v>
      </c>
      <c r="M94" s="151">
        <f t="shared" si="232"/>
        <v>2.3395634557574173E-2</v>
      </c>
      <c r="N94" s="151">
        <f t="shared" si="232"/>
        <v>2.6152524577646274E-2</v>
      </c>
      <c r="O94" s="151">
        <f t="shared" si="232"/>
        <v>2.1867464870707575E-2</v>
      </c>
      <c r="P94" s="151">
        <f t="shared" si="232"/>
        <v>3.4715447154471543E-2</v>
      </c>
      <c r="Q94" s="151">
        <f t="shared" ref="Q94" si="233">Q53/Q25</f>
        <v>3.3385850401380451E-2</v>
      </c>
      <c r="R94" s="118">
        <f t="shared" si="216"/>
        <v>4.8329167364695724E-2</v>
      </c>
      <c r="S94" s="20"/>
      <c r="T94" s="151">
        <f t="shared" ref="T94:AC94" si="234">T53/T25</f>
        <v>3.3385850401380451E-2</v>
      </c>
      <c r="U94" s="151">
        <f t="shared" si="234"/>
        <v>3.3385850401380458E-2</v>
      </c>
      <c r="V94" s="151">
        <f t="shared" si="234"/>
        <v>3.3385850401380458E-2</v>
      </c>
      <c r="W94" s="151">
        <f t="shared" si="234"/>
        <v>3.3385850401380458E-2</v>
      </c>
      <c r="X94" s="151">
        <f t="shared" si="234"/>
        <v>3.3385850401380458E-2</v>
      </c>
      <c r="Y94" s="151">
        <f t="shared" si="234"/>
        <v>3.3385850401380451E-2</v>
      </c>
      <c r="Z94" s="151">
        <f t="shared" si="234"/>
        <v>3.3385850401380444E-2</v>
      </c>
      <c r="AA94" s="151">
        <f t="shared" si="234"/>
        <v>3.3385850401380458E-2</v>
      </c>
      <c r="AB94" s="151">
        <f t="shared" si="234"/>
        <v>3.3385850401380451E-2</v>
      </c>
      <c r="AC94" s="151">
        <f t="shared" si="234"/>
        <v>3.3385850401380451E-2</v>
      </c>
      <c r="AD94" s="137">
        <f t="shared" si="218"/>
        <v>2.1882162981510467E-2</v>
      </c>
      <c r="AE94" s="145"/>
      <c r="AF94" s="145"/>
    </row>
    <row r="95" spans="2:32" x14ac:dyDescent="0.2">
      <c r="B95" s="20"/>
      <c r="C95" s="151"/>
      <c r="D95" s="151"/>
      <c r="E95" s="151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20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3"/>
      <c r="AE95" s="145"/>
      <c r="AF95" s="145"/>
    </row>
    <row r="96" spans="2:32" x14ac:dyDescent="0.2">
      <c r="B96" s="20" t="s">
        <v>321</v>
      </c>
      <c r="C96" s="151"/>
      <c r="D96" s="151"/>
      <c r="E96" s="151"/>
      <c r="F96" s="151"/>
      <c r="G96" s="151">
        <f>G29/G25</f>
        <v>1.7323516673884799E-2</v>
      </c>
      <c r="H96" s="151">
        <f t="shared" ref="H96:P96" si="235">H29/H25</f>
        <v>1.2427184466019418E-2</v>
      </c>
      <c r="I96" s="151">
        <f t="shared" si="235"/>
        <v>1.3224014810896589E-2</v>
      </c>
      <c r="J96" s="151">
        <f t="shared" si="235"/>
        <v>1.1106175033318524E-2</v>
      </c>
      <c r="K96" s="151">
        <f t="shared" si="235"/>
        <v>1.281055900621118E-2</v>
      </c>
      <c r="L96" s="151">
        <f t="shared" si="235"/>
        <v>1.2588943623426382E-2</v>
      </c>
      <c r="M96" s="151">
        <f t="shared" si="235"/>
        <v>8.2342177493138144E-3</v>
      </c>
      <c r="N96" s="151">
        <f t="shared" si="235"/>
        <v>8.8765868092011077E-3</v>
      </c>
      <c r="O96" s="151">
        <f t="shared" si="235"/>
        <v>1.3220254427538039E-2</v>
      </c>
      <c r="P96" s="151">
        <f t="shared" si="235"/>
        <v>1.5934959349593495E-2</v>
      </c>
      <c r="Q96" s="151">
        <f t="shared" ref="Q96" si="236">Q29/Q25</f>
        <v>1.7330632455548053E-2</v>
      </c>
      <c r="R96" s="118">
        <f t="shared" si="216"/>
        <v>-8.3201470722712445E-3</v>
      </c>
      <c r="S96" s="20"/>
      <c r="T96" s="151">
        <f t="shared" ref="T96:AC96" si="237">T29/T25</f>
        <v>1.7330632455548053E-2</v>
      </c>
      <c r="U96" s="151">
        <f t="shared" si="237"/>
        <v>1.7330632455548053E-2</v>
      </c>
      <c r="V96" s="151">
        <f t="shared" si="237"/>
        <v>1.7330632455548053E-2</v>
      </c>
      <c r="W96" s="151">
        <f t="shared" si="237"/>
        <v>1.7330632455548053E-2</v>
      </c>
      <c r="X96" s="151">
        <f t="shared" si="237"/>
        <v>1.7330632455548053E-2</v>
      </c>
      <c r="Y96" s="151">
        <f t="shared" si="237"/>
        <v>1.7330632455548053E-2</v>
      </c>
      <c r="Z96" s="151">
        <f t="shared" si="237"/>
        <v>1.7330632455548053E-2</v>
      </c>
      <c r="AA96" s="151">
        <f t="shared" si="237"/>
        <v>1.7330632455548056E-2</v>
      </c>
      <c r="AB96" s="151">
        <f t="shared" si="237"/>
        <v>1.7330632455548053E-2</v>
      </c>
      <c r="AC96" s="151">
        <f t="shared" si="237"/>
        <v>1.7330632455548053E-2</v>
      </c>
      <c r="AD96" s="137">
        <f t="shared" si="218"/>
        <v>2.0533918734688683E-5</v>
      </c>
      <c r="AE96" s="145"/>
      <c r="AF96" s="145"/>
    </row>
    <row r="97" spans="2:32" x14ac:dyDescent="0.2">
      <c r="B97" s="20" t="s">
        <v>367</v>
      </c>
      <c r="C97" s="151"/>
      <c r="D97" s="151"/>
      <c r="E97" s="151"/>
      <c r="F97" s="151"/>
      <c r="G97" s="151">
        <f>G29/G36</f>
        <v>0.18181818181818182</v>
      </c>
      <c r="H97" s="151">
        <f t="shared" ref="H97:P97" si="238">H29/H36</f>
        <v>0.16</v>
      </c>
      <c r="I97" s="151">
        <f t="shared" si="238"/>
        <v>0.2074688796680498</v>
      </c>
      <c r="J97" s="151">
        <f t="shared" si="238"/>
        <v>0.11441647597254005</v>
      </c>
      <c r="K97" s="151">
        <f t="shared" si="238"/>
        <v>0.15068493150684931</v>
      </c>
      <c r="L97" s="151">
        <f t="shared" si="238"/>
        <v>9.8011363636363633E-2</v>
      </c>
      <c r="M97" s="151">
        <f t="shared" si="238"/>
        <v>7.5449101796407181E-2</v>
      </c>
      <c r="N97" s="151">
        <f t="shared" si="238"/>
        <v>0.11425061425061425</v>
      </c>
      <c r="O97" s="151">
        <f t="shared" si="238"/>
        <v>0.125</v>
      </c>
      <c r="P97" s="151">
        <f t="shared" si="238"/>
        <v>0.1101123595505618</v>
      </c>
      <c r="Q97" s="151">
        <f t="shared" ref="Q97" si="239">Q29/Q36</f>
        <v>0.14583333333333334</v>
      </c>
      <c r="R97" s="118">
        <f t="shared" ref="R97" si="240">((P97/G97)^(1/($H$2-$H$1) ))-1</f>
        <v>-4.8913809574926637E-2</v>
      </c>
      <c r="S97" s="20"/>
      <c r="T97" s="151">
        <f t="shared" ref="T97:AC97" si="241">T29/T36</f>
        <v>0.14583333333333331</v>
      </c>
      <c r="U97" s="151">
        <f t="shared" si="241"/>
        <v>0.14583333333333334</v>
      </c>
      <c r="V97" s="151">
        <f t="shared" si="241"/>
        <v>0.14583333333333334</v>
      </c>
      <c r="W97" s="151">
        <f t="shared" si="241"/>
        <v>0.14583333333333334</v>
      </c>
      <c r="X97" s="151">
        <f t="shared" si="241"/>
        <v>0.14583333333333334</v>
      </c>
      <c r="Y97" s="151">
        <f t="shared" si="241"/>
        <v>0.14583333333333337</v>
      </c>
      <c r="Z97" s="151">
        <f t="shared" si="241"/>
        <v>0.14583333333333337</v>
      </c>
      <c r="AA97" s="151">
        <f t="shared" si="241"/>
        <v>0.1458333333333334</v>
      </c>
      <c r="AB97" s="151">
        <f t="shared" si="241"/>
        <v>0.14583333333333337</v>
      </c>
      <c r="AC97" s="151">
        <f t="shared" si="241"/>
        <v>0.14583333333333337</v>
      </c>
      <c r="AD97" s="137">
        <f t="shared" ref="AD97" si="242">((AC97/G97)^(1/($AC$3-$H$1) ))-1</f>
        <v>-1.096656245370875E-2</v>
      </c>
      <c r="AE97" s="145"/>
      <c r="AF97" s="145"/>
    </row>
    <row r="98" spans="2:32" ht="12" customHeight="1" x14ac:dyDescent="0.2">
      <c r="B98" s="20" t="s">
        <v>366</v>
      </c>
      <c r="C98" s="151"/>
      <c r="D98" s="151"/>
      <c r="E98" s="151"/>
      <c r="F98" s="151"/>
      <c r="G98" s="170">
        <f t="shared" ref="G98:P98" si="243">G29/G40</f>
        <v>0.33898305084745761</v>
      </c>
      <c r="H98" s="170">
        <f t="shared" si="243"/>
        <v>1.103448275862069</v>
      </c>
      <c r="I98" s="170">
        <f t="shared" si="243"/>
        <v>0.63291139240506333</v>
      </c>
      <c r="J98" s="170">
        <f t="shared" si="243"/>
        <v>0.29411764705882354</v>
      </c>
      <c r="K98" s="170">
        <f t="shared" si="243"/>
        <v>0.46153846153846156</v>
      </c>
      <c r="L98" s="170">
        <f t="shared" si="243"/>
        <v>0.27490039840637448</v>
      </c>
      <c r="M98" s="170">
        <f t="shared" si="243"/>
        <v>0.17647058823529413</v>
      </c>
      <c r="N98" s="170">
        <f t="shared" si="243"/>
        <v>0.15024232633279483</v>
      </c>
      <c r="O98" s="170">
        <f t="shared" si="243"/>
        <v>0.27413793103448275</v>
      </c>
      <c r="P98" s="170">
        <f t="shared" si="243"/>
        <v>0.24257425742574257</v>
      </c>
      <c r="Q98" s="170">
        <f t="shared" ref="Q98" si="244">Q29/Q40</f>
        <v>0.25440528634361231</v>
      </c>
      <c r="R98" s="118">
        <f t="shared" ref="R98" si="245">((P98/G98)^(1/($H$2-$H$1) ))-1</f>
        <v>-3.2910489723495751E-2</v>
      </c>
      <c r="S98" s="20"/>
      <c r="T98" s="170">
        <f t="shared" ref="T98:AC98" si="246">T29/T40</f>
        <v>0.25440528634361237</v>
      </c>
      <c r="U98" s="170">
        <f t="shared" si="246"/>
        <v>0.25440528634361237</v>
      </c>
      <c r="V98" s="170">
        <f t="shared" si="246"/>
        <v>0.25440528634361237</v>
      </c>
      <c r="W98" s="170">
        <f t="shared" si="246"/>
        <v>0.25440528634361231</v>
      </c>
      <c r="X98" s="170">
        <f t="shared" si="246"/>
        <v>0.25440528634361231</v>
      </c>
      <c r="Y98" s="170">
        <f t="shared" si="246"/>
        <v>0.25440528634361231</v>
      </c>
      <c r="Z98" s="170">
        <f t="shared" si="246"/>
        <v>0.25440528634361231</v>
      </c>
      <c r="AA98" s="170">
        <f t="shared" si="246"/>
        <v>0.25440528634361231</v>
      </c>
      <c r="AB98" s="170">
        <f t="shared" si="246"/>
        <v>0.25440528634361231</v>
      </c>
      <c r="AC98" s="170">
        <f t="shared" si="246"/>
        <v>0.25440528634361226</v>
      </c>
      <c r="AD98" s="137">
        <f t="shared" ref="AD98" si="247">((AC98/G98)^(1/($AC$3-$H$1) ))-1</f>
        <v>-1.4248589057545002E-2</v>
      </c>
      <c r="AE98" s="145"/>
      <c r="AF98" s="145"/>
    </row>
    <row r="99" spans="2:32" ht="12" customHeight="1" x14ac:dyDescent="0.2">
      <c r="B99" s="20" t="s">
        <v>323</v>
      </c>
      <c r="C99" s="151"/>
      <c r="D99" s="151"/>
      <c r="E99" s="151"/>
      <c r="F99" s="151"/>
      <c r="G99" s="170">
        <f t="shared" ref="G99:P99" si="248">G29/G12</f>
        <v>1</v>
      </c>
      <c r="H99" s="170">
        <f t="shared" si="248"/>
        <v>0.88888888888888884</v>
      </c>
      <c r="I99" s="170">
        <f t="shared" si="248"/>
        <v>0.94339622641509435</v>
      </c>
      <c r="J99" s="170">
        <f t="shared" si="248"/>
        <v>0.68493150684931503</v>
      </c>
      <c r="K99" s="170">
        <f t="shared" si="248"/>
        <v>0.6470588235294118</v>
      </c>
      <c r="L99" s="170">
        <f t="shared" si="248"/>
        <v>1.1499999999999999</v>
      </c>
      <c r="M99" s="170">
        <f t="shared" si="248"/>
        <v>1.1666666666666667</v>
      </c>
      <c r="N99" s="170">
        <f t="shared" si="248"/>
        <v>1.603448275862069</v>
      </c>
      <c r="O99" s="170">
        <f t="shared" si="248"/>
        <v>2.4461538461538463</v>
      </c>
      <c r="P99" s="170">
        <f t="shared" si="248"/>
        <v>0.58160237388724034</v>
      </c>
      <c r="Q99" s="170" t="e">
        <f t="shared" ref="Q99" si="249">Q29/Q12</f>
        <v>#DIV/0!</v>
      </c>
      <c r="R99" s="118">
        <f t="shared" si="216"/>
        <v>-5.2754355472727332E-2</v>
      </c>
      <c r="S99" s="20"/>
      <c r="T99" s="151" t="e">
        <f t="shared" ref="T99:AC99" si="250">T29/T12</f>
        <v>#DIV/0!</v>
      </c>
      <c r="U99" s="151" t="e">
        <f t="shared" si="250"/>
        <v>#DIV/0!</v>
      </c>
      <c r="V99" s="151" t="e">
        <f t="shared" si="250"/>
        <v>#DIV/0!</v>
      </c>
      <c r="W99" s="151" t="e">
        <f t="shared" si="250"/>
        <v>#DIV/0!</v>
      </c>
      <c r="X99" s="151" t="e">
        <f t="shared" si="250"/>
        <v>#DIV/0!</v>
      </c>
      <c r="Y99" s="151" t="e">
        <f t="shared" si="250"/>
        <v>#DIV/0!</v>
      </c>
      <c r="Z99" s="151" t="e">
        <f t="shared" si="250"/>
        <v>#DIV/0!</v>
      </c>
      <c r="AA99" s="151" t="e">
        <f t="shared" si="250"/>
        <v>#DIV/0!</v>
      </c>
      <c r="AB99" s="151" t="e">
        <f t="shared" si="250"/>
        <v>#DIV/0!</v>
      </c>
      <c r="AC99" s="151" t="e">
        <f t="shared" si="250"/>
        <v>#DIV/0!</v>
      </c>
      <c r="AD99" s="137" t="e">
        <f t="shared" si="218"/>
        <v>#DIV/0!</v>
      </c>
      <c r="AE99" s="145"/>
      <c r="AF99" s="145"/>
    </row>
    <row r="100" spans="2:32" ht="12" customHeight="1" x14ac:dyDescent="0.2">
      <c r="B100" s="20" t="s">
        <v>368</v>
      </c>
      <c r="C100" s="151"/>
      <c r="D100" s="151"/>
      <c r="E100" s="151"/>
      <c r="F100" s="151"/>
      <c r="G100" s="170">
        <f>G29/G23</f>
        <v>0.35714285714285715</v>
      </c>
      <c r="H100" s="170">
        <f t="shared" ref="H100:P100" si="251">H29/H23</f>
        <v>0.55172413793103448</v>
      </c>
      <c r="I100" s="170">
        <f t="shared" si="251"/>
        <v>0.94339622641509435</v>
      </c>
      <c r="J100" s="170">
        <f t="shared" si="251"/>
        <v>0.68493150684931503</v>
      </c>
      <c r="K100" s="170">
        <f t="shared" si="251"/>
        <v>0.6470588235294118</v>
      </c>
      <c r="L100" s="170">
        <f t="shared" si="251"/>
        <v>1.1499999999999999</v>
      </c>
      <c r="M100" s="170">
        <f t="shared" si="251"/>
        <v>1.1886792452830188</v>
      </c>
      <c r="N100" s="170">
        <f t="shared" si="251"/>
        <v>1.631578947368421</v>
      </c>
      <c r="O100" s="170">
        <f t="shared" si="251"/>
        <v>2.6949152542372881</v>
      </c>
      <c r="P100" s="170">
        <f t="shared" si="251"/>
        <v>0.68771929824561406</v>
      </c>
      <c r="Q100" s="170" t="e">
        <f t="shared" ref="Q100" si="252">Q29/Q23</f>
        <v>#DIV/0!</v>
      </c>
      <c r="R100" s="118">
        <f t="shared" ref="R100" si="253">((P100/G100)^(1/($H$2-$H$1) ))-1</f>
        <v>6.7718885017000741E-2</v>
      </c>
      <c r="S100" s="20"/>
      <c r="T100" s="170" t="e">
        <f t="shared" ref="T100:AC100" si="254">T29/T23</f>
        <v>#DIV/0!</v>
      </c>
      <c r="U100" s="170" t="e">
        <f t="shared" si="254"/>
        <v>#DIV/0!</v>
      </c>
      <c r="V100" s="170" t="e">
        <f t="shared" si="254"/>
        <v>#DIV/0!</v>
      </c>
      <c r="W100" s="170" t="e">
        <f t="shared" si="254"/>
        <v>#DIV/0!</v>
      </c>
      <c r="X100" s="170" t="e">
        <f t="shared" si="254"/>
        <v>#DIV/0!</v>
      </c>
      <c r="Y100" s="170" t="e">
        <f t="shared" si="254"/>
        <v>#DIV/0!</v>
      </c>
      <c r="Z100" s="170" t="e">
        <f t="shared" si="254"/>
        <v>#DIV/0!</v>
      </c>
      <c r="AA100" s="170" t="e">
        <f t="shared" si="254"/>
        <v>#DIV/0!</v>
      </c>
      <c r="AB100" s="170" t="e">
        <f t="shared" si="254"/>
        <v>#DIV/0!</v>
      </c>
      <c r="AC100" s="170" t="e">
        <f t="shared" si="254"/>
        <v>#DIV/0!</v>
      </c>
      <c r="AD100" s="137" t="e">
        <f t="shared" ref="AD100" si="255">((AC100/G100)^(1/($AC$3-$H$1) ))-1</f>
        <v>#DIV/0!</v>
      </c>
      <c r="AE100" s="145"/>
      <c r="AF100" s="145"/>
    </row>
    <row r="101" spans="2:32" ht="12" customHeight="1" x14ac:dyDescent="0.2">
      <c r="B101" s="20"/>
      <c r="C101" s="151"/>
      <c r="D101" s="151"/>
      <c r="E101" s="151"/>
      <c r="F101" s="151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20"/>
      <c r="T101" s="151"/>
      <c r="U101" s="151"/>
      <c r="V101" s="151"/>
      <c r="W101" s="151"/>
      <c r="X101" s="151"/>
      <c r="Y101" s="151"/>
      <c r="Z101" s="151"/>
      <c r="AA101" s="151"/>
      <c r="AB101" s="151"/>
      <c r="AC101" s="151"/>
      <c r="AD101" s="151"/>
      <c r="AE101" s="145"/>
      <c r="AF101" s="145"/>
    </row>
    <row r="102" spans="2:32" ht="12" customHeight="1" x14ac:dyDescent="0.2">
      <c r="B102" s="20" t="s">
        <v>400</v>
      </c>
      <c r="C102" s="151"/>
      <c r="D102" s="151"/>
      <c r="E102" s="151"/>
      <c r="F102" s="151"/>
      <c r="G102" s="127">
        <f>1/G96</f>
        <v>57.724999999999994</v>
      </c>
      <c r="H102" s="127">
        <f t="shared" ref="H102:P102" si="256">1/H96</f>
        <v>80.46875</v>
      </c>
      <c r="I102" s="127">
        <f t="shared" si="256"/>
        <v>75.61999999999999</v>
      </c>
      <c r="J102" s="127">
        <f t="shared" si="256"/>
        <v>90.04</v>
      </c>
      <c r="K102" s="127">
        <f t="shared" si="256"/>
        <v>78.060606060606062</v>
      </c>
      <c r="L102" s="127">
        <f t="shared" si="256"/>
        <v>79.434782608695656</v>
      </c>
      <c r="M102" s="127">
        <f t="shared" si="256"/>
        <v>121.44444444444446</v>
      </c>
      <c r="N102" s="127">
        <f t="shared" si="256"/>
        <v>112.65591397849462</v>
      </c>
      <c r="O102" s="127">
        <f t="shared" si="256"/>
        <v>75.64150943396227</v>
      </c>
      <c r="P102" s="127">
        <f t="shared" si="256"/>
        <v>62.755102040816332</v>
      </c>
      <c r="Q102" s="127">
        <f t="shared" ref="Q102" si="257">1/Q96</f>
        <v>57.701298701298704</v>
      </c>
      <c r="R102" s="118">
        <f t="shared" si="216"/>
        <v>8.3899527127708762E-3</v>
      </c>
      <c r="S102" s="20"/>
      <c r="T102" s="127">
        <f t="shared" ref="T102:AC102" si="258">1/T96</f>
        <v>57.701298701298704</v>
      </c>
      <c r="U102" s="127">
        <f t="shared" si="258"/>
        <v>57.701298701298704</v>
      </c>
      <c r="V102" s="127">
        <f t="shared" si="258"/>
        <v>57.701298701298704</v>
      </c>
      <c r="W102" s="127">
        <f t="shared" si="258"/>
        <v>57.701298701298704</v>
      </c>
      <c r="X102" s="127">
        <f t="shared" si="258"/>
        <v>57.701298701298704</v>
      </c>
      <c r="Y102" s="127">
        <f t="shared" si="258"/>
        <v>57.701298701298704</v>
      </c>
      <c r="Z102" s="127">
        <f t="shared" si="258"/>
        <v>57.701298701298704</v>
      </c>
      <c r="AA102" s="127">
        <f t="shared" si="258"/>
        <v>57.70129870129869</v>
      </c>
      <c r="AB102" s="127">
        <f t="shared" si="258"/>
        <v>57.701298701298704</v>
      </c>
      <c r="AC102" s="127">
        <f t="shared" si="258"/>
        <v>57.701298701298704</v>
      </c>
      <c r="AD102" s="137">
        <f t="shared" si="218"/>
        <v>-2.0533497101626885E-5</v>
      </c>
      <c r="AE102" s="145"/>
      <c r="AF102" s="145"/>
    </row>
    <row r="103" spans="2:32" ht="12" customHeight="1" x14ac:dyDescent="0.2">
      <c r="B103" s="20" t="s">
        <v>401</v>
      </c>
      <c r="C103" s="151"/>
      <c r="D103" s="151"/>
      <c r="E103" s="151"/>
      <c r="F103" s="151"/>
      <c r="G103" s="127">
        <f t="shared" ref="G103:P106" si="259">1/G97</f>
        <v>5.5</v>
      </c>
      <c r="H103" s="127">
        <f t="shared" si="259"/>
        <v>6.25</v>
      </c>
      <c r="I103" s="127">
        <f t="shared" si="259"/>
        <v>4.8199999999999994</v>
      </c>
      <c r="J103" s="127">
        <f t="shared" si="259"/>
        <v>8.74</v>
      </c>
      <c r="K103" s="127">
        <f t="shared" si="259"/>
        <v>6.6363636363636367</v>
      </c>
      <c r="L103" s="127">
        <f t="shared" si="259"/>
        <v>10.202898550724639</v>
      </c>
      <c r="M103" s="127">
        <f t="shared" si="259"/>
        <v>13.253968253968255</v>
      </c>
      <c r="N103" s="127">
        <f t="shared" si="259"/>
        <v>8.7526881720430101</v>
      </c>
      <c r="O103" s="127">
        <f t="shared" si="259"/>
        <v>8</v>
      </c>
      <c r="P103" s="127">
        <f t="shared" si="259"/>
        <v>9.0816326530612237</v>
      </c>
      <c r="Q103" s="127">
        <f t="shared" ref="Q103" si="260">1/Q97</f>
        <v>6.8571428571428568</v>
      </c>
      <c r="R103" s="118">
        <f t="shared" si="216"/>
        <v>5.1429418350681155E-2</v>
      </c>
      <c r="S103" s="20"/>
      <c r="T103" s="127">
        <f t="shared" ref="T103:AC103" si="261">1/T97</f>
        <v>6.8571428571428577</v>
      </c>
      <c r="U103" s="127">
        <f t="shared" si="261"/>
        <v>6.8571428571428568</v>
      </c>
      <c r="V103" s="127">
        <f t="shared" si="261"/>
        <v>6.8571428571428568</v>
      </c>
      <c r="W103" s="127">
        <f t="shared" si="261"/>
        <v>6.8571428571428568</v>
      </c>
      <c r="X103" s="127">
        <f t="shared" si="261"/>
        <v>6.8571428571428568</v>
      </c>
      <c r="Y103" s="127">
        <f t="shared" si="261"/>
        <v>6.857142857142855</v>
      </c>
      <c r="Z103" s="127">
        <f t="shared" si="261"/>
        <v>6.857142857142855</v>
      </c>
      <c r="AA103" s="127">
        <f t="shared" si="261"/>
        <v>6.8571428571428541</v>
      </c>
      <c r="AB103" s="127">
        <f t="shared" si="261"/>
        <v>6.857142857142855</v>
      </c>
      <c r="AC103" s="127">
        <f t="shared" si="261"/>
        <v>6.857142857142855</v>
      </c>
      <c r="AD103" s="137">
        <f t="shared" si="218"/>
        <v>1.108816146895486E-2</v>
      </c>
      <c r="AE103" s="145"/>
      <c r="AF103" s="145"/>
    </row>
    <row r="104" spans="2:32" ht="12" customHeight="1" x14ac:dyDescent="0.2">
      <c r="B104" s="20" t="s">
        <v>402</v>
      </c>
      <c r="C104" s="151"/>
      <c r="D104" s="151"/>
      <c r="E104" s="151"/>
      <c r="F104" s="151"/>
      <c r="G104" s="127">
        <f t="shared" si="259"/>
        <v>2.95</v>
      </c>
      <c r="H104" s="127">
        <f t="shared" si="259"/>
        <v>0.90625</v>
      </c>
      <c r="I104" s="127">
        <f t="shared" si="259"/>
        <v>1.5799999999999998</v>
      </c>
      <c r="J104" s="127">
        <f t="shared" si="259"/>
        <v>3.4</v>
      </c>
      <c r="K104" s="127">
        <f t="shared" si="259"/>
        <v>2.1666666666666665</v>
      </c>
      <c r="L104" s="127">
        <f t="shared" si="259"/>
        <v>3.63768115942029</v>
      </c>
      <c r="M104" s="127">
        <f t="shared" si="259"/>
        <v>5.6666666666666661</v>
      </c>
      <c r="N104" s="127">
        <f t="shared" si="259"/>
        <v>6.655913978494624</v>
      </c>
      <c r="O104" s="127">
        <f t="shared" si="259"/>
        <v>3.6477987421383649</v>
      </c>
      <c r="P104" s="127">
        <f t="shared" si="259"/>
        <v>4.1224489795918364</v>
      </c>
      <c r="Q104" s="127">
        <f t="shared" ref="Q104" si="262">1/Q98</f>
        <v>3.9307359307359309</v>
      </c>
      <c r="R104" s="118">
        <f t="shared" si="216"/>
        <v>3.40304484474101E-2</v>
      </c>
      <c r="S104" s="20"/>
      <c r="T104" s="127">
        <f t="shared" ref="T104:AC104" si="263">1/T98</f>
        <v>3.9307359307359304</v>
      </c>
      <c r="U104" s="127">
        <f t="shared" si="263"/>
        <v>3.9307359307359304</v>
      </c>
      <c r="V104" s="127">
        <f t="shared" si="263"/>
        <v>3.9307359307359304</v>
      </c>
      <c r="W104" s="127">
        <f t="shared" si="263"/>
        <v>3.9307359307359309</v>
      </c>
      <c r="X104" s="127">
        <f t="shared" si="263"/>
        <v>3.9307359307359309</v>
      </c>
      <c r="Y104" s="127">
        <f t="shared" si="263"/>
        <v>3.9307359307359309</v>
      </c>
      <c r="Z104" s="127">
        <f t="shared" si="263"/>
        <v>3.9307359307359309</v>
      </c>
      <c r="AA104" s="127">
        <f t="shared" si="263"/>
        <v>3.9307359307359309</v>
      </c>
      <c r="AB104" s="127">
        <f t="shared" si="263"/>
        <v>3.9307359307359309</v>
      </c>
      <c r="AC104" s="127">
        <f t="shared" si="263"/>
        <v>3.9307359307359317</v>
      </c>
      <c r="AD104" s="137">
        <f t="shared" si="218"/>
        <v>1.4454545942695907E-2</v>
      </c>
      <c r="AE104" s="145"/>
      <c r="AF104" s="145"/>
    </row>
    <row r="105" spans="2:32" ht="12" customHeight="1" x14ac:dyDescent="0.2">
      <c r="B105" s="20" t="s">
        <v>403</v>
      </c>
      <c r="C105" s="151"/>
      <c r="D105" s="151"/>
      <c r="E105" s="151"/>
      <c r="F105" s="151"/>
      <c r="G105" s="127">
        <f t="shared" si="259"/>
        <v>1</v>
      </c>
      <c r="H105" s="127">
        <f t="shared" si="259"/>
        <v>1.125</v>
      </c>
      <c r="I105" s="127">
        <f t="shared" si="259"/>
        <v>1.06</v>
      </c>
      <c r="J105" s="127">
        <f t="shared" si="259"/>
        <v>1.4600000000000002</v>
      </c>
      <c r="K105" s="127">
        <f t="shared" si="259"/>
        <v>1.5454545454545454</v>
      </c>
      <c r="L105" s="127">
        <f t="shared" si="259"/>
        <v>0.86956521739130443</v>
      </c>
      <c r="M105" s="127">
        <f t="shared" si="259"/>
        <v>0.8571428571428571</v>
      </c>
      <c r="N105" s="127">
        <f t="shared" si="259"/>
        <v>0.62365591397849462</v>
      </c>
      <c r="O105" s="127">
        <f t="shared" si="259"/>
        <v>0.40880503144654085</v>
      </c>
      <c r="P105" s="127">
        <f t="shared" si="259"/>
        <v>1.7193877551020409</v>
      </c>
      <c r="Q105" s="127" t="e">
        <f t="shared" ref="Q105" si="264">1/Q99</f>
        <v>#DIV/0!</v>
      </c>
      <c r="R105" s="118">
        <f t="shared" si="216"/>
        <v>5.5692370587836937E-2</v>
      </c>
      <c r="S105" s="20"/>
      <c r="T105" s="127" t="e">
        <f t="shared" ref="T105:AC105" si="265">1/T99</f>
        <v>#DIV/0!</v>
      </c>
      <c r="U105" s="127" t="e">
        <f t="shared" si="265"/>
        <v>#DIV/0!</v>
      </c>
      <c r="V105" s="127" t="e">
        <f t="shared" si="265"/>
        <v>#DIV/0!</v>
      </c>
      <c r="W105" s="127" t="e">
        <f t="shared" si="265"/>
        <v>#DIV/0!</v>
      </c>
      <c r="X105" s="127" t="e">
        <f t="shared" si="265"/>
        <v>#DIV/0!</v>
      </c>
      <c r="Y105" s="127" t="e">
        <f t="shared" si="265"/>
        <v>#DIV/0!</v>
      </c>
      <c r="Z105" s="127" t="e">
        <f t="shared" si="265"/>
        <v>#DIV/0!</v>
      </c>
      <c r="AA105" s="127" t="e">
        <f t="shared" si="265"/>
        <v>#DIV/0!</v>
      </c>
      <c r="AB105" s="127" t="e">
        <f t="shared" si="265"/>
        <v>#DIV/0!</v>
      </c>
      <c r="AC105" s="127" t="e">
        <f t="shared" si="265"/>
        <v>#DIV/0!</v>
      </c>
      <c r="AD105" s="137" t="e">
        <f t="shared" si="218"/>
        <v>#DIV/0!</v>
      </c>
      <c r="AE105" s="145"/>
      <c r="AF105" s="145"/>
    </row>
    <row r="106" spans="2:32" ht="12" customHeight="1" x14ac:dyDescent="0.2">
      <c r="B106" s="20" t="s">
        <v>404</v>
      </c>
      <c r="C106" s="151"/>
      <c r="D106" s="151"/>
      <c r="E106" s="151"/>
      <c r="F106" s="151"/>
      <c r="G106" s="127">
        <f t="shared" si="259"/>
        <v>2.8</v>
      </c>
      <c r="H106" s="127">
        <f t="shared" si="259"/>
        <v>1.8125</v>
      </c>
      <c r="I106" s="127">
        <f t="shared" si="259"/>
        <v>1.06</v>
      </c>
      <c r="J106" s="127">
        <f t="shared" si="259"/>
        <v>1.4600000000000002</v>
      </c>
      <c r="K106" s="127">
        <f t="shared" si="259"/>
        <v>1.5454545454545454</v>
      </c>
      <c r="L106" s="127">
        <f t="shared" si="259"/>
        <v>0.86956521739130443</v>
      </c>
      <c r="M106" s="127">
        <f t="shared" si="259"/>
        <v>0.84126984126984128</v>
      </c>
      <c r="N106" s="127">
        <f t="shared" si="259"/>
        <v>0.61290322580645162</v>
      </c>
      <c r="O106" s="127">
        <f t="shared" si="259"/>
        <v>0.37106918238993714</v>
      </c>
      <c r="P106" s="127">
        <f t="shared" si="259"/>
        <v>1.4540816326530612</v>
      </c>
      <c r="Q106" s="127" t="e">
        <f t="shared" ref="Q106" si="266">1/Q100</f>
        <v>#DIV/0!</v>
      </c>
      <c r="R106" s="118">
        <f t="shared" si="216"/>
        <v>-6.3423889908927111E-2</v>
      </c>
      <c r="S106" s="20"/>
      <c r="T106" s="127" t="e">
        <f t="shared" ref="T106:AC106" si="267">1/T100</f>
        <v>#DIV/0!</v>
      </c>
      <c r="U106" s="127" t="e">
        <f t="shared" si="267"/>
        <v>#DIV/0!</v>
      </c>
      <c r="V106" s="127" t="e">
        <f t="shared" si="267"/>
        <v>#DIV/0!</v>
      </c>
      <c r="W106" s="127" t="e">
        <f t="shared" si="267"/>
        <v>#DIV/0!</v>
      </c>
      <c r="X106" s="127" t="e">
        <f t="shared" si="267"/>
        <v>#DIV/0!</v>
      </c>
      <c r="Y106" s="127" t="e">
        <f t="shared" si="267"/>
        <v>#DIV/0!</v>
      </c>
      <c r="Z106" s="127" t="e">
        <f t="shared" si="267"/>
        <v>#DIV/0!</v>
      </c>
      <c r="AA106" s="127" t="e">
        <f t="shared" si="267"/>
        <v>#DIV/0!</v>
      </c>
      <c r="AB106" s="127" t="e">
        <f t="shared" si="267"/>
        <v>#DIV/0!</v>
      </c>
      <c r="AC106" s="127" t="e">
        <f t="shared" si="267"/>
        <v>#DIV/0!</v>
      </c>
      <c r="AD106" s="137" t="e">
        <f t="shared" si="218"/>
        <v>#DIV/0!</v>
      </c>
      <c r="AE106" s="145"/>
      <c r="AF106" s="145"/>
    </row>
    <row r="107" spans="2:32" ht="12" customHeight="1" x14ac:dyDescent="0.2">
      <c r="B107" s="20"/>
      <c r="C107" s="151"/>
      <c r="D107" s="151"/>
      <c r="E107" s="151"/>
      <c r="F107" s="151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20"/>
      <c r="T107" s="151"/>
      <c r="U107" s="151"/>
      <c r="V107" s="151"/>
      <c r="W107" s="151"/>
      <c r="X107" s="151"/>
      <c r="Y107" s="151"/>
      <c r="Z107" s="151"/>
      <c r="AA107" s="151"/>
      <c r="AB107" s="151"/>
      <c r="AC107" s="151"/>
      <c r="AD107" s="151"/>
      <c r="AE107" s="145"/>
      <c r="AF107" s="145"/>
    </row>
    <row r="108" spans="2:32" ht="12" customHeight="1" x14ac:dyDescent="0.2">
      <c r="B108" s="20"/>
      <c r="C108" s="151"/>
      <c r="D108" s="151"/>
      <c r="E108" s="151"/>
      <c r="F108" s="151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20"/>
      <c r="T108" s="151"/>
      <c r="U108" s="151"/>
      <c r="V108" s="151"/>
      <c r="W108" s="151"/>
      <c r="X108" s="151"/>
      <c r="Y108" s="151"/>
      <c r="Z108" s="151"/>
      <c r="AA108" s="151"/>
      <c r="AB108" s="151"/>
      <c r="AC108" s="151"/>
      <c r="AD108" s="151"/>
      <c r="AE108" s="145"/>
      <c r="AF108" s="145"/>
    </row>
    <row r="109" spans="2:32" x14ac:dyDescent="0.2">
      <c r="B109" s="20" t="s">
        <v>324</v>
      </c>
      <c r="C109" s="151"/>
      <c r="D109" s="151"/>
      <c r="E109" s="151"/>
      <c r="F109" s="162"/>
      <c r="G109" s="162">
        <f t="shared" ref="G109:O109" si="268">G10-(G12+G13)</f>
        <v>177</v>
      </c>
      <c r="H109" s="162">
        <f t="shared" si="268"/>
        <v>288</v>
      </c>
      <c r="I109" s="162">
        <f t="shared" si="268"/>
        <v>422</v>
      </c>
      <c r="J109" s="162">
        <f t="shared" si="268"/>
        <v>467</v>
      </c>
      <c r="K109" s="162">
        <f t="shared" si="268"/>
        <v>796</v>
      </c>
      <c r="L109" s="162">
        <f t="shared" si="268"/>
        <v>88</v>
      </c>
      <c r="M109" s="162">
        <f t="shared" si="268"/>
        <v>825</v>
      </c>
      <c r="N109" s="162">
        <f t="shared" si="268"/>
        <v>1385</v>
      </c>
      <c r="O109" s="162">
        <f t="shared" si="268"/>
        <v>1136</v>
      </c>
      <c r="P109" s="162">
        <f>P10-(P12+P13)</f>
        <v>187</v>
      </c>
      <c r="Q109" s="162">
        <f>Q10-(Q12+Q13)</f>
        <v>0</v>
      </c>
      <c r="R109" s="118">
        <f t="shared" si="216"/>
        <v>5.5110185279638735E-3</v>
      </c>
      <c r="S109" s="20"/>
      <c r="T109" s="162">
        <f>T10-(T12+T13)</f>
        <v>0</v>
      </c>
      <c r="U109" s="162">
        <f t="shared" ref="U109:AC109" si="269">U10-(U12+U13)</f>
        <v>0</v>
      </c>
      <c r="V109" s="162">
        <f t="shared" si="269"/>
        <v>0</v>
      </c>
      <c r="W109" s="162">
        <f t="shared" si="269"/>
        <v>0</v>
      </c>
      <c r="X109" s="162">
        <f t="shared" si="269"/>
        <v>0</v>
      </c>
      <c r="Y109" s="162">
        <f t="shared" si="269"/>
        <v>0</v>
      </c>
      <c r="Z109" s="162">
        <f t="shared" si="269"/>
        <v>0</v>
      </c>
      <c r="AA109" s="162">
        <f t="shared" si="269"/>
        <v>0</v>
      </c>
      <c r="AB109" s="162">
        <f t="shared" si="269"/>
        <v>0</v>
      </c>
      <c r="AC109" s="162">
        <f t="shared" si="269"/>
        <v>0</v>
      </c>
      <c r="AD109" s="137">
        <f t="shared" si="218"/>
        <v>-1</v>
      </c>
      <c r="AE109" s="145"/>
      <c r="AF109" s="145"/>
    </row>
    <row r="110" spans="2:32" ht="12" customHeight="1" x14ac:dyDescent="0.2">
      <c r="B110" s="20" t="s">
        <v>319</v>
      </c>
      <c r="C110" s="20"/>
      <c r="D110" s="20"/>
      <c r="E110" s="20"/>
      <c r="F110" s="20"/>
      <c r="G110" s="151">
        <f t="shared" ref="G110:P110" si="270">G40/G18</f>
        <v>0.29648241206030151</v>
      </c>
      <c r="H110" s="151">
        <f t="shared" si="270"/>
        <v>6.9212410501193311E-2</v>
      </c>
      <c r="I110" s="151">
        <f t="shared" si="270"/>
        <v>0.12079510703363915</v>
      </c>
      <c r="J110" s="151">
        <f t="shared" si="270"/>
        <v>0.25757575757575757</v>
      </c>
      <c r="K110" s="151">
        <f t="shared" si="270"/>
        <v>0.16436781609195403</v>
      </c>
      <c r="L110" s="151">
        <f t="shared" si="270"/>
        <v>0.26816239316239315</v>
      </c>
      <c r="M110" s="151">
        <f t="shared" si="270"/>
        <v>0.26842105263157895</v>
      </c>
      <c r="N110" s="151">
        <f t="shared" si="270"/>
        <v>0.31389452332657203</v>
      </c>
      <c r="O110" s="151">
        <f t="shared" si="270"/>
        <v>0.19876627827278959</v>
      </c>
      <c r="P110" s="151">
        <f t="shared" si="270"/>
        <v>0.27168796234028247</v>
      </c>
      <c r="Q110" s="151" t="e">
        <f t="shared" ref="Q110" si="271">Q40/Q18</f>
        <v>#DIV/0!</v>
      </c>
      <c r="R110" s="118">
        <f t="shared" si="216"/>
        <v>-8.6953436792269745E-3</v>
      </c>
      <c r="S110" s="20"/>
      <c r="T110" s="151" t="e">
        <f t="shared" ref="T110:AC110" si="272">T40/T18</f>
        <v>#DIV/0!</v>
      </c>
      <c r="U110" s="151" t="e">
        <f t="shared" si="272"/>
        <v>#DIV/0!</v>
      </c>
      <c r="V110" s="151" t="e">
        <f t="shared" si="272"/>
        <v>#DIV/0!</v>
      </c>
      <c r="W110" s="151" t="e">
        <f t="shared" si="272"/>
        <v>#DIV/0!</v>
      </c>
      <c r="X110" s="151" t="e">
        <f t="shared" si="272"/>
        <v>#DIV/0!</v>
      </c>
      <c r="Y110" s="151" t="e">
        <f t="shared" si="272"/>
        <v>#DIV/0!</v>
      </c>
      <c r="Z110" s="151" t="e">
        <f t="shared" si="272"/>
        <v>#DIV/0!</v>
      </c>
      <c r="AA110" s="151" t="e">
        <f t="shared" si="272"/>
        <v>#DIV/0!</v>
      </c>
      <c r="AB110" s="151" t="e">
        <f t="shared" si="272"/>
        <v>#DIV/0!</v>
      </c>
      <c r="AC110" s="151" t="e">
        <f t="shared" si="272"/>
        <v>#DIV/0!</v>
      </c>
      <c r="AD110" s="137" t="e">
        <f t="shared" si="218"/>
        <v>#DIV/0!</v>
      </c>
      <c r="AE110" s="20"/>
      <c r="AF110" s="20"/>
    </row>
    <row r="111" spans="2:32" x14ac:dyDescent="0.2">
      <c r="B111" s="20" t="s">
        <v>320</v>
      </c>
      <c r="C111" s="20"/>
      <c r="D111" s="20"/>
      <c r="E111" s="20"/>
      <c r="F111" s="20"/>
      <c r="G111" s="151">
        <f t="shared" ref="G111:P111" si="273">G40/G25</f>
        <v>5.1104374187960155E-2</v>
      </c>
      <c r="H111" s="151">
        <f t="shared" si="273"/>
        <v>1.1262135922330097E-2</v>
      </c>
      <c r="I111" s="151">
        <f t="shared" si="273"/>
        <v>2.089394340121661E-2</v>
      </c>
      <c r="J111" s="151">
        <f t="shared" si="273"/>
        <v>3.7760995113282986E-2</v>
      </c>
      <c r="K111" s="151">
        <f t="shared" si="273"/>
        <v>2.7756211180124224E-2</v>
      </c>
      <c r="L111" s="151">
        <f t="shared" si="273"/>
        <v>4.579456303594235E-2</v>
      </c>
      <c r="M111" s="151">
        <f t="shared" si="273"/>
        <v>4.6660567246111617E-2</v>
      </c>
      <c r="N111" s="151">
        <f t="shared" si="273"/>
        <v>5.9081798224682638E-2</v>
      </c>
      <c r="O111" s="151">
        <f t="shared" si="273"/>
        <v>4.8224827471522409E-2</v>
      </c>
      <c r="P111" s="151">
        <f t="shared" si="273"/>
        <v>6.5691056910569104E-2</v>
      </c>
      <c r="Q111" s="151">
        <f t="shared" ref="Q111" si="274">Q40/Q25</f>
        <v>6.8122139695400999E-2</v>
      </c>
      <c r="R111" s="118">
        <f t="shared" si="216"/>
        <v>2.5427163039121181E-2</v>
      </c>
      <c r="S111" s="20"/>
      <c r="T111" s="151">
        <f t="shared" ref="T111:AC111" si="275">T40/T25</f>
        <v>6.8122139695400999E-2</v>
      </c>
      <c r="U111" s="151">
        <f t="shared" si="275"/>
        <v>6.8122139695400999E-2</v>
      </c>
      <c r="V111" s="151">
        <f t="shared" si="275"/>
        <v>6.8122139695400999E-2</v>
      </c>
      <c r="W111" s="151">
        <f t="shared" si="275"/>
        <v>6.8122139695400999E-2</v>
      </c>
      <c r="X111" s="151">
        <f t="shared" si="275"/>
        <v>6.8122139695401013E-2</v>
      </c>
      <c r="Y111" s="151">
        <f t="shared" si="275"/>
        <v>6.8122139695401013E-2</v>
      </c>
      <c r="Z111" s="151">
        <f t="shared" si="275"/>
        <v>6.8122139695401027E-2</v>
      </c>
      <c r="AA111" s="151">
        <f t="shared" si="275"/>
        <v>6.8122139695401013E-2</v>
      </c>
      <c r="AB111" s="151">
        <f t="shared" si="275"/>
        <v>6.8122139695401013E-2</v>
      </c>
      <c r="AC111" s="151">
        <f t="shared" si="275"/>
        <v>6.8122139695401027E-2</v>
      </c>
      <c r="AD111" s="137">
        <f t="shared" si="218"/>
        <v>1.4475376669902396E-2</v>
      </c>
      <c r="AE111" s="20"/>
      <c r="AF111" s="20"/>
    </row>
    <row r="112" spans="2:32" x14ac:dyDescent="0.2">
      <c r="B112" s="20" t="s">
        <v>346</v>
      </c>
      <c r="C112" s="20"/>
      <c r="D112" s="20"/>
      <c r="E112" s="151"/>
      <c r="F112" s="151"/>
      <c r="G112" s="151">
        <f t="shared" ref="G112:O112" si="276">G25/G18</f>
        <v>5.8015075376884422</v>
      </c>
      <c r="H112" s="151">
        <f t="shared" si="276"/>
        <v>6.1455847255369926</v>
      </c>
      <c r="I112" s="151">
        <f t="shared" si="276"/>
        <v>5.7813455657492359</v>
      </c>
      <c r="J112" s="151">
        <f t="shared" si="276"/>
        <v>6.8212121212121213</v>
      </c>
      <c r="K112" s="151">
        <f t="shared" si="276"/>
        <v>5.9218390804597698</v>
      </c>
      <c r="L112" s="151">
        <f t="shared" si="276"/>
        <v>5.8557692307692308</v>
      </c>
      <c r="M112" s="151">
        <f t="shared" si="276"/>
        <v>5.7526315789473683</v>
      </c>
      <c r="N112" s="151">
        <f t="shared" si="276"/>
        <v>5.3128803245436105</v>
      </c>
      <c r="O112" s="151">
        <f t="shared" si="276"/>
        <v>4.1216586703221383</v>
      </c>
      <c r="P112" s="151">
        <f>P25/P18</f>
        <v>4.1358439811701411</v>
      </c>
      <c r="Q112" s="151" t="e">
        <f>Q25/Q18</f>
        <v>#DIV/0!</v>
      </c>
      <c r="R112" s="118">
        <f t="shared" si="216"/>
        <v>-3.3276382709833019E-2</v>
      </c>
      <c r="S112" s="20"/>
      <c r="T112" s="151" t="e">
        <f>T25/T18</f>
        <v>#DIV/0!</v>
      </c>
      <c r="U112" s="151" t="e">
        <f t="shared" ref="U112:AC112" si="277">U25/U18</f>
        <v>#DIV/0!</v>
      </c>
      <c r="V112" s="151" t="e">
        <f t="shared" si="277"/>
        <v>#DIV/0!</v>
      </c>
      <c r="W112" s="151" t="e">
        <f t="shared" si="277"/>
        <v>#DIV/0!</v>
      </c>
      <c r="X112" s="151" t="e">
        <f t="shared" si="277"/>
        <v>#DIV/0!</v>
      </c>
      <c r="Y112" s="151" t="e">
        <f t="shared" si="277"/>
        <v>#DIV/0!</v>
      </c>
      <c r="Z112" s="151" t="e">
        <f t="shared" si="277"/>
        <v>#DIV/0!</v>
      </c>
      <c r="AA112" s="151" t="e">
        <f t="shared" si="277"/>
        <v>#DIV/0!</v>
      </c>
      <c r="AB112" s="151" t="e">
        <f t="shared" si="277"/>
        <v>#DIV/0!</v>
      </c>
      <c r="AC112" s="151" t="e">
        <f t="shared" si="277"/>
        <v>#DIV/0!</v>
      </c>
      <c r="AD112" s="137" t="e">
        <f t="shared" si="218"/>
        <v>#DIV/0!</v>
      </c>
      <c r="AE112" s="20"/>
      <c r="AF112" s="20"/>
    </row>
    <row r="113" spans="2:32" x14ac:dyDescent="0.2">
      <c r="B113" s="20"/>
      <c r="C113" s="20"/>
      <c r="D113" s="20"/>
      <c r="E113" s="20"/>
      <c r="F113" s="20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28"/>
      <c r="S113" s="20"/>
      <c r="T113" s="151"/>
      <c r="U113" s="151"/>
      <c r="V113" s="151"/>
      <c r="W113" s="151"/>
      <c r="X113" s="151"/>
      <c r="Y113" s="151"/>
      <c r="Z113" s="151"/>
      <c r="AA113" s="151"/>
      <c r="AB113" s="151"/>
      <c r="AC113" s="151"/>
      <c r="AD113" s="128"/>
      <c r="AE113" s="20"/>
      <c r="AF113" s="20"/>
    </row>
    <row r="114" spans="2:32" x14ac:dyDescent="0.2">
      <c r="B114" s="20" t="s">
        <v>332</v>
      </c>
      <c r="C114" s="20"/>
      <c r="D114" s="20"/>
      <c r="E114" s="164"/>
      <c r="F114" s="164"/>
      <c r="G114" s="164">
        <f>G73*G42</f>
        <v>8.4</v>
      </c>
      <c r="H114" s="164">
        <f t="shared" ref="H114:P114" si="278">H73*H42</f>
        <v>8.4</v>
      </c>
      <c r="I114" s="164">
        <f t="shared" si="278"/>
        <v>8.4</v>
      </c>
      <c r="J114" s="164">
        <f t="shared" si="278"/>
        <v>8.4</v>
      </c>
      <c r="K114" s="164">
        <f t="shared" si="278"/>
        <v>8.4</v>
      </c>
      <c r="L114" s="164">
        <f t="shared" si="278"/>
        <v>10.5</v>
      </c>
      <c r="M114" s="164">
        <f t="shared" si="278"/>
        <v>21</v>
      </c>
      <c r="N114" s="164">
        <f t="shared" si="278"/>
        <v>10.5</v>
      </c>
      <c r="O114" s="164">
        <f t="shared" si="278"/>
        <v>10.5</v>
      </c>
      <c r="P114" s="164">
        <f t="shared" si="278"/>
        <v>12.6</v>
      </c>
      <c r="Q114" s="164">
        <f t="shared" ref="Q114" si="279">Q73*Q42</f>
        <v>21</v>
      </c>
      <c r="R114" s="118">
        <f t="shared" si="216"/>
        <v>4.1379743992410623E-2</v>
      </c>
      <c r="S114" s="20"/>
      <c r="T114" s="164">
        <f t="shared" ref="T114:AC114" si="280">T73*T42</f>
        <v>22.491</v>
      </c>
      <c r="U114" s="164">
        <f t="shared" si="280"/>
        <v>24.087861</v>
      </c>
      <c r="V114" s="164">
        <f t="shared" si="280"/>
        <v>25.798099131000004</v>
      </c>
      <c r="W114" s="164">
        <f t="shared" si="280"/>
        <v>27.629764169301005</v>
      </c>
      <c r="X114" s="164">
        <f t="shared" si="280"/>
        <v>29.591477425321379</v>
      </c>
      <c r="Y114" s="164">
        <f t="shared" si="280"/>
        <v>31.692472322519201</v>
      </c>
      <c r="Z114" s="164">
        <f t="shared" si="280"/>
        <v>33.94263785741807</v>
      </c>
      <c r="AA114" s="164">
        <f t="shared" si="280"/>
        <v>36.352565145294754</v>
      </c>
      <c r="AB114" s="164">
        <f t="shared" si="280"/>
        <v>38.933597270610683</v>
      </c>
      <c r="AC114" s="164">
        <f t="shared" si="280"/>
        <v>41.697882676824044</v>
      </c>
      <c r="AD114" s="137">
        <f t="shared" si="218"/>
        <v>8.3407245895359416E-2</v>
      </c>
      <c r="AE114" s="20"/>
      <c r="AF114" s="20"/>
    </row>
    <row r="115" spans="2:32" x14ac:dyDescent="0.2">
      <c r="B115" s="20" t="s">
        <v>333</v>
      </c>
      <c r="C115" s="20"/>
      <c r="D115" s="20"/>
      <c r="E115" s="164"/>
      <c r="F115" s="164"/>
      <c r="G115" s="164">
        <f t="shared" ref="G115:P115" si="281">(G114*0.17)+G114</f>
        <v>9.8280000000000012</v>
      </c>
      <c r="H115" s="164">
        <f t="shared" si="281"/>
        <v>9.8280000000000012</v>
      </c>
      <c r="I115" s="164">
        <f t="shared" si="281"/>
        <v>9.8280000000000012</v>
      </c>
      <c r="J115" s="164">
        <f t="shared" si="281"/>
        <v>9.8280000000000012</v>
      </c>
      <c r="K115" s="164">
        <f t="shared" si="281"/>
        <v>9.8280000000000012</v>
      </c>
      <c r="L115" s="164">
        <f t="shared" si="281"/>
        <v>12.285</v>
      </c>
      <c r="M115" s="164">
        <f t="shared" si="281"/>
        <v>24.57</v>
      </c>
      <c r="N115" s="164">
        <f t="shared" si="281"/>
        <v>12.285</v>
      </c>
      <c r="O115" s="164">
        <f t="shared" si="281"/>
        <v>12.285</v>
      </c>
      <c r="P115" s="164">
        <f t="shared" si="281"/>
        <v>14.741999999999999</v>
      </c>
      <c r="Q115" s="164">
        <f t="shared" ref="Q115" si="282">(Q114*0.17)+Q114</f>
        <v>24.57</v>
      </c>
      <c r="R115" s="118">
        <f t="shared" si="216"/>
        <v>4.1379743992410623E-2</v>
      </c>
      <c r="S115" s="20"/>
      <c r="T115" s="164">
        <f t="shared" ref="T115:AC115" si="283">(T114*0.17)+T114</f>
        <v>26.31447</v>
      </c>
      <c r="U115" s="164">
        <f t="shared" si="283"/>
        <v>28.182797369999999</v>
      </c>
      <c r="V115" s="164">
        <f t="shared" si="283"/>
        <v>30.183775983270007</v>
      </c>
      <c r="W115" s="164">
        <f t="shared" si="283"/>
        <v>32.326824078082176</v>
      </c>
      <c r="X115" s="164">
        <f t="shared" si="283"/>
        <v>34.622028587626012</v>
      </c>
      <c r="Y115" s="164">
        <f t="shared" si="283"/>
        <v>37.080192617347464</v>
      </c>
      <c r="Z115" s="164">
        <f t="shared" si="283"/>
        <v>39.712886293179139</v>
      </c>
      <c r="AA115" s="164">
        <f t="shared" si="283"/>
        <v>42.532501219994863</v>
      </c>
      <c r="AB115" s="164">
        <f t="shared" si="283"/>
        <v>45.552308806614498</v>
      </c>
      <c r="AC115" s="164">
        <f t="shared" si="283"/>
        <v>48.786522731884133</v>
      </c>
      <c r="AD115" s="137">
        <f t="shared" si="218"/>
        <v>8.3407245895359416E-2</v>
      </c>
      <c r="AE115" s="20"/>
      <c r="AF115" s="20"/>
    </row>
    <row r="116" spans="2:32" x14ac:dyDescent="0.2">
      <c r="B116" s="20" t="s">
        <v>334</v>
      </c>
      <c r="C116" s="20"/>
      <c r="D116" s="20"/>
      <c r="E116" s="20"/>
      <c r="F116" s="151"/>
      <c r="G116" s="151">
        <f t="shared" ref="G116:P116" si="284">G115/G40</f>
        <v>8.3288135593220347E-2</v>
      </c>
      <c r="H116" s="151">
        <f t="shared" si="284"/>
        <v>0.33889655172413796</v>
      </c>
      <c r="I116" s="151">
        <f t="shared" si="284"/>
        <v>0.12440506329113926</v>
      </c>
      <c r="J116" s="151">
        <f t="shared" si="284"/>
        <v>5.7811764705882361E-2</v>
      </c>
      <c r="K116" s="151">
        <f t="shared" si="284"/>
        <v>6.8727272727272734E-2</v>
      </c>
      <c r="L116" s="151">
        <f t="shared" si="284"/>
        <v>4.8944223107569719E-2</v>
      </c>
      <c r="M116" s="151">
        <f t="shared" si="284"/>
        <v>6.88235294117647E-2</v>
      </c>
      <c r="N116" s="151">
        <f t="shared" si="284"/>
        <v>1.9846526655896608E-2</v>
      </c>
      <c r="O116" s="151">
        <f t="shared" si="284"/>
        <v>2.1181034482758623E-2</v>
      </c>
      <c r="P116" s="151">
        <f t="shared" si="284"/>
        <v>1.8245049504950494E-2</v>
      </c>
      <c r="Q116" s="151">
        <f t="shared" ref="Q116" si="285">Q115/Q40</f>
        <v>2.7059471365638767E-2</v>
      </c>
      <c r="R116" s="118">
        <f t="shared" si="216"/>
        <v>-0.14087532909151301</v>
      </c>
      <c r="S116" s="20"/>
      <c r="T116" s="151">
        <f t="shared" ref="T116:AC116" si="286">T115/T40</f>
        <v>2.5200603332694891E-2</v>
      </c>
      <c r="U116" s="151">
        <f t="shared" si="286"/>
        <v>2.3469431451579328E-2</v>
      </c>
      <c r="V116" s="151">
        <f t="shared" si="286"/>
        <v>2.1857183551862149E-2</v>
      </c>
      <c r="W116" s="151">
        <f t="shared" si="286"/>
        <v>2.035569007308205E-2</v>
      </c>
      <c r="X116" s="151">
        <f t="shared" si="286"/>
        <v>1.8957342668061632E-2</v>
      </c>
      <c r="Y116" s="151">
        <f t="shared" si="286"/>
        <v>1.7655055649994793E-2</v>
      </c>
      <c r="Z116" s="151">
        <f t="shared" si="286"/>
        <v>1.6442230087951676E-2</v>
      </c>
      <c r="AA116" s="151">
        <f t="shared" si="286"/>
        <v>1.5312720368866302E-2</v>
      </c>
      <c r="AB116" s="151">
        <f t="shared" si="286"/>
        <v>1.426080305657027E-2</v>
      </c>
      <c r="AC116" s="151">
        <f t="shared" si="286"/>
        <v>1.3281147890075446E-2</v>
      </c>
      <c r="AD116" s="137">
        <f t="shared" si="218"/>
        <v>-8.7710610842244519E-2</v>
      </c>
      <c r="AE116" s="20"/>
      <c r="AF116" s="20"/>
    </row>
    <row r="117" spans="2:32" x14ac:dyDescent="0.2">
      <c r="B117" s="20" t="s">
        <v>327</v>
      </c>
      <c r="C117" s="20"/>
      <c r="D117" s="20"/>
      <c r="E117" s="20"/>
      <c r="F117" s="151"/>
      <c r="G117" s="151">
        <f>1-G116</f>
        <v>0.91671186440677965</v>
      </c>
      <c r="H117" s="151">
        <f t="shared" ref="H117:P117" si="287">1-H116</f>
        <v>0.66110344827586198</v>
      </c>
      <c r="I117" s="151">
        <f t="shared" si="287"/>
        <v>0.87559493670886068</v>
      </c>
      <c r="J117" s="151">
        <f t="shared" si="287"/>
        <v>0.94218823529411766</v>
      </c>
      <c r="K117" s="151">
        <f t="shared" si="287"/>
        <v>0.93127272727272725</v>
      </c>
      <c r="L117" s="151">
        <f t="shared" si="287"/>
        <v>0.95105577689243026</v>
      </c>
      <c r="M117" s="151">
        <f t="shared" si="287"/>
        <v>0.93117647058823527</v>
      </c>
      <c r="N117" s="151">
        <f t="shared" si="287"/>
        <v>0.98015347334410341</v>
      </c>
      <c r="O117" s="151">
        <f t="shared" si="287"/>
        <v>0.97881896551724135</v>
      </c>
      <c r="P117" s="151">
        <f t="shared" si="287"/>
        <v>0.98175495049504946</v>
      </c>
      <c r="Q117" s="151">
        <f t="shared" ref="Q117" si="288">1-Q116</f>
        <v>0.9729405286343612</v>
      </c>
      <c r="R117" s="118">
        <f t="shared" si="216"/>
        <v>6.8784011361462394E-3</v>
      </c>
      <c r="S117" s="20"/>
      <c r="T117" s="151">
        <f t="shared" ref="T117:AC117" si="289">1-T116</f>
        <v>0.97479939666730508</v>
      </c>
      <c r="U117" s="151">
        <f t="shared" si="289"/>
        <v>0.97653056854842069</v>
      </c>
      <c r="V117" s="151">
        <f t="shared" si="289"/>
        <v>0.97814281644813783</v>
      </c>
      <c r="W117" s="151">
        <f t="shared" si="289"/>
        <v>0.97964430992691798</v>
      </c>
      <c r="X117" s="151">
        <f t="shared" si="289"/>
        <v>0.98104265733193841</v>
      </c>
      <c r="Y117" s="151">
        <f t="shared" si="289"/>
        <v>0.98234494435000519</v>
      </c>
      <c r="Z117" s="151">
        <f t="shared" si="289"/>
        <v>0.98355776991204835</v>
      </c>
      <c r="AA117" s="151">
        <f t="shared" si="289"/>
        <v>0.98468727963113367</v>
      </c>
      <c r="AB117" s="151">
        <f t="shared" si="289"/>
        <v>0.98573919694342971</v>
      </c>
      <c r="AC117" s="151">
        <f t="shared" si="289"/>
        <v>0.9867188521099246</v>
      </c>
      <c r="AD117" s="137">
        <f t="shared" si="218"/>
        <v>3.6863750530906625E-3</v>
      </c>
      <c r="AE117" s="20"/>
      <c r="AF117" s="20"/>
    </row>
    <row r="118" spans="2:32" x14ac:dyDescent="0.2">
      <c r="B118" s="20" t="s">
        <v>450</v>
      </c>
      <c r="C118" s="20"/>
      <c r="D118" s="20"/>
      <c r="E118" s="20"/>
      <c r="F118" s="151"/>
      <c r="G118" s="151">
        <f t="shared" ref="G118:P118" si="290">G115/G20</f>
        <v>9.8280000000000006E-2</v>
      </c>
      <c r="H118" s="151">
        <f t="shared" si="290"/>
        <v>0.15851612903225809</v>
      </c>
      <c r="I118" s="151">
        <f t="shared" si="290"/>
        <v>3.5738181818181822E-2</v>
      </c>
      <c r="J118" s="151">
        <f t="shared" si="290"/>
        <v>3.2117647058823535E-2</v>
      </c>
      <c r="K118" s="151">
        <f t="shared" si="290"/>
        <v>3.6535315985130115E-2</v>
      </c>
      <c r="L118" s="151">
        <f t="shared" si="290"/>
        <v>1.4251740139211136E-2</v>
      </c>
      <c r="M118" s="151">
        <f t="shared" si="290"/>
        <v>0.15649681528662421</v>
      </c>
      <c r="N118" s="151">
        <f t="shared" si="290"/>
        <v>4.4350180505415164E-2</v>
      </c>
      <c r="O118" s="151">
        <f t="shared" si="290"/>
        <v>1.2020547945205479E-2</v>
      </c>
      <c r="P118" s="151">
        <f t="shared" si="290"/>
        <v>1.0367088607594936E-2</v>
      </c>
      <c r="Q118" s="151" t="e">
        <f>Q115/Q20</f>
        <v>#DIV/0!</v>
      </c>
      <c r="R118" s="118">
        <f t="shared" si="216"/>
        <v>-0.20141864491510364</v>
      </c>
      <c r="S118" s="20"/>
      <c r="T118" s="151" t="e">
        <f>T115/T20</f>
        <v>#DIV/0!</v>
      </c>
      <c r="U118" s="151" t="e">
        <f t="shared" ref="U118:AC118" si="291">U115/U20</f>
        <v>#DIV/0!</v>
      </c>
      <c r="V118" s="151" t="e">
        <f t="shared" si="291"/>
        <v>#DIV/0!</v>
      </c>
      <c r="W118" s="151" t="e">
        <f t="shared" si="291"/>
        <v>#DIV/0!</v>
      </c>
      <c r="X118" s="151" t="e">
        <f t="shared" si="291"/>
        <v>#DIV/0!</v>
      </c>
      <c r="Y118" s="151" t="e">
        <f t="shared" si="291"/>
        <v>#DIV/0!</v>
      </c>
      <c r="Z118" s="151" t="e">
        <f t="shared" si="291"/>
        <v>#DIV/0!</v>
      </c>
      <c r="AA118" s="151" t="e">
        <f t="shared" si="291"/>
        <v>#DIV/0!</v>
      </c>
      <c r="AB118" s="151" t="e">
        <f t="shared" si="291"/>
        <v>#DIV/0!</v>
      </c>
      <c r="AC118" s="151" t="e">
        <f t="shared" si="291"/>
        <v>#DIV/0!</v>
      </c>
      <c r="AD118" s="137" t="s">
        <v>451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28"/>
      <c r="S119" s="20"/>
      <c r="T119" s="151"/>
      <c r="U119" s="151"/>
      <c r="V119" s="151"/>
      <c r="W119" s="151"/>
      <c r="X119" s="151"/>
      <c r="Y119" s="151"/>
      <c r="Z119" s="151"/>
      <c r="AA119" s="151"/>
      <c r="AB119" s="151"/>
      <c r="AC119" s="151"/>
      <c r="AD119" s="128"/>
      <c r="AE119" s="20"/>
      <c r="AF119" s="20"/>
    </row>
    <row r="120" spans="2:32" x14ac:dyDescent="0.2">
      <c r="B120" s="20" t="s">
        <v>331</v>
      </c>
      <c r="C120" s="151"/>
      <c r="D120" s="151"/>
      <c r="E120" s="151"/>
      <c r="F120" s="151"/>
      <c r="G120" s="151">
        <f>G31/G25</f>
        <v>0</v>
      </c>
      <c r="H120" s="151">
        <f t="shared" ref="H120:P120" si="292">H31/H25</f>
        <v>0</v>
      </c>
      <c r="I120" s="151">
        <f t="shared" si="292"/>
        <v>0</v>
      </c>
      <c r="J120" s="151">
        <f t="shared" si="292"/>
        <v>0</v>
      </c>
      <c r="K120" s="151">
        <f t="shared" si="292"/>
        <v>0</v>
      </c>
      <c r="L120" s="151">
        <f t="shared" si="292"/>
        <v>0</v>
      </c>
      <c r="M120" s="151">
        <f t="shared" si="292"/>
        <v>0</v>
      </c>
      <c r="N120" s="151">
        <f t="shared" si="292"/>
        <v>0</v>
      </c>
      <c r="O120" s="151">
        <f t="shared" si="292"/>
        <v>0</v>
      </c>
      <c r="P120" s="151">
        <f t="shared" si="292"/>
        <v>0</v>
      </c>
      <c r="Q120" s="151">
        <f t="shared" ref="Q120" si="293">Q31/Q25</f>
        <v>0</v>
      </c>
      <c r="R120" s="118" t="e">
        <f t="shared" si="216"/>
        <v>#DIV/0!</v>
      </c>
      <c r="S120" s="20"/>
      <c r="T120" s="151">
        <f t="shared" ref="T120:AC120" si="294">T31/T25</f>
        <v>0</v>
      </c>
      <c r="U120" s="151">
        <f t="shared" si="294"/>
        <v>0</v>
      </c>
      <c r="V120" s="151">
        <f t="shared" si="294"/>
        <v>0</v>
      </c>
      <c r="W120" s="151">
        <f t="shared" si="294"/>
        <v>0</v>
      </c>
      <c r="X120" s="151">
        <f t="shared" si="294"/>
        <v>0</v>
      </c>
      <c r="Y120" s="151">
        <f t="shared" si="294"/>
        <v>0</v>
      </c>
      <c r="Z120" s="151">
        <f t="shared" si="294"/>
        <v>0</v>
      </c>
      <c r="AA120" s="151">
        <f t="shared" si="294"/>
        <v>0</v>
      </c>
      <c r="AB120" s="151">
        <f t="shared" si="294"/>
        <v>0</v>
      </c>
      <c r="AC120" s="151">
        <f t="shared" si="294"/>
        <v>0</v>
      </c>
      <c r="AD120" s="137" t="e">
        <f t="shared" si="218"/>
        <v>#DIV/0!</v>
      </c>
      <c r="AE120" s="20"/>
      <c r="AF120" s="20"/>
    </row>
    <row r="121" spans="2:32" x14ac:dyDescent="0.2">
      <c r="B121" s="20" t="s">
        <v>328</v>
      </c>
      <c r="C121" s="151"/>
      <c r="D121" s="151"/>
      <c r="E121" s="151"/>
      <c r="F121" s="151"/>
      <c r="G121" s="151">
        <f>G32/G25</f>
        <v>0</v>
      </c>
      <c r="H121" s="151">
        <f t="shared" ref="H121:P121" si="295">H32/H25</f>
        <v>0</v>
      </c>
      <c r="I121" s="151">
        <f t="shared" si="295"/>
        <v>0</v>
      </c>
      <c r="J121" s="151">
        <f t="shared" si="295"/>
        <v>0</v>
      </c>
      <c r="K121" s="151">
        <f t="shared" si="295"/>
        <v>0</v>
      </c>
      <c r="L121" s="151">
        <f t="shared" si="295"/>
        <v>0</v>
      </c>
      <c r="M121" s="151">
        <f t="shared" si="295"/>
        <v>0</v>
      </c>
      <c r="N121" s="151">
        <f t="shared" si="295"/>
        <v>0</v>
      </c>
      <c r="O121" s="151">
        <f t="shared" si="295"/>
        <v>0</v>
      </c>
      <c r="P121" s="151">
        <f t="shared" si="295"/>
        <v>0</v>
      </c>
      <c r="Q121" s="151">
        <f>Q32/Q25</f>
        <v>0</v>
      </c>
      <c r="R121" s="118" t="e">
        <f t="shared" si="216"/>
        <v>#DIV/0!</v>
      </c>
      <c r="S121" s="20"/>
      <c r="T121" s="151">
        <f t="shared" ref="T121:AC121" si="296">T32/T25</f>
        <v>0</v>
      </c>
      <c r="U121" s="151">
        <f t="shared" si="296"/>
        <v>0</v>
      </c>
      <c r="V121" s="151">
        <f t="shared" si="296"/>
        <v>0</v>
      </c>
      <c r="W121" s="151">
        <f t="shared" si="296"/>
        <v>0</v>
      </c>
      <c r="X121" s="151">
        <f t="shared" si="296"/>
        <v>0</v>
      </c>
      <c r="Y121" s="151">
        <f t="shared" si="296"/>
        <v>0</v>
      </c>
      <c r="Z121" s="151">
        <f t="shared" si="296"/>
        <v>0</v>
      </c>
      <c r="AA121" s="151">
        <f t="shared" si="296"/>
        <v>0</v>
      </c>
      <c r="AB121" s="151">
        <f t="shared" si="296"/>
        <v>0</v>
      </c>
      <c r="AC121" s="151">
        <f t="shared" si="296"/>
        <v>0</v>
      </c>
      <c r="AD121" s="137" t="e">
        <f t="shared" si="218"/>
        <v>#DIV/0!</v>
      </c>
      <c r="AE121" s="20"/>
      <c r="AF121" s="20"/>
    </row>
    <row r="122" spans="2:32" x14ac:dyDescent="0.2">
      <c r="B122" s="20" t="s">
        <v>458</v>
      </c>
      <c r="C122" s="151"/>
      <c r="D122" s="151"/>
      <c r="E122" s="151"/>
      <c r="F122" s="151"/>
      <c r="G122" s="151">
        <f t="shared" ref="G122:P122" si="297">(G31+G32)/G25</f>
        <v>0</v>
      </c>
      <c r="H122" s="151">
        <f t="shared" si="297"/>
        <v>0</v>
      </c>
      <c r="I122" s="151">
        <f t="shared" si="297"/>
        <v>0</v>
      </c>
      <c r="J122" s="151">
        <f t="shared" si="297"/>
        <v>0</v>
      </c>
      <c r="K122" s="151">
        <f t="shared" si="297"/>
        <v>0</v>
      </c>
      <c r="L122" s="151">
        <f t="shared" si="297"/>
        <v>0</v>
      </c>
      <c r="M122" s="151">
        <f t="shared" si="297"/>
        <v>0</v>
      </c>
      <c r="N122" s="151">
        <f t="shared" si="297"/>
        <v>0</v>
      </c>
      <c r="O122" s="151">
        <f t="shared" si="297"/>
        <v>0</v>
      </c>
      <c r="P122" s="151">
        <f t="shared" si="297"/>
        <v>0</v>
      </c>
      <c r="Q122" s="151">
        <f>(Q31+Q32)/Q25</f>
        <v>0</v>
      </c>
      <c r="R122" s="118" t="e">
        <f t="shared" si="216"/>
        <v>#DIV/0!</v>
      </c>
      <c r="S122" s="20"/>
      <c r="T122" s="151">
        <f>(T31+T32)/T25</f>
        <v>0</v>
      </c>
      <c r="U122" s="151">
        <f t="shared" ref="U122:AC122" si="298">(U31+U32)/U25</f>
        <v>0</v>
      </c>
      <c r="V122" s="151">
        <f t="shared" si="298"/>
        <v>0</v>
      </c>
      <c r="W122" s="151">
        <f t="shared" si="298"/>
        <v>0</v>
      </c>
      <c r="X122" s="151">
        <f t="shared" si="298"/>
        <v>0</v>
      </c>
      <c r="Y122" s="151">
        <f t="shared" si="298"/>
        <v>0</v>
      </c>
      <c r="Z122" s="151">
        <f t="shared" si="298"/>
        <v>0</v>
      </c>
      <c r="AA122" s="151">
        <f t="shared" si="298"/>
        <v>0</v>
      </c>
      <c r="AB122" s="151">
        <f t="shared" si="298"/>
        <v>0</v>
      </c>
      <c r="AC122" s="151">
        <f t="shared" si="298"/>
        <v>0</v>
      </c>
      <c r="AD122" s="137" t="e">
        <f t="shared" si="218"/>
        <v>#DIV/0!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28"/>
      <c r="S123" s="20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28"/>
      <c r="AE123" s="20"/>
      <c r="AF123" s="20"/>
    </row>
    <row r="124" spans="2:32" x14ac:dyDescent="0.2">
      <c r="B124" s="20" t="s">
        <v>352</v>
      </c>
      <c r="C124" s="20"/>
      <c r="D124" s="20"/>
      <c r="E124" s="20"/>
      <c r="F124" s="20"/>
      <c r="G124" s="151">
        <f>G27/G25</f>
        <v>0.87007362494586404</v>
      </c>
      <c r="H124" s="151">
        <f t="shared" ref="H124:P124" si="299">H27/H25</f>
        <v>0.93359223300970873</v>
      </c>
      <c r="I124" s="151">
        <f t="shared" si="299"/>
        <v>0.92118487172705632</v>
      </c>
      <c r="J124" s="151">
        <f t="shared" si="299"/>
        <v>0.8971568191914705</v>
      </c>
      <c r="K124" s="151">
        <f t="shared" si="299"/>
        <v>0.91537267080745344</v>
      </c>
      <c r="L124" s="151">
        <f t="shared" si="299"/>
        <v>0.86936690384966242</v>
      </c>
      <c r="M124" s="151">
        <f t="shared" si="299"/>
        <v>0.88746569075937787</v>
      </c>
      <c r="N124" s="151">
        <f t="shared" si="299"/>
        <v>0.88221819223060038</v>
      </c>
      <c r="O124" s="151">
        <f t="shared" si="299"/>
        <v>0.89157728444333584</v>
      </c>
      <c r="P124" s="151">
        <f t="shared" si="299"/>
        <v>0.85325203252032522</v>
      </c>
      <c r="Q124" s="151">
        <f t="shared" ref="Q124" si="300">Q27/Q25</f>
        <v>0.88611298672068417</v>
      </c>
      <c r="R124" s="118">
        <f t="shared" si="216"/>
        <v>-1.9503819849767678E-3</v>
      </c>
      <c r="S124" s="20"/>
      <c r="T124" s="151">
        <f t="shared" ref="T124:AC124" si="301">T27/T25</f>
        <v>0.88611298672068428</v>
      </c>
      <c r="U124" s="151">
        <f t="shared" si="301"/>
        <v>0.88611298672068428</v>
      </c>
      <c r="V124" s="151">
        <f t="shared" si="301"/>
        <v>0.88611298672068428</v>
      </c>
      <c r="W124" s="151">
        <f t="shared" si="301"/>
        <v>0.88611298672068417</v>
      </c>
      <c r="X124" s="151">
        <f t="shared" si="301"/>
        <v>0.88611298672068428</v>
      </c>
      <c r="Y124" s="151">
        <f t="shared" si="301"/>
        <v>0.88611298672068428</v>
      </c>
      <c r="Z124" s="151">
        <f t="shared" si="301"/>
        <v>0.88611298672068439</v>
      </c>
      <c r="AA124" s="151">
        <f t="shared" si="301"/>
        <v>0.88611298672068428</v>
      </c>
      <c r="AB124" s="151">
        <f t="shared" si="301"/>
        <v>0.88611298672068428</v>
      </c>
      <c r="AC124" s="151">
        <f t="shared" si="301"/>
        <v>0.88611298672068428</v>
      </c>
      <c r="AD124" s="137">
        <f t="shared" si="218"/>
        <v>9.1374884170902781E-4</v>
      </c>
      <c r="AE124" s="20"/>
      <c r="AF124" s="20"/>
    </row>
    <row r="125" spans="2:32" x14ac:dyDescent="0.2">
      <c r="B125" s="20" t="str">
        <f>B33</f>
        <v>Top Expenses ( Raw material )</v>
      </c>
      <c r="C125" s="20"/>
      <c r="D125" s="20"/>
      <c r="E125" s="20"/>
      <c r="F125" s="20"/>
      <c r="G125" s="151">
        <f>G33/G25</f>
        <v>0</v>
      </c>
      <c r="H125" s="151">
        <f t="shared" ref="H125:P125" si="302">H33/H25</f>
        <v>0</v>
      </c>
      <c r="I125" s="151">
        <f t="shared" si="302"/>
        <v>0</v>
      </c>
      <c r="J125" s="151">
        <f t="shared" si="302"/>
        <v>0</v>
      </c>
      <c r="K125" s="151">
        <f t="shared" si="302"/>
        <v>0</v>
      </c>
      <c r="L125" s="151">
        <f t="shared" si="302"/>
        <v>0</v>
      </c>
      <c r="M125" s="151">
        <f t="shared" si="302"/>
        <v>0</v>
      </c>
      <c r="N125" s="151">
        <f t="shared" si="302"/>
        <v>0</v>
      </c>
      <c r="O125" s="151">
        <f t="shared" si="302"/>
        <v>0</v>
      </c>
      <c r="P125" s="151">
        <f t="shared" si="302"/>
        <v>0</v>
      </c>
      <c r="Q125" s="151">
        <f t="shared" ref="Q125" si="303">Q33/Q25</f>
        <v>0</v>
      </c>
      <c r="R125" s="118" t="e">
        <f t="shared" si="216"/>
        <v>#DIV/0!</v>
      </c>
      <c r="S125" s="20"/>
      <c r="T125" s="151">
        <f t="shared" ref="T125:AC125" si="304">T33/T25</f>
        <v>0</v>
      </c>
      <c r="U125" s="151">
        <f t="shared" si="304"/>
        <v>0</v>
      </c>
      <c r="V125" s="151">
        <f t="shared" si="304"/>
        <v>0</v>
      </c>
      <c r="W125" s="151">
        <f t="shared" si="304"/>
        <v>0</v>
      </c>
      <c r="X125" s="151">
        <f t="shared" si="304"/>
        <v>0</v>
      </c>
      <c r="Y125" s="151">
        <f t="shared" si="304"/>
        <v>0</v>
      </c>
      <c r="Z125" s="151">
        <f t="shared" si="304"/>
        <v>0</v>
      </c>
      <c r="AA125" s="151">
        <f t="shared" si="304"/>
        <v>0</v>
      </c>
      <c r="AB125" s="151">
        <f t="shared" si="304"/>
        <v>0</v>
      </c>
      <c r="AC125" s="151">
        <f t="shared" si="304"/>
        <v>0</v>
      </c>
      <c r="AD125" s="137" t="e">
        <f t="shared" si="218"/>
        <v>#DIV/0!</v>
      </c>
      <c r="AE125" s="20"/>
      <c r="AF125" s="20"/>
    </row>
    <row r="126" spans="2:32" x14ac:dyDescent="0.2">
      <c r="B126" s="20" t="str">
        <f>B34</f>
        <v>2nd highest Expenses Comp. ( Selling exp )</v>
      </c>
      <c r="C126" s="20"/>
      <c r="D126" s="20"/>
      <c r="E126" s="20"/>
      <c r="F126" s="20"/>
      <c r="G126" s="151">
        <f>G34/G25</f>
        <v>0</v>
      </c>
      <c r="H126" s="151">
        <f t="shared" ref="H126:P126" si="305">H34/H25</f>
        <v>0</v>
      </c>
      <c r="I126" s="151">
        <f t="shared" si="305"/>
        <v>0</v>
      </c>
      <c r="J126" s="151">
        <f t="shared" si="305"/>
        <v>0</v>
      </c>
      <c r="K126" s="151">
        <f t="shared" si="305"/>
        <v>0</v>
      </c>
      <c r="L126" s="151">
        <f t="shared" si="305"/>
        <v>0</v>
      </c>
      <c r="M126" s="151">
        <f t="shared" si="305"/>
        <v>0</v>
      </c>
      <c r="N126" s="151">
        <f t="shared" si="305"/>
        <v>0</v>
      </c>
      <c r="O126" s="151">
        <f t="shared" si="305"/>
        <v>0</v>
      </c>
      <c r="P126" s="151">
        <f t="shared" si="305"/>
        <v>0</v>
      </c>
      <c r="Q126" s="151">
        <f t="shared" ref="Q126" si="306">Q34/Q25</f>
        <v>0</v>
      </c>
      <c r="R126" s="118" t="e">
        <f t="shared" si="216"/>
        <v>#DIV/0!</v>
      </c>
      <c r="S126" s="20"/>
      <c r="T126" s="151">
        <f t="shared" ref="T126:AC126" si="307">T34/T25</f>
        <v>0</v>
      </c>
      <c r="U126" s="151">
        <f t="shared" si="307"/>
        <v>0</v>
      </c>
      <c r="V126" s="151">
        <f t="shared" si="307"/>
        <v>0</v>
      </c>
      <c r="W126" s="151">
        <f t="shared" si="307"/>
        <v>0</v>
      </c>
      <c r="X126" s="151">
        <f t="shared" si="307"/>
        <v>0</v>
      </c>
      <c r="Y126" s="151">
        <f t="shared" si="307"/>
        <v>0</v>
      </c>
      <c r="Z126" s="151">
        <f t="shared" si="307"/>
        <v>0</v>
      </c>
      <c r="AA126" s="151">
        <f t="shared" si="307"/>
        <v>0</v>
      </c>
      <c r="AB126" s="151">
        <f t="shared" si="307"/>
        <v>0</v>
      </c>
      <c r="AC126" s="151">
        <f t="shared" si="307"/>
        <v>0</v>
      </c>
      <c r="AD126" s="137" t="e">
        <f t="shared" si="218"/>
        <v>#DIV/0!</v>
      </c>
      <c r="AE126" s="20"/>
      <c r="AF126" s="20"/>
    </row>
    <row r="127" spans="2:32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128"/>
      <c r="S127" s="128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38"/>
      <c r="AE127" s="20"/>
      <c r="AF127" s="20"/>
    </row>
    <row r="128" spans="2:32" x14ac:dyDescent="0.2">
      <c r="B128" s="108" t="s">
        <v>360</v>
      </c>
      <c r="C128" s="20"/>
      <c r="D128" s="20"/>
      <c r="E128" s="20"/>
      <c r="F128" s="20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118"/>
      <c r="S128" s="128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137"/>
      <c r="AE128" s="20"/>
      <c r="AF128" s="20"/>
    </row>
    <row r="129" spans="2:32" x14ac:dyDescent="0.2">
      <c r="B129" s="20" t="s">
        <v>363</v>
      </c>
      <c r="C129" s="20"/>
      <c r="D129" s="20"/>
      <c r="E129" s="20"/>
      <c r="F129" s="20"/>
      <c r="G129" s="25">
        <f>G15/G9</f>
        <v>1.8239130434782609</v>
      </c>
      <c r="H129" s="25">
        <f t="shared" ref="H129:AC129" si="308">H15/H9</f>
        <v>1.9848484848484849</v>
      </c>
      <c r="I129" s="25">
        <f t="shared" si="308"/>
        <v>1.7283582089552239</v>
      </c>
      <c r="J129" s="25">
        <f t="shared" si="308"/>
        <v>1.770469798657718</v>
      </c>
      <c r="K129" s="25">
        <f t="shared" si="308"/>
        <v>1.6408518877057114</v>
      </c>
      <c r="L129" s="25">
        <f t="shared" si="308"/>
        <v>1.3329886246122027</v>
      </c>
      <c r="M129" s="25">
        <f t="shared" si="308"/>
        <v>1.6405990016638936</v>
      </c>
      <c r="N129" s="25">
        <f t="shared" si="308"/>
        <v>1.2454702329594478</v>
      </c>
      <c r="O129" s="25">
        <f t="shared" si="308"/>
        <v>1.2737094837935174</v>
      </c>
      <c r="P129" s="25">
        <f t="shared" si="308"/>
        <v>1.3029133029133029</v>
      </c>
      <c r="Q129" s="25" t="e">
        <f t="shared" ref="Q129" si="309">Q15/Q9</f>
        <v>#DIV/0!</v>
      </c>
      <c r="R129" s="118">
        <f t="shared" si="216"/>
        <v>-3.3078674074604519E-2</v>
      </c>
      <c r="S129" s="20"/>
      <c r="T129" s="25" t="e">
        <f t="shared" si="308"/>
        <v>#DIV/0!</v>
      </c>
      <c r="U129" s="25" t="e">
        <f t="shared" si="308"/>
        <v>#DIV/0!</v>
      </c>
      <c r="V129" s="25" t="e">
        <f t="shared" si="308"/>
        <v>#DIV/0!</v>
      </c>
      <c r="W129" s="25" t="e">
        <f t="shared" si="308"/>
        <v>#DIV/0!</v>
      </c>
      <c r="X129" s="25" t="e">
        <f t="shared" si="308"/>
        <v>#DIV/0!</v>
      </c>
      <c r="Y129" s="25" t="e">
        <f t="shared" si="308"/>
        <v>#DIV/0!</v>
      </c>
      <c r="Z129" s="25" t="e">
        <f t="shared" si="308"/>
        <v>#DIV/0!</v>
      </c>
      <c r="AA129" s="25" t="e">
        <f t="shared" si="308"/>
        <v>#DIV/0!</v>
      </c>
      <c r="AB129" s="25" t="e">
        <f t="shared" si="308"/>
        <v>#DIV/0!</v>
      </c>
      <c r="AC129" s="25" t="e">
        <f t="shared" si="308"/>
        <v>#DIV/0!</v>
      </c>
      <c r="AD129" s="137" t="e">
        <f t="shared" si="218"/>
        <v>#DIV/0!</v>
      </c>
      <c r="AE129" s="20"/>
      <c r="AF129" s="20"/>
    </row>
    <row r="130" spans="2:32" x14ac:dyDescent="0.2">
      <c r="B130" s="20" t="s">
        <v>353</v>
      </c>
      <c r="C130" s="20"/>
      <c r="D130" s="20"/>
      <c r="E130" s="20"/>
      <c r="F130" s="20"/>
      <c r="G130" s="25">
        <f>G12/G9</f>
        <v>8.6956521739130432E-2</v>
      </c>
      <c r="H130" s="25">
        <f t="shared" ref="H130:P130" si="310">H12/H9</f>
        <v>7.792207792207792E-2</v>
      </c>
      <c r="I130" s="25">
        <f t="shared" si="310"/>
        <v>7.9104477611940296E-2</v>
      </c>
      <c r="J130" s="25">
        <f t="shared" si="310"/>
        <v>9.7986577181208054E-2</v>
      </c>
      <c r="K130" s="25">
        <f t="shared" si="310"/>
        <v>9.8741529525653432E-2</v>
      </c>
      <c r="L130" s="25">
        <f t="shared" si="310"/>
        <v>6.2047569803516028E-2</v>
      </c>
      <c r="M130" s="25">
        <f t="shared" si="310"/>
        <v>4.4925124792013313E-2</v>
      </c>
      <c r="N130" s="25">
        <f t="shared" si="310"/>
        <v>2.5021570319240724E-2</v>
      </c>
      <c r="O130" s="25">
        <f t="shared" si="310"/>
        <v>2.6010404161664665E-2</v>
      </c>
      <c r="P130" s="25">
        <f t="shared" si="310"/>
        <v>0.11828711828711828</v>
      </c>
      <c r="Q130" s="25" t="e">
        <f t="shared" ref="Q130" si="311">Q12/Q9</f>
        <v>#DIV/0!</v>
      </c>
      <c r="R130" s="118">
        <f t="shared" si="216"/>
        <v>3.124897334536092E-2</v>
      </c>
      <c r="S130" s="128"/>
      <c r="T130" s="25" t="e">
        <f t="shared" ref="T130:AC130" si="312">T12/T9</f>
        <v>#DIV/0!</v>
      </c>
      <c r="U130" s="25" t="e">
        <f t="shared" si="312"/>
        <v>#DIV/0!</v>
      </c>
      <c r="V130" s="25" t="e">
        <f t="shared" si="312"/>
        <v>#DIV/0!</v>
      </c>
      <c r="W130" s="25" t="e">
        <f t="shared" si="312"/>
        <v>#DIV/0!</v>
      </c>
      <c r="X130" s="25" t="e">
        <f t="shared" si="312"/>
        <v>#DIV/0!</v>
      </c>
      <c r="Y130" s="25" t="e">
        <f t="shared" si="312"/>
        <v>#DIV/0!</v>
      </c>
      <c r="Z130" s="25" t="e">
        <f t="shared" si="312"/>
        <v>#DIV/0!</v>
      </c>
      <c r="AA130" s="25" t="e">
        <f t="shared" si="312"/>
        <v>#DIV/0!</v>
      </c>
      <c r="AB130" s="25" t="e">
        <f t="shared" si="312"/>
        <v>#DIV/0!</v>
      </c>
      <c r="AC130" s="25" t="e">
        <f t="shared" si="312"/>
        <v>#DIV/0!</v>
      </c>
      <c r="AD130" s="118" t="e">
        <f t="shared" ref="AD130" si="313">((AC130/T130)^(1/($H$2-$H$1) ))-1</f>
        <v>#DIV/0!</v>
      </c>
      <c r="AE130" s="20"/>
      <c r="AF130" s="20"/>
    </row>
    <row r="131" spans="2:32" x14ac:dyDescent="0.2">
      <c r="B131" s="20" t="s">
        <v>355</v>
      </c>
      <c r="C131" s="20"/>
      <c r="D131" s="20"/>
      <c r="E131" s="20"/>
      <c r="F131" s="20"/>
      <c r="G131" s="25">
        <f>G25/360</f>
        <v>6.4138888888888888</v>
      </c>
      <c r="H131" s="25">
        <f t="shared" ref="H131:P131" si="314">H25/360</f>
        <v>7.1527777777777777</v>
      </c>
      <c r="I131" s="25">
        <f t="shared" si="314"/>
        <v>10.502777777777778</v>
      </c>
      <c r="J131" s="25">
        <f t="shared" si="314"/>
        <v>12.505555555555556</v>
      </c>
      <c r="K131" s="25">
        <f t="shared" si="314"/>
        <v>14.311111111111112</v>
      </c>
      <c r="L131" s="25">
        <f t="shared" si="314"/>
        <v>15.225</v>
      </c>
      <c r="M131" s="25">
        <f t="shared" si="314"/>
        <v>21.252777777777776</v>
      </c>
      <c r="N131" s="25">
        <f t="shared" si="314"/>
        <v>29.102777777777778</v>
      </c>
      <c r="O131" s="25">
        <f t="shared" si="314"/>
        <v>33.408333333333331</v>
      </c>
      <c r="P131" s="25">
        <f t="shared" si="314"/>
        <v>34.166666666666664</v>
      </c>
      <c r="Q131" s="25">
        <f t="shared" ref="Q131" si="315">Q25/360</f>
        <v>37.024999999999999</v>
      </c>
      <c r="R131" s="118">
        <f t="shared" si="216"/>
        <v>0.18208339802614004</v>
      </c>
      <c r="S131" s="128"/>
      <c r="T131" s="25">
        <f t="shared" ref="T131:AC131" si="316">T25/360</f>
        <v>42.578749999999999</v>
      </c>
      <c r="U131" s="25">
        <f t="shared" si="316"/>
        <v>48.96556249999999</v>
      </c>
      <c r="V131" s="25">
        <f t="shared" si="316"/>
        <v>56.310396874999988</v>
      </c>
      <c r="W131" s="25">
        <f t="shared" si="316"/>
        <v>64.756956406249984</v>
      </c>
      <c r="X131" s="25">
        <f t="shared" si="316"/>
        <v>74.47049986718747</v>
      </c>
      <c r="Y131" s="25">
        <f t="shared" si="316"/>
        <v>85.641074847265585</v>
      </c>
      <c r="Z131" s="25">
        <f t="shared" si="316"/>
        <v>98.487236074355422</v>
      </c>
      <c r="AA131" s="25">
        <f t="shared" si="316"/>
        <v>113.26032148550871</v>
      </c>
      <c r="AB131" s="25">
        <f t="shared" si="316"/>
        <v>130.24936970833502</v>
      </c>
      <c r="AC131" s="25">
        <f t="shared" si="316"/>
        <v>149.78677516458526</v>
      </c>
      <c r="AD131" s="118">
        <f t="shared" ref="AD131:AD142" si="317">((AC131/T131)^(1/($H$2-$H$1) ))-1</f>
        <v>0.13403917224813777</v>
      </c>
      <c r="AE131" s="20"/>
      <c r="AF131" s="20"/>
    </row>
    <row r="132" spans="2:32" x14ac:dyDescent="0.2">
      <c r="B132" s="20" t="s">
        <v>354</v>
      </c>
      <c r="C132" s="20"/>
      <c r="D132" s="20"/>
      <c r="E132" s="20"/>
      <c r="F132" s="20"/>
      <c r="G132" s="25">
        <f>G27/360</f>
        <v>5.5805555555555557</v>
      </c>
      <c r="H132" s="25">
        <f t="shared" ref="H132:P132" si="318">H27/360</f>
        <v>6.677777777777778</v>
      </c>
      <c r="I132" s="25">
        <f t="shared" si="318"/>
        <v>9.6750000000000007</v>
      </c>
      <c r="J132" s="25">
        <f t="shared" si="318"/>
        <v>11.219444444444445</v>
      </c>
      <c r="K132" s="25">
        <f t="shared" si="318"/>
        <v>13.1</v>
      </c>
      <c r="L132" s="25">
        <f t="shared" si="318"/>
        <v>13.236111111111111</v>
      </c>
      <c r="M132" s="25">
        <f t="shared" si="318"/>
        <v>18.861111111111111</v>
      </c>
      <c r="N132" s="25">
        <f t="shared" si="318"/>
        <v>25.675000000000001</v>
      </c>
      <c r="O132" s="25">
        <f t="shared" si="318"/>
        <v>29.786111111111111</v>
      </c>
      <c r="P132" s="25">
        <f t="shared" si="318"/>
        <v>29.152777777777779</v>
      </c>
      <c r="Q132" s="25">
        <f t="shared" ref="Q132" si="319">Q27/360</f>
        <v>32.80833333333333</v>
      </c>
      <c r="R132" s="118">
        <f t="shared" si="216"/>
        <v>0.17977788386188975</v>
      </c>
      <c r="S132" s="128"/>
      <c r="T132" s="25">
        <f t="shared" ref="T132:AC132" si="320">T27/360</f>
        <v>37.729583333333331</v>
      </c>
      <c r="U132" s="25">
        <f t="shared" si="320"/>
        <v>43.389020833333333</v>
      </c>
      <c r="V132" s="25">
        <f t="shared" si="320"/>
        <v>49.897373958333326</v>
      </c>
      <c r="W132" s="25">
        <f t="shared" si="320"/>
        <v>57.381980052083314</v>
      </c>
      <c r="X132" s="25">
        <f t="shared" si="320"/>
        <v>65.989277059895812</v>
      </c>
      <c r="Y132" s="25">
        <f t="shared" si="320"/>
        <v>75.887668618880184</v>
      </c>
      <c r="Z132" s="25">
        <f t="shared" si="320"/>
        <v>87.270818911712212</v>
      </c>
      <c r="AA132" s="25">
        <f t="shared" si="320"/>
        <v>100.36144174846902</v>
      </c>
      <c r="AB132" s="25">
        <f t="shared" si="320"/>
        <v>115.41565801073936</v>
      </c>
      <c r="AC132" s="25">
        <f t="shared" si="320"/>
        <v>132.72800671235026</v>
      </c>
      <c r="AD132" s="118">
        <f t="shared" si="317"/>
        <v>0.13403917224813777</v>
      </c>
      <c r="AE132" s="20"/>
      <c r="AF132" s="20"/>
    </row>
    <row r="133" spans="2:32" x14ac:dyDescent="0.2">
      <c r="B133" s="20"/>
      <c r="C133" s="20"/>
      <c r="D133" s="20"/>
      <c r="E133" s="20"/>
      <c r="F133" s="20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128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128"/>
      <c r="AE133" s="20"/>
      <c r="AF133" s="20"/>
    </row>
    <row r="134" spans="2:32" x14ac:dyDescent="0.2">
      <c r="B134" s="20" t="s">
        <v>364</v>
      </c>
      <c r="C134" s="20"/>
      <c r="D134" s="20"/>
      <c r="E134" s="20"/>
      <c r="F134" s="20"/>
      <c r="G134" s="25">
        <f>G10/G7</f>
        <v>0.41477272727272729</v>
      </c>
      <c r="H134" s="25">
        <f t="shared" ref="H134:P134" si="321">H10/H7</f>
        <v>0.55325034578146615</v>
      </c>
      <c r="I134" s="25">
        <f t="shared" si="321"/>
        <v>0.65533980582524276</v>
      </c>
      <c r="J134" s="25">
        <f t="shared" si="321"/>
        <v>0.61749745676500511</v>
      </c>
      <c r="K134" s="25">
        <f t="shared" si="321"/>
        <v>0.86123545210384955</v>
      </c>
      <c r="L134" s="25">
        <f t="shared" si="321"/>
        <v>0.21549815498154981</v>
      </c>
      <c r="M134" s="25">
        <f t="shared" si="321"/>
        <v>0.56398104265402849</v>
      </c>
      <c r="N134" s="25">
        <f t="shared" si="321"/>
        <v>0.66085440278988661</v>
      </c>
      <c r="O134" s="25">
        <f t="shared" si="321"/>
        <v>0.57008039147151346</v>
      </c>
      <c r="P134" s="25">
        <f t="shared" si="321"/>
        <v>0.39069767441860465</v>
      </c>
      <c r="Q134" s="25">
        <f t="shared" ref="Q134" si="322">Q10/Q7</f>
        <v>0</v>
      </c>
      <c r="R134" s="118">
        <f t="shared" si="216"/>
        <v>-5.9618249095640952E-3</v>
      </c>
      <c r="S134" s="128"/>
      <c r="T134" s="25">
        <f t="shared" ref="T134:AC134" si="323">T10/T7</f>
        <v>0</v>
      </c>
      <c r="U134" s="25">
        <f t="shared" si="323"/>
        <v>0</v>
      </c>
      <c r="V134" s="25">
        <f t="shared" si="323"/>
        <v>0</v>
      </c>
      <c r="W134" s="25">
        <f t="shared" si="323"/>
        <v>0</v>
      </c>
      <c r="X134" s="25">
        <f t="shared" si="323"/>
        <v>0</v>
      </c>
      <c r="Y134" s="25">
        <f t="shared" si="323"/>
        <v>0</v>
      </c>
      <c r="Z134" s="25">
        <f t="shared" si="323"/>
        <v>0</v>
      </c>
      <c r="AA134" s="25">
        <f t="shared" si="323"/>
        <v>0</v>
      </c>
      <c r="AB134" s="25">
        <f t="shared" si="323"/>
        <v>0</v>
      </c>
      <c r="AC134" s="25">
        <f t="shared" si="323"/>
        <v>0</v>
      </c>
      <c r="AD134" s="118" t="e">
        <f t="shared" si="317"/>
        <v>#DIV/0!</v>
      </c>
      <c r="AE134" s="20"/>
      <c r="AF134" s="20"/>
    </row>
    <row r="135" spans="2:32" x14ac:dyDescent="0.2">
      <c r="B135" s="20" t="s">
        <v>356</v>
      </c>
      <c r="C135" s="20"/>
      <c r="D135" s="20"/>
      <c r="E135" s="20"/>
      <c r="F135" s="20"/>
      <c r="G135" s="25">
        <f>G10/(G10+G7)</f>
        <v>0.29317269076305219</v>
      </c>
      <c r="H135" s="25">
        <f t="shared" ref="H135:P135" si="324">H10/(H10+H7)</f>
        <v>0.3561887800534283</v>
      </c>
      <c r="I135" s="25">
        <f t="shared" si="324"/>
        <v>0.39589442815249265</v>
      </c>
      <c r="J135" s="25">
        <f t="shared" si="324"/>
        <v>0.3817610062893082</v>
      </c>
      <c r="K135" s="25">
        <f t="shared" si="324"/>
        <v>0.4627224627224627</v>
      </c>
      <c r="L135" s="25">
        <f t="shared" si="324"/>
        <v>0.17729204614450517</v>
      </c>
      <c r="M135" s="25">
        <f t="shared" si="324"/>
        <v>0.3606060606060606</v>
      </c>
      <c r="N135" s="25">
        <f t="shared" si="324"/>
        <v>0.39790026246719162</v>
      </c>
      <c r="O135" s="25">
        <f t="shared" si="324"/>
        <v>0.36308993766696351</v>
      </c>
      <c r="P135" s="25">
        <f t="shared" si="324"/>
        <v>0.28093645484949831</v>
      </c>
      <c r="Q135" s="25">
        <f t="shared" ref="Q135" si="325">Q10/(Q10+Q7)</f>
        <v>0</v>
      </c>
      <c r="R135" s="118">
        <f t="shared" si="216"/>
        <v>-4.2542568248616908E-3</v>
      </c>
      <c r="S135" s="128"/>
      <c r="T135" s="25">
        <f t="shared" ref="T135:AC135" si="326">T10/(T10+T7)</f>
        <v>0</v>
      </c>
      <c r="U135" s="25">
        <f t="shared" si="326"/>
        <v>0</v>
      </c>
      <c r="V135" s="25">
        <f t="shared" si="326"/>
        <v>0</v>
      </c>
      <c r="W135" s="25">
        <f t="shared" si="326"/>
        <v>0</v>
      </c>
      <c r="X135" s="25">
        <f t="shared" si="326"/>
        <v>0</v>
      </c>
      <c r="Y135" s="25">
        <f t="shared" si="326"/>
        <v>0</v>
      </c>
      <c r="Z135" s="25">
        <f t="shared" si="326"/>
        <v>0</v>
      </c>
      <c r="AA135" s="25">
        <f t="shared" si="326"/>
        <v>0</v>
      </c>
      <c r="AB135" s="25">
        <f t="shared" si="326"/>
        <v>0</v>
      </c>
      <c r="AC135" s="25">
        <f t="shared" si="326"/>
        <v>0</v>
      </c>
      <c r="AD135" s="118" t="e">
        <f t="shared" si="317"/>
        <v>#DIV/0!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128"/>
      <c r="S136" s="128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136"/>
      <c r="AE136" s="20"/>
      <c r="AF136" s="20"/>
    </row>
    <row r="137" spans="2:32" x14ac:dyDescent="0.2">
      <c r="B137" s="20" t="s">
        <v>361</v>
      </c>
      <c r="C137" s="20"/>
      <c r="D137" s="20"/>
      <c r="E137" s="20"/>
      <c r="F137" s="20"/>
      <c r="G137" s="25">
        <f>G16</f>
        <v>469</v>
      </c>
      <c r="H137" s="25">
        <f t="shared" ref="H137:P137" si="327">H16</f>
        <v>503</v>
      </c>
      <c r="I137" s="25">
        <f t="shared" si="327"/>
        <v>578</v>
      </c>
      <c r="J137" s="25">
        <f t="shared" si="327"/>
        <v>620</v>
      </c>
      <c r="K137" s="25">
        <f t="shared" si="327"/>
        <v>701</v>
      </c>
      <c r="L137" s="25">
        <f t="shared" si="327"/>
        <v>282</v>
      </c>
      <c r="M137" s="25">
        <f t="shared" si="327"/>
        <v>740</v>
      </c>
      <c r="N137" s="25">
        <f t="shared" si="327"/>
        <v>629</v>
      </c>
      <c r="O137" s="25">
        <f t="shared" si="327"/>
        <v>730</v>
      </c>
      <c r="P137" s="25">
        <f t="shared" si="327"/>
        <v>847</v>
      </c>
      <c r="Q137" s="25">
        <f t="shared" ref="Q137" si="328">Q16</f>
        <v>0</v>
      </c>
      <c r="R137" s="118">
        <f t="shared" si="216"/>
        <v>6.089171242743241E-2</v>
      </c>
      <c r="S137" s="128"/>
      <c r="T137" s="25">
        <f t="shared" ref="T137:AC137" si="329">T16</f>
        <v>0</v>
      </c>
      <c r="U137" s="25">
        <f t="shared" si="329"/>
        <v>0</v>
      </c>
      <c r="V137" s="25">
        <f t="shared" si="329"/>
        <v>0</v>
      </c>
      <c r="W137" s="25">
        <f t="shared" si="329"/>
        <v>0</v>
      </c>
      <c r="X137" s="25">
        <f t="shared" si="329"/>
        <v>0</v>
      </c>
      <c r="Y137" s="25">
        <f t="shared" si="329"/>
        <v>0</v>
      </c>
      <c r="Z137" s="25">
        <f t="shared" si="329"/>
        <v>0</v>
      </c>
      <c r="AA137" s="25">
        <f t="shared" si="329"/>
        <v>0</v>
      </c>
      <c r="AB137" s="25">
        <f t="shared" si="329"/>
        <v>0</v>
      </c>
      <c r="AC137" s="25">
        <f t="shared" si="329"/>
        <v>0</v>
      </c>
      <c r="AD137" s="118" t="e">
        <f t="shared" si="317"/>
        <v>#DIV/0!</v>
      </c>
      <c r="AE137" s="20"/>
      <c r="AF137" s="20"/>
    </row>
    <row r="138" spans="2:32" x14ac:dyDescent="0.2">
      <c r="B138" s="20" t="s">
        <v>362</v>
      </c>
      <c r="C138" s="20"/>
      <c r="D138" s="20"/>
      <c r="E138" s="20"/>
      <c r="F138" s="20"/>
      <c r="G138" s="119">
        <f t="shared" ref="G138:P138" si="330">G137*365/G25</f>
        <v>74.138155045474235</v>
      </c>
      <c r="H138" s="119">
        <f t="shared" si="330"/>
        <v>71.299029126213597</v>
      </c>
      <c r="I138" s="119">
        <f t="shared" si="330"/>
        <v>55.797408093097062</v>
      </c>
      <c r="J138" s="119">
        <f t="shared" si="330"/>
        <v>50.266548200799647</v>
      </c>
      <c r="K138" s="119">
        <f t="shared" si="330"/>
        <v>49.663237577639748</v>
      </c>
      <c r="L138" s="119">
        <f t="shared" si="330"/>
        <v>18.779419813902571</v>
      </c>
      <c r="M138" s="119">
        <f t="shared" si="330"/>
        <v>35.30257482682002</v>
      </c>
      <c r="N138" s="119">
        <f t="shared" si="330"/>
        <v>21.913238522477808</v>
      </c>
      <c r="O138" s="119">
        <f t="shared" si="330"/>
        <v>22.154319447908872</v>
      </c>
      <c r="P138" s="119">
        <f t="shared" si="330"/>
        <v>25.134552845528454</v>
      </c>
      <c r="Q138" s="119">
        <f t="shared" ref="Q138" si="331">Q137*365/Q25</f>
        <v>0</v>
      </c>
      <c r="R138" s="118">
        <f t="shared" si="216"/>
        <v>-0.10252380314373344</v>
      </c>
      <c r="S138" s="128"/>
      <c r="T138" s="119">
        <f t="shared" ref="T138:AC138" si="332">T137*365/T25</f>
        <v>0</v>
      </c>
      <c r="U138" s="119">
        <f t="shared" si="332"/>
        <v>0</v>
      </c>
      <c r="V138" s="119">
        <f t="shared" si="332"/>
        <v>0</v>
      </c>
      <c r="W138" s="119">
        <f t="shared" si="332"/>
        <v>0</v>
      </c>
      <c r="X138" s="119">
        <f t="shared" si="332"/>
        <v>0</v>
      </c>
      <c r="Y138" s="119">
        <f t="shared" si="332"/>
        <v>0</v>
      </c>
      <c r="Z138" s="119">
        <f t="shared" si="332"/>
        <v>0</v>
      </c>
      <c r="AA138" s="119">
        <f t="shared" si="332"/>
        <v>0</v>
      </c>
      <c r="AB138" s="119">
        <f t="shared" si="332"/>
        <v>0</v>
      </c>
      <c r="AC138" s="119">
        <f t="shared" si="332"/>
        <v>0</v>
      </c>
      <c r="AD138" s="118" t="e">
        <f t="shared" si="317"/>
        <v>#DIV/0!</v>
      </c>
      <c r="AE138" s="20"/>
      <c r="AF138" s="20"/>
    </row>
    <row r="139" spans="2:32" x14ac:dyDescent="0.2">
      <c r="B139" s="20" t="s">
        <v>365</v>
      </c>
      <c r="C139" s="20"/>
      <c r="D139" s="20"/>
      <c r="E139" s="20"/>
      <c r="F139" s="20"/>
      <c r="G139" s="133">
        <f>G83/G29</f>
        <v>13.095238095238097</v>
      </c>
      <c r="H139" s="133">
        <f t="shared" ref="H139:P139" si="333">H83/H29</f>
        <v>14.880952380952381</v>
      </c>
      <c r="I139" s="133">
        <f t="shared" si="333"/>
        <v>11.476190476190476</v>
      </c>
      <c r="J139" s="133">
        <f t="shared" si="333"/>
        <v>20.80952380952381</v>
      </c>
      <c r="K139" s="133">
        <f t="shared" si="333"/>
        <v>15.800865800865802</v>
      </c>
      <c r="L139" s="133">
        <f t="shared" si="333"/>
        <v>24.292615596963422</v>
      </c>
      <c r="M139" s="133">
        <f t="shared" si="333"/>
        <v>31.557067271352985</v>
      </c>
      <c r="N139" s="133">
        <f t="shared" si="333"/>
        <v>20.839733742959549</v>
      </c>
      <c r="O139" s="133">
        <f t="shared" si="333"/>
        <v>19.047619047619051</v>
      </c>
      <c r="P139" s="133">
        <f t="shared" si="333"/>
        <v>21.622934888241012</v>
      </c>
      <c r="Q139" s="133">
        <f t="shared" ref="Q139" si="334">Q83/Q29</f>
        <v>16.326530612244898</v>
      </c>
      <c r="R139" s="118">
        <f t="shared" si="216"/>
        <v>5.1429418350681155E-2</v>
      </c>
      <c r="S139" s="128"/>
      <c r="T139" s="133">
        <f t="shared" ref="T139:AC139" si="335">T83/T29</f>
        <v>16.006402561024409</v>
      </c>
      <c r="U139" s="133">
        <f t="shared" si="335"/>
        <v>15.692551530416088</v>
      </c>
      <c r="V139" s="133">
        <f t="shared" si="335"/>
        <v>15.384854441584398</v>
      </c>
      <c r="W139" s="133">
        <f t="shared" si="335"/>
        <v>15.083190629004312</v>
      </c>
      <c r="X139" s="133">
        <f t="shared" si="335"/>
        <v>14.787441793141481</v>
      </c>
      <c r="Y139" s="133">
        <f t="shared" si="335"/>
        <v>14.497491954060273</v>
      </c>
      <c r="Z139" s="133">
        <f t="shared" si="335"/>
        <v>14.21322740594144</v>
      </c>
      <c r="AA139" s="133">
        <f t="shared" si="335"/>
        <v>13.934536672491607</v>
      </c>
      <c r="AB139" s="133">
        <f t="shared" si="335"/>
        <v>13.661310463227069</v>
      </c>
      <c r="AC139" s="133">
        <f t="shared" si="335"/>
        <v>13.393441630614774</v>
      </c>
      <c r="AD139" s="118">
        <f t="shared" si="317"/>
        <v>-1.7664485544367503E-2</v>
      </c>
      <c r="AE139" s="20"/>
      <c r="AF139" s="20"/>
    </row>
    <row r="140" spans="2:32" x14ac:dyDescent="0.2"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128"/>
      <c r="S140" s="128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136"/>
      <c r="AE140" s="20"/>
      <c r="AF140" s="20"/>
    </row>
    <row r="141" spans="2:32" x14ac:dyDescent="0.2">
      <c r="B141" s="20" t="s">
        <v>372</v>
      </c>
      <c r="C141" s="20"/>
      <c r="D141" s="20"/>
      <c r="E141" s="20"/>
      <c r="F141" s="20"/>
      <c r="G141" s="179">
        <f>G25/G14</f>
        <v>5.7295285359801484</v>
      </c>
      <c r="H141" s="179">
        <f t="shared" ref="H141:P141" si="336">H25/H14</f>
        <v>5.3423236514522818</v>
      </c>
      <c r="I141" s="179">
        <f t="shared" si="336"/>
        <v>6.6920353982300886</v>
      </c>
      <c r="J141" s="179">
        <f t="shared" si="336"/>
        <v>6.4870317002881848</v>
      </c>
      <c r="K141" s="179">
        <f t="shared" si="336"/>
        <v>5.2304568527918782</v>
      </c>
      <c r="L141" s="179">
        <f t="shared" si="336"/>
        <v>8.4064417177914113</v>
      </c>
      <c r="M141" s="179">
        <f t="shared" si="336"/>
        <v>6.8803956834532372</v>
      </c>
      <c r="N141" s="179">
        <f t="shared" si="336"/>
        <v>6.8566753926701569</v>
      </c>
      <c r="O141" s="179">
        <f t="shared" si="336"/>
        <v>7.2277644230769234</v>
      </c>
      <c r="P141" s="179">
        <f t="shared" si="336"/>
        <v>6.7694001100715466</v>
      </c>
      <c r="Q141" s="179">
        <f t="shared" ref="Q141" si="337">Q25/Q14</f>
        <v>7.2995618838992335</v>
      </c>
      <c r="R141" s="118">
        <f t="shared" si="216"/>
        <v>1.6817775509848421E-2</v>
      </c>
      <c r="S141" s="128"/>
      <c r="T141" s="112">
        <f t="shared" ref="T141" si="338">T25/T14</f>
        <v>7.2995618838992335</v>
      </c>
      <c r="U141" s="112">
        <f t="shared" ref="U141:AC141" si="339">U25/U14</f>
        <v>7.2995618838992344</v>
      </c>
      <c r="V141" s="112">
        <f t="shared" si="339"/>
        <v>7.2995618838992344</v>
      </c>
      <c r="W141" s="112">
        <f t="shared" si="339"/>
        <v>7.2995618838992344</v>
      </c>
      <c r="X141" s="112">
        <f t="shared" si="339"/>
        <v>7.2995618838992344</v>
      </c>
      <c r="Y141" s="112">
        <f t="shared" si="339"/>
        <v>7.2995618838992344</v>
      </c>
      <c r="Z141" s="112">
        <f t="shared" si="339"/>
        <v>7.2995618838992344</v>
      </c>
      <c r="AA141" s="112">
        <f t="shared" si="339"/>
        <v>7.2995618838992344</v>
      </c>
      <c r="AB141" s="112">
        <f t="shared" si="339"/>
        <v>7.2995618838992353</v>
      </c>
      <c r="AC141" s="112">
        <f t="shared" si="339"/>
        <v>7.2995618838992353</v>
      </c>
      <c r="AD141" s="118">
        <f t="shared" si="317"/>
        <v>0</v>
      </c>
      <c r="AE141" s="20"/>
      <c r="AF141" s="20"/>
    </row>
    <row r="142" spans="2:32" x14ac:dyDescent="0.2">
      <c r="B142" s="20" t="s">
        <v>373</v>
      </c>
      <c r="C142" s="20"/>
      <c r="D142" s="20"/>
      <c r="E142" s="20"/>
      <c r="F142" s="20"/>
      <c r="G142" s="179">
        <f>G27/G14</f>
        <v>4.9851116625310175</v>
      </c>
      <c r="H142" s="179">
        <f t="shared" ref="H142:P142" si="340">H27/H14</f>
        <v>4.9875518672199171</v>
      </c>
      <c r="I142" s="179">
        <f t="shared" si="340"/>
        <v>6.1646017699115045</v>
      </c>
      <c r="J142" s="179">
        <f t="shared" si="340"/>
        <v>5.8198847262247835</v>
      </c>
      <c r="K142" s="179">
        <f t="shared" si="340"/>
        <v>4.7878172588832486</v>
      </c>
      <c r="L142" s="179">
        <f t="shared" si="340"/>
        <v>7.3082822085889569</v>
      </c>
      <c r="M142" s="179">
        <f t="shared" si="340"/>
        <v>6.1061151079136691</v>
      </c>
      <c r="N142" s="179">
        <f t="shared" si="340"/>
        <v>6.0490837696335076</v>
      </c>
      <c r="O142" s="179">
        <f t="shared" si="340"/>
        <v>6.4441105769230766</v>
      </c>
      <c r="P142" s="179">
        <f t="shared" si="340"/>
        <v>5.7760044028618598</v>
      </c>
      <c r="Q142" s="179">
        <f t="shared" ref="Q142" si="341">Q27/Q14</f>
        <v>6.4682365826944137</v>
      </c>
      <c r="R142" s="118">
        <f t="shared" si="216"/>
        <v>1.4834592438489835E-2</v>
      </c>
      <c r="S142" s="128"/>
      <c r="T142" s="112">
        <f t="shared" ref="T142:AC142" si="342">T27/T14</f>
        <v>6.4682365826944146</v>
      </c>
      <c r="U142" s="112">
        <f t="shared" si="342"/>
        <v>6.4682365826944155</v>
      </c>
      <c r="V142" s="112">
        <f t="shared" si="342"/>
        <v>6.4682365826944155</v>
      </c>
      <c r="W142" s="112">
        <f t="shared" si="342"/>
        <v>6.4682365826944146</v>
      </c>
      <c r="X142" s="112">
        <f t="shared" si="342"/>
        <v>6.4682365826944155</v>
      </c>
      <c r="Y142" s="112">
        <f t="shared" si="342"/>
        <v>6.4682365826944155</v>
      </c>
      <c r="Z142" s="112">
        <f t="shared" si="342"/>
        <v>6.4682365826944164</v>
      </c>
      <c r="AA142" s="112">
        <f t="shared" si="342"/>
        <v>6.4682365826944155</v>
      </c>
      <c r="AB142" s="112">
        <f t="shared" si="342"/>
        <v>6.4682365826944164</v>
      </c>
      <c r="AC142" s="112">
        <f t="shared" si="342"/>
        <v>6.4682365826944164</v>
      </c>
      <c r="AD142" s="118">
        <f t="shared" si="317"/>
        <v>0</v>
      </c>
      <c r="AE142" s="20"/>
      <c r="AF142" s="20"/>
    </row>
    <row r="143" spans="2:32" x14ac:dyDescent="0.2"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128"/>
      <c r="S143" s="128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36"/>
      <c r="AE143" s="20"/>
      <c r="AF143" s="20"/>
    </row>
    <row r="144" spans="2:32" x14ac:dyDescent="0.2">
      <c r="B144" s="108" t="s">
        <v>244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3"/>
      <c r="S144" s="23"/>
      <c r="T144" s="122" t="s">
        <v>66</v>
      </c>
      <c r="U144" s="20"/>
      <c r="V144" s="20"/>
      <c r="W144" s="20"/>
      <c r="X144" s="20"/>
      <c r="Y144" s="20"/>
      <c r="Z144" s="20"/>
      <c r="AA144" s="20"/>
      <c r="AB144" s="20"/>
      <c r="AC144" s="20"/>
      <c r="AD144" s="136"/>
      <c r="AE144" s="20"/>
      <c r="AF144" s="20"/>
    </row>
    <row r="145" spans="2:32" x14ac:dyDescent="0.2">
      <c r="B145" s="23" t="s">
        <v>280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5"/>
      <c r="Q145" s="25"/>
      <c r="R145" s="159">
        <f>AVERAGE(G57:Q57)</f>
        <v>879.22077922077915</v>
      </c>
      <c r="S145" s="23"/>
      <c r="T145" s="193" t="s">
        <v>427</v>
      </c>
      <c r="U145" s="194" t="s">
        <v>428</v>
      </c>
      <c r="V145" s="20"/>
      <c r="W145" s="20"/>
      <c r="X145" s="20"/>
      <c r="Y145" s="20"/>
      <c r="Z145" s="20"/>
      <c r="AA145" s="20"/>
      <c r="AB145" s="20"/>
      <c r="AC145" s="20"/>
      <c r="AD145" s="136"/>
      <c r="AE145" s="20"/>
      <c r="AF145" s="20"/>
    </row>
    <row r="146" spans="2:32" x14ac:dyDescent="0.2">
      <c r="B146" s="20" t="s">
        <v>25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39">
        <f>T146+U146</f>
        <v>14682.967357360909</v>
      </c>
      <c r="T146" s="133">
        <f>PV($C$1, ($AC$3-$T$3), 0, -AC57)</f>
        <v>1617.615047844846</v>
      </c>
      <c r="U146" s="133">
        <f>PV($C$1, ($AC$3-$T$3), 0, -AF57)</f>
        <v>13065.352309516064</v>
      </c>
      <c r="V146" s="20"/>
      <c r="W146" s="20"/>
      <c r="X146" s="20"/>
      <c r="Y146" s="20"/>
      <c r="Z146" s="20"/>
      <c r="AA146" s="20"/>
      <c r="AB146" s="20"/>
      <c r="AC146" s="20"/>
      <c r="AD146" s="136"/>
      <c r="AE146" s="20"/>
      <c r="AF146" s="20"/>
    </row>
    <row r="147" spans="2:32" x14ac:dyDescent="0.2">
      <c r="B147" s="20" t="s">
        <v>272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39">
        <f t="shared" ref="S147:S165" si="343">T147+U147</f>
        <v>73398.666117908768</v>
      </c>
      <c r="T147" s="133">
        <f>PV($C$1, ($AC$3-$T$3), 0, -AC59)</f>
        <v>8086.2937248543549</v>
      </c>
      <c r="U147" s="133">
        <f>PV($C$1, ($AC$3-$T$3), 0, -AF59)</f>
        <v>65312.372393054407</v>
      </c>
      <c r="V147" s="20"/>
      <c r="W147" s="20"/>
      <c r="X147" s="20"/>
      <c r="Y147" s="20"/>
      <c r="Z147" s="20"/>
      <c r="AA147" s="20"/>
      <c r="AB147" s="20"/>
      <c r="AC147" s="20"/>
      <c r="AD147" s="136"/>
      <c r="AE147" s="20"/>
      <c r="AF147" s="20"/>
    </row>
    <row r="148" spans="2:32" x14ac:dyDescent="0.2">
      <c r="B148" s="20" t="s">
        <v>273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39">
        <f t="shared" si="343"/>
        <v>73333.983442325698</v>
      </c>
      <c r="T148" s="133">
        <f>PV($C$1, ($AC$3-$T$3), 0, -AC60)</f>
        <v>8079.1676673748652</v>
      </c>
      <c r="U148" s="133">
        <f>PV($C$1, ($AC$3-$T$3), 0, -AF60)</f>
        <v>65254.815774950839</v>
      </c>
      <c r="V148" s="20"/>
      <c r="W148" s="20"/>
      <c r="X148" s="20"/>
      <c r="Y148" s="20"/>
      <c r="Z148" s="20"/>
      <c r="AA148" s="20"/>
      <c r="AB148" s="20"/>
      <c r="AC148" s="20"/>
      <c r="AD148" s="136"/>
      <c r="AE148" s="20"/>
      <c r="AF148" s="20"/>
    </row>
    <row r="149" spans="2:32" x14ac:dyDescent="0.2">
      <c r="B149" s="20" t="s">
        <v>274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39">
        <f t="shared" si="343"/>
        <v>0</v>
      </c>
      <c r="T149" s="133">
        <f>PV($C$1, ($AC$3-$T$3), 0, -AC61)</f>
        <v>0</v>
      </c>
      <c r="U149" s="133">
        <f>PV($C$1, ($AC$3-$T$3), 0, -AF61)</f>
        <v>0</v>
      </c>
      <c r="V149" s="20"/>
      <c r="W149" s="20"/>
      <c r="X149" s="20"/>
      <c r="Y149" s="20"/>
      <c r="Z149" s="20"/>
      <c r="AA149" s="20"/>
      <c r="AB149" s="20"/>
      <c r="AC149" s="20"/>
      <c r="AD149" s="136"/>
      <c r="AE149" s="20"/>
      <c r="AF149" s="20"/>
    </row>
    <row r="150" spans="2:32" x14ac:dyDescent="0.2">
      <c r="B150" s="20" t="s">
        <v>275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39">
        <f t="shared" si="343"/>
        <v>0</v>
      </c>
      <c r="T150" s="133">
        <f>PV($C$1, ($AC$3-$T$3), 0, -AC67)</f>
        <v>0</v>
      </c>
      <c r="U150" s="133">
        <f>PV($C$1, ($AC$3-$T$3), 0, -AF67)</f>
        <v>0</v>
      </c>
      <c r="V150" s="20"/>
      <c r="W150" s="20"/>
      <c r="X150" s="20"/>
      <c r="Y150" s="20"/>
      <c r="Z150" s="20"/>
      <c r="AA150" s="20"/>
      <c r="AB150" s="20"/>
      <c r="AC150" s="20"/>
      <c r="AD150" s="136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39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6"/>
      <c r="AE151" s="20"/>
      <c r="AF151" s="20"/>
    </row>
    <row r="152" spans="2:32" x14ac:dyDescent="0.2">
      <c r="B152" s="20" t="s">
        <v>270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39">
        <f t="shared" si="343"/>
        <v>73398.666117908768</v>
      </c>
      <c r="T152" s="133">
        <f>PV($C$1, ($AC$3-$T$3), 0, -AC63)</f>
        <v>8086.2937248543549</v>
      </c>
      <c r="U152" s="133">
        <f>PV($C$1, ($AC$3-$T$3), 0, -$AF$63)</f>
        <v>65312.372393054407</v>
      </c>
      <c r="V152" s="20"/>
      <c r="W152" s="20"/>
      <c r="X152" s="20"/>
      <c r="Y152" s="20"/>
      <c r="Z152" s="20"/>
      <c r="AA152" s="20"/>
      <c r="AB152" s="20"/>
      <c r="AC152" s="20"/>
      <c r="AD152" s="136"/>
      <c r="AE152" s="20"/>
      <c r="AF152" s="20"/>
    </row>
    <row r="153" spans="2:32" x14ac:dyDescent="0.2">
      <c r="B153" s="20" t="s">
        <v>271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39">
        <f t="shared" si="343"/>
        <v>73398.666117908768</v>
      </c>
      <c r="T153" s="133">
        <f>PV($C$1, ($AC$3-$T$3), 0, -AC64)</f>
        <v>8086.2937248543549</v>
      </c>
      <c r="U153" s="133">
        <f>PV($C$1, ($AC$3-$T$3), 0, -$AF$64)</f>
        <v>65312.372393054407</v>
      </c>
      <c r="V153" s="20"/>
      <c r="W153" s="20"/>
      <c r="X153" s="20"/>
      <c r="Y153" s="20"/>
      <c r="Z153" s="20"/>
      <c r="AA153" s="20"/>
      <c r="AB153" s="20"/>
      <c r="AC153" s="20"/>
      <c r="AD153" s="136"/>
      <c r="AE153" s="20"/>
      <c r="AF153" s="20"/>
    </row>
    <row r="154" spans="2:32" x14ac:dyDescent="0.2">
      <c r="B154" s="20" t="s">
        <v>276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39">
        <f t="shared" si="343"/>
        <v>73398.666117908768</v>
      </c>
      <c r="T154" s="133">
        <f>PV($C$1, ($AC$3-$T$3), 0, -AC65)</f>
        <v>8086.2937248543549</v>
      </c>
      <c r="U154" s="133">
        <f>PV($C$1, ($AC$3-$T$3), 0, -$AF$65)</f>
        <v>65312.372393054407</v>
      </c>
      <c r="V154" s="20"/>
      <c r="W154" s="20"/>
      <c r="X154" s="20"/>
      <c r="Y154" s="20"/>
      <c r="Z154" s="20"/>
      <c r="AA154" s="20"/>
      <c r="AB154" s="20"/>
      <c r="AC154" s="20"/>
      <c r="AD154" s="136"/>
      <c r="AE154" s="20"/>
      <c r="AF154" s="20"/>
    </row>
    <row r="155" spans="2:32" x14ac:dyDescent="0.2"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39"/>
      <c r="T155" s="133"/>
      <c r="U155" s="20"/>
      <c r="V155" s="20"/>
      <c r="W155" s="20"/>
      <c r="X155" s="20"/>
      <c r="Y155" s="20"/>
      <c r="Z155" s="20"/>
      <c r="AA155" s="20"/>
      <c r="AB155" s="20"/>
      <c r="AC155" s="20"/>
      <c r="AD155" s="136"/>
      <c r="AE155" s="20"/>
      <c r="AF155" s="20"/>
    </row>
    <row r="156" spans="2:32" x14ac:dyDescent="0.2">
      <c r="B156" s="20" t="s">
        <v>249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39">
        <f t="shared" si="343"/>
        <v>0</v>
      </c>
      <c r="T156" s="133">
        <f>PV($C$1, ($AC$3-$T$3), 0, -AC70)</f>
        <v>0</v>
      </c>
      <c r="U156" s="133">
        <f>PV($C$1, ($AC$3-$T$3), 0, -AF70)</f>
        <v>0</v>
      </c>
      <c r="V156" s="20"/>
      <c r="W156" s="20"/>
      <c r="X156" s="20"/>
      <c r="Y156" s="20"/>
      <c r="Z156" s="20"/>
      <c r="AA156" s="20"/>
      <c r="AB156" s="20"/>
      <c r="AC156" s="20"/>
      <c r="AD156" s="136"/>
      <c r="AE156" s="20"/>
      <c r="AF156" s="20"/>
    </row>
    <row r="157" spans="2:32" x14ac:dyDescent="0.2">
      <c r="B157" s="20" t="s">
        <v>250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39">
        <f t="shared" si="343"/>
        <v>0</v>
      </c>
      <c r="T157" s="133">
        <f>PV($C$1, ($AC$3-$T$3), 0, -AC71)</f>
        <v>0</v>
      </c>
      <c r="U157" s="133">
        <f>PV($C$1, ($AC$3-$T$3), 0, -AF71)</f>
        <v>0</v>
      </c>
      <c r="V157" s="20"/>
      <c r="W157" s="20"/>
      <c r="X157" s="20"/>
      <c r="Y157" s="20"/>
      <c r="Z157" s="20"/>
      <c r="AA157" s="20"/>
      <c r="AB157" s="20"/>
      <c r="AC157" s="20"/>
      <c r="AD157" s="136"/>
      <c r="AE157" s="20"/>
      <c r="AF157" s="20"/>
    </row>
    <row r="158" spans="2:32" x14ac:dyDescent="0.2"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39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6"/>
      <c r="AE158" s="20"/>
      <c r="AF158" s="20"/>
    </row>
    <row r="159" spans="2:32" x14ac:dyDescent="0.2">
      <c r="B159" s="20" t="s">
        <v>292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39">
        <f t="shared" ref="S159" si="344">T159+U159</f>
        <v>0</v>
      </c>
      <c r="T159" s="133">
        <f>PV($C$1, ($AC$3-$T$3), 0, -AC12)</f>
        <v>0</v>
      </c>
      <c r="U159" s="133">
        <f>PV($C$1, ($AC$3-$T$3), 0, -AF12)</f>
        <v>0</v>
      </c>
      <c r="V159" s="20"/>
      <c r="W159" s="20"/>
      <c r="X159" s="20"/>
      <c r="Y159" s="20"/>
      <c r="Z159" s="20"/>
      <c r="AA159" s="20"/>
      <c r="AB159" s="20"/>
      <c r="AC159" s="20"/>
      <c r="AD159" s="136"/>
      <c r="AE159" s="20"/>
      <c r="AF159" s="20"/>
    </row>
    <row r="160" spans="2:32" x14ac:dyDescent="0.2">
      <c r="B160" s="20" t="s">
        <v>293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39">
        <f>T160+U160</f>
        <v>0</v>
      </c>
      <c r="T160" s="139">
        <f>T159/P42</f>
        <v>0</v>
      </c>
      <c r="U160" s="139">
        <f>U159/P42</f>
        <v>0</v>
      </c>
      <c r="V160" s="20"/>
      <c r="W160" s="20"/>
      <c r="X160" s="20"/>
      <c r="Y160" s="20"/>
      <c r="Z160" s="20"/>
      <c r="AA160" s="20"/>
      <c r="AB160" s="20"/>
      <c r="AC160" s="20"/>
      <c r="AD160" s="136"/>
      <c r="AE160" s="20"/>
      <c r="AF160" s="20"/>
    </row>
    <row r="161" spans="2:32" x14ac:dyDescent="0.2"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39"/>
      <c r="T161" s="139"/>
      <c r="U161" s="139"/>
      <c r="V161" s="20"/>
      <c r="W161" s="20"/>
      <c r="X161" s="20"/>
      <c r="Y161" s="20"/>
      <c r="Z161" s="20"/>
      <c r="AA161" s="20"/>
      <c r="AB161" s="20"/>
      <c r="AC161" s="20"/>
      <c r="AD161" s="136"/>
      <c r="AE161" s="20"/>
      <c r="AF161" s="20"/>
    </row>
    <row r="162" spans="2:32" x14ac:dyDescent="0.2">
      <c r="B162" s="108" t="s">
        <v>296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39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6"/>
      <c r="AE162" s="20"/>
      <c r="AF162" s="20"/>
    </row>
    <row r="163" spans="2:32" x14ac:dyDescent="0.2">
      <c r="B163" s="20" t="s">
        <v>282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39">
        <f t="shared" ref="S163" si="345">T163+U163</f>
        <v>580.21333871490913</v>
      </c>
      <c r="T163" s="133">
        <f>PV($C$1, ($AC$3-$T$3), 0, -AC73)+PV($C$1, ($AB$3-$T$3), 0, -AC73)+PV($C$1, ($AA$3-$T$3), 0, -AC73)+PV($C$1, ($Z$3-$T$3), 0, -AC73)+PV($C$1, ($Y$3-$T$3), 0, -AC73)+PV($C$1, ($X$3-$T$3), 0, -AC73)+PV($C$1, ($W$3-$T$3), 0, -AC73)+PV($C$1, ($V$3-$T$3), 0, -AC73)+PV($C$1, ($U$3-$T$3), 0, -AC73)+PV($C$1, ($T$3-$T$3), 0, -AC73)</f>
        <v>431.90318806651453</v>
      </c>
      <c r="U163" s="133">
        <f>PV($C$1, ($AC$3-$T$3), 0, -AF73)</f>
        <v>148.31015064839457</v>
      </c>
      <c r="V163" s="20"/>
      <c r="W163" s="20"/>
      <c r="X163" s="20"/>
      <c r="Y163" s="20"/>
      <c r="Z163" s="20"/>
      <c r="AA163" s="20"/>
      <c r="AB163" s="20"/>
      <c r="AC163" s="20"/>
      <c r="AD163" s="136"/>
      <c r="AE163" s="20"/>
      <c r="AF163" s="20"/>
    </row>
    <row r="164" spans="2:32" x14ac:dyDescent="0.2">
      <c r="B164" s="23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39"/>
      <c r="T164" s="133"/>
      <c r="U164" s="133"/>
      <c r="V164" s="20"/>
      <c r="W164" s="20"/>
      <c r="X164" s="20"/>
      <c r="Y164" s="20"/>
      <c r="Z164" s="20"/>
      <c r="AA164" s="20"/>
      <c r="AB164" s="20"/>
      <c r="AC164" s="20"/>
      <c r="AD164" s="136"/>
      <c r="AE164" s="20"/>
      <c r="AF164" s="20"/>
    </row>
    <row r="165" spans="2:32" x14ac:dyDescent="0.2">
      <c r="B165" s="20" t="s">
        <v>289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39">
        <f t="shared" si="343"/>
        <v>0</v>
      </c>
      <c r="T165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0</v>
      </c>
      <c r="U165" s="133">
        <f>PV($C$1, ($AC$3-$T$3), 0, -AF75)</f>
        <v>0</v>
      </c>
      <c r="V165" s="20"/>
      <c r="W165" s="20"/>
      <c r="X165" s="20"/>
      <c r="Y165" s="20"/>
      <c r="Z165" s="20"/>
      <c r="AA165" s="20"/>
      <c r="AB165" s="20"/>
      <c r="AC165" s="20"/>
      <c r="AD165" s="136"/>
      <c r="AE165" s="20"/>
      <c r="AF165" s="20"/>
    </row>
    <row r="166" spans="2:32" x14ac:dyDescent="0.2"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39"/>
      <c r="T166" s="133"/>
      <c r="U166" s="133"/>
      <c r="V166" s="20"/>
      <c r="W166" s="20"/>
      <c r="X166" s="20"/>
      <c r="Y166" s="20"/>
      <c r="Z166" s="20"/>
      <c r="AA166" s="20"/>
      <c r="AB166" s="20"/>
      <c r="AC166" s="20"/>
      <c r="AD166" s="136"/>
      <c r="AE166" s="20"/>
      <c r="AF166" s="20"/>
    </row>
    <row r="167" spans="2:32" x14ac:dyDescent="0.2">
      <c r="B167" s="20" t="s">
        <v>459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39">
        <f t="shared" ref="S167:S170" si="346">T167+U167</f>
        <v>0</v>
      </c>
      <c r="T167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0</v>
      </c>
      <c r="U167" s="133">
        <f>PV($C$1, ($AC$3-$T$3), 0, -AF77)</f>
        <v>0</v>
      </c>
      <c r="V167" s="20"/>
      <c r="W167" s="20"/>
      <c r="X167" s="20"/>
      <c r="Y167" s="20"/>
      <c r="Z167" s="20"/>
      <c r="AA167" s="20"/>
      <c r="AB167" s="20"/>
      <c r="AC167" s="20"/>
      <c r="AD167" s="136"/>
      <c r="AE167" s="20"/>
      <c r="AF167" s="20"/>
    </row>
    <row r="168" spans="2:32" x14ac:dyDescent="0.2">
      <c r="B168" s="20" t="s">
        <v>286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39">
        <f t="shared" si="346"/>
        <v>0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0</v>
      </c>
      <c r="U168" s="133">
        <f>PV($C$1, ($AC$3-$T$3), 0, -AF78)</f>
        <v>0</v>
      </c>
      <c r="V168" s="20"/>
      <c r="W168" s="20"/>
      <c r="X168" s="20"/>
      <c r="Y168" s="20"/>
      <c r="Z168" s="20"/>
      <c r="AA168" s="20"/>
      <c r="AB168" s="20"/>
      <c r="AC168" s="20"/>
      <c r="AD168" s="136"/>
      <c r="AE168" s="20"/>
      <c r="AF168" s="20"/>
    </row>
    <row r="169" spans="2:32" x14ac:dyDescent="0.2">
      <c r="B169" s="20" t="s">
        <v>287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139">
        <f t="shared" si="346"/>
        <v>0</v>
      </c>
      <c r="T169" s="133">
        <f>PV($C$1, ($AC$3-$T$3), 0, -AC79)+PV($C$1, ($AB$3-$T$3), 0, -AC79)+PV($C$1, ($AA$3-$T$3), 0, -AC79)+PV($C$1, ($Z$3-$T$3), 0, -AC79)+PV($C$1, ($Y$3-$T$3), 0, -AC79)+PV($C$1, ($X$3-$T$3), 0, -AC79)+PV($C$1, ($W$3-$T$3), 0, -AC79)+PV($C$1, ($V$3-$T$3), 0, -AC79)+PV($C$1, ($U$3-$T$3), 0, -AC79)+PV($C$1, ($T$3-$T$3), 0, -AC79)</f>
        <v>0</v>
      </c>
      <c r="U169" s="133">
        <f>PV($C$1, ($AC$3-$T$3), 0, -AF79)</f>
        <v>0</v>
      </c>
      <c r="V169" s="20"/>
      <c r="W169" s="20"/>
      <c r="X169" s="20"/>
      <c r="Y169" s="20"/>
      <c r="Z169" s="20"/>
      <c r="AA169" s="20"/>
      <c r="AB169" s="20"/>
      <c r="AC169" s="20"/>
      <c r="AD169" s="136"/>
      <c r="AE169" s="20"/>
      <c r="AF169" s="20"/>
    </row>
    <row r="170" spans="2:32" x14ac:dyDescent="0.2">
      <c r="B170" s="20" t="s">
        <v>288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139">
        <f t="shared" si="346"/>
        <v>0</v>
      </c>
      <c r="T170" s="133">
        <f>PV($C$1, ($AC$3-$T$3), 0, -AC80)+PV($C$1, ($AB$3-$T$3), 0, -AC80)+PV($C$1, ($AA$3-$T$3), 0, -AC80)+PV($C$1, ($Z$3-$T$3), 0, -AC80)+PV($C$1, ($Y$3-$T$3), 0, -AC80)+PV($C$1, ($X$3-$T$3), 0, -AC80)+PV($C$1, ($W$3-$T$3), 0, -AC80)+PV($C$1, ($V$3-$T$3), 0, -AC80)+PV($C$1, ($U$3-$T$3), 0, -AC80)+PV($C$1, ($T$3-$T$3), 0, -AC80)</f>
        <v>0</v>
      </c>
      <c r="U170" s="133">
        <f>PV($C$1, ($AC$3-$T$3), 0, -AF80)</f>
        <v>0</v>
      </c>
      <c r="V170" s="20"/>
      <c r="W170" s="20"/>
      <c r="X170" s="20"/>
      <c r="Y170" s="20"/>
      <c r="Z170" s="20"/>
      <c r="AA170" s="20"/>
      <c r="AB170" s="20"/>
      <c r="AC170" s="20"/>
      <c r="AD170" s="136"/>
      <c r="AE170" s="20"/>
      <c r="AF170" s="20"/>
    </row>
    <row r="171" spans="2:32" x14ac:dyDescent="0.2">
      <c r="B171" s="20" t="s">
        <v>457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129">
        <f>S168+S169+S170</f>
        <v>0</v>
      </c>
      <c r="T171" s="129">
        <f t="shared" ref="T171:U171" si="347">T168+T169+T170</f>
        <v>0</v>
      </c>
      <c r="U171" s="129">
        <f t="shared" si="347"/>
        <v>0</v>
      </c>
      <c r="V171" s="20"/>
      <c r="W171" s="20"/>
      <c r="X171" s="20"/>
      <c r="Y171" s="20"/>
      <c r="Z171" s="20"/>
      <c r="AA171" s="20"/>
      <c r="AB171" s="20"/>
      <c r="AC171" s="20"/>
      <c r="AD171" s="136"/>
      <c r="AE171" s="20"/>
      <c r="AF171" s="20"/>
    </row>
    <row r="172" spans="2:32" x14ac:dyDescent="0.2"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139"/>
      <c r="T172" s="133"/>
      <c r="U172" s="133"/>
      <c r="V172" s="20"/>
      <c r="W172" s="20"/>
      <c r="X172" s="20"/>
      <c r="Y172" s="20"/>
      <c r="Z172" s="20"/>
      <c r="AA172" s="20"/>
      <c r="AB172" s="20"/>
      <c r="AC172" s="20"/>
      <c r="AD172" s="136"/>
      <c r="AE172" s="20"/>
      <c r="AF172" s="20"/>
    </row>
    <row r="173" spans="2:32" x14ac:dyDescent="0.2">
      <c r="B173" s="20" t="s">
        <v>297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139">
        <f>T173+U173</f>
        <v>0</v>
      </c>
      <c r="T173" s="133">
        <f>PV($C$1, ($AC$3-$T$3), 0, -AC81)+PV($C$1, ($AB$3-$T$3), 0, -AC81)+PV($C$1, ($AA$3-$T$3), 0, -AC81)+PV($C$1, ($Z$3-$T$3), 0, -AC81)+PV($C$1, ($Y$3-$T$3), 0, -AC81)+PV($C$1, ($X$3-$T$3), 0, -AC81)+PV($C$1, ($W$3-$T$3), 0, -AC81)+PV($C$1, ($V$3-$T$3), 0, -AC81)+PV($C$1, ($U$3-$T$3), 0, -AC81)+PV($C$1, ($T$3-$T$3), 0, -AC81)</f>
        <v>0</v>
      </c>
      <c r="U173" s="133">
        <f>PV($C$1, ($AC$3-$T$3), 0, -AF81)</f>
        <v>0</v>
      </c>
      <c r="V173" s="20"/>
      <c r="W173" s="20"/>
      <c r="X173" s="20"/>
      <c r="Y173" s="20"/>
      <c r="Z173" s="20"/>
      <c r="AA173" s="20"/>
      <c r="AB173" s="20"/>
      <c r="AC173" s="20"/>
      <c r="AD173" s="136"/>
      <c r="AE173" s="20"/>
      <c r="AF173" s="20"/>
    </row>
    <row r="174" spans="2:32" x14ac:dyDescent="0.2"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182">
        <v>41729</v>
      </c>
      <c r="P174" s="20">
        <v>12670</v>
      </c>
      <c r="Q174" s="20"/>
      <c r="R174" s="20"/>
      <c r="S174" s="20"/>
      <c r="T174" s="121"/>
      <c r="U174" s="20"/>
      <c r="V174" s="20"/>
      <c r="W174" s="20"/>
      <c r="X174" s="20"/>
      <c r="Y174" s="20"/>
      <c r="Z174" s="20"/>
      <c r="AA174" s="20"/>
      <c r="AB174" s="20"/>
      <c r="AC174" s="20"/>
      <c r="AD174" s="136"/>
      <c r="AE174" s="20"/>
      <c r="AF174" s="20"/>
    </row>
    <row r="175" spans="2:32" x14ac:dyDescent="0.2">
      <c r="B175" s="108" t="s">
        <v>251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3" t="s">
        <v>388</v>
      </c>
      <c r="P175" s="20">
        <v>37000</v>
      </c>
      <c r="Q175" s="20"/>
      <c r="R175" s="20">
        <v>15000</v>
      </c>
      <c r="S175" s="23" t="s">
        <v>389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136"/>
      <c r="AE175" s="20"/>
      <c r="AF175" s="20"/>
    </row>
    <row r="176" spans="2:32" x14ac:dyDescent="0.2">
      <c r="B176" s="20" t="s">
        <v>204</v>
      </c>
      <c r="C176" s="22">
        <v>0</v>
      </c>
      <c r="D176" s="22">
        <v>0</v>
      </c>
      <c r="E176" s="22">
        <v>0</v>
      </c>
      <c r="F176" s="22">
        <v>0</v>
      </c>
      <c r="G176" s="22">
        <v>1500</v>
      </c>
      <c r="H176" s="22">
        <v>2841</v>
      </c>
      <c r="I176" s="22">
        <v>3726</v>
      </c>
      <c r="J176" s="22">
        <v>3640</v>
      </c>
      <c r="K176" s="22">
        <v>2310</v>
      </c>
      <c r="L176" s="22">
        <v>4900</v>
      </c>
      <c r="M176" s="22">
        <v>8670</v>
      </c>
      <c r="N176" s="22">
        <v>6410</v>
      </c>
      <c r="O176" s="22">
        <v>10060</v>
      </c>
      <c r="P176" s="22">
        <v>12670</v>
      </c>
      <c r="Q176" s="22">
        <v>38000</v>
      </c>
      <c r="R176" s="118">
        <f t="shared" ref="R176:R183" si="348">((P176/G176)^(1/($H$2-$H$1) ))-1</f>
        <v>0.23785146668889445</v>
      </c>
      <c r="S176" s="31">
        <f>L2-3%</f>
        <v>0.12</v>
      </c>
      <c r="T176" s="119">
        <f t="shared" ref="T176" si="349">P176*(1+$S176)</f>
        <v>14190.400000000001</v>
      </c>
      <c r="U176" s="119">
        <f t="shared" ref="U176:AC176" si="350">T176*(1+$S176)</f>
        <v>15893.248000000003</v>
      </c>
      <c r="V176" s="119">
        <f t="shared" si="350"/>
        <v>17800.437760000004</v>
      </c>
      <c r="W176" s="119">
        <f t="shared" si="350"/>
        <v>19936.490291200007</v>
      </c>
      <c r="X176" s="119">
        <f t="shared" si="350"/>
        <v>22328.869126144011</v>
      </c>
      <c r="Y176" s="119">
        <f t="shared" si="350"/>
        <v>25008.333421281295</v>
      </c>
      <c r="Z176" s="119">
        <f t="shared" si="350"/>
        <v>28009.333431835053</v>
      </c>
      <c r="AA176" s="119">
        <f t="shared" si="350"/>
        <v>31370.453443655264</v>
      </c>
      <c r="AB176" s="119">
        <f t="shared" si="350"/>
        <v>35134.9078568939</v>
      </c>
      <c r="AC176" s="119">
        <f t="shared" si="350"/>
        <v>39351.09679972117</v>
      </c>
      <c r="AD176" s="137">
        <f t="shared" ref="AD176:AD183" si="351">((AC176/G176)^(1/($AC$3-$H$1) ))-1</f>
        <v>0.17745218276223929</v>
      </c>
      <c r="AE176" s="31">
        <v>0.08</v>
      </c>
      <c r="AF176" s="127">
        <f t="shared" ref="AF176:AF186" si="352">(AC176*(1+AD176))/($C$1-AE176)</f>
        <v>463340.34820919868</v>
      </c>
    </row>
    <row r="177" spans="2:32" x14ac:dyDescent="0.2">
      <c r="B177" s="20" t="s">
        <v>359</v>
      </c>
      <c r="C177" s="25"/>
      <c r="D177" s="25"/>
      <c r="E177" s="25"/>
      <c r="F177" s="25"/>
      <c r="G177" s="25">
        <f t="shared" ref="G177:P177" si="353">G176/G51</f>
        <v>0.2728453876136856</v>
      </c>
      <c r="H177" s="25">
        <f t="shared" si="353"/>
        <v>0.4633864077669903</v>
      </c>
      <c r="I177" s="25">
        <f t="shared" si="353"/>
        <v>0.41389050515736581</v>
      </c>
      <c r="J177" s="25">
        <f t="shared" si="353"/>
        <v>0.33958240781874721</v>
      </c>
      <c r="K177" s="25">
        <f t="shared" si="353"/>
        <v>0.18831521739130433</v>
      </c>
      <c r="L177" s="25">
        <f t="shared" si="353"/>
        <v>0.37547892720306514</v>
      </c>
      <c r="M177" s="25">
        <f t="shared" si="353"/>
        <v>0.47593778591033847</v>
      </c>
      <c r="N177" s="25">
        <f t="shared" si="353"/>
        <v>0.25696287105087334</v>
      </c>
      <c r="O177" s="25">
        <f t="shared" si="353"/>
        <v>0.35130955350461462</v>
      </c>
      <c r="P177" s="25">
        <f t="shared" si="353"/>
        <v>0.43263414634146341</v>
      </c>
      <c r="Q177" s="25">
        <f t="shared" ref="Q177" si="354">Q176/Q51</f>
        <v>1.1973891514742292</v>
      </c>
      <c r="R177" s="118">
        <f t="shared" ref="R177" si="355">((P177/G177)^(1/($H$2-$H$1) ))-1</f>
        <v>4.7177778451060748E-2</v>
      </c>
      <c r="S177" s="128"/>
      <c r="T177" s="25">
        <f t="shared" ref="T177:AC177" si="356">T176/T51</f>
        <v>0.39659633032909614</v>
      </c>
      <c r="U177" s="25">
        <f t="shared" si="356"/>
        <v>0.39397534588518224</v>
      </c>
      <c r="V177" s="25">
        <f t="shared" si="356"/>
        <v>0.39137168272976713</v>
      </c>
      <c r="W177" s="25">
        <f t="shared" si="356"/>
        <v>0.38878522639172702</v>
      </c>
      <c r="X177" s="25">
        <f t="shared" si="356"/>
        <v>0.38621586315644268</v>
      </c>
      <c r="Y177" s="25">
        <f t="shared" si="356"/>
        <v>0.3836634800608002</v>
      </c>
      <c r="Z177" s="25">
        <f t="shared" si="356"/>
        <v>0.38112796488822454</v>
      </c>
      <c r="AA177" s="25">
        <f t="shared" si="356"/>
        <v>0.37860920616374599</v>
      </c>
      <c r="AB177" s="25">
        <f t="shared" si="356"/>
        <v>0.37610709314909857</v>
      </c>
      <c r="AC177" s="25">
        <f t="shared" si="356"/>
        <v>0.37362151583785252</v>
      </c>
      <c r="AD177" s="137">
        <f t="shared" ref="AD177" si="357">((AC177/G177)^(1/($AC$3-$H$1) ))-1</f>
        <v>1.5841060408275709E-2</v>
      </c>
      <c r="AE177" s="31">
        <v>0.08</v>
      </c>
      <c r="AF177" s="127">
        <f t="shared" ref="AF177" si="358">(AC177*(1+AD177))/($C$1-AE177)</f>
        <v>3.7954007684007149</v>
      </c>
    </row>
    <row r="178" spans="2:32" x14ac:dyDescent="0.2">
      <c r="B178" s="20" t="s">
        <v>387</v>
      </c>
      <c r="C178" s="25"/>
      <c r="D178" s="25"/>
      <c r="E178" s="25"/>
      <c r="F178" s="25"/>
      <c r="G178" s="25">
        <f t="shared" ref="G178:P178" si="359">G176/G57</f>
        <v>5.3389830508474576</v>
      </c>
      <c r="H178" s="25">
        <f t="shared" si="359"/>
        <v>41.145517241379309</v>
      </c>
      <c r="I178" s="25">
        <f t="shared" si="359"/>
        <v>19.809113924050632</v>
      </c>
      <c r="J178" s="25">
        <f t="shared" si="359"/>
        <v>8.9929411764705875</v>
      </c>
      <c r="K178" s="25">
        <f t="shared" si="359"/>
        <v>6.7846153846153845</v>
      </c>
      <c r="L178" s="25">
        <f t="shared" si="359"/>
        <v>8.1992031872509958</v>
      </c>
      <c r="M178" s="25">
        <f t="shared" si="359"/>
        <v>10.199999999999999</v>
      </c>
      <c r="N178" s="25">
        <f t="shared" si="359"/>
        <v>4.3492730210016157</v>
      </c>
      <c r="O178" s="25">
        <f t="shared" si="359"/>
        <v>7.2848275862068963</v>
      </c>
      <c r="P178" s="25">
        <f t="shared" si="359"/>
        <v>6.5858910891089106</v>
      </c>
      <c r="Q178" s="25">
        <f t="shared" ref="Q178" si="360">Q176/Q57</f>
        <v>17.577092511013216</v>
      </c>
      <c r="R178" s="118">
        <f t="shared" si="348"/>
        <v>2.1211272917206481E-2</v>
      </c>
      <c r="S178" s="128"/>
      <c r="T178" s="119">
        <f t="shared" ref="T178:AC178" si="361">T176/T57</f>
        <v>5.8218419459873605</v>
      </c>
      <c r="U178" s="119">
        <f t="shared" si="361"/>
        <v>5.7833671644312714</v>
      </c>
      <c r="V178" s="119">
        <f t="shared" si="361"/>
        <v>5.7451466509967695</v>
      </c>
      <c r="W178" s="119">
        <f t="shared" si="361"/>
        <v>5.7071787253032262</v>
      </c>
      <c r="X178" s="119">
        <f t="shared" si="361"/>
        <v>5.6694617180751372</v>
      </c>
      <c r="Y178" s="119">
        <f t="shared" si="361"/>
        <v>5.6319939710687281</v>
      </c>
      <c r="Z178" s="119">
        <f t="shared" si="361"/>
        <v>5.5947738369990567</v>
      </c>
      <c r="AA178" s="119">
        <f t="shared" si="361"/>
        <v>5.5577996794675864</v>
      </c>
      <c r="AB178" s="119">
        <f t="shared" si="361"/>
        <v>5.5210698728902363</v>
      </c>
      <c r="AC178" s="119">
        <f t="shared" si="361"/>
        <v>5.4845828024259191</v>
      </c>
      <c r="AD178" s="137">
        <f t="shared" si="351"/>
        <v>1.3461970293022762E-3</v>
      </c>
      <c r="AE178" s="31">
        <v>0.08</v>
      </c>
      <c r="AF178" s="127">
        <f t="shared" si="352"/>
        <v>54.919661315015077</v>
      </c>
    </row>
    <row r="179" spans="2:32" x14ac:dyDescent="0.2">
      <c r="B179" s="20" t="s">
        <v>462</v>
      </c>
      <c r="C179" s="25"/>
      <c r="D179" s="25"/>
      <c r="E179" s="25"/>
      <c r="F179" s="25"/>
      <c r="G179" s="25">
        <f t="shared" ref="G179:P179" si="362">G176/G55</f>
        <v>2.8636363636363633</v>
      </c>
      <c r="H179" s="25">
        <f t="shared" si="362"/>
        <v>5.9661</v>
      </c>
      <c r="I179" s="25">
        <f t="shared" si="362"/>
        <v>6.4934439834024893</v>
      </c>
      <c r="J179" s="25">
        <f t="shared" si="362"/>
        <v>3.4983981693363839</v>
      </c>
      <c r="K179" s="25">
        <f t="shared" si="362"/>
        <v>2.2150684931506848</v>
      </c>
      <c r="L179" s="25">
        <f t="shared" si="362"/>
        <v>2.9232954545454546</v>
      </c>
      <c r="M179" s="25">
        <f t="shared" si="362"/>
        <v>4.360958083832335</v>
      </c>
      <c r="N179" s="25">
        <f t="shared" si="362"/>
        <v>3.3073710073710072</v>
      </c>
      <c r="O179" s="25">
        <f t="shared" si="362"/>
        <v>3.3216981132075469</v>
      </c>
      <c r="P179" s="25">
        <f t="shared" si="362"/>
        <v>2.9895505617977527</v>
      </c>
      <c r="Q179" s="25">
        <f>Q176/Q55</f>
        <v>10.075757575757576</v>
      </c>
      <c r="R179" s="118">
        <f t="shared" si="348"/>
        <v>4.3123504671964685E-3</v>
      </c>
      <c r="S179" s="128"/>
      <c r="T179" s="25">
        <f t="shared" ref="T179:AC179" si="363">T176/T55</f>
        <v>3.3372679841897241</v>
      </c>
      <c r="U179" s="25">
        <f t="shared" si="363"/>
        <v>3.315212995772471</v>
      </c>
      <c r="V179" s="25">
        <f t="shared" si="363"/>
        <v>3.2933037620612797</v>
      </c>
      <c r="W179" s="25">
        <f t="shared" si="363"/>
        <v>3.2715393198076579</v>
      </c>
      <c r="X179" s="25">
        <f t="shared" si="363"/>
        <v>3.2499187121289301</v>
      </c>
      <c r="Y179" s="25">
        <f t="shared" si="363"/>
        <v>3.2284409884661658</v>
      </c>
      <c r="Z179" s="25">
        <f t="shared" si="363"/>
        <v>3.2071052045423905</v>
      </c>
      <c r="AA179" s="25">
        <f t="shared" si="363"/>
        <v>3.1859104223210677</v>
      </c>
      <c r="AB179" s="25">
        <f t="shared" si="363"/>
        <v>3.1648557099648591</v>
      </c>
      <c r="AC179" s="25">
        <f t="shared" si="363"/>
        <v>3.1439401417946571</v>
      </c>
      <c r="AD179" s="137">
        <f t="shared" ref="AD179:AD180" si="364">((AC179/G179)^(1/($AC$3-$H$1) ))-1</f>
        <v>4.6801459557952452E-3</v>
      </c>
      <c r="AE179" s="31">
        <v>0.08</v>
      </c>
      <c r="AF179" s="127">
        <f t="shared" ref="AF179:AF180" si="365">(AC179*(1+AD179))/($C$1-AE179)</f>
        <v>31.586542405345398</v>
      </c>
    </row>
    <row r="180" spans="2:32" x14ac:dyDescent="0.2">
      <c r="B180" s="20" t="s">
        <v>463</v>
      </c>
      <c r="C180" s="25"/>
      <c r="D180" s="25"/>
      <c r="E180" s="25"/>
      <c r="F180" s="25"/>
      <c r="G180" s="25">
        <f t="shared" ref="G180:P180" si="366">G176/G56</f>
        <v>3.75</v>
      </c>
      <c r="H180" s="25">
        <f t="shared" si="366"/>
        <v>27.118636363636366</v>
      </c>
      <c r="I180" s="25">
        <f t="shared" si="366"/>
        <v>15.807272727272727</v>
      </c>
      <c r="J180" s="25">
        <f t="shared" si="366"/>
        <v>5.9027027027027019</v>
      </c>
      <c r="K180" s="25">
        <f t="shared" si="366"/>
        <v>4.8753768844221099</v>
      </c>
      <c r="L180" s="25">
        <f t="shared" si="366"/>
        <v>5.1969696969696964</v>
      </c>
      <c r="M180" s="25">
        <f t="shared" si="366"/>
        <v>6.7936567164179102</v>
      </c>
      <c r="N180" s="25">
        <f t="shared" si="366"/>
        <v>3.01478163493841</v>
      </c>
      <c r="O180" s="25">
        <f t="shared" si="366"/>
        <v>5.0120996441281136</v>
      </c>
      <c r="P180" s="25">
        <f t="shared" si="366"/>
        <v>4.3088259109311746</v>
      </c>
      <c r="Q180" s="25">
        <f>Q176/Q56</f>
        <v>11.7960088691796</v>
      </c>
      <c r="R180" s="118">
        <f t="shared" si="348"/>
        <v>1.3987889350763671E-2</v>
      </c>
      <c r="S180" s="128"/>
      <c r="T180" s="25">
        <f t="shared" ref="T180:AC180" si="367">T176/T56</f>
        <v>3.9070454449050427</v>
      </c>
      <c r="U180" s="25">
        <f t="shared" si="367"/>
        <v>3.8812249706604538</v>
      </c>
      <c r="V180" s="25">
        <f t="shared" si="367"/>
        <v>3.8555751360717414</v>
      </c>
      <c r="W180" s="25">
        <f t="shared" si="367"/>
        <v>3.8300948134333548</v>
      </c>
      <c r="X180" s="25">
        <f t="shared" si="367"/>
        <v>3.8047828824924048</v>
      </c>
      <c r="Y180" s="25">
        <f t="shared" si="367"/>
        <v>3.7796382303994127</v>
      </c>
      <c r="Z180" s="25">
        <f t="shared" si="367"/>
        <v>3.754659751659382</v>
      </c>
      <c r="AA180" s="25">
        <f t="shared" si="367"/>
        <v>3.7298463480831994</v>
      </c>
      <c r="AB180" s="25">
        <f t="shared" si="367"/>
        <v>3.7051969287393463</v>
      </c>
      <c r="AC180" s="25">
        <f t="shared" si="367"/>
        <v>3.6807104099059385</v>
      </c>
      <c r="AD180" s="137">
        <f t="shared" si="364"/>
        <v>-9.3206836729875508E-4</v>
      </c>
      <c r="AE180" s="31">
        <v>0.08</v>
      </c>
      <c r="AF180" s="127">
        <f t="shared" si="365"/>
        <v>36.772797361636783</v>
      </c>
    </row>
    <row r="181" spans="2:32" x14ac:dyDescent="0.2">
      <c r="B181" s="20" t="s">
        <v>258</v>
      </c>
      <c r="C181" s="25"/>
      <c r="D181" s="25"/>
      <c r="E181" s="25"/>
      <c r="F181" s="25"/>
      <c r="G181" s="25">
        <f t="shared" ref="G181:P181" si="368">G176/G60</f>
        <v>0.89999999999999991</v>
      </c>
      <c r="H181" s="25">
        <f t="shared" si="368"/>
        <v>1.6595549374130736</v>
      </c>
      <c r="I181" s="25">
        <f t="shared" si="368"/>
        <v>1.9084390243902438</v>
      </c>
      <c r="J181" s="25">
        <f t="shared" si="368"/>
        <v>1.561593462717058</v>
      </c>
      <c r="K181" s="25">
        <f t="shared" si="368"/>
        <v>0.87248201438848916</v>
      </c>
      <c r="L181" s="25">
        <f t="shared" si="368"/>
        <v>1.5233160621761657</v>
      </c>
      <c r="M181" s="25">
        <f t="shared" si="368"/>
        <v>2.162351543942993</v>
      </c>
      <c r="N181" s="25">
        <f t="shared" si="368"/>
        <v>1.1761467889908257</v>
      </c>
      <c r="O181" s="25">
        <f t="shared" si="368"/>
        <v>1.4794117647058824</v>
      </c>
      <c r="P181" s="25">
        <f t="shared" si="368"/>
        <v>1.4575184880854559</v>
      </c>
      <c r="Q181" s="25">
        <f t="shared" ref="Q181" si="369">Q176/Q60</f>
        <v>3.5192943770672547</v>
      </c>
      <c r="R181" s="118">
        <f t="shared" si="348"/>
        <v>4.9390567710706046E-2</v>
      </c>
      <c r="S181" s="128"/>
      <c r="T181" s="119">
        <f t="shared" ref="T181:AC181" si="370">T176/T60</f>
        <v>1.1656521470686929</v>
      </c>
      <c r="U181" s="119">
        <f t="shared" si="370"/>
        <v>1.1579487067924132</v>
      </c>
      <c r="V181" s="119">
        <f t="shared" si="370"/>
        <v>1.1502961762083939</v>
      </c>
      <c r="W181" s="119">
        <f t="shared" si="370"/>
        <v>1.1426942188699734</v>
      </c>
      <c r="X181" s="119">
        <f t="shared" si="370"/>
        <v>1.1351425005539633</v>
      </c>
      <c r="Y181" s="119">
        <f t="shared" si="370"/>
        <v>1.1276406892459547</v>
      </c>
      <c r="Z181" s="119">
        <f t="shared" si="370"/>
        <v>1.1201884551257208</v>
      </c>
      <c r="AA181" s="119">
        <f t="shared" si="370"/>
        <v>1.1127854705527163</v>
      </c>
      <c r="AB181" s="119">
        <f t="shared" si="370"/>
        <v>1.1054314100516724</v>
      </c>
      <c r="AC181" s="119">
        <f t="shared" si="370"/>
        <v>1.0981259502982876</v>
      </c>
      <c r="AD181" s="137">
        <f t="shared" si="351"/>
        <v>9.9979266708927206E-3</v>
      </c>
      <c r="AE181" s="31">
        <v>0.08</v>
      </c>
      <c r="AF181" s="127">
        <f t="shared" si="352"/>
        <v>11.091049330247744</v>
      </c>
    </row>
    <row r="182" spans="2:32" x14ac:dyDescent="0.2">
      <c r="B182" s="20" t="s">
        <v>259</v>
      </c>
      <c r="C182" s="25"/>
      <c r="D182" s="25"/>
      <c r="E182" s="25"/>
      <c r="F182" s="25"/>
      <c r="G182" s="25">
        <f t="shared" ref="G182:P182" si="371">G176/G69</f>
        <v>5.4782608695652169</v>
      </c>
      <c r="H182" s="25">
        <f t="shared" si="371"/>
        <v>10.653749999999999</v>
      </c>
      <c r="I182" s="25">
        <f t="shared" si="371"/>
        <v>13.262033898305084</v>
      </c>
      <c r="J182" s="25">
        <f t="shared" si="371"/>
        <v>10.919999999999998</v>
      </c>
      <c r="K182" s="25">
        <f t="shared" si="371"/>
        <v>5.8445783132530122</v>
      </c>
      <c r="L182" s="25">
        <f t="shared" si="371"/>
        <v>10.088235294117645</v>
      </c>
      <c r="M182" s="25">
        <f t="shared" si="371"/>
        <v>28.672440944881888</v>
      </c>
      <c r="N182" s="25">
        <f t="shared" si="371"/>
        <v>20.551145038167938</v>
      </c>
      <c r="O182" s="25">
        <f t="shared" si="371"/>
        <v>8.5357575757575752</v>
      </c>
      <c r="P182" s="25">
        <f t="shared" si="371"/>
        <v>4.2879935535858182</v>
      </c>
      <c r="Q182" s="25" t="e">
        <f t="shared" ref="Q182" si="372">Q176/Q69</f>
        <v>#DIV/0!</v>
      </c>
      <c r="R182" s="118">
        <f t="shared" si="348"/>
        <v>-2.4199263720807163E-2</v>
      </c>
      <c r="S182" s="128"/>
      <c r="T182" s="119" t="e">
        <f t="shared" ref="T182:AC182" si="373">T176/T69</f>
        <v>#DIV/0!</v>
      </c>
      <c r="U182" s="119" t="e">
        <f t="shared" si="373"/>
        <v>#DIV/0!</v>
      </c>
      <c r="V182" s="119" t="e">
        <f t="shared" si="373"/>
        <v>#DIV/0!</v>
      </c>
      <c r="W182" s="119" t="e">
        <f t="shared" si="373"/>
        <v>#DIV/0!</v>
      </c>
      <c r="X182" s="119" t="e">
        <f t="shared" si="373"/>
        <v>#DIV/0!</v>
      </c>
      <c r="Y182" s="119" t="e">
        <f t="shared" si="373"/>
        <v>#DIV/0!</v>
      </c>
      <c r="Z182" s="119" t="e">
        <f t="shared" si="373"/>
        <v>#DIV/0!</v>
      </c>
      <c r="AA182" s="119" t="e">
        <f t="shared" si="373"/>
        <v>#DIV/0!</v>
      </c>
      <c r="AB182" s="119" t="e">
        <f t="shared" si="373"/>
        <v>#DIV/0!</v>
      </c>
      <c r="AC182" s="119" t="e">
        <f t="shared" si="373"/>
        <v>#DIV/0!</v>
      </c>
      <c r="AD182" s="137" t="e">
        <f t="shared" si="351"/>
        <v>#DIV/0!</v>
      </c>
      <c r="AE182" s="31">
        <v>0.08</v>
      </c>
      <c r="AF182" s="127" t="e">
        <f t="shared" si="352"/>
        <v>#DIV/0!</v>
      </c>
    </row>
    <row r="183" spans="2:32" x14ac:dyDescent="0.2">
      <c r="B183" s="20" t="s">
        <v>260</v>
      </c>
      <c r="C183" s="25"/>
      <c r="D183" s="25"/>
      <c r="E183" s="25"/>
      <c r="F183" s="25"/>
      <c r="G183" s="25">
        <f t="shared" ref="G183:P183" si="374">G176/G71</f>
        <v>1.3432835820895521</v>
      </c>
      <c r="H183" s="25">
        <f t="shared" si="374"/>
        <v>2.3722067594433396</v>
      </c>
      <c r="I183" s="25">
        <f t="shared" si="374"/>
        <v>2.7074740484429065</v>
      </c>
      <c r="J183" s="25">
        <f t="shared" si="374"/>
        <v>2.4658064516129032</v>
      </c>
      <c r="K183" s="25">
        <f t="shared" si="374"/>
        <v>1.3840228245363766</v>
      </c>
      <c r="L183" s="25">
        <f t="shared" si="374"/>
        <v>7.2978723404255321</v>
      </c>
      <c r="M183" s="25">
        <f t="shared" si="374"/>
        <v>4.9208108108108108</v>
      </c>
      <c r="N183" s="25">
        <f t="shared" si="374"/>
        <v>4.2801271860095387</v>
      </c>
      <c r="O183" s="25">
        <f t="shared" si="374"/>
        <v>5.7879452054794518</v>
      </c>
      <c r="P183" s="25">
        <f t="shared" si="374"/>
        <v>6.282644628099173</v>
      </c>
      <c r="Q183" s="25" t="e">
        <f t="shared" ref="Q183" si="375">Q176/Q71</f>
        <v>#DIV/0!</v>
      </c>
      <c r="R183" s="118">
        <f t="shared" si="348"/>
        <v>0.16680284348395857</v>
      </c>
      <c r="S183" s="128"/>
      <c r="T183" s="119" t="e">
        <f t="shared" ref="T183:AC183" si="376">T176/T71</f>
        <v>#DIV/0!</v>
      </c>
      <c r="U183" s="119" t="e">
        <f t="shared" si="376"/>
        <v>#DIV/0!</v>
      </c>
      <c r="V183" s="119" t="e">
        <f t="shared" si="376"/>
        <v>#DIV/0!</v>
      </c>
      <c r="W183" s="119" t="e">
        <f t="shared" si="376"/>
        <v>#DIV/0!</v>
      </c>
      <c r="X183" s="119" t="e">
        <f t="shared" si="376"/>
        <v>#DIV/0!</v>
      </c>
      <c r="Y183" s="119" t="e">
        <f t="shared" si="376"/>
        <v>#DIV/0!</v>
      </c>
      <c r="Z183" s="119" t="e">
        <f t="shared" si="376"/>
        <v>#DIV/0!</v>
      </c>
      <c r="AA183" s="119" t="e">
        <f t="shared" si="376"/>
        <v>#DIV/0!</v>
      </c>
      <c r="AB183" s="119" t="e">
        <f t="shared" si="376"/>
        <v>#DIV/0!</v>
      </c>
      <c r="AC183" s="119" t="e">
        <f t="shared" si="376"/>
        <v>#DIV/0!</v>
      </c>
      <c r="AD183" s="137" t="e">
        <f t="shared" si="351"/>
        <v>#DIV/0!</v>
      </c>
      <c r="AE183" s="31">
        <v>0.08</v>
      </c>
      <c r="AF183" s="127" t="e">
        <f t="shared" si="352"/>
        <v>#DIV/0!</v>
      </c>
    </row>
    <row r="184" spans="2:32" x14ac:dyDescent="0.2">
      <c r="B184" s="20" t="s">
        <v>281</v>
      </c>
      <c r="C184" s="25"/>
      <c r="D184" s="25"/>
      <c r="E184" s="25"/>
      <c r="F184" s="25"/>
      <c r="G184" s="181">
        <f t="shared" ref="G184:P184" si="377">G176/G65</f>
        <v>0.79646017699115035</v>
      </c>
      <c r="H184" s="181">
        <f t="shared" si="377"/>
        <v>1.5337017994858611</v>
      </c>
      <c r="I184" s="181">
        <f t="shared" si="377"/>
        <v>2.0270984455958549</v>
      </c>
      <c r="J184" s="181">
        <f t="shared" si="377"/>
        <v>1.6092631578947367</v>
      </c>
      <c r="K184" s="181">
        <f t="shared" si="377"/>
        <v>1.1875152998776008</v>
      </c>
      <c r="L184" s="181">
        <f t="shared" si="377"/>
        <v>1.4859205776173285</v>
      </c>
      <c r="M184" s="181">
        <f t="shared" si="377"/>
        <v>2.4179282868525895</v>
      </c>
      <c r="N184" s="181">
        <f t="shared" si="377"/>
        <v>1.998663697104677</v>
      </c>
      <c r="O184" s="181">
        <f t="shared" si="377"/>
        <v>2.2075235109717868</v>
      </c>
      <c r="P184" s="181">
        <f t="shared" si="377"/>
        <v>1.7221359223300969</v>
      </c>
      <c r="Q184" s="181">
        <f t="shared" ref="Q184" si="378">Q176/Q65</f>
        <v>3.5161929940515533</v>
      </c>
      <c r="R184" s="118">
        <f t="shared" ref="R184:R187" si="379">((P184/G184)^(1/($H$2-$H$1) ))-1</f>
        <v>8.0165584548195445E-2</v>
      </c>
      <c r="S184" s="128"/>
      <c r="T184" s="134">
        <f t="shared" ref="T184:AC184" si="380">T176/T65</f>
        <v>1.1646249145090379</v>
      </c>
      <c r="U184" s="134">
        <f t="shared" si="380"/>
        <v>1.156928262900109</v>
      </c>
      <c r="V184" s="134">
        <f t="shared" si="380"/>
        <v>1.149282476119204</v>
      </c>
      <c r="W184" s="134">
        <f t="shared" si="380"/>
        <v>1.1416872180161557</v>
      </c>
      <c r="X184" s="134">
        <f t="shared" si="380"/>
        <v>1.1341421546623098</v>
      </c>
      <c r="Y184" s="134">
        <f t="shared" si="380"/>
        <v>1.1266469543358462</v>
      </c>
      <c r="Z184" s="134">
        <f t="shared" si="380"/>
        <v>1.1192012875071922</v>
      </c>
      <c r="AA184" s="134">
        <f t="shared" si="380"/>
        <v>1.1118048268245362</v>
      </c>
      <c r="AB184" s="134">
        <f t="shared" si="380"/>
        <v>1.1044572470994349</v>
      </c>
      <c r="AC184" s="134">
        <f t="shared" si="380"/>
        <v>1.0971582252925174</v>
      </c>
      <c r="AD184" s="137">
        <f t="shared" ref="AD184" si="381">((AC184/G184)^(1/($AC$3-$H$1) ))-1</f>
        <v>1.6144006395744759E-2</v>
      </c>
      <c r="AE184" s="31">
        <v>0.08</v>
      </c>
      <c r="AF184" s="127">
        <f t="shared" si="352"/>
        <v>11.148707546987838</v>
      </c>
    </row>
    <row r="185" spans="2:32" x14ac:dyDescent="0.2">
      <c r="B185" s="20" t="s">
        <v>369</v>
      </c>
      <c r="C185" s="160"/>
      <c r="D185" s="160"/>
      <c r="E185" s="160"/>
      <c r="F185" s="160"/>
      <c r="G185" s="160">
        <f t="shared" ref="G185:P185" si="382">G57/G176</f>
        <v>0.1873015873015873</v>
      </c>
      <c r="H185" s="160">
        <f t="shared" si="382"/>
        <v>2.4303984177268232E-2</v>
      </c>
      <c r="I185" s="160">
        <f t="shared" si="382"/>
        <v>5.048181376683792E-2</v>
      </c>
      <c r="J185" s="160">
        <f t="shared" si="382"/>
        <v>0.11119832548403977</v>
      </c>
      <c r="K185" s="160">
        <f t="shared" si="382"/>
        <v>0.14739229024943312</v>
      </c>
      <c r="L185" s="160">
        <f t="shared" si="382"/>
        <v>0.12196307094266277</v>
      </c>
      <c r="M185" s="160">
        <f t="shared" si="382"/>
        <v>9.8039215686274508E-2</v>
      </c>
      <c r="N185" s="160">
        <f t="shared" si="382"/>
        <v>0.22992348265359186</v>
      </c>
      <c r="O185" s="160">
        <f t="shared" si="382"/>
        <v>0.13727160844457068</v>
      </c>
      <c r="P185" s="160">
        <f t="shared" si="382"/>
        <v>0.15183974142143045</v>
      </c>
      <c r="Q185" s="160">
        <f t="shared" ref="Q185" si="383">Q57/Q176</f>
        <v>5.6892230576441105E-2</v>
      </c>
      <c r="R185" s="118">
        <f t="shared" si="379"/>
        <v>-2.0770699932261882E-2</v>
      </c>
      <c r="S185" s="128"/>
      <c r="T185" s="160">
        <f t="shared" ref="T185:AC185" si="384">T57/T176</f>
        <v>0.17176694408360552</v>
      </c>
      <c r="U185" s="160">
        <f t="shared" si="384"/>
        <v>0.17290965134466588</v>
      </c>
      <c r="V185" s="160">
        <f t="shared" si="384"/>
        <v>0.17405996064982993</v>
      </c>
      <c r="W185" s="160">
        <f t="shared" si="384"/>
        <v>0.17521792257292051</v>
      </c>
      <c r="X185" s="160">
        <f t="shared" si="384"/>
        <v>0.17638358802421092</v>
      </c>
      <c r="Y185" s="160">
        <f t="shared" si="384"/>
        <v>0.1775570082526633</v>
      </c>
      <c r="Z185" s="160">
        <f t="shared" si="384"/>
        <v>0.17873823484818169</v>
      </c>
      <c r="AA185" s="160">
        <f t="shared" si="384"/>
        <v>0.17992731974388032</v>
      </c>
      <c r="AB185" s="160">
        <f t="shared" si="384"/>
        <v>0.18112431521836689</v>
      </c>
      <c r="AC185" s="160">
        <f t="shared" si="384"/>
        <v>0.18232927389804085</v>
      </c>
      <c r="AD185" s="137">
        <f t="shared" ref="AD185:AD187" si="385">((AC185/G185)^(1/($AC$3-$H$1) ))-1</f>
        <v>-1.3443872192215878E-3</v>
      </c>
      <c r="AE185" s="31">
        <v>0.08</v>
      </c>
      <c r="AF185" s="127">
        <f t="shared" si="352"/>
        <v>1.8208415275252239</v>
      </c>
    </row>
    <row r="186" spans="2:32" x14ac:dyDescent="0.2">
      <c r="B186" s="20" t="s">
        <v>318</v>
      </c>
      <c r="C186" s="151"/>
      <c r="D186" s="151"/>
      <c r="E186" s="151"/>
      <c r="F186" s="151"/>
      <c r="G186" s="151">
        <f t="shared" ref="G186:P186" si="386">G44/G176</f>
        <v>1.3333333333333334E-2</v>
      </c>
      <c r="H186" s="151">
        <f t="shared" si="386"/>
        <v>7.0397747272087294E-3</v>
      </c>
      <c r="I186" s="151">
        <f t="shared" si="386"/>
        <v>5.3676865271068174E-3</v>
      </c>
      <c r="J186" s="151">
        <f t="shared" si="386"/>
        <v>5.4945054945054949E-3</v>
      </c>
      <c r="K186" s="151">
        <f t="shared" si="386"/>
        <v>8.658008658008658E-3</v>
      </c>
      <c r="L186" s="151">
        <f t="shared" si="386"/>
        <v>5.1020408163265302E-3</v>
      </c>
      <c r="M186" s="151">
        <f t="shared" si="386"/>
        <v>5.7670126874279125E-3</v>
      </c>
      <c r="N186" s="151">
        <f t="shared" si="386"/>
        <v>3.9001560062402497E-3</v>
      </c>
      <c r="O186" s="151">
        <f t="shared" si="386"/>
        <v>2.485089463220676E-3</v>
      </c>
      <c r="P186" s="151">
        <f t="shared" si="386"/>
        <v>2.3677979479084454E-3</v>
      </c>
      <c r="Q186" s="151">
        <f t="shared" ref="Q186" si="387">Q44/Q176</f>
        <v>1.3157894736842105E-3</v>
      </c>
      <c r="R186" s="118">
        <f t="shared" si="379"/>
        <v>-0.15871994983535653</v>
      </c>
      <c r="S186" s="128"/>
      <c r="T186" s="151">
        <f t="shared" ref="T186:AC186" si="388">T44/T176</f>
        <v>3.6996842936069451E-3</v>
      </c>
      <c r="U186" s="151">
        <f t="shared" si="388"/>
        <v>3.4684540252565106E-3</v>
      </c>
      <c r="V186" s="151">
        <f t="shared" si="388"/>
        <v>3.2516756486779788E-3</v>
      </c>
      <c r="W186" s="151">
        <f t="shared" si="388"/>
        <v>3.048445920635605E-3</v>
      </c>
      <c r="X186" s="151">
        <f t="shared" si="388"/>
        <v>2.8579180505958796E-3</v>
      </c>
      <c r="Y186" s="151">
        <f t="shared" si="388"/>
        <v>2.6792981724336369E-3</v>
      </c>
      <c r="Z186" s="151">
        <f t="shared" si="388"/>
        <v>2.5118420366565344E-3</v>
      </c>
      <c r="AA186" s="151">
        <f t="shared" si="388"/>
        <v>2.3548519093655011E-3</v>
      </c>
      <c r="AB186" s="151">
        <f t="shared" si="388"/>
        <v>2.2076736650301571E-3</v>
      </c>
      <c r="AC186" s="151">
        <f t="shared" si="388"/>
        <v>2.0696940609657719E-3</v>
      </c>
      <c r="AD186" s="137">
        <f t="shared" si="385"/>
        <v>-8.8937081037259724E-2</v>
      </c>
      <c r="AE186" s="31">
        <v>0.08</v>
      </c>
      <c r="AF186" s="127">
        <f t="shared" si="352"/>
        <v>1.8856215125433239E-2</v>
      </c>
    </row>
    <row r="187" spans="2:32" x14ac:dyDescent="0.2">
      <c r="B187" s="20" t="s">
        <v>444</v>
      </c>
      <c r="C187" s="180"/>
      <c r="D187" s="180"/>
      <c r="E187" s="180"/>
      <c r="F187" s="180"/>
      <c r="G187" s="180">
        <f t="shared" ref="G187:O187" si="389">(G178)/($L$2*100)</f>
        <v>0.3559322033898305</v>
      </c>
      <c r="H187" s="180">
        <f t="shared" si="389"/>
        <v>2.7430344827586208</v>
      </c>
      <c r="I187" s="180">
        <f t="shared" si="389"/>
        <v>1.3206075949367089</v>
      </c>
      <c r="J187" s="180">
        <f t="shared" si="389"/>
        <v>0.59952941176470587</v>
      </c>
      <c r="K187" s="180">
        <f t="shared" si="389"/>
        <v>0.4523076923076923</v>
      </c>
      <c r="L187" s="180">
        <f t="shared" si="389"/>
        <v>0.54661354581673305</v>
      </c>
      <c r="M187" s="180">
        <f t="shared" si="389"/>
        <v>0.67999999999999994</v>
      </c>
      <c r="N187" s="180">
        <f t="shared" si="389"/>
        <v>0.28995153473344104</v>
      </c>
      <c r="O187" s="180">
        <f t="shared" si="389"/>
        <v>0.48565517241379308</v>
      </c>
      <c r="P187" s="180">
        <f>(P178)/($L$2*100)</f>
        <v>0.43905940594059406</v>
      </c>
      <c r="Q187" s="180">
        <f>(Q178)/($L$2*100)</f>
        <v>1.1718061674008811</v>
      </c>
      <c r="R187" s="118">
        <f t="shared" si="379"/>
        <v>2.1211272917206481E-2</v>
      </c>
      <c r="S187" s="128"/>
      <c r="T187" s="180">
        <f>(T178)/($L$2*100)</f>
        <v>0.38812279639915737</v>
      </c>
      <c r="U187" s="180">
        <f t="shared" ref="U187:AC187" si="390">(U178)/($L$2*100)</f>
        <v>0.38555781096208475</v>
      </c>
      <c r="V187" s="180">
        <f t="shared" si="390"/>
        <v>0.38300977673311798</v>
      </c>
      <c r="W187" s="180">
        <f t="shared" si="390"/>
        <v>0.38047858168688176</v>
      </c>
      <c r="X187" s="180">
        <f t="shared" si="390"/>
        <v>0.3779641145383425</v>
      </c>
      <c r="Y187" s="180">
        <f t="shared" si="390"/>
        <v>0.37546626473791522</v>
      </c>
      <c r="Z187" s="180">
        <f t="shared" si="390"/>
        <v>0.37298492246660381</v>
      </c>
      <c r="AA187" s="180">
        <f t="shared" si="390"/>
        <v>0.37051997863117242</v>
      </c>
      <c r="AB187" s="180">
        <f t="shared" si="390"/>
        <v>0.36807132485934907</v>
      </c>
      <c r="AC187" s="180">
        <f t="shared" si="390"/>
        <v>0.36563885349506126</v>
      </c>
      <c r="AD187" s="137">
        <f t="shared" si="385"/>
        <v>1.3461970293022762E-3</v>
      </c>
      <c r="AE187" s="31">
        <v>0.08</v>
      </c>
      <c r="AF187" s="180">
        <f>(AF178)/($L$2*100)</f>
        <v>3.6613107543343384</v>
      </c>
    </row>
    <row r="188" spans="2:32" x14ac:dyDescent="0.2">
      <c r="B188" s="20" t="s">
        <v>445</v>
      </c>
      <c r="C188" s="151"/>
      <c r="D188" s="151"/>
      <c r="E188" s="151"/>
      <c r="F188" s="151"/>
      <c r="G188" s="151">
        <f t="shared" ref="G188:P188" si="391">G187-1</f>
        <v>-0.64406779661016955</v>
      </c>
      <c r="H188" s="151">
        <f t="shared" si="391"/>
        <v>1.7430344827586208</v>
      </c>
      <c r="I188" s="151">
        <f t="shared" si="391"/>
        <v>0.32060759493670887</v>
      </c>
      <c r="J188" s="151">
        <f t="shared" si="391"/>
        <v>-0.40047058823529413</v>
      </c>
      <c r="K188" s="151">
        <f t="shared" si="391"/>
        <v>-0.5476923076923077</v>
      </c>
      <c r="L188" s="151">
        <f t="shared" si="391"/>
        <v>-0.45338645418326695</v>
      </c>
      <c r="M188" s="151">
        <f t="shared" si="391"/>
        <v>-0.32000000000000006</v>
      </c>
      <c r="N188" s="151">
        <f t="shared" si="391"/>
        <v>-0.71004846526655896</v>
      </c>
      <c r="O188" s="151">
        <f t="shared" si="391"/>
        <v>-0.51434482758620692</v>
      </c>
      <c r="P188" s="151">
        <f t="shared" si="391"/>
        <v>-0.56094059405940588</v>
      </c>
      <c r="Q188" s="151">
        <f>Q187-1</f>
        <v>0.17180616740088106</v>
      </c>
      <c r="R188" s="128"/>
      <c r="S188" s="128"/>
      <c r="T188" s="134"/>
      <c r="U188" s="134"/>
      <c r="V188" s="134"/>
      <c r="W188" s="134"/>
      <c r="X188" s="134"/>
      <c r="Y188" s="134"/>
      <c r="Z188" s="134"/>
      <c r="AA188" s="134"/>
      <c r="AB188" s="134"/>
      <c r="AC188" s="134"/>
      <c r="AD188" s="136"/>
      <c r="AE188" s="20"/>
      <c r="AF188" s="127"/>
    </row>
    <row r="189" spans="2:32" x14ac:dyDescent="0.2">
      <c r="B189" s="20"/>
      <c r="C189" s="129"/>
      <c r="D189" s="129"/>
      <c r="E189" s="129"/>
      <c r="F189" s="129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28"/>
      <c r="S189" s="128"/>
      <c r="T189" s="134"/>
      <c r="U189" s="134"/>
      <c r="V189" s="134"/>
      <c r="W189" s="134"/>
      <c r="X189" s="134"/>
      <c r="Y189" s="134"/>
      <c r="Z189" s="134"/>
      <c r="AA189" s="134"/>
      <c r="AB189" s="134"/>
      <c r="AC189" s="134"/>
      <c r="AD189" s="136"/>
      <c r="AE189" s="20"/>
      <c r="AF189" s="20"/>
    </row>
    <row r="190" spans="2:32" x14ac:dyDescent="0.2">
      <c r="B190" s="108" t="s">
        <v>300</v>
      </c>
      <c r="C190" s="20"/>
      <c r="D190" s="20"/>
      <c r="E190" s="20"/>
      <c r="F190" s="20"/>
      <c r="G190" s="20"/>
      <c r="H190" s="20"/>
      <c r="I190" s="20"/>
      <c r="J190" s="20"/>
      <c r="K190" s="208" t="s">
        <v>349</v>
      </c>
      <c r="L190" s="209"/>
      <c r="M190" s="20"/>
      <c r="N190" s="20"/>
      <c r="O190" s="20"/>
      <c r="P190" s="108" t="s">
        <v>428</v>
      </c>
      <c r="Q190" s="197" t="s">
        <v>427</v>
      </c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136"/>
      <c r="AE190" s="20"/>
      <c r="AF190" s="20"/>
    </row>
    <row r="191" spans="2:32" x14ac:dyDescent="0.2">
      <c r="B191" s="20" t="s">
        <v>298</v>
      </c>
      <c r="C191" s="20" t="s">
        <v>312</v>
      </c>
      <c r="D191" s="20"/>
      <c r="E191" s="20"/>
      <c r="F191" s="20"/>
      <c r="G191" s="20"/>
      <c r="H191" s="20"/>
      <c r="I191" s="20"/>
      <c r="J191" s="20"/>
      <c r="K191" s="20" t="s">
        <v>350</v>
      </c>
      <c r="L191" s="22">
        <v>1</v>
      </c>
      <c r="M191" s="20"/>
      <c r="N191" s="20"/>
      <c r="O191" s="20"/>
      <c r="P191" s="128">
        <f>(Q176-S163)/Q176</f>
        <v>0.98473122792855505</v>
      </c>
      <c r="Q191" s="128">
        <f>(Q176-T163)/Q176</f>
        <v>0.98863412662982864</v>
      </c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136"/>
      <c r="AE191" s="20"/>
      <c r="AF191" s="20"/>
    </row>
    <row r="192" spans="2:32" x14ac:dyDescent="0.2">
      <c r="B192" s="20" t="s">
        <v>347</v>
      </c>
      <c r="C192" s="20" t="s">
        <v>312</v>
      </c>
      <c r="D192" s="20"/>
      <c r="E192" s="20"/>
      <c r="F192" s="20"/>
      <c r="G192" s="20"/>
      <c r="H192" s="20"/>
      <c r="I192" s="20"/>
      <c r="J192" s="20"/>
      <c r="K192" s="171">
        <f>$L$191</f>
        <v>1</v>
      </c>
      <c r="L192" s="20"/>
      <c r="M192" s="128">
        <f>(P176-(K192*S154))/P176</f>
        <v>-4.7931070337733832</v>
      </c>
      <c r="N192" s="20"/>
      <c r="O192" s="20"/>
      <c r="P192" s="128">
        <f>(Q176-S154)/Q176</f>
        <v>-0.9315438452081255</v>
      </c>
      <c r="Q192" s="128">
        <f>(Q176-T154)/Q176</f>
        <v>0.78720279671435911</v>
      </c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136"/>
      <c r="AE192" s="20"/>
      <c r="AF192" s="20"/>
    </row>
    <row r="193" spans="2:46" x14ac:dyDescent="0.2">
      <c r="B193" s="20" t="s">
        <v>348</v>
      </c>
      <c r="C193" s="20" t="s">
        <v>312</v>
      </c>
      <c r="D193" s="20"/>
      <c r="E193" s="20"/>
      <c r="F193" s="20"/>
      <c r="G193" s="20"/>
      <c r="H193" s="20"/>
      <c r="I193" s="20"/>
      <c r="J193" s="20"/>
      <c r="K193" s="171">
        <f>$L$191</f>
        <v>1</v>
      </c>
      <c r="L193" s="20"/>
      <c r="M193" s="128">
        <f>(P176-(K193*S147))/P176</f>
        <v>-4.7931070337733832</v>
      </c>
      <c r="N193" s="20"/>
      <c r="O193" s="20"/>
      <c r="P193" s="128">
        <f>(Q176-S147)/Q176</f>
        <v>-0.9315438452081255</v>
      </c>
      <c r="Q193" s="128">
        <f>(Q176-T147)/Q176</f>
        <v>0.78720279671435911</v>
      </c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136"/>
      <c r="AE193" s="20"/>
      <c r="AF193" s="20"/>
    </row>
    <row r="194" spans="2:46" x14ac:dyDescent="0.2">
      <c r="B194" s="20" t="s">
        <v>351</v>
      </c>
      <c r="C194" s="20" t="s">
        <v>312</v>
      </c>
      <c r="D194" s="20"/>
      <c r="E194" s="20"/>
      <c r="F194" s="20"/>
      <c r="G194" s="20"/>
      <c r="H194" s="20"/>
      <c r="I194" s="20"/>
      <c r="J194" s="20"/>
      <c r="K194" s="171">
        <f>$L$191</f>
        <v>1</v>
      </c>
      <c r="L194" s="20"/>
      <c r="M194" s="128">
        <f>(P176-(K194*S160))/P176</f>
        <v>1</v>
      </c>
      <c r="N194" s="20"/>
      <c r="O194" s="20"/>
      <c r="P194" s="128">
        <f>(Q176-S160)/Q176</f>
        <v>1</v>
      </c>
      <c r="Q194" s="128">
        <f>(Q176-T160)/Q176</f>
        <v>1</v>
      </c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136"/>
      <c r="AE194" s="20"/>
      <c r="AF194" s="20"/>
    </row>
    <row r="195" spans="2:46" x14ac:dyDescent="0.2">
      <c r="B195" s="20" t="s">
        <v>397</v>
      </c>
      <c r="C195" s="20" t="s">
        <v>312</v>
      </c>
      <c r="D195" s="20"/>
      <c r="E195" s="20"/>
      <c r="F195" s="20"/>
      <c r="G195" s="20"/>
      <c r="H195" s="20"/>
      <c r="I195" s="20"/>
      <c r="J195" s="20"/>
      <c r="K195" s="171">
        <f>$L$191</f>
        <v>1</v>
      </c>
      <c r="L195" s="20"/>
      <c r="M195" s="128">
        <f>(P176-(K195*S173))/P176</f>
        <v>1</v>
      </c>
      <c r="N195" s="20"/>
      <c r="O195" s="20"/>
      <c r="P195" s="128">
        <f>(Q176-S173)/Q176</f>
        <v>1</v>
      </c>
      <c r="Q195" s="128">
        <f>(Q176-T173)/Q176</f>
        <v>1</v>
      </c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136"/>
      <c r="AE195" s="20"/>
      <c r="AF195" s="20"/>
    </row>
    <row r="196" spans="2:46" x14ac:dyDescent="0.2">
      <c r="B196" s="20" t="s">
        <v>299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5">
        <f>Q176/S146</f>
        <v>2.5880327235727134</v>
      </c>
      <c r="Q196" s="25">
        <f>Q176/T146</f>
        <v>23.491373952429242</v>
      </c>
      <c r="R196" s="20"/>
      <c r="S196" s="20"/>
      <c r="T196" s="115" t="s">
        <v>11</v>
      </c>
      <c r="U196" s="115" t="s">
        <v>12</v>
      </c>
      <c r="V196" s="115" t="s">
        <v>13</v>
      </c>
      <c r="W196" s="115" t="s">
        <v>14</v>
      </c>
      <c r="X196" s="115" t="s">
        <v>15</v>
      </c>
      <c r="Y196" s="115" t="s">
        <v>234</v>
      </c>
      <c r="Z196" s="115" t="s">
        <v>235</v>
      </c>
      <c r="AA196" s="115" t="s">
        <v>236</v>
      </c>
      <c r="AB196" s="115" t="s">
        <v>237</v>
      </c>
      <c r="AC196" s="115" t="s">
        <v>238</v>
      </c>
      <c r="AD196" s="115" t="s">
        <v>405</v>
      </c>
      <c r="AE196" s="115" t="s">
        <v>406</v>
      </c>
      <c r="AF196" s="115" t="s">
        <v>407</v>
      </c>
      <c r="AG196" s="115" t="s">
        <v>408</v>
      </c>
      <c r="AH196" s="115" t="s">
        <v>409</v>
      </c>
      <c r="AI196" s="115" t="s">
        <v>410</v>
      </c>
      <c r="AJ196" s="115" t="s">
        <v>411</v>
      </c>
      <c r="AK196" s="115" t="s">
        <v>412</v>
      </c>
      <c r="AL196" s="115" t="s">
        <v>413</v>
      </c>
      <c r="AM196" s="115" t="s">
        <v>414</v>
      </c>
      <c r="AN196" s="115" t="s">
        <v>415</v>
      </c>
      <c r="AO196" s="115" t="s">
        <v>416</v>
      </c>
      <c r="AP196" s="115" t="s">
        <v>417</v>
      </c>
      <c r="AQ196" s="115" t="s">
        <v>418</v>
      </c>
      <c r="AR196" s="115" t="s">
        <v>419</v>
      </c>
      <c r="AS196" s="115" t="s">
        <v>420</v>
      </c>
      <c r="AT196" s="115" t="s">
        <v>421</v>
      </c>
    </row>
    <row r="197" spans="2:46" x14ac:dyDescent="0.2">
      <c r="B197" s="20" t="s">
        <v>369</v>
      </c>
      <c r="C197" s="20"/>
      <c r="D197" s="20"/>
      <c r="E197" s="20"/>
      <c r="F197" s="20"/>
      <c r="G197" s="188" t="s">
        <v>446</v>
      </c>
      <c r="H197" s="189"/>
      <c r="I197" s="188" t="s">
        <v>447</v>
      </c>
      <c r="J197" s="189"/>
      <c r="K197" s="20"/>
      <c r="L197" s="188" t="s">
        <v>448</v>
      </c>
      <c r="M197" s="189"/>
      <c r="N197" s="188" t="s">
        <v>449</v>
      </c>
      <c r="O197" s="189"/>
      <c r="P197" s="151">
        <f>1/P196</f>
        <v>0.38639387782528706</v>
      </c>
      <c r="Q197" s="151">
        <f>1/Q196</f>
        <v>4.2568817048548584E-2</v>
      </c>
      <c r="R197" s="20"/>
      <c r="S197" s="20"/>
      <c r="T197" s="129">
        <f>Q176-T198</f>
        <v>37076.818181818184</v>
      </c>
      <c r="U197" s="184">
        <f>T197-U198</f>
        <v>36107.477272727272</v>
      </c>
      <c r="V197" s="184">
        <f t="shared" ref="V197:X197" si="392">U197-V198</f>
        <v>35089.669318181819</v>
      </c>
      <c r="W197" s="184">
        <f t="shared" si="392"/>
        <v>34020.970965909095</v>
      </c>
      <c r="X197" s="184">
        <f t="shared" si="392"/>
        <v>32898.837696022732</v>
      </c>
      <c r="Y197" s="184">
        <f>X197-Y198</f>
        <v>31720.59776264205</v>
      </c>
      <c r="Z197" s="184">
        <f t="shared" ref="Z197:AC197" si="393">Y197-Z198</f>
        <v>30483.445832592333</v>
      </c>
      <c r="AA197" s="184">
        <f t="shared" si="393"/>
        <v>29184.43630604013</v>
      </c>
      <c r="AB197" s="184">
        <f t="shared" si="393"/>
        <v>27820.476303160318</v>
      </c>
      <c r="AC197" s="184">
        <f t="shared" si="393"/>
        <v>26388.318300136514</v>
      </c>
      <c r="AD197" s="184">
        <f t="shared" ref="AD197" si="394">AC197-AD198</f>
        <v>24884.552396961521</v>
      </c>
      <c r="AE197" s="184">
        <f t="shared" ref="AE197" si="395">AD197-AE198</f>
        <v>23305.598198627777</v>
      </c>
      <c r="AF197" s="184">
        <f t="shared" ref="AF197" si="396">AE197-AF198</f>
        <v>21647.696290377346</v>
      </c>
      <c r="AG197" s="184">
        <f t="shared" ref="AG197" si="397">AF197-AG198</f>
        <v>19906.899286714393</v>
      </c>
      <c r="AH197" s="184">
        <f t="shared" ref="AH197" si="398">AG197-AH198</f>
        <v>18079.062432868293</v>
      </c>
      <c r="AI197" s="184">
        <f t="shared" ref="AI197" si="399">AH197-AI198</f>
        <v>16159.833736329889</v>
      </c>
      <c r="AJ197" s="184">
        <f t="shared" ref="AJ197" si="400">AI197-AJ198</f>
        <v>14144.643604964564</v>
      </c>
      <c r="AK197" s="184">
        <f t="shared" ref="AK197" si="401">AJ197-AK198</f>
        <v>12028.693967030973</v>
      </c>
      <c r="AL197" s="184">
        <f t="shared" ref="AL197" si="402">AK197-AL198</f>
        <v>9806.9468472007029</v>
      </c>
      <c r="AM197" s="184">
        <f t="shared" ref="AM197" si="403">AL197-AM198</f>
        <v>7474.1123713789184</v>
      </c>
      <c r="AN197" s="184">
        <f t="shared" ref="AN197" si="404">AM197-AN198</f>
        <v>5024.6361717660457</v>
      </c>
      <c r="AO197" s="184">
        <f t="shared" ref="AO197" si="405">AN197-AO198</f>
        <v>2452.6861621725288</v>
      </c>
      <c r="AP197" s="184">
        <f t="shared" ref="AP197" si="406">AO197-AP198</f>
        <v>-247.86134790066399</v>
      </c>
      <c r="AQ197" s="184">
        <f t="shared" ref="AQ197" si="407">AP197-AQ198</f>
        <v>-3083.4362334775165</v>
      </c>
      <c r="AR197" s="184">
        <f t="shared" ref="AR197" si="408">AQ197-AR198</f>
        <v>-6060.7898633332115</v>
      </c>
      <c r="AS197" s="184">
        <f t="shared" ref="AS197" si="409">AR197-AS198</f>
        <v>-9187.011174681691</v>
      </c>
      <c r="AT197" s="184">
        <f t="shared" ref="AT197" si="410">AS197-AT198</f>
        <v>-12469.543551597595</v>
      </c>
    </row>
    <row r="198" spans="2:46" x14ac:dyDescent="0.2">
      <c r="B198" s="20" t="s">
        <v>394</v>
      </c>
      <c r="C198" s="20"/>
      <c r="D198" s="20"/>
      <c r="E198" s="20"/>
      <c r="F198" s="20"/>
      <c r="G198" s="190">
        <v>0</v>
      </c>
      <c r="H198" s="189"/>
      <c r="I198" s="190">
        <v>0.05</v>
      </c>
      <c r="J198" s="189"/>
      <c r="K198" s="183">
        <f>P1</f>
        <v>0.05</v>
      </c>
      <c r="L198" s="190">
        <v>0.12</v>
      </c>
      <c r="M198" s="189"/>
      <c r="N198" s="190">
        <v>0.2</v>
      </c>
      <c r="O198" s="189"/>
      <c r="P198" s="180">
        <f>Q176/R145</f>
        <v>43.220088626292473</v>
      </c>
      <c r="Q198" s="180">
        <f>Q176/R145</f>
        <v>43.220088626292473</v>
      </c>
      <c r="R198" s="20"/>
      <c r="S198" s="20"/>
      <c r="T198" s="185">
        <f>R145*(1+$K$198)</f>
        <v>923.18181818181813</v>
      </c>
      <c r="U198" s="185">
        <f>T198*(1+$K$198)</f>
        <v>969.34090909090912</v>
      </c>
      <c r="V198" s="185">
        <f t="shared" ref="V198:AC198" si="411">U198*(1+$K$198)</f>
        <v>1017.8079545454547</v>
      </c>
      <c r="W198" s="185">
        <f t="shared" si="411"/>
        <v>1068.6983522727273</v>
      </c>
      <c r="X198" s="185">
        <f t="shared" si="411"/>
        <v>1122.1332698863637</v>
      </c>
      <c r="Y198" s="185">
        <f t="shared" si="411"/>
        <v>1178.2399333806818</v>
      </c>
      <c r="Z198" s="185">
        <f t="shared" si="411"/>
        <v>1237.1519300497159</v>
      </c>
      <c r="AA198" s="185">
        <f t="shared" si="411"/>
        <v>1299.0095265522018</v>
      </c>
      <c r="AB198" s="185">
        <f t="shared" si="411"/>
        <v>1363.960002879812</v>
      </c>
      <c r="AC198" s="185">
        <f t="shared" si="411"/>
        <v>1432.1580030238026</v>
      </c>
      <c r="AD198" s="185">
        <f t="shared" ref="AD198" si="412">AC198*(1+$K$198)</f>
        <v>1503.7659031749929</v>
      </c>
      <c r="AE198" s="185">
        <f t="shared" ref="AE198" si="413">AD198*(1+$K$198)</f>
        <v>1578.9541983337426</v>
      </c>
      <c r="AF198" s="185">
        <f t="shared" ref="AF198" si="414">AE198*(1+$K$198)</f>
        <v>1657.9019082504299</v>
      </c>
      <c r="AG198" s="185">
        <f t="shared" ref="AG198" si="415">AF198*(1+$K$198)</f>
        <v>1740.7970036629515</v>
      </c>
      <c r="AH198" s="185">
        <f t="shared" ref="AH198" si="416">AG198*(1+$K$198)</f>
        <v>1827.8368538460991</v>
      </c>
      <c r="AI198" s="185">
        <f t="shared" ref="AI198" si="417">AH198*(1+$K$198)</f>
        <v>1919.2286965384042</v>
      </c>
      <c r="AJ198" s="185">
        <f t="shared" ref="AJ198" si="418">AI198*(1+$K$198)</f>
        <v>2015.1901313653245</v>
      </c>
      <c r="AK198" s="185">
        <f t="shared" ref="AK198" si="419">AJ198*(1+$K$198)</f>
        <v>2115.949637933591</v>
      </c>
      <c r="AL198" s="185">
        <f t="shared" ref="AL198" si="420">AK198*(1+$K$198)</f>
        <v>2221.7471198302705</v>
      </c>
      <c r="AM198" s="185">
        <f t="shared" ref="AM198" si="421">AL198*(1+$K$198)</f>
        <v>2332.8344758217841</v>
      </c>
      <c r="AN198" s="185">
        <f t="shared" ref="AN198" si="422">AM198*(1+$K$198)</f>
        <v>2449.4761996128732</v>
      </c>
      <c r="AO198" s="185">
        <f t="shared" ref="AO198" si="423">AN198*(1+$K$198)</f>
        <v>2571.9500095935168</v>
      </c>
      <c r="AP198" s="185">
        <f t="shared" ref="AP198" si="424">AO198*(1+$K$198)</f>
        <v>2700.5475100731928</v>
      </c>
      <c r="AQ198" s="185">
        <f t="shared" ref="AQ198" si="425">AP198*(1+$K$198)</f>
        <v>2835.5748855768525</v>
      </c>
      <c r="AR198" s="185">
        <f t="shared" ref="AR198" si="426">AQ198*(1+$K$198)</f>
        <v>2977.3536298556951</v>
      </c>
      <c r="AS198" s="185">
        <f t="shared" ref="AS198" si="427">AR198*(1+$K$198)</f>
        <v>3126.22131134848</v>
      </c>
      <c r="AT198" s="185">
        <f t="shared" ref="AT198" si="428">AS198*(1+$K$198)</f>
        <v>3282.532376915904</v>
      </c>
    </row>
    <row r="199" spans="2:46" x14ac:dyDescent="0.2">
      <c r="B199" s="20" t="s">
        <v>393</v>
      </c>
      <c r="C199" s="20"/>
      <c r="D199" s="20"/>
      <c r="E199" s="23" t="s">
        <v>389</v>
      </c>
      <c r="F199" s="22"/>
      <c r="G199" s="190">
        <v>0</v>
      </c>
      <c r="H199" s="191">
        <f>Q178</f>
        <v>17.577092511013216</v>
      </c>
      <c r="I199" s="190">
        <v>0.05</v>
      </c>
      <c r="J199" s="189"/>
      <c r="K199" s="183">
        <f>P1</f>
        <v>0.05</v>
      </c>
      <c r="L199" s="190">
        <v>0.12</v>
      </c>
      <c r="M199" s="189"/>
      <c r="N199" s="190">
        <v>0.2</v>
      </c>
      <c r="O199" s="189"/>
      <c r="P199" s="180">
        <f>Q176/Q57</f>
        <v>17.577092511013216</v>
      </c>
      <c r="Q199" s="180">
        <f>Q176/Q57</f>
        <v>17.577092511013216</v>
      </c>
      <c r="R199" s="20"/>
      <c r="S199" s="20"/>
      <c r="T199" s="185">
        <f>Q57*(1+$K$199)</f>
        <v>2270</v>
      </c>
      <c r="U199" s="185">
        <f>T199*(1+$K$199)</f>
        <v>2383.5</v>
      </c>
      <c r="V199" s="185">
        <f t="shared" ref="V199:AC199" si="429">U199*(1+$K$199)</f>
        <v>2502.6750000000002</v>
      </c>
      <c r="W199" s="185">
        <f t="shared" si="429"/>
        <v>2627.8087500000001</v>
      </c>
      <c r="X199" s="185">
        <f t="shared" si="429"/>
        <v>2759.1991875000003</v>
      </c>
      <c r="Y199" s="185">
        <f t="shared" si="429"/>
        <v>2897.1591468750003</v>
      </c>
      <c r="Z199" s="185">
        <f t="shared" si="429"/>
        <v>3042.0171042187503</v>
      </c>
      <c r="AA199" s="185">
        <f t="shared" si="429"/>
        <v>3194.1179594296877</v>
      </c>
      <c r="AB199" s="185">
        <f t="shared" si="429"/>
        <v>3353.8238574011721</v>
      </c>
      <c r="AC199" s="185">
        <f t="shared" si="429"/>
        <v>3521.5150502712308</v>
      </c>
      <c r="AD199" s="185">
        <f t="shared" ref="AD199" si="430">AC199*(1+$K$199)</f>
        <v>3697.5908027847927</v>
      </c>
      <c r="AE199" s="185">
        <f t="shared" ref="AE199" si="431">AD199*(1+$K$199)</f>
        <v>3882.4703429240326</v>
      </c>
      <c r="AF199" s="185">
        <f t="shared" ref="AF199" si="432">AE199*(1+$K$199)</f>
        <v>4076.5938600702343</v>
      </c>
      <c r="AG199" s="185">
        <f t="shared" ref="AG199" si="433">AF199*(1+$K$199)</f>
        <v>4280.423553073746</v>
      </c>
      <c r="AH199" s="185">
        <f t="shared" ref="AH199" si="434">AG199*(1+$K$199)</f>
        <v>4494.4447307274331</v>
      </c>
      <c r="AI199" s="185">
        <f t="shared" ref="AI199" si="435">AH199*(1+$K$199)</f>
        <v>4719.1669672638054</v>
      </c>
      <c r="AJ199" s="185">
        <f t="shared" ref="AJ199" si="436">AI199*(1+$K$199)</f>
        <v>4955.1253156269959</v>
      </c>
      <c r="AK199" s="185">
        <f t="shared" ref="AK199" si="437">AJ199*(1+$K$199)</f>
        <v>5202.8815814083455</v>
      </c>
      <c r="AL199" s="185">
        <f t="shared" ref="AL199" si="438">AK199*(1+$K$199)</f>
        <v>5463.0256604787628</v>
      </c>
      <c r="AM199" s="185">
        <f t="shared" ref="AM199" si="439">AL199*(1+$K$199)</f>
        <v>5736.1769435027009</v>
      </c>
      <c r="AN199" s="185">
        <f t="shared" ref="AN199" si="440">AM199*(1+$K$199)</f>
        <v>6022.9857906778361</v>
      </c>
      <c r="AO199" s="185">
        <f t="shared" ref="AO199" si="441">AN199*(1+$K$199)</f>
        <v>6324.1350802117286</v>
      </c>
      <c r="AP199" s="185">
        <f t="shared" ref="AP199" si="442">AO199*(1+$K$199)</f>
        <v>6640.3418342223149</v>
      </c>
      <c r="AQ199" s="185">
        <f t="shared" ref="AQ199" si="443">AP199*(1+$K$199)</f>
        <v>6972.3589259334312</v>
      </c>
      <c r="AR199" s="185">
        <f t="shared" ref="AR199" si="444">AQ199*(1+$K$199)</f>
        <v>7320.9768722301033</v>
      </c>
      <c r="AS199" s="185">
        <f t="shared" ref="AS199" si="445">AR199*(1+$K$199)</f>
        <v>7687.0257158416089</v>
      </c>
      <c r="AT199" s="185">
        <f t="shared" ref="AT199" si="446">AS199*(1+$K$199)</f>
        <v>8071.3770016336894</v>
      </c>
    </row>
    <row r="200" spans="2:46" x14ac:dyDescent="0.2">
      <c r="B200" s="20"/>
      <c r="C200" s="20"/>
      <c r="D200" s="20"/>
      <c r="E200" s="23" t="s">
        <v>452</v>
      </c>
      <c r="F200" s="22"/>
      <c r="G200" s="190">
        <v>0</v>
      </c>
      <c r="H200" s="191"/>
      <c r="I200" s="190">
        <v>0.05</v>
      </c>
      <c r="J200" s="189"/>
      <c r="K200" s="189"/>
      <c r="L200" s="190">
        <v>0.12</v>
      </c>
      <c r="M200" s="189"/>
      <c r="N200" s="190">
        <v>0.2</v>
      </c>
      <c r="O200" s="20"/>
      <c r="P200" s="20"/>
      <c r="Q200" s="20"/>
      <c r="R200" s="20"/>
      <c r="S200" s="20"/>
      <c r="T200" s="129">
        <f>Q176-T199</f>
        <v>35730</v>
      </c>
      <c r="U200" s="184">
        <f>T200-U199</f>
        <v>33346.5</v>
      </c>
      <c r="V200" s="184">
        <f t="shared" ref="V200:AA200" si="447">U200-V199</f>
        <v>30843.825000000001</v>
      </c>
      <c r="W200" s="184">
        <f t="shared" si="447"/>
        <v>28216.016250000001</v>
      </c>
      <c r="X200" s="184">
        <f t="shared" si="447"/>
        <v>25456.817062499998</v>
      </c>
      <c r="Y200" s="184">
        <f t="shared" si="447"/>
        <v>22559.657915624997</v>
      </c>
      <c r="Z200" s="184">
        <f t="shared" si="447"/>
        <v>19517.640811406247</v>
      </c>
      <c r="AA200" s="184">
        <f t="shared" si="447"/>
        <v>16323.522851976559</v>
      </c>
      <c r="AB200" s="184">
        <f>AA200-AB199</f>
        <v>12969.698994575387</v>
      </c>
      <c r="AC200" s="184">
        <f t="shared" ref="AC200" si="448">AB200-AC199</f>
        <v>9448.1839443041554</v>
      </c>
      <c r="AD200" s="184">
        <f t="shared" ref="AD200" si="449">AC200-AD199</f>
        <v>5750.5931415193627</v>
      </c>
      <c r="AE200" s="184">
        <f t="shared" ref="AE200" si="450">AD200-AE199</f>
        <v>1868.1227985953301</v>
      </c>
      <c r="AF200" s="184">
        <f t="shared" ref="AF200" si="451">AE200-AF199</f>
        <v>-2208.4710614749042</v>
      </c>
      <c r="AG200" s="184">
        <f t="shared" ref="AG200" si="452">AF200-AG199</f>
        <v>-6488.8946145486498</v>
      </c>
      <c r="AH200" s="184">
        <f t="shared" ref="AH200" si="453">AG200-AH199</f>
        <v>-10983.339345276083</v>
      </c>
      <c r="AI200" s="184">
        <f t="shared" ref="AI200" si="454">AH200-AI199</f>
        <v>-15702.506312539888</v>
      </c>
      <c r="AJ200" s="184">
        <f t="shared" ref="AJ200" si="455">AI200-AJ199</f>
        <v>-20657.631628166884</v>
      </c>
      <c r="AK200" s="184">
        <f t="shared" ref="AK200" si="456">AJ200-AK199</f>
        <v>-25860.513209575231</v>
      </c>
      <c r="AL200" s="184">
        <f t="shared" ref="AL200" si="457">AK200-AL199</f>
        <v>-31323.538870053992</v>
      </c>
      <c r="AM200" s="184">
        <f t="shared" ref="AM200" si="458">AL200-AM199</f>
        <v>-37059.715813556693</v>
      </c>
      <c r="AN200" s="184">
        <f t="shared" ref="AN200" si="459">AM200-AN199</f>
        <v>-43082.701604234528</v>
      </c>
      <c r="AO200" s="184">
        <f t="shared" ref="AO200" si="460">AN200-AO199</f>
        <v>-49406.836684446258</v>
      </c>
      <c r="AP200" s="184">
        <f t="shared" ref="AP200" si="461">AO200-AP199</f>
        <v>-56047.178518668574</v>
      </c>
      <c r="AQ200" s="184">
        <f t="shared" ref="AQ200" si="462">AP200-AQ199</f>
        <v>-63019.537444602007</v>
      </c>
      <c r="AR200" s="184">
        <f t="shared" ref="AR200" si="463">AQ200-AR199</f>
        <v>-70340.514316832108</v>
      </c>
      <c r="AS200" s="184">
        <f t="shared" ref="AS200" si="464">AR200-AS199</f>
        <v>-78027.540032673714</v>
      </c>
      <c r="AT200" s="184">
        <f t="shared" ref="AT200" si="465">AS200-AT199</f>
        <v>-86098.917034307407</v>
      </c>
    </row>
    <row r="201" spans="2:46" x14ac:dyDescent="0.2">
      <c r="B201" s="108" t="s">
        <v>301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 t="s">
        <v>304</v>
      </c>
      <c r="C202" s="25"/>
      <c r="D202" s="25"/>
      <c r="E202" s="25"/>
      <c r="F202" s="25"/>
      <c r="G202" s="25">
        <f t="shared" ref="G202:P202" si="466">G10/G7</f>
        <v>0.41477272727272729</v>
      </c>
      <c r="H202" s="25">
        <f t="shared" si="466"/>
        <v>0.55325034578146615</v>
      </c>
      <c r="I202" s="25">
        <f t="shared" si="466"/>
        <v>0.65533980582524276</v>
      </c>
      <c r="J202" s="25">
        <f t="shared" si="466"/>
        <v>0.61749745676500511</v>
      </c>
      <c r="K202" s="25">
        <f t="shared" si="466"/>
        <v>0.86123545210384955</v>
      </c>
      <c r="L202" s="25">
        <f t="shared" si="466"/>
        <v>0.21549815498154981</v>
      </c>
      <c r="M202" s="25">
        <f t="shared" si="466"/>
        <v>0.56398104265402849</v>
      </c>
      <c r="N202" s="25">
        <f t="shared" si="466"/>
        <v>0.66085440278988661</v>
      </c>
      <c r="O202" s="25">
        <f t="shared" si="466"/>
        <v>0.57008039147151346</v>
      </c>
      <c r="P202" s="25">
        <f t="shared" si="466"/>
        <v>0.39069767441860465</v>
      </c>
      <c r="Q202" s="25">
        <f t="shared" ref="Q202" si="467">Q10/Q7</f>
        <v>0</v>
      </c>
      <c r="R202" s="118">
        <f t="shared" ref="R202:R204" si="468">((P202/G202)^(1/($H$2-$H$1) ))-1</f>
        <v>-5.9618249095640952E-3</v>
      </c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 t="s">
        <v>305</v>
      </c>
      <c r="C203" s="112"/>
      <c r="D203" s="112"/>
      <c r="E203" s="112"/>
      <c r="F203" s="112"/>
      <c r="G203" s="112">
        <f>G10/G12</f>
        <v>7.3</v>
      </c>
      <c r="H203" s="112">
        <f t="shared" ref="H203:P203" si="469">H10/H12</f>
        <v>11.111111111111111</v>
      </c>
      <c r="I203" s="112">
        <f t="shared" si="469"/>
        <v>10.188679245283019</v>
      </c>
      <c r="J203" s="112">
        <f t="shared" si="469"/>
        <v>8.3150684931506849</v>
      </c>
      <c r="K203" s="112">
        <f t="shared" si="469"/>
        <v>9.4313725490196081</v>
      </c>
      <c r="L203" s="112">
        <f t="shared" si="469"/>
        <v>4.8666666666666663</v>
      </c>
      <c r="M203" s="112">
        <f t="shared" si="469"/>
        <v>17.62962962962963</v>
      </c>
      <c r="N203" s="112">
        <f t="shared" si="469"/>
        <v>26.137931034482758</v>
      </c>
      <c r="O203" s="112">
        <f t="shared" si="469"/>
        <v>25.092307692307692</v>
      </c>
      <c r="P203" s="112">
        <f t="shared" si="469"/>
        <v>4.2373887240356085</v>
      </c>
      <c r="Q203" s="112" t="e">
        <f t="shared" ref="Q203" si="470">Q10/Q12</f>
        <v>#DIV/0!</v>
      </c>
      <c r="R203" s="118">
        <f t="shared" si="468"/>
        <v>-5.2939889885490476E-2</v>
      </c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 t="s">
        <v>306</v>
      </c>
      <c r="C204" s="25"/>
      <c r="D204" s="25"/>
      <c r="E204" s="25"/>
      <c r="F204" s="25"/>
      <c r="G204" s="25">
        <f>G10/(G12+G13)</f>
        <v>2.5391304347826087</v>
      </c>
      <c r="H204" s="25">
        <f t="shared" ref="H204:P204" si="471">H10/(H12+H13)</f>
        <v>3.5714285714285716</v>
      </c>
      <c r="I204" s="25">
        <f t="shared" si="471"/>
        <v>4.5762711864406782</v>
      </c>
      <c r="J204" s="25">
        <f t="shared" si="471"/>
        <v>4.3357142857142854</v>
      </c>
      <c r="K204" s="25">
        <f t="shared" si="471"/>
        <v>5.7951807228915664</v>
      </c>
      <c r="L204" s="25">
        <f t="shared" si="471"/>
        <v>1.4313725490196079</v>
      </c>
      <c r="M204" s="25">
        <f t="shared" si="471"/>
        <v>7.4960629921259843</v>
      </c>
      <c r="N204" s="25">
        <f t="shared" si="471"/>
        <v>11.572519083969466</v>
      </c>
      <c r="O204" s="25">
        <f t="shared" si="471"/>
        <v>3.2949494949494951</v>
      </c>
      <c r="P204" s="25">
        <f t="shared" si="471"/>
        <v>1.1506849315068493</v>
      </c>
      <c r="Q204" s="25" t="e">
        <f t="shared" ref="Q204" si="472">Q10/(Q12+Q13)</f>
        <v>#DIV/0!</v>
      </c>
      <c r="R204" s="118">
        <f t="shared" si="468"/>
        <v>-7.6095374312678543E-2</v>
      </c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73" t="s">
        <v>375</v>
      </c>
      <c r="D207" s="174"/>
      <c r="E207" s="174"/>
      <c r="F207" s="174"/>
      <c r="G207" s="174"/>
      <c r="H207" s="174"/>
      <c r="I207" s="174"/>
      <c r="J207" s="174"/>
      <c r="K207" s="20"/>
      <c r="L207" s="205" t="s">
        <v>335</v>
      </c>
      <c r="M207" s="206"/>
      <c r="N207" s="207"/>
      <c r="O207" s="23" t="s">
        <v>338</v>
      </c>
      <c r="P207" s="20"/>
      <c r="Q207" s="136"/>
      <c r="R207" s="205" t="s">
        <v>336</v>
      </c>
      <c r="S207" s="206"/>
      <c r="T207" s="207"/>
      <c r="U207" s="23" t="s">
        <v>338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5" t="s">
        <v>337</v>
      </c>
      <c r="D208" s="165" t="s">
        <v>0</v>
      </c>
      <c r="E208" s="165" t="s">
        <v>376</v>
      </c>
      <c r="F208" s="165" t="s">
        <v>377</v>
      </c>
      <c r="G208" s="165" t="s">
        <v>378</v>
      </c>
      <c r="H208" s="165" t="s">
        <v>379</v>
      </c>
      <c r="I208" s="165" t="s">
        <v>380</v>
      </c>
      <c r="J208" s="165" t="s">
        <v>381</v>
      </c>
      <c r="K208" s="20"/>
      <c r="L208" s="165" t="s">
        <v>337</v>
      </c>
      <c r="M208" s="165"/>
      <c r="N208" s="165" t="s">
        <v>0</v>
      </c>
      <c r="O208" s="165" t="s">
        <v>370</v>
      </c>
      <c r="P208" s="20"/>
      <c r="Q208" s="20"/>
      <c r="R208" s="165" t="s">
        <v>337</v>
      </c>
      <c r="S208" s="165"/>
      <c r="T208" s="165" t="s">
        <v>0</v>
      </c>
      <c r="U208" s="165" t="s">
        <v>370</v>
      </c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6" t="s">
        <v>339</v>
      </c>
      <c r="D209" s="21">
        <v>1500</v>
      </c>
      <c r="E209" s="175" t="s">
        <v>382</v>
      </c>
      <c r="F209" s="22">
        <v>0</v>
      </c>
      <c r="G209" s="22">
        <v>1</v>
      </c>
      <c r="H209" s="166">
        <f>F209/G209</f>
        <v>0</v>
      </c>
      <c r="I209" s="166">
        <f>H209*D210</f>
        <v>0</v>
      </c>
      <c r="J209" s="176">
        <f>I209+D210</f>
        <v>100</v>
      </c>
      <c r="K209" s="20"/>
      <c r="L209" s="166" t="s">
        <v>339</v>
      </c>
      <c r="M209" s="166"/>
      <c r="N209" s="21">
        <v>1500</v>
      </c>
      <c r="O209" s="172">
        <f>N209</f>
        <v>1500</v>
      </c>
      <c r="P209" s="20"/>
      <c r="Q209" s="20"/>
      <c r="R209" s="166" t="s">
        <v>339</v>
      </c>
      <c r="S209" s="166"/>
      <c r="T209" s="21">
        <v>1500</v>
      </c>
      <c r="U209" s="172">
        <f>T209</f>
        <v>1500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6" t="s">
        <v>340</v>
      </c>
      <c r="D210" s="21">
        <v>100</v>
      </c>
      <c r="E210" s="175" t="s">
        <v>383</v>
      </c>
      <c r="F210" s="22">
        <v>0</v>
      </c>
      <c r="G210" s="22">
        <v>1</v>
      </c>
      <c r="H210" s="166">
        <f>F210/G210</f>
        <v>0</v>
      </c>
      <c r="I210" s="166">
        <f>H210*J209</f>
        <v>0</v>
      </c>
      <c r="J210" s="166">
        <f>I210+J209</f>
        <v>100</v>
      </c>
      <c r="K210" s="20"/>
      <c r="L210" s="166" t="s">
        <v>340</v>
      </c>
      <c r="M210" s="166"/>
      <c r="N210" s="21">
        <v>1</v>
      </c>
      <c r="O210" s="172">
        <f>N210</f>
        <v>1</v>
      </c>
      <c r="P210" s="20"/>
      <c r="Q210" s="20"/>
      <c r="R210" s="166" t="s">
        <v>340</v>
      </c>
      <c r="S210" s="166"/>
      <c r="T210" s="21">
        <v>1</v>
      </c>
      <c r="U210" s="172">
        <f>T210</f>
        <v>1</v>
      </c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166" t="s">
        <v>342</v>
      </c>
      <c r="D211" s="167">
        <f>D209*D210</f>
        <v>150000</v>
      </c>
      <c r="E211" s="175" t="s">
        <v>395</v>
      </c>
      <c r="F211" s="22">
        <v>0</v>
      </c>
      <c r="G211" s="22">
        <v>1</v>
      </c>
      <c r="H211" s="166">
        <f>F211/G211</f>
        <v>0</v>
      </c>
      <c r="I211" s="166">
        <f>H211*J210</f>
        <v>0</v>
      </c>
      <c r="J211" s="166">
        <f>I211+J210</f>
        <v>100</v>
      </c>
      <c r="K211" s="20"/>
      <c r="L211" s="166" t="s">
        <v>341</v>
      </c>
      <c r="M211" s="166"/>
      <c r="N211" s="167">
        <f>N209*N210</f>
        <v>1500</v>
      </c>
      <c r="O211" s="172">
        <f>N211</f>
        <v>1500</v>
      </c>
      <c r="P211" s="20"/>
      <c r="Q211" s="20"/>
      <c r="R211" s="166" t="s">
        <v>342</v>
      </c>
      <c r="S211" s="166"/>
      <c r="T211" s="167">
        <f>T209*T210</f>
        <v>1500</v>
      </c>
      <c r="U211" s="172">
        <f>T211</f>
        <v>1500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166"/>
      <c r="D212" s="167"/>
      <c r="E212" s="175" t="s">
        <v>453</v>
      </c>
      <c r="F212" s="22">
        <v>0</v>
      </c>
      <c r="G212" s="22">
        <v>1</v>
      </c>
      <c r="H212" s="166">
        <f t="shared" ref="H212:H215" si="473">F212/G212</f>
        <v>0</v>
      </c>
      <c r="I212" s="166">
        <f t="shared" ref="I212:I214" si="474">H212*J211</f>
        <v>0</v>
      </c>
      <c r="J212" s="166">
        <f t="shared" ref="J212:J214" si="475">I212+J211</f>
        <v>100</v>
      </c>
      <c r="K212" s="20"/>
      <c r="L212" s="166" t="s">
        <v>343</v>
      </c>
      <c r="M212" s="166"/>
      <c r="N212" s="21">
        <v>23000</v>
      </c>
      <c r="O212" s="21">
        <v>37000</v>
      </c>
      <c r="P212" s="20"/>
      <c r="Q212" s="20"/>
      <c r="R212" s="166" t="s">
        <v>343</v>
      </c>
      <c r="S212" s="166"/>
      <c r="T212" s="21">
        <v>23000</v>
      </c>
      <c r="U212" s="21">
        <v>37000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x14ac:dyDescent="0.2">
      <c r="B213" s="20"/>
      <c r="C213" s="166"/>
      <c r="D213" s="167"/>
      <c r="E213" s="175" t="s">
        <v>454</v>
      </c>
      <c r="F213" s="22">
        <v>0</v>
      </c>
      <c r="G213" s="22">
        <v>1</v>
      </c>
      <c r="H213" s="166">
        <f t="shared" si="473"/>
        <v>0</v>
      </c>
      <c r="I213" s="166">
        <f t="shared" si="474"/>
        <v>0</v>
      </c>
      <c r="J213" s="166">
        <f t="shared" si="475"/>
        <v>100</v>
      </c>
      <c r="K213" s="20"/>
      <c r="L213" s="166" t="s">
        <v>344</v>
      </c>
      <c r="M213" s="166"/>
      <c r="N213" s="167">
        <f>N212*N210</f>
        <v>23000</v>
      </c>
      <c r="O213" s="167">
        <f>O212*O210</f>
        <v>37000</v>
      </c>
      <c r="P213" s="20"/>
      <c r="Q213" s="20"/>
      <c r="R213" s="166" t="s">
        <v>340</v>
      </c>
      <c r="S213" s="166"/>
      <c r="T213" s="21">
        <v>1</v>
      </c>
      <c r="U213" s="127">
        <f>T213</f>
        <v>1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166"/>
      <c r="D214" s="167"/>
      <c r="E214" s="175" t="s">
        <v>455</v>
      </c>
      <c r="F214" s="22">
        <v>0</v>
      </c>
      <c r="G214" s="22">
        <v>1</v>
      </c>
      <c r="H214" s="166">
        <f t="shared" si="473"/>
        <v>0</v>
      </c>
      <c r="I214" s="166">
        <f t="shared" si="474"/>
        <v>0</v>
      </c>
      <c r="J214" s="166">
        <f t="shared" si="475"/>
        <v>100</v>
      </c>
      <c r="K214" s="20"/>
      <c r="L214" s="166"/>
      <c r="M214" s="166"/>
      <c r="N214" s="167"/>
      <c r="O214" s="167"/>
      <c r="P214" s="20"/>
      <c r="Q214" s="20"/>
      <c r="R214" s="166" t="s">
        <v>342</v>
      </c>
      <c r="S214" s="166"/>
      <c r="T214" s="167">
        <f>T213*T212</f>
        <v>23000</v>
      </c>
      <c r="U214" s="167">
        <f>U213*U212</f>
        <v>37000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166"/>
      <c r="D215" s="167"/>
      <c r="E215" s="175" t="s">
        <v>384</v>
      </c>
      <c r="F215" s="22">
        <v>10</v>
      </c>
      <c r="G215" s="22">
        <v>1</v>
      </c>
      <c r="H215" s="166">
        <f t="shared" si="473"/>
        <v>10</v>
      </c>
      <c r="I215" s="166">
        <f>H215*J214</f>
        <v>1000</v>
      </c>
      <c r="J215" s="166">
        <f>I215</f>
        <v>1000</v>
      </c>
      <c r="K215" s="20"/>
      <c r="L215" s="166"/>
      <c r="M215" s="166"/>
      <c r="N215" s="167"/>
      <c r="O215" s="167"/>
      <c r="P215" s="20"/>
      <c r="Q215" s="20"/>
      <c r="R215" s="166"/>
      <c r="S215" s="166"/>
      <c r="T215" s="167"/>
      <c r="U215" s="167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166"/>
      <c r="D216" s="167"/>
      <c r="E216" s="175" t="s">
        <v>456</v>
      </c>
      <c r="F216" s="22">
        <v>0</v>
      </c>
      <c r="G216" s="22">
        <v>1</v>
      </c>
      <c r="H216" s="166">
        <f>F216/G216</f>
        <v>0</v>
      </c>
      <c r="I216" s="166">
        <f>H216*J215</f>
        <v>0</v>
      </c>
      <c r="J216" s="166">
        <f>I216</f>
        <v>0</v>
      </c>
      <c r="K216" s="20"/>
      <c r="L216" s="168" t="s">
        <v>345</v>
      </c>
      <c r="M216" s="168"/>
      <c r="N216" s="169">
        <f>N213/N211</f>
        <v>15.333333333333334</v>
      </c>
      <c r="O216" s="169">
        <f>O213/O211</f>
        <v>24.666666666666668</v>
      </c>
      <c r="P216" s="20"/>
      <c r="Q216" s="20"/>
      <c r="R216" s="168" t="s">
        <v>345</v>
      </c>
      <c r="S216" s="168"/>
      <c r="T216" s="169">
        <f>T214/T211</f>
        <v>15.333333333333334</v>
      </c>
      <c r="U216" s="169">
        <f>U214/U211</f>
        <v>24.666666666666668</v>
      </c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166" t="s">
        <v>343</v>
      </c>
      <c r="D217" s="21">
        <v>23000</v>
      </c>
      <c r="E217" s="175"/>
      <c r="F217" s="166"/>
      <c r="G217" s="166"/>
      <c r="H217" s="168" t="s">
        <v>385</v>
      </c>
      <c r="I217" s="166"/>
      <c r="J217" s="166">
        <f>J216</f>
        <v>0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166" t="s">
        <v>340</v>
      </c>
      <c r="D218" s="21">
        <v>100</v>
      </c>
      <c r="E218" s="175" t="s">
        <v>384</v>
      </c>
      <c r="F218" s="22">
        <v>10</v>
      </c>
      <c r="G218" s="22">
        <v>2</v>
      </c>
      <c r="H218" s="166">
        <f>F218/G218</f>
        <v>5</v>
      </c>
      <c r="I218" s="176">
        <f>H218*D210</f>
        <v>500</v>
      </c>
      <c r="J218" s="176">
        <f>I218</f>
        <v>500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166" t="s">
        <v>342</v>
      </c>
      <c r="D219" s="167">
        <f>D218*D217</f>
        <v>2300000</v>
      </c>
      <c r="E219" s="166"/>
      <c r="F219" s="166"/>
      <c r="G219" s="166"/>
      <c r="H219" s="168" t="s">
        <v>385</v>
      </c>
      <c r="I219" s="166"/>
      <c r="J219" s="166">
        <f>J218</f>
        <v>500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166" t="s">
        <v>466</v>
      </c>
      <c r="D220" s="218">
        <f>D219/10000000</f>
        <v>0.23</v>
      </c>
      <c r="E220" s="175" t="s">
        <v>384</v>
      </c>
      <c r="F220" s="22">
        <v>10</v>
      </c>
      <c r="G220" s="22">
        <v>2</v>
      </c>
      <c r="H220" s="166">
        <f>F220/G220</f>
        <v>5</v>
      </c>
      <c r="I220" s="166">
        <f>H220*J219</f>
        <v>2500</v>
      </c>
      <c r="J220" s="166">
        <f>I220</f>
        <v>2500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168" t="s">
        <v>345</v>
      </c>
      <c r="D221" s="169">
        <f>D219/D211</f>
        <v>15.333333333333334</v>
      </c>
      <c r="E221" s="175"/>
      <c r="F221" s="166"/>
      <c r="G221" s="166"/>
      <c r="H221" s="168" t="s">
        <v>385</v>
      </c>
      <c r="I221" s="166"/>
      <c r="J221" s="166">
        <f>J220</f>
        <v>2500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</row>
    <row r="223" spans="2:32" x14ac:dyDescent="0.2">
      <c r="B223" s="20"/>
      <c r="C223" s="20"/>
      <c r="D223" s="136"/>
      <c r="E223" s="177"/>
      <c r="F223" s="177"/>
      <c r="G223" s="178"/>
      <c r="H223" s="20"/>
      <c r="I223" s="136"/>
      <c r="J223" s="177"/>
      <c r="K223" s="178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</row>
    <row r="224" spans="2:32" ht="14.25" x14ac:dyDescent="0.2">
      <c r="B224" s="20"/>
      <c r="C224" s="20"/>
      <c r="D224" s="198" t="s">
        <v>27</v>
      </c>
      <c r="E224" s="199"/>
      <c r="F224" s="199"/>
      <c r="G224" s="200"/>
      <c r="H224" s="20"/>
      <c r="I224" s="198" t="s">
        <v>390</v>
      </c>
      <c r="J224" s="199"/>
      <c r="K224" s="20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</row>
    <row r="225" spans="2:32" x14ac:dyDescent="0.2">
      <c r="B225" s="20"/>
      <c r="C225" s="20"/>
      <c r="D225" s="20" t="s">
        <v>28</v>
      </c>
      <c r="E225" s="127"/>
      <c r="F225" s="127"/>
      <c r="G225" s="21">
        <f>D211</f>
        <v>150000</v>
      </c>
      <c r="H225" s="20"/>
      <c r="I225" s="20" t="s">
        <v>28</v>
      </c>
      <c r="J225" s="127"/>
      <c r="K225" s="21">
        <f>G225</f>
        <v>150000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</row>
    <row r="226" spans="2:32" x14ac:dyDescent="0.2">
      <c r="B226" s="20"/>
      <c r="C226" s="20"/>
      <c r="D226" s="20" t="s">
        <v>29</v>
      </c>
      <c r="E226" s="127"/>
      <c r="F226" s="127"/>
      <c r="G226" s="21">
        <f>D219</f>
        <v>2300000</v>
      </c>
      <c r="H226" s="20"/>
      <c r="I226" s="20" t="s">
        <v>29</v>
      </c>
      <c r="J226" s="20"/>
      <c r="K226" s="21">
        <f>G226</f>
        <v>2300000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</row>
    <row r="227" spans="2:32" x14ac:dyDescent="0.2">
      <c r="B227" s="20"/>
      <c r="C227" s="20"/>
      <c r="D227" s="20" t="s">
        <v>30</v>
      </c>
      <c r="E227" s="20"/>
      <c r="F227" s="20"/>
      <c r="G227" s="22">
        <v>10</v>
      </c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</row>
    <row r="228" spans="2:32" x14ac:dyDescent="0.2">
      <c r="B228" s="20"/>
      <c r="C228" s="20"/>
      <c r="D228" s="23" t="s">
        <v>31</v>
      </c>
      <c r="E228" s="3"/>
      <c r="F228" s="3"/>
      <c r="G228" s="3">
        <f>((G226/G225)^(1/G227))-1</f>
        <v>0.31390406930761716</v>
      </c>
      <c r="H228" s="20"/>
      <c r="I228" s="23" t="s">
        <v>391</v>
      </c>
      <c r="J228" s="23"/>
      <c r="K228" s="192">
        <f>(K226-K225)/K225</f>
        <v>14.333333333333334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</row>
    <row r="229" spans="2:32" x14ac:dyDescent="0.2">
      <c r="C229" s="20"/>
      <c r="D229" s="23" t="s">
        <v>32</v>
      </c>
      <c r="E229" s="164"/>
      <c r="F229" s="164"/>
      <c r="G229" s="24">
        <f>G227*12</f>
        <v>120</v>
      </c>
      <c r="H229" s="20"/>
      <c r="I229" s="23" t="s">
        <v>392</v>
      </c>
      <c r="J229" s="23"/>
      <c r="K229" s="195">
        <f>K226/K225</f>
        <v>15.333333333333334</v>
      </c>
    </row>
    <row r="230" spans="2:32" x14ac:dyDescent="0.2">
      <c r="C230" s="20"/>
      <c r="D230" s="20" t="s">
        <v>30</v>
      </c>
      <c r="E230" s="25"/>
      <c r="F230" s="25"/>
      <c r="G230" s="25">
        <f>G229/12</f>
        <v>10</v>
      </c>
      <c r="H230" s="20"/>
      <c r="I230" s="20"/>
      <c r="J230" s="20"/>
      <c r="K230" s="20"/>
    </row>
    <row r="231" spans="2:32" x14ac:dyDescent="0.2">
      <c r="C231" s="20"/>
      <c r="D231" s="23" t="s">
        <v>33</v>
      </c>
      <c r="E231" s="3"/>
      <c r="F231" s="3"/>
      <c r="G231" s="3">
        <f>((G226/G225)^(1/G230))-1</f>
        <v>0.31390406930761716</v>
      </c>
      <c r="H231" s="20"/>
      <c r="I231" s="20"/>
      <c r="J231" s="20"/>
      <c r="K231" s="20"/>
    </row>
    <row r="232" spans="2:32" x14ac:dyDescent="0.2">
      <c r="C232" s="20"/>
      <c r="D232" s="20"/>
      <c r="E232" s="20"/>
      <c r="F232" s="20"/>
      <c r="G232" s="20"/>
      <c r="H232" s="20"/>
      <c r="I232" s="20"/>
      <c r="J232" s="20"/>
      <c r="K232" s="20"/>
    </row>
    <row r="233" spans="2:32" x14ac:dyDescent="0.2">
      <c r="C233" s="20"/>
      <c r="D233" s="20"/>
      <c r="E233" s="20"/>
      <c r="F233" s="20"/>
      <c r="G233" s="20"/>
      <c r="H233" s="20"/>
      <c r="I233" s="20"/>
      <c r="J233" s="20"/>
      <c r="K233" s="20"/>
    </row>
  </sheetData>
  <mergeCells count="7">
    <mergeCell ref="D224:G224"/>
    <mergeCell ref="I224:K224"/>
    <mergeCell ref="AE2:AF2"/>
    <mergeCell ref="AE3:AF3"/>
    <mergeCell ref="L207:N207"/>
    <mergeCell ref="R207:T207"/>
    <mergeCell ref="K190:L190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10" t="s">
        <v>27</v>
      </c>
      <c r="K5" s="210"/>
      <c r="M5" s="210" t="s">
        <v>65</v>
      </c>
      <c r="N5" s="21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10" t="s">
        <v>36</v>
      </c>
      <c r="K14" s="210"/>
      <c r="L14" s="21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10" t="s">
        <v>27</v>
      </c>
      <c r="S5" s="21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10" t="s">
        <v>36</v>
      </c>
      <c r="S14" s="210"/>
      <c r="T14" s="21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10" t="s">
        <v>27</v>
      </c>
      <c r="C2" s="210"/>
      <c r="E2" s="210" t="s">
        <v>65</v>
      </c>
      <c r="F2" s="210"/>
      <c r="H2" s="214" t="s">
        <v>36</v>
      </c>
      <c r="I2" s="21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11" t="s">
        <v>68</v>
      </c>
      <c r="E10" s="212"/>
      <c r="F10" s="212"/>
      <c r="G10" s="212"/>
      <c r="H10" s="213"/>
      <c r="I10" s="211" t="s">
        <v>72</v>
      </c>
      <c r="J10" s="212"/>
      <c r="K10" s="212"/>
      <c r="L10" s="21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6"/>
    <col min="2" max="2" width="16.5703125" style="186" customWidth="1"/>
    <col min="3" max="3" width="39.7109375" style="186" customWidth="1"/>
    <col min="4" max="5" width="9.140625" style="186"/>
    <col min="6" max="6" width="19" style="186" bestFit="1" customWidth="1"/>
    <col min="7" max="7" width="49" style="186" customWidth="1"/>
    <col min="8" max="16384" width="9.140625" style="186"/>
  </cols>
  <sheetData>
    <row r="3" spans="2:7" x14ac:dyDescent="0.2">
      <c r="B3" s="216" t="s">
        <v>429</v>
      </c>
      <c r="C3" s="217"/>
      <c r="F3" s="216" t="s">
        <v>430</v>
      </c>
      <c r="G3" s="217"/>
    </row>
    <row r="4" spans="2:7" x14ac:dyDescent="0.2">
      <c r="B4" s="187" t="s">
        <v>431</v>
      </c>
      <c r="C4" s="187"/>
      <c r="F4" s="187" t="s">
        <v>432</v>
      </c>
      <c r="G4" s="187"/>
    </row>
    <row r="5" spans="2:7" x14ac:dyDescent="0.2">
      <c r="B5" s="187" t="s">
        <v>433</v>
      </c>
      <c r="C5" s="187"/>
      <c r="F5" s="187" t="s">
        <v>291</v>
      </c>
      <c r="G5" s="187"/>
    </row>
    <row r="6" spans="2:7" x14ac:dyDescent="0.2">
      <c r="B6" s="187" t="s">
        <v>434</v>
      </c>
      <c r="C6" s="187"/>
      <c r="F6" s="187" t="s">
        <v>435</v>
      </c>
      <c r="G6" s="187"/>
    </row>
    <row r="7" spans="2:7" x14ac:dyDescent="0.2">
      <c r="B7" s="187" t="s">
        <v>436</v>
      </c>
      <c r="C7" s="187"/>
      <c r="F7" s="187" t="s">
        <v>437</v>
      </c>
      <c r="G7" s="187"/>
    </row>
    <row r="8" spans="2:7" x14ac:dyDescent="0.2">
      <c r="B8" s="187" t="s">
        <v>438</v>
      </c>
      <c r="C8" s="187"/>
      <c r="F8" s="187" t="s">
        <v>439</v>
      </c>
      <c r="G8" s="187"/>
    </row>
    <row r="9" spans="2:7" x14ac:dyDescent="0.2">
      <c r="B9" s="187" t="s">
        <v>440</v>
      </c>
      <c r="C9" s="187"/>
      <c r="F9" s="187" t="s">
        <v>441</v>
      </c>
      <c r="G9" s="187"/>
    </row>
    <row r="10" spans="2:7" x14ac:dyDescent="0.2">
      <c r="B10" s="187" t="s">
        <v>439</v>
      </c>
      <c r="C10" s="187"/>
      <c r="F10" s="187"/>
      <c r="G10" s="187"/>
    </row>
    <row r="11" spans="2:7" x14ac:dyDescent="0.2">
      <c r="B11" s="187" t="s">
        <v>442</v>
      </c>
      <c r="C11" s="187"/>
      <c r="F11" s="187"/>
      <c r="G11" s="187"/>
    </row>
    <row r="12" spans="2:7" x14ac:dyDescent="0.2">
      <c r="B12" s="187" t="s">
        <v>443</v>
      </c>
      <c r="C12" s="187"/>
      <c r="F12" s="187"/>
      <c r="G12" s="187"/>
    </row>
    <row r="13" spans="2:7" x14ac:dyDescent="0.2">
      <c r="B13" s="187"/>
      <c r="C13" s="187"/>
      <c r="F13" s="187"/>
      <c r="G13" s="187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2014-12-15T09:58:12Z</dcterms:modified>
</cp:coreProperties>
</file>
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3" i="18" l="1"/>
  <c r="Q22" i="18"/>
  <c r="Q21" i="18"/>
  <c r="Q20" i="18"/>
  <c r="P20" i="18"/>
  <c r="Q40" i="18"/>
  <c r="Q38" i="18"/>
  <c r="Q36" i="18"/>
  <c r="Q29" i="18"/>
  <c r="Q27" i="18"/>
  <c r="Q25" i="18"/>
  <c r="Q18" i="18"/>
  <c r="P18" i="18"/>
  <c r="P16" i="18"/>
  <c r="Q16" i="18" s="1"/>
  <c r="P15" i="18"/>
  <c r="Q15" i="18" s="1"/>
  <c r="P14" i="18"/>
  <c r="Q14" i="18" s="1"/>
  <c r="Q13" i="18"/>
  <c r="P13" i="18"/>
  <c r="Q12" i="18"/>
  <c r="P12" i="18"/>
  <c r="Q10" i="18"/>
  <c r="P10" i="18"/>
  <c r="Q9" i="18"/>
  <c r="P9" i="18"/>
  <c r="Q7" i="18"/>
  <c r="P7" i="18"/>
  <c r="Q6" i="18"/>
  <c r="P6" i="18"/>
  <c r="F180" i="18" l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Q178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7" i="18"/>
  <c r="Q68" i="18"/>
  <c r="Q176" i="18" s="1"/>
  <c r="Q70" i="18"/>
  <c r="Q72" i="18"/>
  <c r="Q74" i="18" s="1"/>
  <c r="Q75" i="18"/>
  <c r="Q76" i="18"/>
  <c r="Q77" i="18"/>
  <c r="Q78" i="18"/>
  <c r="Q80" i="18"/>
  <c r="Q135" i="18" s="1"/>
  <c r="Q81" i="18"/>
  <c r="Q82" i="18"/>
  <c r="Q86" i="18"/>
  <c r="Q87" i="18"/>
  <c r="Q88" i="18"/>
  <c r="Q89" i="18"/>
  <c r="Q90" i="18"/>
  <c r="Q93" i="18"/>
  <c r="Q99" i="18" s="1"/>
  <c r="Q94" i="18"/>
  <c r="Q100" i="18" s="1"/>
  <c r="Q95" i="18"/>
  <c r="Q101" i="18" s="1"/>
  <c r="Q96" i="18"/>
  <c r="Q102" i="18" s="1"/>
  <c r="Q97" i="18"/>
  <c r="Q103" i="18" s="1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7" i="18"/>
  <c r="Q138" i="18"/>
  <c r="T7" i="18"/>
  <c r="T17" i="18"/>
  <c r="T19" i="18"/>
  <c r="T24" i="18"/>
  <c r="T35" i="18"/>
  <c r="T42" i="18"/>
  <c r="T44" i="18"/>
  <c r="T6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3" i="18" l="1"/>
  <c r="Q180" i="18" s="1"/>
  <c r="Q181" i="18" s="1"/>
  <c r="T192" i="18"/>
  <c r="T193" i="18" s="1"/>
  <c r="Q66" i="18"/>
  <c r="Q175" i="18" s="1"/>
  <c r="Q192" i="18"/>
  <c r="H192" i="18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P91" i="18"/>
  <c r="R91" i="18" s="1"/>
  <c r="S44" i="18"/>
  <c r="S42" i="18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G214" i="18" s="1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K215" i="18" s="1"/>
  <c r="H207" i="18"/>
  <c r="I207" i="18" s="1"/>
  <c r="J207" i="18" s="1"/>
  <c r="J208" i="18" s="1"/>
  <c r="H205" i="18"/>
  <c r="H203" i="18"/>
  <c r="H202" i="18"/>
  <c r="I202" i="18" s="1"/>
  <c r="J202" i="18" s="1"/>
  <c r="G217" i="18" l="1"/>
  <c r="G220" i="18"/>
  <c r="K214" i="18"/>
  <c r="Y38" i="18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U32" i="18"/>
  <c r="V32" i="18" s="1"/>
  <c r="W32" i="18" s="1"/>
  <c r="X32" i="18" s="1"/>
  <c r="Y32" i="18" s="1"/>
  <c r="Z32" i="18" s="1"/>
  <c r="AA32" i="18" s="1"/>
  <c r="AB32" i="18" s="1"/>
  <c r="AC32" i="18" s="1"/>
  <c r="AD32" i="18" s="1"/>
  <c r="T32" i="18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S6" i="18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F115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Y44" i="18" l="1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R141" i="18" s="1"/>
  <c r="Q191" i="18" s="1"/>
  <c r="I54" i="18"/>
  <c r="J54" i="18"/>
  <c r="K54" i="18"/>
  <c r="L54" i="18"/>
  <c r="L178" i="18" s="1"/>
  <c r="M54" i="18"/>
  <c r="N54" i="18"/>
  <c r="N178" i="18" s="1"/>
  <c r="P54" i="18"/>
  <c r="P192" i="18" s="1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T191" i="18" l="1"/>
  <c r="T190" i="18" s="1"/>
  <c r="P191" i="18"/>
  <c r="T106" i="18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81" i="18" l="1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66" i="18" s="1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<sst xmlns="http://schemas.openxmlformats.org/spreadsheetml/2006/main" count="646" uniqueCount="455">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</sst>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9" fontId="5" fillId="5" borderId="1" xfId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33824"/>
        <c:axId val="177352704"/>
      </c:lineChart>
      <c:catAx>
        <c:axId val="177133824"/>
        <c:scaling>
          <c:orientation val="minMax"/>
        </c:scaling>
        <c:delete val="0"/>
        <c:axPos val="b"/>
        <c:majorTickMark val="out"/>
        <c:minorTickMark val="none"/>
        <c:tickLblPos val="nextTo"/>
        <c:crossAx val="177352704"/>
        <c:crosses val="autoZero"/>
        <c:auto val="1"/>
        <c:lblAlgn val="ctr"/>
        <c:lblOffset val="100"/>
        <c:noMultiLvlLbl val="0"/>
      </c:catAx>
      <c:valAx>
        <c:axId val="177352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713382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P30" sqref="P30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2" x14ac:dyDescent="0.2">
      <c r="B2" s="153" t="s">
        <v>315</v>
      </c>
      <c r="C2" s="120"/>
      <c r="F2" s="104" t="s">
        <v>253</v>
      </c>
      <c r="H2" s="126">
        <v>2014</v>
      </c>
      <c r="J2" s="104" t="s">
        <v>328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1" t="s">
        <v>291</v>
      </c>
      <c r="AF2" s="202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203" t="s">
        <v>292</v>
      </c>
      <c r="AF3" s="204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700</v>
      </c>
      <c r="H6" s="147">
        <v>719</v>
      </c>
      <c r="I6" s="147">
        <v>820</v>
      </c>
      <c r="J6" s="147">
        <v>979</v>
      </c>
      <c r="K6" s="147">
        <v>1112</v>
      </c>
      <c r="L6" s="147">
        <v>1351</v>
      </c>
      <c r="M6" s="147">
        <v>1684</v>
      </c>
      <c r="N6" s="147">
        <v>2289</v>
      </c>
      <c r="O6" s="147">
        <v>2856</v>
      </c>
      <c r="P6" s="193">
        <f>O6</f>
        <v>2856</v>
      </c>
      <c r="Q6" s="193">
        <f>P6</f>
        <v>2856</v>
      </c>
      <c r="R6" s="118">
        <f>((Q6/G6)^(1/($H$2-$H$1) ))-1</f>
        <v>0.15097533330055812</v>
      </c>
      <c r="S6" s="31">
        <f>$L$2</f>
        <v>0.12</v>
      </c>
      <c r="T6" s="154">
        <f>Q6*(1+$S6)</f>
        <v>3198.7200000000003</v>
      </c>
      <c r="U6" s="154">
        <f>T6*(1+$S6)</f>
        <v>3582.5664000000006</v>
      </c>
      <c r="V6" s="154">
        <f t="shared" ref="V6:AC6" si="0">U6*(1+$S6)</f>
        <v>4012.474368000001</v>
      </c>
      <c r="W6" s="154">
        <f t="shared" si="0"/>
        <v>4493.9712921600012</v>
      </c>
      <c r="X6" s="154">
        <f t="shared" si="0"/>
        <v>5033.2478472192015</v>
      </c>
      <c r="Y6" s="154">
        <f t="shared" si="0"/>
        <v>5637.2375888855058</v>
      </c>
      <c r="Z6" s="154">
        <f t="shared" si="0"/>
        <v>6313.7060995517668</v>
      </c>
      <c r="AA6" s="154">
        <f t="shared" si="0"/>
        <v>7071.350831497979</v>
      </c>
      <c r="AB6" s="154">
        <f t="shared" si="0"/>
        <v>7919.9129312777377</v>
      </c>
      <c r="AC6" s="154">
        <f t="shared" si="0"/>
        <v>8870.3024830310678</v>
      </c>
      <c r="AD6" s="138">
        <f>((AC6/G6)^(1/($AC$3-$H$1) ))-1</f>
        <v>0.13538203847719266</v>
      </c>
      <c r="AE6" s="31">
        <f>$L$1</f>
        <v>0.05</v>
      </c>
      <c r="AF6" s="146">
        <f t="shared" ref="AF6:AF44" si="1">(AC6*(1+AE6))/($C$1-AE6)</f>
        <v>54787.162395191895</v>
      </c>
    </row>
    <row r="7" spans="2:32" x14ac:dyDescent="0.2">
      <c r="B7" s="20" t="s">
        <v>240</v>
      </c>
      <c r="C7" s="141"/>
      <c r="D7" s="141"/>
      <c r="E7" s="147"/>
      <c r="F7" s="147"/>
      <c r="G7" s="147">
        <v>704</v>
      </c>
      <c r="H7" s="147">
        <v>723</v>
      </c>
      <c r="I7" s="147">
        <v>824</v>
      </c>
      <c r="J7" s="147">
        <v>983</v>
      </c>
      <c r="K7" s="147">
        <v>1117</v>
      </c>
      <c r="L7" s="147">
        <v>1355</v>
      </c>
      <c r="M7" s="147">
        <v>1688</v>
      </c>
      <c r="N7" s="147">
        <v>2294</v>
      </c>
      <c r="O7" s="147">
        <v>2861</v>
      </c>
      <c r="P7" s="193">
        <f>O7</f>
        <v>2861</v>
      </c>
      <c r="Q7" s="193">
        <f>P7</f>
        <v>2861</v>
      </c>
      <c r="R7" s="118">
        <f>((Q7/G7)^(1/($H$2-$H$1) ))-1</f>
        <v>0.15052091995710493</v>
      </c>
      <c r="S7" s="31">
        <f>$L$2</f>
        <v>0.12</v>
      </c>
      <c r="T7" s="154">
        <f t="shared" ref="T7:T44" si="2">Q7*(1+$S7)</f>
        <v>3204.32</v>
      </c>
      <c r="U7" s="154">
        <f t="shared" ref="U7:AC7" si="3">T7*(1+$S7)</f>
        <v>3588.8384000000005</v>
      </c>
      <c r="V7" s="154">
        <f t="shared" si="3"/>
        <v>4019.4990080000011</v>
      </c>
      <c r="W7" s="154">
        <f t="shared" si="3"/>
        <v>4501.8388889600019</v>
      </c>
      <c r="X7" s="154">
        <f t="shared" si="3"/>
        <v>5042.0595556352027</v>
      </c>
      <c r="Y7" s="154">
        <f t="shared" si="3"/>
        <v>5647.1067023114274</v>
      </c>
      <c r="Z7" s="154">
        <f t="shared" si="3"/>
        <v>6324.759506588799</v>
      </c>
      <c r="AA7" s="154">
        <f t="shared" si="3"/>
        <v>7083.7306473794551</v>
      </c>
      <c r="AB7" s="154">
        <f t="shared" si="3"/>
        <v>7933.7783250649909</v>
      </c>
      <c r="AC7" s="154">
        <f t="shared" si="3"/>
        <v>8885.8317240727902</v>
      </c>
      <c r="AD7" s="138">
        <f>((AC7/G7)^(1/($AC$3-$H$1) ))-1</f>
        <v>0.13515788785171101</v>
      </c>
      <c r="AE7" s="31">
        <f>$L$1</f>
        <v>0.05</v>
      </c>
      <c r="AF7" s="146">
        <f t="shared" si="1"/>
        <v>54883.078295743719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2.6279391424619641E-2</v>
      </c>
      <c r="I8" s="151">
        <f t="shared" ref="I8:Q8" si="4">(I7-H7)/I7</f>
        <v>0.12257281553398058</v>
      </c>
      <c r="J8" s="151">
        <f t="shared" si="4"/>
        <v>0.16174974567650049</v>
      </c>
      <c r="K8" s="151">
        <f t="shared" si="4"/>
        <v>0.11996418979409132</v>
      </c>
      <c r="L8" s="151">
        <f t="shared" si="4"/>
        <v>0.17564575645756458</v>
      </c>
      <c r="M8" s="151">
        <f t="shared" si="4"/>
        <v>0.19727488151658767</v>
      </c>
      <c r="N8" s="151">
        <f t="shared" si="4"/>
        <v>0.26416739319965127</v>
      </c>
      <c r="O8" s="151">
        <f t="shared" si="4"/>
        <v>0.19818245368752185</v>
      </c>
      <c r="P8" s="194">
        <f t="shared" si="4"/>
        <v>0</v>
      </c>
      <c r="Q8" s="194">
        <f t="shared" si="4"/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460</v>
      </c>
      <c r="H9" s="147">
        <v>462</v>
      </c>
      <c r="I9" s="147">
        <v>670</v>
      </c>
      <c r="J9" s="147">
        <v>745</v>
      </c>
      <c r="K9" s="147">
        <v>1033</v>
      </c>
      <c r="L9" s="147">
        <v>967</v>
      </c>
      <c r="M9" s="147">
        <v>1202</v>
      </c>
      <c r="N9" s="147">
        <v>2318</v>
      </c>
      <c r="O9" s="147">
        <v>2499</v>
      </c>
      <c r="P9" s="193">
        <f>O9</f>
        <v>2499</v>
      </c>
      <c r="Q9" s="193">
        <f>P9</f>
        <v>2499</v>
      </c>
      <c r="R9" s="118">
        <f>((Q9/G9)^(1/($H$2-$H$1) ))-1</f>
        <v>0.18440666450712651</v>
      </c>
      <c r="S9" s="31">
        <f t="shared" ref="S9:S40" si="5">$L$2</f>
        <v>0.12</v>
      </c>
      <c r="T9" s="154">
        <f t="shared" si="2"/>
        <v>2798.88</v>
      </c>
      <c r="U9" s="154">
        <f t="shared" ref="U9" si="6">T9*(1+$S9)</f>
        <v>3134.7456000000002</v>
      </c>
      <c r="V9" s="154">
        <f t="shared" ref="V9" si="7">U9*(1+$S9)</f>
        <v>3510.9150720000007</v>
      </c>
      <c r="W9" s="154">
        <f t="shared" ref="W9" si="8">V9*(1+$S9)</f>
        <v>3932.2248806400012</v>
      </c>
      <c r="X9" s="154">
        <f t="shared" ref="X9" si="9">W9*(1+$S9)</f>
        <v>4404.0918663168013</v>
      </c>
      <c r="Y9" s="154">
        <f t="shared" ref="Y9" si="10">X9*(1+$S9)</f>
        <v>4932.5828902748181</v>
      </c>
      <c r="Z9" s="154">
        <f t="shared" ref="Z9" si="11">Y9*(1+$S9)</f>
        <v>5524.4928371077967</v>
      </c>
      <c r="AA9" s="154">
        <f t="shared" ref="AA9" si="12">Z9*(1+$S9)</f>
        <v>6187.4319775607328</v>
      </c>
      <c r="AB9" s="154">
        <f t="shared" ref="AB9" si="13">AA9*(1+$S9)</f>
        <v>6929.9238148680215</v>
      </c>
      <c r="AC9" s="154">
        <f t="shared" ref="AC9" si="14">AB9*(1+$S9)</f>
        <v>7761.5146726521853</v>
      </c>
      <c r="AD9" s="138">
        <f>((AC9/G9)^(1/($AC$3-$H$1) ))-1</f>
        <v>0.15175321325706825</v>
      </c>
      <c r="AE9" s="31">
        <f t="shared" ref="AE9:AE81" si="15">$L$1</f>
        <v>0.05</v>
      </c>
      <c r="AF9" s="146">
        <f t="shared" si="1"/>
        <v>47938.767095792915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292</v>
      </c>
      <c r="H10" s="147">
        <v>400</v>
      </c>
      <c r="I10" s="147">
        <v>540</v>
      </c>
      <c r="J10" s="147">
        <v>607</v>
      </c>
      <c r="K10" s="147">
        <v>962</v>
      </c>
      <c r="L10" s="147">
        <v>292</v>
      </c>
      <c r="M10" s="147">
        <v>952</v>
      </c>
      <c r="N10" s="147">
        <v>1516</v>
      </c>
      <c r="O10" s="147">
        <v>1631</v>
      </c>
      <c r="P10" s="193">
        <f>O10</f>
        <v>1631</v>
      </c>
      <c r="Q10" s="193">
        <f>P10</f>
        <v>1631</v>
      </c>
      <c r="R10" s="118">
        <f>((Q10/G10)^(1/($H$2-$H$1) ))-1</f>
        <v>0.18770096944533665</v>
      </c>
      <c r="S10" s="31">
        <f t="shared" si="5"/>
        <v>0.12</v>
      </c>
      <c r="T10" s="154">
        <f t="shared" si="2"/>
        <v>1826.7200000000003</v>
      </c>
      <c r="U10" s="154">
        <f t="shared" ref="U10:AC10" si="16">T10*(1+$S10)</f>
        <v>2045.9264000000005</v>
      </c>
      <c r="V10" s="154">
        <f t="shared" si="16"/>
        <v>2291.4375680000007</v>
      </c>
      <c r="W10" s="154">
        <f t="shared" si="16"/>
        <v>2566.4100761600012</v>
      </c>
      <c r="X10" s="154">
        <f t="shared" si="16"/>
        <v>2874.3792852992015</v>
      </c>
      <c r="Y10" s="154">
        <f t="shared" si="16"/>
        <v>3219.3047995351058</v>
      </c>
      <c r="Z10" s="154">
        <f t="shared" si="16"/>
        <v>3605.6213754793189</v>
      </c>
      <c r="AA10" s="154">
        <f t="shared" si="16"/>
        <v>4038.2959405368374</v>
      </c>
      <c r="AB10" s="154">
        <f t="shared" si="16"/>
        <v>4522.8914534012583</v>
      </c>
      <c r="AC10" s="154">
        <f t="shared" si="16"/>
        <v>5065.6384278094101</v>
      </c>
      <c r="AD10" s="138">
        <f t="shared" ref="AD10:AD42" si="17">((AC10/G10)^(1/($AC$3-$H$1) ))-1</f>
        <v>0.15335384239997096</v>
      </c>
      <c r="AE10" s="31">
        <f t="shared" si="15"/>
        <v>0.05</v>
      </c>
      <c r="AF10" s="146">
        <f t="shared" si="1"/>
        <v>31287.7667599993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0.27</v>
      </c>
      <c r="I11" s="148">
        <f t="shared" si="18"/>
        <v>0.25925925925925924</v>
      </c>
      <c r="J11" s="148">
        <f t="shared" si="18"/>
        <v>0.11037891268533773</v>
      </c>
      <c r="K11" s="148">
        <f t="shared" si="18"/>
        <v>0.36902286902286902</v>
      </c>
      <c r="L11" s="148">
        <f t="shared" si="18"/>
        <v>-2.2945205479452055</v>
      </c>
      <c r="M11" s="148">
        <f t="shared" si="18"/>
        <v>0.69327731092436973</v>
      </c>
      <c r="N11" s="148">
        <f t="shared" si="18"/>
        <v>0.37203166226912932</v>
      </c>
      <c r="O11" s="148">
        <f t="shared" si="18"/>
        <v>7.0508890251379519E-2</v>
      </c>
      <c r="P11" s="195">
        <f t="shared" si="18"/>
        <v>0</v>
      </c>
      <c r="Q11" s="195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40</v>
      </c>
      <c r="H12" s="147">
        <v>36</v>
      </c>
      <c r="I12" s="147">
        <v>53</v>
      </c>
      <c r="J12" s="147">
        <v>73</v>
      </c>
      <c r="K12" s="147">
        <v>102</v>
      </c>
      <c r="L12" s="147">
        <v>60</v>
      </c>
      <c r="M12" s="147">
        <v>54</v>
      </c>
      <c r="N12" s="147">
        <v>58</v>
      </c>
      <c r="O12" s="147">
        <v>65</v>
      </c>
      <c r="P12" s="193">
        <f t="shared" ref="P12:Q16" si="19">O12</f>
        <v>65</v>
      </c>
      <c r="Q12" s="193">
        <f t="shared" si="19"/>
        <v>65</v>
      </c>
      <c r="R12" s="118">
        <f>((Q12/G12)^(1/($H$2-$H$1) ))-1</f>
        <v>4.9748678361387633E-2</v>
      </c>
      <c r="S12" s="31">
        <f t="shared" si="5"/>
        <v>0.12</v>
      </c>
      <c r="T12" s="154">
        <f t="shared" si="2"/>
        <v>72.800000000000011</v>
      </c>
      <c r="U12" s="154">
        <f t="shared" ref="U12:AC12" si="20">T12*(1+$S12)</f>
        <v>81.536000000000016</v>
      </c>
      <c r="V12" s="154">
        <f t="shared" si="20"/>
        <v>91.320320000000024</v>
      </c>
      <c r="W12" s="154">
        <f t="shared" si="20"/>
        <v>102.27875840000003</v>
      </c>
      <c r="X12" s="154">
        <f t="shared" si="20"/>
        <v>114.55220940800004</v>
      </c>
      <c r="Y12" s="154">
        <f t="shared" si="20"/>
        <v>128.29847453696004</v>
      </c>
      <c r="Z12" s="154">
        <f t="shared" si="20"/>
        <v>143.69429148139525</v>
      </c>
      <c r="AA12" s="154">
        <f t="shared" si="20"/>
        <v>160.93760645916271</v>
      </c>
      <c r="AB12" s="154">
        <f t="shared" si="20"/>
        <v>180.25011923426226</v>
      </c>
      <c r="AC12" s="154">
        <f t="shared" si="20"/>
        <v>201.88013354237376</v>
      </c>
      <c r="AD12" s="138">
        <f t="shared" si="17"/>
        <v>8.4305547235074441E-2</v>
      </c>
      <c r="AE12" s="31">
        <f t="shared" si="15"/>
        <v>0.05</v>
      </c>
      <c r="AF12" s="146">
        <f t="shared" si="1"/>
        <v>1246.9067071734851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75</v>
      </c>
      <c r="H13" s="147">
        <v>76</v>
      </c>
      <c r="I13" s="147">
        <v>65</v>
      </c>
      <c r="J13" s="147">
        <v>67</v>
      </c>
      <c r="K13" s="147">
        <v>64</v>
      </c>
      <c r="L13" s="147">
        <v>144</v>
      </c>
      <c r="M13" s="147">
        <v>73</v>
      </c>
      <c r="N13" s="147">
        <v>73</v>
      </c>
      <c r="O13" s="147">
        <v>430</v>
      </c>
      <c r="P13" s="193">
        <f t="shared" si="19"/>
        <v>430</v>
      </c>
      <c r="Q13" s="193">
        <f t="shared" si="19"/>
        <v>430</v>
      </c>
      <c r="R13" s="118">
        <f>((Q13/G13)^(1/($H$2-$H$1) ))-1</f>
        <v>0.19080519113201766</v>
      </c>
      <c r="S13" s="31">
        <f t="shared" si="5"/>
        <v>0.12</v>
      </c>
      <c r="T13" s="154">
        <f t="shared" si="2"/>
        <v>481.6</v>
      </c>
      <c r="U13" s="154">
        <f t="shared" ref="U13:AC13" si="21">T13*(1+$S13)</f>
        <v>539.39200000000005</v>
      </c>
      <c r="V13" s="154">
        <f t="shared" si="21"/>
        <v>604.11904000000015</v>
      </c>
      <c r="W13" s="154">
        <f t="shared" si="21"/>
        <v>676.61332480000021</v>
      </c>
      <c r="X13" s="154">
        <f t="shared" si="21"/>
        <v>757.8069237760003</v>
      </c>
      <c r="Y13" s="154">
        <f t="shared" si="21"/>
        <v>848.74375462912042</v>
      </c>
      <c r="Z13" s="154">
        <f t="shared" si="21"/>
        <v>950.59300518461498</v>
      </c>
      <c r="AA13" s="154">
        <f t="shared" si="21"/>
        <v>1064.6641658067688</v>
      </c>
      <c r="AB13" s="154">
        <f t="shared" si="21"/>
        <v>1192.4238657035812</v>
      </c>
      <c r="AC13" s="154">
        <f t="shared" si="21"/>
        <v>1335.5147295880111</v>
      </c>
      <c r="AD13" s="138">
        <f t="shared" si="17"/>
        <v>0.15486008419542308</v>
      </c>
      <c r="AE13" s="31">
        <f t="shared" si="15"/>
        <v>0.05</v>
      </c>
      <c r="AF13" s="146">
        <f t="shared" si="1"/>
        <v>8248.7674474553642</v>
      </c>
    </row>
    <row r="14" spans="2:32" x14ac:dyDescent="0.2">
      <c r="B14" s="20" t="s">
        <v>373</v>
      </c>
      <c r="C14" s="141"/>
      <c r="D14" s="141"/>
      <c r="E14" s="147"/>
      <c r="F14" s="147"/>
      <c r="G14" s="147">
        <v>403</v>
      </c>
      <c r="H14" s="147">
        <v>482</v>
      </c>
      <c r="I14" s="147">
        <v>565</v>
      </c>
      <c r="J14" s="147">
        <v>694</v>
      </c>
      <c r="K14" s="147">
        <v>985</v>
      </c>
      <c r="L14" s="147">
        <v>652</v>
      </c>
      <c r="M14" s="147">
        <v>1112</v>
      </c>
      <c r="N14" s="147">
        <v>1528</v>
      </c>
      <c r="O14" s="147">
        <v>1664</v>
      </c>
      <c r="P14" s="193">
        <f t="shared" si="19"/>
        <v>1664</v>
      </c>
      <c r="Q14" s="193">
        <f t="shared" si="19"/>
        <v>1664</v>
      </c>
      <c r="R14" s="118">
        <f>((Q14/G14)^(1/($H$2-$H$1) ))-1</f>
        <v>0.15235111820535718</v>
      </c>
      <c r="S14" s="31">
        <f t="shared" si="5"/>
        <v>0.12</v>
      </c>
      <c r="T14" s="154">
        <f t="shared" si="2"/>
        <v>1863.6800000000003</v>
      </c>
      <c r="U14" s="154">
        <f t="shared" ref="U14" si="22">T14*(1+$S14)</f>
        <v>2087.3216000000007</v>
      </c>
      <c r="V14" s="154">
        <f t="shared" ref="V14" si="23">U14*(1+$S14)</f>
        <v>2337.8001920000011</v>
      </c>
      <c r="W14" s="154">
        <f t="shared" ref="W14" si="24">V14*(1+$S14)</f>
        <v>2618.3362150400017</v>
      </c>
      <c r="X14" s="154">
        <f t="shared" ref="X14" si="25">W14*(1+$S14)</f>
        <v>2932.5365608448024</v>
      </c>
      <c r="Y14" s="154">
        <f t="shared" ref="Y14" si="26">X14*(1+$S14)</f>
        <v>3284.4409481461789</v>
      </c>
      <c r="Z14" s="154">
        <f t="shared" ref="Z14" si="27">Y14*(1+$S14)</f>
        <v>3678.5738619237209</v>
      </c>
      <c r="AA14" s="154">
        <f t="shared" ref="AA14" si="28">Z14*(1+$S14)</f>
        <v>4120.0027253545677</v>
      </c>
      <c r="AB14" s="154">
        <f t="shared" ref="AB14" si="29">AA14*(1+$S14)</f>
        <v>4614.403052397116</v>
      </c>
      <c r="AC14" s="154">
        <f t="shared" ref="AC14" si="30">AB14*(1+$S14)</f>
        <v>5168.1314186847703</v>
      </c>
      <c r="AD14" s="138">
        <f t="shared" ref="AD14" si="31">((AC14/G14)^(1/($AC$3-$H$1) ))-1</f>
        <v>0.13606040877675163</v>
      </c>
      <c r="AE14" s="31">
        <f t="shared" si="15"/>
        <v>0.05</v>
      </c>
      <c r="AF14" s="146">
        <f t="shared" ref="AF14" si="32">(AC14*(1+AE14))/($C$1-AE14)</f>
        <v>31920.811703641233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839</v>
      </c>
      <c r="H15" s="147">
        <v>917</v>
      </c>
      <c r="I15" s="147">
        <v>1158</v>
      </c>
      <c r="J15" s="147">
        <v>1319</v>
      </c>
      <c r="K15" s="147">
        <v>1695</v>
      </c>
      <c r="L15" s="147">
        <v>1289</v>
      </c>
      <c r="M15" s="147">
        <v>1972</v>
      </c>
      <c r="N15" s="147">
        <v>2887</v>
      </c>
      <c r="O15" s="147">
        <v>3183</v>
      </c>
      <c r="P15" s="193">
        <f t="shared" si="19"/>
        <v>3183</v>
      </c>
      <c r="Q15" s="193">
        <f t="shared" si="19"/>
        <v>3183</v>
      </c>
      <c r="R15" s="118">
        <f>((Q15/G15)^(1/($H$2-$H$1) ))-1</f>
        <v>0.14263485528555453</v>
      </c>
      <c r="S15" s="31">
        <f t="shared" si="5"/>
        <v>0.12</v>
      </c>
      <c r="T15" s="154">
        <f t="shared" si="2"/>
        <v>3564.9600000000005</v>
      </c>
      <c r="U15" s="154">
        <f t="shared" ref="U15:AC15" si="33">T15*(1+$S15)</f>
        <v>3992.755200000001</v>
      </c>
      <c r="V15" s="154">
        <f t="shared" si="33"/>
        <v>4471.8858240000018</v>
      </c>
      <c r="W15" s="154">
        <f t="shared" si="33"/>
        <v>5008.5121228800026</v>
      </c>
      <c r="X15" s="154">
        <f t="shared" si="33"/>
        <v>5609.5335776256034</v>
      </c>
      <c r="Y15" s="154">
        <f t="shared" si="33"/>
        <v>6282.677606940676</v>
      </c>
      <c r="Z15" s="154">
        <f t="shared" si="33"/>
        <v>7036.598919773558</v>
      </c>
      <c r="AA15" s="154">
        <f t="shared" si="33"/>
        <v>7880.9907901463857</v>
      </c>
      <c r="AB15" s="154">
        <f t="shared" si="33"/>
        <v>8826.7096849639529</v>
      </c>
      <c r="AC15" s="154">
        <f t="shared" si="33"/>
        <v>9885.9148471596291</v>
      </c>
      <c r="AD15" s="138">
        <f t="shared" si="17"/>
        <v>0.1312608178133905</v>
      </c>
      <c r="AE15" s="31">
        <f t="shared" si="15"/>
        <v>0.05</v>
      </c>
      <c r="AF15" s="146">
        <f t="shared" si="1"/>
        <v>61060.062291280068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469</v>
      </c>
      <c r="H16" s="147">
        <v>503</v>
      </c>
      <c r="I16" s="147">
        <v>578</v>
      </c>
      <c r="J16" s="147">
        <v>620</v>
      </c>
      <c r="K16" s="147">
        <v>701</v>
      </c>
      <c r="L16" s="147">
        <v>282</v>
      </c>
      <c r="M16" s="147">
        <v>740</v>
      </c>
      <c r="N16" s="147">
        <v>629</v>
      </c>
      <c r="O16" s="147">
        <v>730</v>
      </c>
      <c r="P16" s="193">
        <f t="shared" si="19"/>
        <v>730</v>
      </c>
      <c r="Q16" s="193">
        <f t="shared" si="19"/>
        <v>730</v>
      </c>
      <c r="R16" s="118">
        <f>((Q16/G16)^(1/($H$2-$H$1) ))-1</f>
        <v>4.5237546249777161E-2</v>
      </c>
      <c r="S16" s="31">
        <f t="shared" si="5"/>
        <v>0.12</v>
      </c>
      <c r="T16" s="154">
        <f t="shared" si="2"/>
        <v>817.6</v>
      </c>
      <c r="U16" s="154">
        <f t="shared" ref="U16:AC16" si="34">T16*(1+$S16)</f>
        <v>915.7120000000001</v>
      </c>
      <c r="V16" s="154">
        <f t="shared" si="34"/>
        <v>1025.5974400000002</v>
      </c>
      <c r="W16" s="154">
        <f t="shared" si="34"/>
        <v>1148.6691328000004</v>
      </c>
      <c r="X16" s="154">
        <f t="shared" si="34"/>
        <v>1286.5094287360005</v>
      </c>
      <c r="Y16" s="154">
        <f t="shared" si="34"/>
        <v>1440.8905601843207</v>
      </c>
      <c r="Z16" s="154">
        <f t="shared" si="34"/>
        <v>1613.7974274064393</v>
      </c>
      <c r="AA16" s="154">
        <f t="shared" si="34"/>
        <v>1807.4531186952122</v>
      </c>
      <c r="AB16" s="154">
        <f t="shared" si="34"/>
        <v>2024.3474929386377</v>
      </c>
      <c r="AC16" s="154">
        <f t="shared" si="34"/>
        <v>2267.2691920912744</v>
      </c>
      <c r="AD16" s="138">
        <f t="shared" si="17"/>
        <v>8.1973221387549255E-2</v>
      </c>
      <c r="AE16" s="31">
        <f t="shared" si="15"/>
        <v>0.05</v>
      </c>
      <c r="AF16" s="146">
        <f t="shared" si="1"/>
        <v>14003.721480563756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93"/>
      <c r="Q17" s="19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398</v>
      </c>
      <c r="H18" s="147">
        <v>419</v>
      </c>
      <c r="I18" s="147">
        <v>654</v>
      </c>
      <c r="J18" s="147">
        <v>660</v>
      </c>
      <c r="K18" s="147">
        <v>870</v>
      </c>
      <c r="L18" s="147">
        <v>936</v>
      </c>
      <c r="M18" s="147">
        <v>1330</v>
      </c>
      <c r="N18" s="147">
        <v>1972</v>
      </c>
      <c r="O18" s="147">
        <v>2918</v>
      </c>
      <c r="P18" s="193">
        <f>O18</f>
        <v>2918</v>
      </c>
      <c r="Q18" s="193">
        <f>P18</f>
        <v>2918</v>
      </c>
      <c r="R18" s="118">
        <f>((Q18/G18)^(1/($H$2-$H$1) ))-1</f>
        <v>0.22045064584399543</v>
      </c>
      <c r="S18" s="31">
        <f t="shared" si="5"/>
        <v>0.12</v>
      </c>
      <c r="T18" s="154">
        <f t="shared" si="2"/>
        <v>3268.1600000000003</v>
      </c>
      <c r="U18" s="154">
        <f t="shared" ref="U18:U34" si="35">T18*(1+$S18)</f>
        <v>3660.3392000000008</v>
      </c>
      <c r="V18" s="154">
        <f t="shared" ref="V18:V34" si="36">U18*(1+$S18)</f>
        <v>4099.5799040000011</v>
      </c>
      <c r="W18" s="154">
        <f t="shared" ref="W18:W34" si="37">V18*(1+$S18)</f>
        <v>4591.5294924800019</v>
      </c>
      <c r="X18" s="154">
        <f t="shared" ref="X18:X36" si="38">W18*(1+$S18)</f>
        <v>5142.5130315776023</v>
      </c>
      <c r="Y18" s="154">
        <f t="shared" ref="Y18:Y36" si="39">X18*(1+$S18)</f>
        <v>5759.6145953669147</v>
      </c>
      <c r="Z18" s="154">
        <f t="shared" ref="Z18:Z36" si="40">Y18*(1+$S18)</f>
        <v>6450.7683468109453</v>
      </c>
      <c r="AA18" s="154">
        <f t="shared" ref="AA18:AA36" si="41">Z18*(1+$S18)</f>
        <v>7224.8605484282598</v>
      </c>
      <c r="AB18" s="154">
        <f t="shared" ref="AB18:AB36" si="42">AA18*(1+$S18)</f>
        <v>8091.8438142396517</v>
      </c>
      <c r="AC18" s="154">
        <f t="shared" ref="AC18:AC36" si="43">AB18*(1+$S18)</f>
        <v>9062.8650719484103</v>
      </c>
      <c r="AD18" s="138">
        <f t="shared" si="17"/>
        <v>0.1691470067298102</v>
      </c>
      <c r="AE18" s="31">
        <f t="shared" si="15"/>
        <v>0.05</v>
      </c>
      <c r="AF18" s="146">
        <f t="shared" si="1"/>
        <v>55976.519562034315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93"/>
      <c r="Q19" s="19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100</v>
      </c>
      <c r="H20" s="147">
        <v>62</v>
      </c>
      <c r="I20" s="147">
        <v>275</v>
      </c>
      <c r="J20" s="147">
        <v>306</v>
      </c>
      <c r="K20" s="147">
        <v>269</v>
      </c>
      <c r="L20" s="147">
        <v>862</v>
      </c>
      <c r="M20" s="147">
        <v>157</v>
      </c>
      <c r="N20" s="147">
        <v>277</v>
      </c>
      <c r="O20" s="147">
        <v>1022</v>
      </c>
      <c r="P20" s="193">
        <f>O20</f>
        <v>1022</v>
      </c>
      <c r="Q20" s="193">
        <f>P20</f>
        <v>1022</v>
      </c>
      <c r="R20" s="118">
        <f>((Q20/G20)^(1/($H$2-$H$1) ))-1</f>
        <v>0.26166800435734894</v>
      </c>
      <c r="S20" s="31">
        <f t="shared" si="5"/>
        <v>0.12</v>
      </c>
      <c r="T20" s="154">
        <f t="shared" si="2"/>
        <v>1144.6400000000001</v>
      </c>
      <c r="U20" s="154">
        <f t="shared" ref="U20:U22" si="44">T20*(1+$S20)</f>
        <v>1281.9968000000001</v>
      </c>
      <c r="V20" s="154">
        <f t="shared" ref="V20:V22" si="45">U20*(1+$S20)</f>
        <v>1435.8364160000003</v>
      </c>
      <c r="W20" s="154">
        <f t="shared" ref="W20:W22" si="46">V20*(1+$S20)</f>
        <v>1608.1367859200004</v>
      </c>
      <c r="X20" s="154">
        <f t="shared" ref="X20:X22" si="47">W20*(1+$S20)</f>
        <v>1801.1132002304007</v>
      </c>
      <c r="Y20" s="154">
        <f t="shared" ref="Y20:Y22" si="48">X20*(1+$S20)</f>
        <v>2017.246784258049</v>
      </c>
      <c r="Z20" s="154">
        <f t="shared" ref="Z20:Z22" si="49">Y20*(1+$S20)</f>
        <v>2259.3163983690151</v>
      </c>
      <c r="AA20" s="154">
        <f t="shared" ref="AA20:AA22" si="50">Z20*(1+$S20)</f>
        <v>2530.4343661732973</v>
      </c>
      <c r="AB20" s="154">
        <f t="shared" ref="AB20:AB22" si="51">AA20*(1+$S20)</f>
        <v>2834.0864901140935</v>
      </c>
      <c r="AC20" s="154">
        <f t="shared" ref="AC20:AC22" si="52">AB20*(1+$S20)</f>
        <v>3174.1768689277851</v>
      </c>
      <c r="AD20" s="138">
        <f t="shared" ref="AD20:AD22" si="53">((AC20/G20)^(1/($AC$3-$H$1) ))-1</f>
        <v>0.18872543713013523</v>
      </c>
      <c r="AE20" s="31">
        <f t="shared" si="15"/>
        <v>0.05</v>
      </c>
      <c r="AF20" s="146">
        <f t="shared" si="1"/>
        <v>19605.210072789265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-185</v>
      </c>
      <c r="H21" s="147">
        <v>-231</v>
      </c>
      <c r="I21" s="147">
        <v>-227</v>
      </c>
      <c r="J21" s="147">
        <v>-335</v>
      </c>
      <c r="K21" s="147">
        <v>-566</v>
      </c>
      <c r="L21" s="147">
        <v>-233</v>
      </c>
      <c r="M21" s="147">
        <v>-786</v>
      </c>
      <c r="N21" s="147">
        <v>-1110</v>
      </c>
      <c r="O21" s="147">
        <v>-966</v>
      </c>
      <c r="P21" s="193">
        <v>-883</v>
      </c>
      <c r="Q21" s="193">
        <f>P21</f>
        <v>-883</v>
      </c>
      <c r="R21" s="118">
        <f>((Q21/G21)^(1/($H$2-$H$1) ))-1</f>
        <v>0.16917332301590693</v>
      </c>
      <c r="S21" s="31">
        <f t="shared" si="5"/>
        <v>0.12</v>
      </c>
      <c r="T21" s="154">
        <f t="shared" si="2"/>
        <v>-988.96000000000015</v>
      </c>
      <c r="U21" s="154">
        <f t="shared" si="44"/>
        <v>-1107.6352000000002</v>
      </c>
      <c r="V21" s="154">
        <f t="shared" si="45"/>
        <v>-1240.5514240000002</v>
      </c>
      <c r="W21" s="154">
        <f t="shared" si="46"/>
        <v>-1389.4175948800005</v>
      </c>
      <c r="X21" s="154">
        <f t="shared" si="47"/>
        <v>-1556.1477062656006</v>
      </c>
      <c r="Y21" s="154">
        <f t="shared" si="48"/>
        <v>-1742.8854310174729</v>
      </c>
      <c r="Z21" s="154">
        <f t="shared" si="49"/>
        <v>-1952.0316827395698</v>
      </c>
      <c r="AA21" s="154">
        <f t="shared" si="50"/>
        <v>-2186.2754846683183</v>
      </c>
      <c r="AB21" s="154">
        <f t="shared" si="51"/>
        <v>-2448.6285428285169</v>
      </c>
      <c r="AC21" s="154">
        <f t="shared" si="52"/>
        <v>-2742.463967967939</v>
      </c>
      <c r="AD21" s="138">
        <f t="shared" si="53"/>
        <v>0.14432256019787348</v>
      </c>
      <c r="AE21" s="31">
        <f t="shared" si="15"/>
        <v>0.05</v>
      </c>
      <c r="AF21" s="146">
        <f t="shared" si="1"/>
        <v>-16938.748037449037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83</v>
      </c>
      <c r="H22" s="147">
        <v>117</v>
      </c>
      <c r="I22" s="147">
        <v>-40</v>
      </c>
      <c r="J22" s="147">
        <v>49</v>
      </c>
      <c r="K22" s="147">
        <v>326</v>
      </c>
      <c r="L22" s="147">
        <v>-672</v>
      </c>
      <c r="M22" s="147">
        <v>623</v>
      </c>
      <c r="N22" s="147">
        <v>845</v>
      </c>
      <c r="O22" s="147">
        <v>-51</v>
      </c>
      <c r="P22" s="193">
        <v>-313</v>
      </c>
      <c r="Q22" s="193">
        <f>P22</f>
        <v>-313</v>
      </c>
      <c r="R22" s="118" t="e">
        <f>((Q22/G22)^(1/($H$2-$H$1) ))-1</f>
        <v>#NUM!</v>
      </c>
      <c r="S22" s="31">
        <f t="shared" si="5"/>
        <v>0.12</v>
      </c>
      <c r="T22" s="154">
        <f t="shared" si="2"/>
        <v>-350.56000000000006</v>
      </c>
      <c r="U22" s="154">
        <f t="shared" si="44"/>
        <v>-392.62720000000013</v>
      </c>
      <c r="V22" s="154">
        <f t="shared" si="45"/>
        <v>-439.74246400000021</v>
      </c>
      <c r="W22" s="154">
        <f t="shared" si="46"/>
        <v>-492.51155968000029</v>
      </c>
      <c r="X22" s="154">
        <f t="shared" si="47"/>
        <v>-551.61294684160043</v>
      </c>
      <c r="Y22" s="154">
        <f t="shared" si="48"/>
        <v>-617.80650046259257</v>
      </c>
      <c r="Z22" s="154">
        <f t="shared" si="49"/>
        <v>-691.94328051810373</v>
      </c>
      <c r="AA22" s="154">
        <f t="shared" si="50"/>
        <v>-774.97647418027623</v>
      </c>
      <c r="AB22" s="154">
        <f t="shared" si="51"/>
        <v>-867.97365108190945</v>
      </c>
      <c r="AC22" s="154">
        <f t="shared" si="52"/>
        <v>-972.13048921173868</v>
      </c>
      <c r="AD22" s="138" t="e">
        <f t="shared" si="53"/>
        <v>#NUM!</v>
      </c>
      <c r="AE22" s="31">
        <f t="shared" si="15"/>
        <v>0.05</v>
      </c>
      <c r="AF22" s="146">
        <f t="shared" si="1"/>
        <v>-6004.3353745430932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112</v>
      </c>
      <c r="H23" s="147">
        <v>58</v>
      </c>
      <c r="I23" s="147">
        <v>53</v>
      </c>
      <c r="J23" s="147">
        <v>73</v>
      </c>
      <c r="K23" s="147">
        <v>102</v>
      </c>
      <c r="L23" s="147">
        <v>60</v>
      </c>
      <c r="M23" s="147">
        <v>53</v>
      </c>
      <c r="N23" s="147">
        <v>57</v>
      </c>
      <c r="O23" s="147">
        <v>59</v>
      </c>
      <c r="P23" s="193">
        <v>285</v>
      </c>
      <c r="Q23" s="193">
        <f>P23</f>
        <v>285</v>
      </c>
      <c r="R23" s="118">
        <f>((Q23/G23)^(1/($H$2-$H$1) ))-1</f>
        <v>9.7899743792774885E-2</v>
      </c>
      <c r="S23" s="31">
        <f t="shared" si="5"/>
        <v>0.12</v>
      </c>
      <c r="T23" s="154">
        <f t="shared" si="2"/>
        <v>319.20000000000005</v>
      </c>
      <c r="U23" s="154">
        <f t="shared" ref="U23" si="54">T23*(1+$S23)</f>
        <v>357.50400000000008</v>
      </c>
      <c r="V23" s="154">
        <f t="shared" ref="V23" si="55">U23*(1+$S23)</f>
        <v>400.40448000000015</v>
      </c>
      <c r="W23" s="154">
        <f t="shared" ref="W23" si="56">V23*(1+$S23)</f>
        <v>448.45301760000024</v>
      </c>
      <c r="X23" s="154">
        <f t="shared" ref="X23" si="57">W23*(1+$S23)</f>
        <v>502.26737971200032</v>
      </c>
      <c r="Y23" s="154">
        <f t="shared" ref="Y23" si="58">X23*(1+$S23)</f>
        <v>562.5394652774404</v>
      </c>
      <c r="Z23" s="154">
        <f t="shared" ref="Z23" si="59">Y23*(1+$S23)</f>
        <v>630.0442011107333</v>
      </c>
      <c r="AA23" s="154">
        <f t="shared" ref="AA23" si="60">Z23*(1+$S23)</f>
        <v>705.64950524402138</v>
      </c>
      <c r="AB23" s="154">
        <f t="shared" ref="AB23" si="61">AA23*(1+$S23)</f>
        <v>790.32744587330399</v>
      </c>
      <c r="AC23" s="154">
        <f t="shared" ref="AC23" si="62">AB23*(1+$S23)</f>
        <v>885.1667393781006</v>
      </c>
      <c r="AD23" s="138">
        <f t="shared" ref="AD23" si="63">((AC23/G23)^(1/($AC$3-$H$1) ))-1</f>
        <v>0.10889481604339202</v>
      </c>
      <c r="AE23" s="31">
        <f t="shared" si="15"/>
        <v>0.05</v>
      </c>
      <c r="AF23" s="146">
        <f t="shared" si="1"/>
        <v>5467.2063314529751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93"/>
      <c r="Q24" s="19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2309</v>
      </c>
      <c r="H25" s="147">
        <v>2575</v>
      </c>
      <c r="I25" s="147">
        <v>3781</v>
      </c>
      <c r="J25" s="147">
        <v>4502</v>
      </c>
      <c r="K25" s="147">
        <v>5152</v>
      </c>
      <c r="L25" s="147">
        <v>5481</v>
      </c>
      <c r="M25" s="147">
        <v>7651</v>
      </c>
      <c r="N25" s="147">
        <v>10477</v>
      </c>
      <c r="O25" s="147">
        <v>12027</v>
      </c>
      <c r="P25" s="193">
        <v>12300</v>
      </c>
      <c r="Q25" s="193">
        <f>P25</f>
        <v>12300</v>
      </c>
      <c r="R25" s="118">
        <f>((Q25/G25)^(1/($H$2-$H$1) ))-1</f>
        <v>0.18208339802614004</v>
      </c>
      <c r="S25" s="31">
        <f t="shared" si="5"/>
        <v>0.12</v>
      </c>
      <c r="T25" s="154">
        <f t="shared" si="2"/>
        <v>13776.000000000002</v>
      </c>
      <c r="U25" s="154">
        <f t="shared" si="35"/>
        <v>15429.120000000003</v>
      </c>
      <c r="V25" s="154">
        <f t="shared" si="36"/>
        <v>17280.614400000006</v>
      </c>
      <c r="W25" s="154">
        <f t="shared" si="37"/>
        <v>19354.288128000007</v>
      </c>
      <c r="X25" s="154">
        <f t="shared" si="38"/>
        <v>21676.802703360012</v>
      </c>
      <c r="Y25" s="154">
        <f t="shared" si="39"/>
        <v>24278.019027763217</v>
      </c>
      <c r="Z25" s="154">
        <f t="shared" si="40"/>
        <v>27191.381311094807</v>
      </c>
      <c r="AA25" s="154">
        <f t="shared" si="41"/>
        <v>30454.347068426185</v>
      </c>
      <c r="AB25" s="154">
        <f t="shared" si="42"/>
        <v>34108.868716637327</v>
      </c>
      <c r="AC25" s="154">
        <f t="shared" si="43"/>
        <v>38201.932962633808</v>
      </c>
      <c r="AD25" s="138">
        <f t="shared" si="17"/>
        <v>0.15062305112894236</v>
      </c>
      <c r="AE25" s="31">
        <f t="shared" si="15"/>
        <v>0.05</v>
      </c>
      <c r="AF25" s="146">
        <f t="shared" si="1"/>
        <v>235953.11535744416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0.10330097087378641</v>
      </c>
      <c r="I26" s="148">
        <f t="shared" ref="I26" si="64">(I25-H25)/I25</f>
        <v>0.31896323723882569</v>
      </c>
      <c r="J26" s="148">
        <f t="shared" ref="J26" si="65">(J25-I25)/J25</f>
        <v>0.16015104398045313</v>
      </c>
      <c r="K26" s="148">
        <f t="shared" ref="K26" si="66">(K25-J25)/K25</f>
        <v>0.12616459627329193</v>
      </c>
      <c r="L26" s="148">
        <f t="shared" ref="L26" si="67">(L25-K25)/L25</f>
        <v>6.0025542784163471E-2</v>
      </c>
      <c r="M26" s="148">
        <f t="shared" ref="M26" si="68">(M25-L25)/M25</f>
        <v>0.2836230558096981</v>
      </c>
      <c r="N26" s="148">
        <f t="shared" ref="N26" si="69">(N25-M25)/N25</f>
        <v>0.26973370239572397</v>
      </c>
      <c r="O26" s="148">
        <f t="shared" ref="O26" si="70">(O25-N25)/O25</f>
        <v>0.12887669410493058</v>
      </c>
      <c r="P26" s="195">
        <f t="shared" ref="P26:Q26" si="71">(P25-O25)/P25</f>
        <v>2.2195121951219511E-2</v>
      </c>
      <c r="Q26" s="195">
        <f t="shared" si="71"/>
        <v>0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2009</v>
      </c>
      <c r="H27" s="147">
        <v>2404</v>
      </c>
      <c r="I27" s="147">
        <v>3483</v>
      </c>
      <c r="J27" s="147">
        <v>4039</v>
      </c>
      <c r="K27" s="147">
        <v>4716</v>
      </c>
      <c r="L27" s="147">
        <v>4765</v>
      </c>
      <c r="M27" s="147">
        <v>6790</v>
      </c>
      <c r="N27" s="147">
        <v>9243</v>
      </c>
      <c r="O27" s="147">
        <v>10723</v>
      </c>
      <c r="P27" s="193">
        <v>10495</v>
      </c>
      <c r="Q27" s="193">
        <f>P27</f>
        <v>10495</v>
      </c>
      <c r="R27" s="118">
        <f>((Q27/G27)^(1/($H$2-$H$1) ))-1</f>
        <v>0.17977788386188975</v>
      </c>
      <c r="S27" s="31">
        <f t="shared" si="5"/>
        <v>0.12</v>
      </c>
      <c r="T27" s="154">
        <f t="shared" si="2"/>
        <v>11754.400000000001</v>
      </c>
      <c r="U27" s="154">
        <f t="shared" si="35"/>
        <v>13164.928000000004</v>
      </c>
      <c r="V27" s="154">
        <f t="shared" si="36"/>
        <v>14744.719360000005</v>
      </c>
      <c r="W27" s="154">
        <f t="shared" si="37"/>
        <v>16514.085683200006</v>
      </c>
      <c r="X27" s="154">
        <f t="shared" si="38"/>
        <v>18495.77596518401</v>
      </c>
      <c r="Y27" s="154">
        <f t="shared" si="39"/>
        <v>20715.269081006092</v>
      </c>
      <c r="Z27" s="154">
        <f t="shared" si="40"/>
        <v>23201.101370726825</v>
      </c>
      <c r="AA27" s="154">
        <f t="shared" si="41"/>
        <v>25985.233535214047</v>
      </c>
      <c r="AB27" s="154">
        <f t="shared" si="42"/>
        <v>29103.461559439736</v>
      </c>
      <c r="AC27" s="154">
        <f t="shared" si="43"/>
        <v>32595.876946572509</v>
      </c>
      <c r="AD27" s="138">
        <f t="shared" si="17"/>
        <v>0.14950042623972815</v>
      </c>
      <c r="AE27" s="31">
        <f t="shared" si="15"/>
        <v>0.05</v>
      </c>
      <c r="AF27" s="146">
        <f t="shared" si="1"/>
        <v>201327.47525824202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2">(G27-F27)/G27</f>
        <v>1</v>
      </c>
      <c r="H28" s="148">
        <f t="shared" si="72"/>
        <v>0.16430948419301164</v>
      </c>
      <c r="I28" s="148">
        <f t="shared" si="72"/>
        <v>0.30979041056560436</v>
      </c>
      <c r="J28" s="148">
        <f t="shared" si="72"/>
        <v>0.13765783609804408</v>
      </c>
      <c r="K28" s="148">
        <f t="shared" si="72"/>
        <v>0.14355385920271416</v>
      </c>
      <c r="L28" s="148">
        <f t="shared" si="72"/>
        <v>1.0283315844700944E-2</v>
      </c>
      <c r="M28" s="148">
        <f t="shared" si="72"/>
        <v>0.29823269513991163</v>
      </c>
      <c r="N28" s="148">
        <f t="shared" ref="N28" si="73">(N27-M27)/N27</f>
        <v>0.26539002488369579</v>
      </c>
      <c r="O28" s="148">
        <f t="shared" ref="O28" si="74">(O27-N27)/O27</f>
        <v>0.13802107619136436</v>
      </c>
      <c r="P28" s="195">
        <f t="shared" ref="P28:Q28" si="75">(P27-O27)/P27</f>
        <v>-2.1724630776560266E-2</v>
      </c>
      <c r="Q28" s="195">
        <f t="shared" si="75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324</v>
      </c>
      <c r="C29" s="149"/>
      <c r="D29" s="149"/>
      <c r="E29" s="150"/>
      <c r="F29" s="147"/>
      <c r="G29" s="147">
        <v>40</v>
      </c>
      <c r="H29" s="147">
        <v>32</v>
      </c>
      <c r="I29" s="147">
        <v>50</v>
      </c>
      <c r="J29" s="147">
        <v>50</v>
      </c>
      <c r="K29" s="147">
        <v>66</v>
      </c>
      <c r="L29" s="147">
        <v>69</v>
      </c>
      <c r="M29" s="147">
        <v>63</v>
      </c>
      <c r="N29" s="147">
        <v>93</v>
      </c>
      <c r="O29" s="147">
        <v>159</v>
      </c>
      <c r="P29" s="193">
        <v>196</v>
      </c>
      <c r="Q29" s="193">
        <f>P29</f>
        <v>196</v>
      </c>
      <c r="R29" s="118">
        <f>((Q29/G29)^(1/($H$2-$H$1) ))-1</f>
        <v>0.17224829030287236</v>
      </c>
      <c r="S29" s="31">
        <f t="shared" si="5"/>
        <v>0.12</v>
      </c>
      <c r="T29" s="154">
        <f t="shared" si="2"/>
        <v>219.52</v>
      </c>
      <c r="U29" s="154">
        <f t="shared" ref="U29" si="76">T29*(1+$S29)</f>
        <v>245.86240000000004</v>
      </c>
      <c r="V29" s="154">
        <f t="shared" ref="V29" si="77">U29*(1+$S29)</f>
        <v>275.36588800000004</v>
      </c>
      <c r="W29" s="154">
        <f t="shared" ref="W29" si="78">V29*(1+$S29)</f>
        <v>308.40979456000008</v>
      </c>
      <c r="X29" s="154">
        <f t="shared" ref="X29" si="79">W29*(1+$S29)</f>
        <v>345.41896990720011</v>
      </c>
      <c r="Y29" s="154">
        <f t="shared" ref="Y29" si="80">X29*(1+$S29)</f>
        <v>386.86924629606415</v>
      </c>
      <c r="Z29" s="154">
        <f t="shared" ref="Z29" si="81">Y29*(1+$S29)</f>
        <v>433.29355585159186</v>
      </c>
      <c r="AA29" s="154">
        <f t="shared" ref="AA29" si="82">Z29*(1+$S29)</f>
        <v>485.28878255378294</v>
      </c>
      <c r="AB29" s="154">
        <f t="shared" ref="AB29" si="83">AA29*(1+$S29)</f>
        <v>543.52343646023689</v>
      </c>
      <c r="AC29" s="154">
        <f t="shared" ref="AC29" si="84">AB29*(1+$S29)</f>
        <v>608.74624883546539</v>
      </c>
      <c r="AD29" s="138">
        <f t="shared" ref="AD29" si="85">((AC29/G29)^(1/($AC$3-$H$1) ))-1</f>
        <v>0.14582637652447894</v>
      </c>
      <c r="AE29" s="31">
        <f t="shared" si="15"/>
        <v>0.05</v>
      </c>
      <c r="AF29" s="146">
        <f t="shared" ref="AF29" si="86">(AC29*(1+AE29))/($C$1-AE29)</f>
        <v>3759.9033016308163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7">(G29-F29)/G29</f>
        <v>1</v>
      </c>
      <c r="H30" s="148">
        <f t="shared" si="87"/>
        <v>-0.25</v>
      </c>
      <c r="I30" s="148">
        <f t="shared" si="87"/>
        <v>0.36</v>
      </c>
      <c r="J30" s="148">
        <f t="shared" si="87"/>
        <v>0</v>
      </c>
      <c r="K30" s="148">
        <f t="shared" si="87"/>
        <v>0.24242424242424243</v>
      </c>
      <c r="L30" s="148">
        <f t="shared" si="87"/>
        <v>4.3478260869565216E-2</v>
      </c>
      <c r="M30" s="148">
        <f t="shared" ref="M30" si="88">(M29-L29)/M29</f>
        <v>-9.5238095238095233E-2</v>
      </c>
      <c r="N30" s="148">
        <f t="shared" ref="N30" si="89">(N29-M29)/N29</f>
        <v>0.32258064516129031</v>
      </c>
      <c r="O30" s="148">
        <f t="shared" ref="O30" si="90">(O29-N29)/O29</f>
        <v>0.41509433962264153</v>
      </c>
      <c r="P30" s="195">
        <f t="shared" ref="P30:Q30" si="91">(P29-O29)/P29</f>
        <v>0.18877551020408162</v>
      </c>
      <c r="Q30" s="195">
        <f t="shared" si="91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93"/>
      <c r="Q31" s="193"/>
      <c r="R31" s="118" t="e">
        <f>((Q31/G31)^(1/($H$2-$H$1) ))-1</f>
        <v>#DIV/0!</v>
      </c>
      <c r="S31" s="31">
        <f t="shared" si="5"/>
        <v>0.12</v>
      </c>
      <c r="T31" s="154">
        <f t="shared" si="2"/>
        <v>0</v>
      </c>
      <c r="U31" s="154">
        <f>T31*(1+$S31)</f>
        <v>0</v>
      </c>
      <c r="V31" s="154">
        <f t="shared" ref="V31:AC32" si="92">U31*(1+$S31)</f>
        <v>0</v>
      </c>
      <c r="W31" s="154">
        <f t="shared" si="92"/>
        <v>0</v>
      </c>
      <c r="X31" s="154">
        <f t="shared" si="92"/>
        <v>0</v>
      </c>
      <c r="Y31" s="154">
        <f t="shared" si="92"/>
        <v>0</v>
      </c>
      <c r="Z31" s="154">
        <f t="shared" si="92"/>
        <v>0</v>
      </c>
      <c r="AA31" s="154">
        <f t="shared" si="92"/>
        <v>0</v>
      </c>
      <c r="AB31" s="154">
        <f t="shared" si="92"/>
        <v>0</v>
      </c>
      <c r="AC31" s="154">
        <f t="shared" si="92"/>
        <v>0</v>
      </c>
      <c r="AD31" s="138" t="e">
        <f t="shared" ref="AD31" si="93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93"/>
      <c r="Q32" s="193"/>
      <c r="R32" s="118" t="e">
        <f>((Q32/G32)^(1/($H$2-$H$1) ))-1</f>
        <v>#DIV/0!</v>
      </c>
      <c r="S32" s="31">
        <f t="shared" si="5"/>
        <v>0.12</v>
      </c>
      <c r="T32" s="154">
        <f t="shared" si="2"/>
        <v>0</v>
      </c>
      <c r="U32" s="154">
        <f>T32*(1+$S32)</f>
        <v>0</v>
      </c>
      <c r="V32" s="154">
        <f t="shared" si="92"/>
        <v>0</v>
      </c>
      <c r="W32" s="154">
        <f t="shared" si="92"/>
        <v>0</v>
      </c>
      <c r="X32" s="154">
        <f t="shared" si="92"/>
        <v>0</v>
      </c>
      <c r="Y32" s="154">
        <f t="shared" si="92"/>
        <v>0</v>
      </c>
      <c r="Z32" s="154">
        <f t="shared" si="92"/>
        <v>0</v>
      </c>
      <c r="AA32" s="154">
        <f t="shared" si="92"/>
        <v>0</v>
      </c>
      <c r="AB32" s="154">
        <f t="shared" si="92"/>
        <v>0</v>
      </c>
      <c r="AC32" s="154">
        <f t="shared" si="92"/>
        <v>0</v>
      </c>
      <c r="AD32" s="138" t="e">
        <f t="shared" ref="AD32" si="94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316</v>
      </c>
      <c r="C33" s="141"/>
      <c r="D33" s="141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93"/>
      <c r="Q33" s="193"/>
      <c r="R33" s="118" t="e">
        <f>((Q33/G33)^(1/($H$2-$H$1) ))-1</f>
        <v>#DIV/0!</v>
      </c>
      <c r="S33" s="31">
        <f t="shared" si="5"/>
        <v>0.12</v>
      </c>
      <c r="T33" s="154">
        <f t="shared" si="2"/>
        <v>0</v>
      </c>
      <c r="U33" s="154">
        <f t="shared" si="35"/>
        <v>0</v>
      </c>
      <c r="V33" s="154">
        <f t="shared" si="36"/>
        <v>0</v>
      </c>
      <c r="W33" s="154">
        <f t="shared" si="37"/>
        <v>0</v>
      </c>
      <c r="X33" s="154">
        <f t="shared" si="38"/>
        <v>0</v>
      </c>
      <c r="Y33" s="154">
        <f t="shared" si="39"/>
        <v>0</v>
      </c>
      <c r="Z33" s="154">
        <f t="shared" si="40"/>
        <v>0</v>
      </c>
      <c r="AA33" s="154">
        <f t="shared" si="41"/>
        <v>0</v>
      </c>
      <c r="AB33" s="154">
        <f t="shared" si="42"/>
        <v>0</v>
      </c>
      <c r="AC33" s="154">
        <f t="shared" si="43"/>
        <v>0</v>
      </c>
      <c r="AD33" s="138" t="e">
        <f t="shared" si="17"/>
        <v>#DIV/0!</v>
      </c>
      <c r="AE33" s="31">
        <f t="shared" si="15"/>
        <v>0.05</v>
      </c>
      <c r="AF33" s="146">
        <f t="shared" si="1"/>
        <v>0</v>
      </c>
    </row>
    <row r="34" spans="2:32" x14ac:dyDescent="0.2">
      <c r="B34" s="20" t="s">
        <v>308</v>
      </c>
      <c r="C34" s="141"/>
      <c r="D34" s="141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93"/>
      <c r="Q34" s="193"/>
      <c r="R34" s="118" t="e">
        <f>((Q34/G34)^(1/($H$2-$H$1) ))-1</f>
        <v>#DIV/0!</v>
      </c>
      <c r="S34" s="31">
        <f t="shared" si="5"/>
        <v>0.12</v>
      </c>
      <c r="T34" s="154">
        <f t="shared" si="2"/>
        <v>0</v>
      </c>
      <c r="U34" s="154">
        <f t="shared" si="35"/>
        <v>0</v>
      </c>
      <c r="V34" s="154">
        <f t="shared" si="36"/>
        <v>0</v>
      </c>
      <c r="W34" s="154">
        <f t="shared" si="37"/>
        <v>0</v>
      </c>
      <c r="X34" s="154">
        <f t="shared" si="38"/>
        <v>0</v>
      </c>
      <c r="Y34" s="154">
        <f t="shared" si="39"/>
        <v>0</v>
      </c>
      <c r="Z34" s="154">
        <f t="shared" si="40"/>
        <v>0</v>
      </c>
      <c r="AA34" s="154">
        <f t="shared" si="41"/>
        <v>0</v>
      </c>
      <c r="AB34" s="154">
        <f t="shared" si="42"/>
        <v>0</v>
      </c>
      <c r="AC34" s="154">
        <f t="shared" si="43"/>
        <v>0</v>
      </c>
      <c r="AD34" s="138" t="e">
        <f t="shared" si="17"/>
        <v>#DIV/0!</v>
      </c>
      <c r="AE34" s="31">
        <f t="shared" si="15"/>
        <v>0.05</v>
      </c>
      <c r="AF34" s="146">
        <f t="shared" si="1"/>
        <v>0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93"/>
      <c r="Q35" s="19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220</v>
      </c>
      <c r="H36" s="147">
        <v>200</v>
      </c>
      <c r="I36" s="147">
        <v>241</v>
      </c>
      <c r="J36" s="147">
        <v>437</v>
      </c>
      <c r="K36" s="147">
        <v>438</v>
      </c>
      <c r="L36" s="147">
        <v>704</v>
      </c>
      <c r="M36" s="147">
        <v>835</v>
      </c>
      <c r="N36" s="147">
        <v>814</v>
      </c>
      <c r="O36" s="147">
        <v>1272</v>
      </c>
      <c r="P36" s="193">
        <v>1780</v>
      </c>
      <c r="Q36" s="193">
        <f>P36</f>
        <v>1780</v>
      </c>
      <c r="R36" s="118">
        <f>((Q36/G36)^(1/($H$2-$H$1) ))-1</f>
        <v>0.23253633803572948</v>
      </c>
      <c r="S36" s="31">
        <f t="shared" si="5"/>
        <v>0.12</v>
      </c>
      <c r="T36" s="154">
        <f t="shared" si="2"/>
        <v>1993.6000000000001</v>
      </c>
      <c r="U36" s="154">
        <f t="shared" ref="U36" si="95">T36*(1+$S36)</f>
        <v>2232.8320000000003</v>
      </c>
      <c r="V36" s="154">
        <f t="shared" ref="V36" si="96">U36*(1+$S36)</f>
        <v>2500.7718400000008</v>
      </c>
      <c r="W36" s="154">
        <f t="shared" ref="W36" si="97">V36*(1+$S36)</f>
        <v>2800.8644608000013</v>
      </c>
      <c r="X36" s="154">
        <f t="shared" si="38"/>
        <v>3136.968196096002</v>
      </c>
      <c r="Y36" s="154">
        <f t="shared" si="39"/>
        <v>3513.4043796275228</v>
      </c>
      <c r="Z36" s="154">
        <f t="shared" si="40"/>
        <v>3935.0129051828258</v>
      </c>
      <c r="AA36" s="154">
        <f t="shared" si="41"/>
        <v>4407.2144538047651</v>
      </c>
      <c r="AB36" s="154">
        <f t="shared" si="42"/>
        <v>4936.0801882613378</v>
      </c>
      <c r="AC36" s="154">
        <f t="shared" si="43"/>
        <v>5528.4098108526987</v>
      </c>
      <c r="AD36" s="138">
        <f t="shared" si="17"/>
        <v>0.17492157125487195</v>
      </c>
      <c r="AE36" s="31">
        <f t="shared" si="15"/>
        <v>0.05</v>
      </c>
      <c r="AF36" s="146">
        <f t="shared" si="1"/>
        <v>34146.060596443145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8">(G36-F36)/G36</f>
        <v>1</v>
      </c>
      <c r="H37" s="148">
        <f t="shared" ref="H37" si="99">(H36-G36)/H36</f>
        <v>-0.1</v>
      </c>
      <c r="I37" s="148">
        <f t="shared" ref="I37" si="100">(I36-H36)/I36</f>
        <v>0.17012448132780084</v>
      </c>
      <c r="J37" s="148">
        <f t="shared" ref="J37" si="101">(J36-I36)/J36</f>
        <v>0.44851258581235698</v>
      </c>
      <c r="K37" s="148">
        <f t="shared" ref="K37" si="102">(K36-J36)/K36</f>
        <v>2.2831050228310501E-3</v>
      </c>
      <c r="L37" s="148">
        <f t="shared" ref="L37" si="103">(L36-K36)/L36</f>
        <v>0.37784090909090912</v>
      </c>
      <c r="M37" s="148">
        <f t="shared" ref="M37" si="104">(M36-L36)/M36</f>
        <v>0.15688622754491019</v>
      </c>
      <c r="N37" s="148">
        <f t="shared" ref="N37" si="105">(N36-M36)/N36</f>
        <v>-2.5798525798525797E-2</v>
      </c>
      <c r="O37" s="148">
        <f t="shared" ref="O37" si="106">(O36-N36)/O36</f>
        <v>0.36006289308176098</v>
      </c>
      <c r="P37" s="195">
        <f t="shared" ref="P37:Q37" si="107">(P36-O36)/P36</f>
        <v>0.28539325842696628</v>
      </c>
      <c r="Q37" s="195">
        <f t="shared" si="107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401</v>
      </c>
      <c r="C38" s="149"/>
      <c r="D38" s="149"/>
      <c r="E38" s="150"/>
      <c r="F38" s="150"/>
      <c r="G38" s="147">
        <v>168</v>
      </c>
      <c r="H38" s="147">
        <v>44</v>
      </c>
      <c r="I38" s="147">
        <v>99</v>
      </c>
      <c r="J38" s="147">
        <v>259</v>
      </c>
      <c r="K38" s="147">
        <v>199</v>
      </c>
      <c r="L38" s="147">
        <v>396</v>
      </c>
      <c r="M38" s="147">
        <v>536</v>
      </c>
      <c r="N38" s="147">
        <v>893</v>
      </c>
      <c r="O38" s="147">
        <v>843</v>
      </c>
      <c r="P38" s="193">
        <v>1235</v>
      </c>
      <c r="Q38" s="193">
        <f>P38</f>
        <v>1235</v>
      </c>
      <c r="R38" s="118">
        <f>((Q38/G38)^(1/($H$2-$H$1) ))-1</f>
        <v>0.22077539553402969</v>
      </c>
      <c r="S38" s="31">
        <f t="shared" si="5"/>
        <v>0.12</v>
      </c>
      <c r="T38" s="154">
        <f t="shared" si="2"/>
        <v>1383.2</v>
      </c>
      <c r="U38" s="154">
        <f t="shared" ref="U38" si="108">T38*(1+$S38)</f>
        <v>1549.1840000000002</v>
      </c>
      <c r="V38" s="154">
        <f t="shared" ref="V38" si="109">U38*(1+$S38)</f>
        <v>1735.0860800000005</v>
      </c>
      <c r="W38" s="154">
        <f t="shared" ref="W38" si="110">V38*(1+$S38)</f>
        <v>1943.2964096000007</v>
      </c>
      <c r="X38" s="154">
        <f t="shared" ref="X38" si="111">W38*(1+$S38)</f>
        <v>2176.4919787520012</v>
      </c>
      <c r="Y38" s="154">
        <f t="shared" ref="Y38" si="112">X38*(1+$S38)</f>
        <v>2437.6710162022414</v>
      </c>
      <c r="Z38" s="154">
        <f t="shared" ref="Z38" si="113">Y38*(1+$S38)</f>
        <v>2730.1915381465105</v>
      </c>
      <c r="AA38" s="154">
        <f t="shared" ref="AA38" si="114">Z38*(1+$S38)</f>
        <v>3057.8145227240921</v>
      </c>
      <c r="AB38" s="154">
        <f t="shared" ref="AB38" si="115">AA38*(1+$S38)</f>
        <v>3424.7522654509835</v>
      </c>
      <c r="AC38" s="154">
        <f t="shared" ref="AC38" si="116">AB38*(1+$S38)</f>
        <v>3835.7225373051019</v>
      </c>
      <c r="AD38" s="138">
        <f t="shared" ref="AD38" si="117">((AC38/G38)^(1/($AC$3-$H$1) ))-1</f>
        <v>0.16930254553648916</v>
      </c>
      <c r="AE38" s="31">
        <f t="shared" si="15"/>
        <v>0.05</v>
      </c>
      <c r="AF38" s="146">
        <f t="shared" ref="AF38" si="118">(AC38*(1+AE38))/($C$1-AE38)</f>
        <v>23691.227436296223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9">(G38-F38)/G38</f>
        <v>1</v>
      </c>
      <c r="H39" s="148">
        <f t="shared" ref="H39" si="120">(H38-G38)/H38</f>
        <v>-2.8181818181818183</v>
      </c>
      <c r="I39" s="148">
        <f t="shared" ref="I39" si="121">(I38-H38)/I38</f>
        <v>0.55555555555555558</v>
      </c>
      <c r="J39" s="148">
        <f t="shared" ref="J39" si="122">(J38-I38)/J38</f>
        <v>0.61776061776061775</v>
      </c>
      <c r="K39" s="148">
        <f t="shared" ref="K39" si="123">(K38-J38)/K38</f>
        <v>-0.30150753768844218</v>
      </c>
      <c r="L39" s="148">
        <f t="shared" ref="L39" si="124">(L38-K38)/L38</f>
        <v>0.49747474747474746</v>
      </c>
      <c r="M39" s="148">
        <f t="shared" ref="M39" si="125">(M38-L38)/M38</f>
        <v>0.26119402985074625</v>
      </c>
      <c r="N39" s="148">
        <f t="shared" ref="N39" si="126">(N38-M38)/N38</f>
        <v>0.39977603583426652</v>
      </c>
      <c r="O39" s="148">
        <f t="shared" ref="O39" si="127">(O38-N38)/O38</f>
        <v>-5.9311981020166077E-2</v>
      </c>
      <c r="P39" s="195">
        <f t="shared" ref="P39:Q39" si="128">(P38-O38)/P38</f>
        <v>0.3174089068825911</v>
      </c>
      <c r="Q39" s="195">
        <f t="shared" si="128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402</v>
      </c>
      <c r="C40" s="141"/>
      <c r="D40" s="141"/>
      <c r="E40" s="147"/>
      <c r="F40" s="147"/>
      <c r="G40" s="147">
        <v>118</v>
      </c>
      <c r="H40" s="147">
        <v>29</v>
      </c>
      <c r="I40" s="147">
        <v>79</v>
      </c>
      <c r="J40" s="147">
        <v>170</v>
      </c>
      <c r="K40" s="147">
        <v>143</v>
      </c>
      <c r="L40" s="147">
        <v>251</v>
      </c>
      <c r="M40" s="147">
        <v>357</v>
      </c>
      <c r="N40" s="147">
        <v>619</v>
      </c>
      <c r="O40" s="147">
        <v>580</v>
      </c>
      <c r="P40" s="193">
        <v>808</v>
      </c>
      <c r="Q40" s="193">
        <f>P40</f>
        <v>808</v>
      </c>
      <c r="R40" s="118">
        <f>((Q40/G40)^(1/($H$2-$H$1) ))-1</f>
        <v>0.21214042531358901</v>
      </c>
      <c r="S40" s="31">
        <f t="shared" si="5"/>
        <v>0.12</v>
      </c>
      <c r="T40" s="154">
        <f t="shared" si="2"/>
        <v>904.96</v>
      </c>
      <c r="U40" s="154">
        <f t="shared" ref="U40:AC40" si="129">T40*(1+$S40)</f>
        <v>1013.5552000000001</v>
      </c>
      <c r="V40" s="154">
        <f t="shared" si="129"/>
        <v>1135.1818240000002</v>
      </c>
      <c r="W40" s="154">
        <f t="shared" si="129"/>
        <v>1271.4036428800005</v>
      </c>
      <c r="X40" s="154">
        <f t="shared" si="129"/>
        <v>1423.9720800256007</v>
      </c>
      <c r="Y40" s="154">
        <f t="shared" si="129"/>
        <v>1594.848729628673</v>
      </c>
      <c r="Z40" s="154">
        <f t="shared" si="129"/>
        <v>1786.2305771841141</v>
      </c>
      <c r="AA40" s="154">
        <f t="shared" si="129"/>
        <v>2000.5782464462079</v>
      </c>
      <c r="AB40" s="154">
        <f t="shared" si="129"/>
        <v>2240.647636019753</v>
      </c>
      <c r="AC40" s="154">
        <f t="shared" si="129"/>
        <v>2509.5253523421238</v>
      </c>
      <c r="AD40" s="138">
        <f t="shared" si="17"/>
        <v>0.1651597643032563</v>
      </c>
      <c r="AE40" s="31">
        <f t="shared" si="15"/>
        <v>0.05</v>
      </c>
      <c r="AF40" s="146">
        <f t="shared" si="1"/>
        <v>15500.009529171943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30">(H40-G40)/H40</f>
        <v>-3.0689655172413794</v>
      </c>
      <c r="I41" s="148">
        <f t="shared" si="130"/>
        <v>0.63291139240506333</v>
      </c>
      <c r="J41" s="148">
        <f t="shared" si="130"/>
        <v>0.53529411764705881</v>
      </c>
      <c r="K41" s="148">
        <f t="shared" si="130"/>
        <v>-0.1888111888111888</v>
      </c>
      <c r="L41" s="148">
        <f t="shared" si="130"/>
        <v>0.4302788844621514</v>
      </c>
      <c r="M41" s="148">
        <f t="shared" si="130"/>
        <v>0.2969187675070028</v>
      </c>
      <c r="N41" s="148">
        <f t="shared" si="130"/>
        <v>0.42326332794830374</v>
      </c>
      <c r="O41" s="148">
        <f t="shared" si="130"/>
        <v>-6.7241379310344823E-2</v>
      </c>
      <c r="P41" s="195">
        <f t="shared" si="130"/>
        <v>0.28217821782178215</v>
      </c>
      <c r="Q41" s="195">
        <f t="shared" si="130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0.42</v>
      </c>
      <c r="H42" s="145">
        <v>0.42</v>
      </c>
      <c r="I42" s="145">
        <v>0.42</v>
      </c>
      <c r="J42" s="145">
        <v>0.42</v>
      </c>
      <c r="K42" s="145">
        <v>0.42</v>
      </c>
      <c r="L42" s="145">
        <v>0.42</v>
      </c>
      <c r="M42" s="145">
        <v>0.42</v>
      </c>
      <c r="N42" s="145">
        <v>0.42</v>
      </c>
      <c r="O42" s="145">
        <v>0.42</v>
      </c>
      <c r="P42" s="196">
        <v>0.42</v>
      </c>
      <c r="Q42" s="196">
        <v>0.42</v>
      </c>
      <c r="R42" s="118">
        <f>((Q42/G42)^(1/($H$2-$H$1) ))-1</f>
        <v>0</v>
      </c>
      <c r="S42" s="31">
        <f>P1</f>
        <v>0.05</v>
      </c>
      <c r="T42" s="154">
        <f t="shared" si="2"/>
        <v>0.441</v>
      </c>
      <c r="U42" s="154">
        <f t="shared" ref="U42:AC42" si="131">T42*(1+$S42)</f>
        <v>0.46305000000000002</v>
      </c>
      <c r="V42" s="154">
        <f t="shared" si="131"/>
        <v>0.48620250000000004</v>
      </c>
      <c r="W42" s="154">
        <f t="shared" si="131"/>
        <v>0.51051262500000005</v>
      </c>
      <c r="X42" s="154">
        <f t="shared" si="131"/>
        <v>0.53603825625000012</v>
      </c>
      <c r="Y42" s="154">
        <f t="shared" si="131"/>
        <v>0.56284016906250012</v>
      </c>
      <c r="Z42" s="154">
        <f t="shared" si="131"/>
        <v>0.5909821775156251</v>
      </c>
      <c r="AA42" s="154">
        <f t="shared" si="131"/>
        <v>0.62053128639140642</v>
      </c>
      <c r="AB42" s="154">
        <f t="shared" si="131"/>
        <v>0.65155785071097672</v>
      </c>
      <c r="AC42" s="154">
        <f t="shared" si="131"/>
        <v>0.6841357432465256</v>
      </c>
      <c r="AD42" s="138">
        <f t="shared" si="17"/>
        <v>2.4695076595959931E-2</v>
      </c>
      <c r="AE42" s="31">
        <f t="shared" si="15"/>
        <v>0.05</v>
      </c>
      <c r="AF42" s="146">
        <f t="shared" si="1"/>
        <v>4.2255442965226582</v>
      </c>
    </row>
    <row r="43" spans="2:32" x14ac:dyDescent="0.2">
      <c r="B43" s="20"/>
      <c r="C43" s="142"/>
      <c r="D43" s="142"/>
      <c r="E43" s="143"/>
      <c r="F43" s="147"/>
      <c r="G43" s="148">
        <f>(G42-F42)/G42</f>
        <v>-1.3809523809523812</v>
      </c>
      <c r="H43" s="148">
        <f t="shared" ref="H43" si="132">(H42-G42)/H42</f>
        <v>0</v>
      </c>
      <c r="I43" s="148">
        <f t="shared" ref="I43" si="133">(I42-H42)/I42</f>
        <v>0</v>
      </c>
      <c r="J43" s="148">
        <f t="shared" ref="J43" si="134">(J42-I42)/J42</f>
        <v>0</v>
      </c>
      <c r="K43" s="148">
        <f t="shared" ref="K43" si="135">(K42-J42)/K42</f>
        <v>0</v>
      </c>
      <c r="L43" s="148">
        <f t="shared" ref="L43" si="136">(L42-K42)/L42</f>
        <v>0</v>
      </c>
      <c r="M43" s="148">
        <f t="shared" ref="M43" si="137">(M42-L42)/M42</f>
        <v>0</v>
      </c>
      <c r="N43" s="148">
        <f t="shared" ref="N43" si="138">(N42-M42)/N42</f>
        <v>0</v>
      </c>
      <c r="O43" s="148">
        <f t="shared" ref="O43" si="139">(O42-N42)/O42</f>
        <v>0</v>
      </c>
      <c r="P43" s="195">
        <f t="shared" ref="P43:Q43" si="140">(P42-O42)/P42</f>
        <v>0</v>
      </c>
      <c r="Q43" s="195">
        <f t="shared" si="140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>
        <v>20</v>
      </c>
      <c r="G44" s="145">
        <v>20</v>
      </c>
      <c r="H44" s="145">
        <v>20</v>
      </c>
      <c r="I44" s="145">
        <v>20</v>
      </c>
      <c r="J44" s="145">
        <v>20</v>
      </c>
      <c r="K44" s="145">
        <v>20</v>
      </c>
      <c r="L44" s="145">
        <v>25</v>
      </c>
      <c r="M44" s="145">
        <v>50</v>
      </c>
      <c r="N44" s="145">
        <v>25</v>
      </c>
      <c r="O44" s="145">
        <v>25</v>
      </c>
      <c r="P44" s="196">
        <v>25</v>
      </c>
      <c r="Q44" s="196">
        <v>30</v>
      </c>
      <c r="R44" s="118">
        <f>((Q44/G44)^(1/($H$2-$H$1) ))-1</f>
        <v>4.1379743992410623E-2</v>
      </c>
      <c r="S44" s="31">
        <f>P1</f>
        <v>0.05</v>
      </c>
      <c r="T44" s="154">
        <f t="shared" si="2"/>
        <v>31.5</v>
      </c>
      <c r="U44" s="154">
        <f t="shared" ref="U44" si="141">T44*(1+$S44)</f>
        <v>33.075000000000003</v>
      </c>
      <c r="V44" s="154">
        <f t="shared" ref="V44" si="142">U44*(1+$S44)</f>
        <v>34.728750000000005</v>
      </c>
      <c r="W44" s="154">
        <f t="shared" ref="W44" si="143">V44*(1+$S44)</f>
        <v>36.465187500000006</v>
      </c>
      <c r="X44" s="154">
        <f t="shared" ref="X44" si="144">W44*(1+$S44)</f>
        <v>38.288446875000005</v>
      </c>
      <c r="Y44" s="154">
        <f t="shared" ref="Y44" si="145">X44*(1+$S44)</f>
        <v>40.20286921875001</v>
      </c>
      <c r="Z44" s="154">
        <f t="shared" ref="Z44" si="146">Y44*(1+$S44)</f>
        <v>42.213012679687509</v>
      </c>
      <c r="AA44" s="154">
        <f t="shared" ref="AA44" si="147">Z44*(1+$S44)</f>
        <v>44.323663313671886</v>
      </c>
      <c r="AB44" s="154">
        <f t="shared" ref="AB44" si="148">AA44*(1+$S44)</f>
        <v>46.539846479355482</v>
      </c>
      <c r="AC44" s="154">
        <f t="shared" ref="AC44" si="149">AB44*(1+$S44)</f>
        <v>48.866838803323262</v>
      </c>
      <c r="AD44" s="138">
        <f t="shared" ref="AD44" si="150">((AC44/G44)^(1/($AC$3-$H$1) ))-1</f>
        <v>4.5680989208482847E-2</v>
      </c>
      <c r="AE44" s="31">
        <f t="shared" si="15"/>
        <v>0.05</v>
      </c>
      <c r="AF44" s="146">
        <f t="shared" si="1"/>
        <v>301.82459260876135</v>
      </c>
    </row>
    <row r="45" spans="2:32" x14ac:dyDescent="0.2">
      <c r="B45" s="20" t="s">
        <v>427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>
        <v>0</v>
      </c>
      <c r="O45" s="147">
        <v>0</v>
      </c>
      <c r="P45" s="193">
        <v>0</v>
      </c>
      <c r="Q45" s="193">
        <v>0</v>
      </c>
      <c r="R45" s="128"/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425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93">
        <v>0</v>
      </c>
      <c r="Q46" s="193">
        <v>0</v>
      </c>
      <c r="R46" s="128"/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426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93">
        <v>0</v>
      </c>
      <c r="Q47" s="193">
        <v>0</v>
      </c>
      <c r="R47" s="128"/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1">C25/C42</f>
        <v>0</v>
      </c>
      <c r="D50" s="133">
        <f t="shared" si="151"/>
        <v>0</v>
      </c>
      <c r="E50" s="133">
        <f t="shared" si="151"/>
        <v>0</v>
      </c>
      <c r="F50" s="133">
        <f t="shared" si="151"/>
        <v>0</v>
      </c>
      <c r="G50" s="133">
        <f t="shared" si="151"/>
        <v>5497.6190476190477</v>
      </c>
      <c r="H50" s="133">
        <f t="shared" si="151"/>
        <v>6130.9523809523807</v>
      </c>
      <c r="I50" s="133">
        <f t="shared" si="151"/>
        <v>9002.3809523809523</v>
      </c>
      <c r="J50" s="133">
        <f t="shared" si="151"/>
        <v>10719.04761904762</v>
      </c>
      <c r="K50" s="133">
        <f t="shared" si="151"/>
        <v>12266.666666666668</v>
      </c>
      <c r="L50" s="133">
        <f t="shared" si="151"/>
        <v>13050</v>
      </c>
      <c r="M50" s="133">
        <f t="shared" si="151"/>
        <v>18216.666666666668</v>
      </c>
      <c r="N50" s="133">
        <f t="shared" si="151"/>
        <v>24945.238095238095</v>
      </c>
      <c r="O50" s="133">
        <f t="shared" si="151"/>
        <v>28635.714285714286</v>
      </c>
      <c r="P50" s="133">
        <f t="shared" si="151"/>
        <v>29285.714285714286</v>
      </c>
      <c r="Q50" s="133">
        <f t="shared" ref="Q50" si="152">Q25/Q42</f>
        <v>29285.714285714286</v>
      </c>
      <c r="R50" s="118">
        <f>((P50/G50)^(1/($H$2-$H$1) ))-1</f>
        <v>0.18208339802614004</v>
      </c>
      <c r="S50" s="128"/>
      <c r="T50" s="158">
        <f t="shared" ref="T50:AC50" si="153">T25/T42</f>
        <v>31238.09523809524</v>
      </c>
      <c r="U50" s="158">
        <f t="shared" si="153"/>
        <v>33320.634920634926</v>
      </c>
      <c r="V50" s="158">
        <f t="shared" si="153"/>
        <v>35542.010582010589</v>
      </c>
      <c r="W50" s="158">
        <f t="shared" si="153"/>
        <v>37911.477954144633</v>
      </c>
      <c r="X50" s="158">
        <f t="shared" si="153"/>
        <v>40438.909817754276</v>
      </c>
      <c r="Y50" s="158">
        <f t="shared" si="153"/>
        <v>43134.837138937903</v>
      </c>
      <c r="Z50" s="158">
        <f t="shared" si="153"/>
        <v>46010.492948200437</v>
      </c>
      <c r="AA50" s="158">
        <f t="shared" si="153"/>
        <v>49077.859144747126</v>
      </c>
      <c r="AB50" s="158">
        <f t="shared" si="153"/>
        <v>52349.716421063604</v>
      </c>
      <c r="AC50" s="158">
        <f t="shared" si="153"/>
        <v>55839.697515801177</v>
      </c>
      <c r="AD50" s="138">
        <f t="shared" ref="AD50" si="154">((AC50/G50)^(1/($AC$3-$H$1) ))-1</f>
        <v>0.12289311953299875</v>
      </c>
      <c r="AE50" s="31">
        <f t="shared" si="15"/>
        <v>0.05</v>
      </c>
      <c r="AF50" s="146">
        <f t="shared" ref="AF50:AF51" si="155">(AC50*(1+AE50))/($C$1-AE50)</f>
        <v>344892.24936230143</v>
      </c>
    </row>
    <row r="51" spans="2:32" x14ac:dyDescent="0.2">
      <c r="B51" s="20" t="s">
        <v>304</v>
      </c>
      <c r="C51" s="133">
        <f t="shared" ref="C51:P51" si="156">C27/C42</f>
        <v>0</v>
      </c>
      <c r="D51" s="133">
        <f t="shared" si="156"/>
        <v>0</v>
      </c>
      <c r="E51" s="133">
        <f t="shared" si="156"/>
        <v>0</v>
      </c>
      <c r="F51" s="133">
        <f t="shared" si="156"/>
        <v>0</v>
      </c>
      <c r="G51" s="133">
        <f t="shared" si="156"/>
        <v>4783.3333333333339</v>
      </c>
      <c r="H51" s="133">
        <f t="shared" si="156"/>
        <v>5723.8095238095239</v>
      </c>
      <c r="I51" s="133">
        <f t="shared" si="156"/>
        <v>8292.8571428571431</v>
      </c>
      <c r="J51" s="133">
        <f t="shared" si="156"/>
        <v>9616.6666666666679</v>
      </c>
      <c r="K51" s="133">
        <f t="shared" si="156"/>
        <v>11228.571428571429</v>
      </c>
      <c r="L51" s="133">
        <f t="shared" si="156"/>
        <v>11345.238095238095</v>
      </c>
      <c r="M51" s="133">
        <f t="shared" si="156"/>
        <v>16166.666666666668</v>
      </c>
      <c r="N51" s="133">
        <f t="shared" si="156"/>
        <v>22007.142857142859</v>
      </c>
      <c r="O51" s="133">
        <f t="shared" si="156"/>
        <v>25530.952380952382</v>
      </c>
      <c r="P51" s="133">
        <f t="shared" si="156"/>
        <v>24988.09523809524</v>
      </c>
      <c r="Q51" s="133">
        <f t="shared" ref="Q51" si="157">Q27/Q42</f>
        <v>24988.09523809524</v>
      </c>
      <c r="R51" s="118">
        <f>((P51/G51)^(1/($H$2-$H$1) ))-1</f>
        <v>0.17977788386188975</v>
      </c>
      <c r="S51" s="128"/>
      <c r="T51" s="158">
        <f t="shared" ref="T51:AC51" si="158">T27/T42</f>
        <v>26653.968253968258</v>
      </c>
      <c r="U51" s="158">
        <f t="shared" si="158"/>
        <v>28430.899470899476</v>
      </c>
      <c r="V51" s="158">
        <f t="shared" si="158"/>
        <v>30326.292768959443</v>
      </c>
      <c r="W51" s="158">
        <f t="shared" si="158"/>
        <v>32348.045620223405</v>
      </c>
      <c r="X51" s="158">
        <f t="shared" si="158"/>
        <v>34504.581994904969</v>
      </c>
      <c r="Y51" s="158">
        <f t="shared" si="158"/>
        <v>36804.887461231971</v>
      </c>
      <c r="Z51" s="158">
        <f t="shared" si="158"/>
        <v>39258.546625314106</v>
      </c>
      <c r="AA51" s="158">
        <f t="shared" si="158"/>
        <v>41875.783067001714</v>
      </c>
      <c r="AB51" s="158">
        <f t="shared" si="158"/>
        <v>44667.501938135167</v>
      </c>
      <c r="AC51" s="158">
        <f t="shared" si="158"/>
        <v>47645.335400677512</v>
      </c>
      <c r="AD51" s="138">
        <f t="shared" ref="AD51" si="159">((AC51/G51)^(1/($AC$3-$H$1) ))-1</f>
        <v>0.12179754982172053</v>
      </c>
      <c r="AE51" s="31">
        <f t="shared" si="15"/>
        <v>0.05</v>
      </c>
      <c r="AF51" s="146">
        <f t="shared" si="155"/>
        <v>294280.01276889053</v>
      </c>
    </row>
    <row r="52" spans="2:32" x14ac:dyDescent="0.2">
      <c r="B52" s="20" t="s">
        <v>428</v>
      </c>
      <c r="C52" s="133"/>
      <c r="D52" s="133"/>
      <c r="E52" s="133"/>
      <c r="F52" s="133"/>
      <c r="G52" s="133">
        <f>G38-G40</f>
        <v>50</v>
      </c>
      <c r="H52" s="133">
        <f t="shared" ref="H52:P52" si="160">H38-H40</f>
        <v>15</v>
      </c>
      <c r="I52" s="133">
        <f t="shared" si="160"/>
        <v>20</v>
      </c>
      <c r="J52" s="133">
        <f t="shared" si="160"/>
        <v>89</v>
      </c>
      <c r="K52" s="133">
        <f t="shared" si="160"/>
        <v>56</v>
      </c>
      <c r="L52" s="133">
        <f t="shared" si="160"/>
        <v>145</v>
      </c>
      <c r="M52" s="133">
        <f t="shared" si="160"/>
        <v>179</v>
      </c>
      <c r="N52" s="133">
        <f t="shared" si="160"/>
        <v>274</v>
      </c>
      <c r="O52" s="133">
        <f t="shared" si="160"/>
        <v>263</v>
      </c>
      <c r="P52" s="133">
        <f t="shared" si="160"/>
        <v>427</v>
      </c>
      <c r="Q52" s="133">
        <f t="shared" ref="Q52" si="161">Q38-Q40</f>
        <v>427</v>
      </c>
      <c r="R52" s="118">
        <f>((P52/G52)^(1/($H$2-$H$1) ))-1</f>
        <v>0.23921250440837349</v>
      </c>
      <c r="S52" s="128"/>
      <c r="T52" s="133">
        <f t="shared" ref="T52:AC52" si="162">T38-T40</f>
        <v>478.24</v>
      </c>
      <c r="U52" s="133">
        <f t="shared" si="162"/>
        <v>535.62880000000007</v>
      </c>
      <c r="V52" s="133">
        <f t="shared" si="162"/>
        <v>599.90425600000026</v>
      </c>
      <c r="W52" s="133">
        <f t="shared" si="162"/>
        <v>671.89276672000028</v>
      </c>
      <c r="X52" s="133">
        <f t="shared" si="162"/>
        <v>752.51989872640047</v>
      </c>
      <c r="Y52" s="133">
        <f t="shared" si="162"/>
        <v>842.82228657356836</v>
      </c>
      <c r="Z52" s="133">
        <f t="shared" si="162"/>
        <v>943.96096096239648</v>
      </c>
      <c r="AA52" s="133">
        <f t="shared" si="162"/>
        <v>1057.2362762778841</v>
      </c>
      <c r="AB52" s="133">
        <f t="shared" si="162"/>
        <v>1184.1046294312305</v>
      </c>
      <c r="AC52" s="133">
        <f t="shared" si="162"/>
        <v>1326.1971849629781</v>
      </c>
      <c r="AD52" s="138">
        <f t="shared" ref="AD52" si="163">((AC52/G52)^(1/($AC$3-$H$1) ))-1</f>
        <v>0.17809931879166219</v>
      </c>
      <c r="AE52" s="31">
        <f t="shared" si="15"/>
        <v>0.05</v>
      </c>
      <c r="AF52" s="146">
        <f t="shared" ref="AF52" si="164">(AC52*(1+AE52))/($C$1-AE52)</f>
        <v>8191.2179071242781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5">C40/C42</f>
        <v>0</v>
      </c>
      <c r="D54" s="25">
        <f t="shared" si="165"/>
        <v>0</v>
      </c>
      <c r="E54" s="25">
        <f t="shared" si="165"/>
        <v>0</v>
      </c>
      <c r="F54" s="133">
        <f t="shared" si="165"/>
        <v>0</v>
      </c>
      <c r="G54" s="133">
        <f t="shared" si="165"/>
        <v>280.95238095238096</v>
      </c>
      <c r="H54" s="133">
        <f t="shared" si="165"/>
        <v>69.047619047619051</v>
      </c>
      <c r="I54" s="133">
        <f t="shared" si="165"/>
        <v>188.0952380952381</v>
      </c>
      <c r="J54" s="133">
        <f t="shared" si="165"/>
        <v>404.76190476190476</v>
      </c>
      <c r="K54" s="133">
        <f t="shared" si="165"/>
        <v>340.47619047619048</v>
      </c>
      <c r="L54" s="133">
        <f t="shared" si="165"/>
        <v>597.61904761904759</v>
      </c>
      <c r="M54" s="133">
        <f t="shared" si="165"/>
        <v>850</v>
      </c>
      <c r="N54" s="133">
        <f t="shared" si="165"/>
        <v>1473.8095238095239</v>
      </c>
      <c r="O54" s="133">
        <f t="shared" si="165"/>
        <v>1380.952380952381</v>
      </c>
      <c r="P54" s="133">
        <f t="shared" si="165"/>
        <v>1923.8095238095239</v>
      </c>
      <c r="Q54" s="133">
        <f t="shared" ref="Q54" si="166">Q40/Q42</f>
        <v>1923.8095238095239</v>
      </c>
      <c r="R54" s="118">
        <f>((P54/G54)^(1/($H$2-$H$1) ))-1</f>
        <v>0.21214042531358901</v>
      </c>
      <c r="S54" s="128"/>
      <c r="T54" s="158">
        <f t="shared" ref="T54:AC54" si="167">T40/T42</f>
        <v>2052.063492063492</v>
      </c>
      <c r="U54" s="158">
        <f t="shared" si="167"/>
        <v>2188.867724867725</v>
      </c>
      <c r="V54" s="158">
        <f t="shared" si="167"/>
        <v>2334.7922398589067</v>
      </c>
      <c r="W54" s="158">
        <f t="shared" si="167"/>
        <v>2490.4450558495009</v>
      </c>
      <c r="X54" s="158">
        <f t="shared" si="167"/>
        <v>2656.4747262394676</v>
      </c>
      <c r="Y54" s="158">
        <f t="shared" si="167"/>
        <v>2833.5730413220995</v>
      </c>
      <c r="Z54" s="158">
        <f t="shared" si="167"/>
        <v>3022.4779107435734</v>
      </c>
      <c r="AA54" s="158">
        <f t="shared" si="167"/>
        <v>3223.9764381264781</v>
      </c>
      <c r="AB54" s="158">
        <f t="shared" si="167"/>
        <v>3438.9082006682434</v>
      </c>
      <c r="AC54" s="158">
        <f t="shared" si="167"/>
        <v>3668.1687473794605</v>
      </c>
      <c r="AD54" s="138">
        <f t="shared" ref="AD54:AD68" si="168">((AC54/G54)^(1/($AC$3-$H$1) ))-1</f>
        <v>0.13707949898024352</v>
      </c>
      <c r="AE54" s="31">
        <f t="shared" si="15"/>
        <v>0.05</v>
      </c>
      <c r="AF54" s="146">
        <f t="shared" ref="AF54:AF82" si="169">(AC54*(1+AE54))/($C$1-AE54)</f>
        <v>22656.336380873141</v>
      </c>
    </row>
    <row r="55" spans="2:32" x14ac:dyDescent="0.2">
      <c r="B55" s="20" t="s">
        <v>388</v>
      </c>
      <c r="C55" s="133">
        <f t="shared" ref="C55:F55" si="170">C20/C42</f>
        <v>0</v>
      </c>
      <c r="D55" s="133">
        <f t="shared" si="170"/>
        <v>0</v>
      </c>
      <c r="E55" s="133">
        <f t="shared" si="170"/>
        <v>0</v>
      </c>
      <c r="F55" s="133">
        <f t="shared" si="170"/>
        <v>0</v>
      </c>
      <c r="G55" s="133">
        <f>G20/G42</f>
        <v>238.0952380952381</v>
      </c>
      <c r="H55" s="133">
        <f t="shared" ref="H55:P55" si="171">H20/H42</f>
        <v>147.61904761904762</v>
      </c>
      <c r="I55" s="133">
        <f t="shared" si="171"/>
        <v>654.76190476190482</v>
      </c>
      <c r="J55" s="133">
        <f t="shared" si="171"/>
        <v>728.57142857142856</v>
      </c>
      <c r="K55" s="133">
        <f t="shared" si="171"/>
        <v>640.47619047619048</v>
      </c>
      <c r="L55" s="133">
        <f t="shared" si="171"/>
        <v>2052.3809523809523</v>
      </c>
      <c r="M55" s="133">
        <f t="shared" si="171"/>
        <v>373.8095238095238</v>
      </c>
      <c r="N55" s="133">
        <f t="shared" si="171"/>
        <v>659.52380952380952</v>
      </c>
      <c r="O55" s="133">
        <f t="shared" si="171"/>
        <v>2433.3333333333335</v>
      </c>
      <c r="P55" s="133">
        <f t="shared" si="171"/>
        <v>2433.3333333333335</v>
      </c>
      <c r="Q55" s="133">
        <f t="shared" ref="Q55" si="172">Q20/Q42</f>
        <v>2433.3333333333335</v>
      </c>
      <c r="R55" s="118">
        <f>((P55/G55)^(1/($H$2-$H$1) ))-1</f>
        <v>0.26166800435734894</v>
      </c>
      <c r="S55" s="128"/>
      <c r="T55" s="133">
        <f t="shared" ref="T55:AC55" si="173">T20/T42</f>
        <v>2595.5555555555557</v>
      </c>
      <c r="U55" s="133">
        <f t="shared" si="173"/>
        <v>2768.5925925925926</v>
      </c>
      <c r="V55" s="133">
        <f t="shared" si="173"/>
        <v>2953.1654320987659</v>
      </c>
      <c r="W55" s="133">
        <f t="shared" si="173"/>
        <v>3150.0431275720171</v>
      </c>
      <c r="X55" s="133">
        <f t="shared" si="173"/>
        <v>3360.0460027434847</v>
      </c>
      <c r="Y55" s="133">
        <f t="shared" si="173"/>
        <v>3584.0490695930512</v>
      </c>
      <c r="Z55" s="133">
        <f t="shared" si="173"/>
        <v>3822.9856742325883</v>
      </c>
      <c r="AA55" s="133">
        <f t="shared" si="173"/>
        <v>4077.8513858480942</v>
      </c>
      <c r="AB55" s="133">
        <f t="shared" si="173"/>
        <v>4349.7081449046345</v>
      </c>
      <c r="AC55" s="133">
        <f t="shared" si="173"/>
        <v>4639.6886878982777</v>
      </c>
      <c r="AD55" s="138">
        <f t="shared" ref="AD55" si="174">((AC55/G55)^(1/($AC$3-$H$1) ))-1</f>
        <v>0.16007724081107577</v>
      </c>
      <c r="AE55" s="31">
        <f t="shared" si="15"/>
        <v>0.05</v>
      </c>
      <c r="AF55" s="146">
        <f t="shared" si="169"/>
        <v>28656.900719371723</v>
      </c>
    </row>
    <row r="56" spans="2:32" x14ac:dyDescent="0.2">
      <c r="B56" s="20" t="s">
        <v>245</v>
      </c>
      <c r="C56" s="25">
        <f t="shared" ref="C56:P56" si="175">C7/C42</f>
        <v>0</v>
      </c>
      <c r="D56" s="25">
        <f t="shared" si="175"/>
        <v>0</v>
      </c>
      <c r="E56" s="25">
        <f t="shared" si="175"/>
        <v>0</v>
      </c>
      <c r="F56" s="133">
        <f t="shared" si="175"/>
        <v>0</v>
      </c>
      <c r="G56" s="133">
        <f t="shared" si="175"/>
        <v>1676.1904761904761</v>
      </c>
      <c r="H56" s="133">
        <f t="shared" si="175"/>
        <v>1721.4285714285716</v>
      </c>
      <c r="I56" s="133">
        <f t="shared" si="175"/>
        <v>1961.9047619047619</v>
      </c>
      <c r="J56" s="133">
        <f t="shared" si="175"/>
        <v>2340.4761904761904</v>
      </c>
      <c r="K56" s="133">
        <f t="shared" si="175"/>
        <v>2659.5238095238096</v>
      </c>
      <c r="L56" s="133">
        <f t="shared" si="175"/>
        <v>3226.1904761904761</v>
      </c>
      <c r="M56" s="133">
        <f t="shared" si="175"/>
        <v>4019.0476190476193</v>
      </c>
      <c r="N56" s="133">
        <f t="shared" si="175"/>
        <v>5461.9047619047624</v>
      </c>
      <c r="O56" s="133">
        <f t="shared" si="175"/>
        <v>6811.9047619047624</v>
      </c>
      <c r="P56" s="133">
        <f t="shared" si="175"/>
        <v>6811.9047619047624</v>
      </c>
      <c r="Q56" s="133">
        <f t="shared" ref="Q56" si="176">Q7/Q42</f>
        <v>6811.9047619047624</v>
      </c>
      <c r="R56" s="118">
        <f>((P56/G56)^(1/($H$2-$H$1) ))-1</f>
        <v>0.15052091995710493</v>
      </c>
      <c r="S56" s="128"/>
      <c r="T56" s="158">
        <f t="shared" ref="T56:AC56" si="177">T7/T42</f>
        <v>7266.0317460317465</v>
      </c>
      <c r="U56" s="158">
        <f t="shared" si="177"/>
        <v>7750.4338624338634</v>
      </c>
      <c r="V56" s="158">
        <f t="shared" si="177"/>
        <v>8267.129453262789</v>
      </c>
      <c r="W56" s="158">
        <f t="shared" si="177"/>
        <v>8818.2714168136426</v>
      </c>
      <c r="X56" s="158">
        <f t="shared" si="177"/>
        <v>9406.156177934552</v>
      </c>
      <c r="Y56" s="158">
        <f t="shared" si="177"/>
        <v>10033.233256463522</v>
      </c>
      <c r="Z56" s="158">
        <f t="shared" si="177"/>
        <v>10702.115473561091</v>
      </c>
      <c r="AA56" s="158">
        <f t="shared" si="177"/>
        <v>11415.589838465163</v>
      </c>
      <c r="AB56" s="158">
        <f t="shared" si="177"/>
        <v>12176.62916102951</v>
      </c>
      <c r="AC56" s="158">
        <f t="shared" si="177"/>
        <v>12988.404438431477</v>
      </c>
      <c r="AD56" s="138">
        <f t="shared" si="168"/>
        <v>0.10780066556258761</v>
      </c>
      <c r="AE56" s="31">
        <f t="shared" si="15"/>
        <v>0.05</v>
      </c>
      <c r="AF56" s="146">
        <f t="shared" si="169"/>
        <v>80222.498002076783</v>
      </c>
    </row>
    <row r="57" spans="2:32" x14ac:dyDescent="0.2">
      <c r="B57" s="20" t="s">
        <v>246</v>
      </c>
      <c r="C57" s="127">
        <f t="shared" ref="C57:P57" si="178">C6/C42</f>
        <v>0</v>
      </c>
      <c r="D57" s="127">
        <f t="shared" si="178"/>
        <v>0</v>
      </c>
      <c r="E57" s="127">
        <f t="shared" si="178"/>
        <v>0</v>
      </c>
      <c r="F57" s="144">
        <f t="shared" si="178"/>
        <v>0</v>
      </c>
      <c r="G57" s="144">
        <f t="shared" si="178"/>
        <v>1666.6666666666667</v>
      </c>
      <c r="H57" s="144">
        <f t="shared" si="178"/>
        <v>1711.9047619047619</v>
      </c>
      <c r="I57" s="144">
        <f t="shared" si="178"/>
        <v>1952.3809523809525</v>
      </c>
      <c r="J57" s="144">
        <f t="shared" si="178"/>
        <v>2330.9523809523812</v>
      </c>
      <c r="K57" s="144">
        <f t="shared" si="178"/>
        <v>2647.6190476190477</v>
      </c>
      <c r="L57" s="144">
        <f t="shared" si="178"/>
        <v>3216.666666666667</v>
      </c>
      <c r="M57" s="144">
        <f t="shared" si="178"/>
        <v>4009.5238095238096</v>
      </c>
      <c r="N57" s="144">
        <f t="shared" si="178"/>
        <v>5450</v>
      </c>
      <c r="O57" s="144">
        <f t="shared" si="178"/>
        <v>6800</v>
      </c>
      <c r="P57" s="144">
        <f t="shared" si="178"/>
        <v>6800</v>
      </c>
      <c r="Q57" s="144">
        <f t="shared" ref="Q57" si="179">Q6/Q42</f>
        <v>6800</v>
      </c>
      <c r="R57" s="118">
        <f>((P57/G57)^(1/($H$2-$H$1) ))-1</f>
        <v>0.15097533330055812</v>
      </c>
      <c r="S57" s="128"/>
      <c r="T57" s="157">
        <f t="shared" ref="T57:AC57" si="180">T6/T42</f>
        <v>7253.3333333333339</v>
      </c>
      <c r="U57" s="157">
        <f t="shared" si="180"/>
        <v>7736.8888888888896</v>
      </c>
      <c r="V57" s="157">
        <f t="shared" si="180"/>
        <v>8252.6814814814825</v>
      </c>
      <c r="W57" s="157">
        <f t="shared" si="180"/>
        <v>8802.8602469135822</v>
      </c>
      <c r="X57" s="157">
        <f t="shared" si="180"/>
        <v>9389.7175967078201</v>
      </c>
      <c r="Y57" s="157">
        <f t="shared" si="180"/>
        <v>10015.698769821674</v>
      </c>
      <c r="Z57" s="157">
        <f t="shared" si="180"/>
        <v>10683.41202114312</v>
      </c>
      <c r="AA57" s="157">
        <f t="shared" si="180"/>
        <v>11395.639489219328</v>
      </c>
      <c r="AB57" s="157">
        <f t="shared" si="180"/>
        <v>12155.348788500618</v>
      </c>
      <c r="AC57" s="157">
        <f t="shared" si="180"/>
        <v>12965.705374400661</v>
      </c>
      <c r="AD57" s="138">
        <f t="shared" si="168"/>
        <v>0.10801941417434646</v>
      </c>
      <c r="AE57" s="31">
        <f t="shared" si="15"/>
        <v>0.05</v>
      </c>
      <c r="AF57" s="146">
        <f t="shared" si="169"/>
        <v>80082.297900709978</v>
      </c>
    </row>
    <row r="58" spans="2:32" x14ac:dyDescent="0.2">
      <c r="B58" s="20" t="s">
        <v>247</v>
      </c>
      <c r="C58" s="127">
        <f t="shared" ref="C58:P58" si="181">C10/C42</f>
        <v>0</v>
      </c>
      <c r="D58" s="127">
        <f t="shared" si="181"/>
        <v>0</v>
      </c>
      <c r="E58" s="127">
        <f t="shared" si="181"/>
        <v>0</v>
      </c>
      <c r="F58" s="144">
        <f t="shared" si="181"/>
        <v>0</v>
      </c>
      <c r="G58" s="144">
        <f t="shared" si="181"/>
        <v>695.2380952380953</v>
      </c>
      <c r="H58" s="144">
        <f t="shared" si="181"/>
        <v>952.38095238095241</v>
      </c>
      <c r="I58" s="144">
        <f t="shared" si="181"/>
        <v>1285.7142857142858</v>
      </c>
      <c r="J58" s="144">
        <f t="shared" si="181"/>
        <v>1445.2380952380952</v>
      </c>
      <c r="K58" s="144">
        <f t="shared" si="181"/>
        <v>2290.4761904761904</v>
      </c>
      <c r="L58" s="144">
        <f t="shared" si="181"/>
        <v>695.2380952380953</v>
      </c>
      <c r="M58" s="144">
        <f t="shared" si="181"/>
        <v>2266.666666666667</v>
      </c>
      <c r="N58" s="144">
        <f t="shared" si="181"/>
        <v>3609.5238095238096</v>
      </c>
      <c r="O58" s="144">
        <f t="shared" si="181"/>
        <v>3883.3333333333335</v>
      </c>
      <c r="P58" s="144">
        <f t="shared" si="181"/>
        <v>3883.3333333333335</v>
      </c>
      <c r="Q58" s="144">
        <f t="shared" ref="Q58" si="182">Q10/Q42</f>
        <v>3883.3333333333335</v>
      </c>
      <c r="R58" s="118">
        <f>((P58/G58)^(1/($H$2-$H$1) ))-1</f>
        <v>0.18770096944533665</v>
      </c>
      <c r="S58" s="128"/>
      <c r="T58" s="157">
        <f t="shared" ref="T58:AC58" si="183">T10/T42</f>
        <v>4142.2222222222226</v>
      </c>
      <c r="U58" s="157">
        <f t="shared" si="183"/>
        <v>4418.3703703703713</v>
      </c>
      <c r="V58" s="157">
        <f t="shared" si="183"/>
        <v>4712.9283950617291</v>
      </c>
      <c r="W58" s="157">
        <f t="shared" si="183"/>
        <v>5027.1236213991788</v>
      </c>
      <c r="X58" s="157">
        <f t="shared" si="183"/>
        <v>5362.2651961591237</v>
      </c>
      <c r="Y58" s="157">
        <f t="shared" si="183"/>
        <v>5719.7495425697325</v>
      </c>
      <c r="Z58" s="157">
        <f t="shared" si="183"/>
        <v>6101.066178741049</v>
      </c>
      <c r="AA58" s="157">
        <f t="shared" si="183"/>
        <v>6507.8039239904519</v>
      </c>
      <c r="AB58" s="157">
        <f t="shared" si="183"/>
        <v>6941.6575189231489</v>
      </c>
      <c r="AC58" s="157">
        <f t="shared" si="183"/>
        <v>7404.4346868513603</v>
      </c>
      <c r="AD58" s="138">
        <f t="shared" si="168"/>
        <v>0.1255580989336027</v>
      </c>
      <c r="AE58" s="31">
        <f t="shared" si="15"/>
        <v>0.05</v>
      </c>
      <c r="AF58" s="146">
        <f t="shared" si="169"/>
        <v>45733.273065846639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4">(C7-C10)/C42</f>
        <v>0</v>
      </c>
      <c r="D60" s="127">
        <f t="shared" si="184"/>
        <v>0</v>
      </c>
      <c r="E60" s="127">
        <f t="shared" si="184"/>
        <v>0</v>
      </c>
      <c r="F60" s="144">
        <f t="shared" si="184"/>
        <v>0</v>
      </c>
      <c r="G60" s="144">
        <f t="shared" si="184"/>
        <v>980.95238095238096</v>
      </c>
      <c r="H60" s="144">
        <f t="shared" si="184"/>
        <v>769.04761904761904</v>
      </c>
      <c r="I60" s="144">
        <f t="shared" si="184"/>
        <v>676.19047619047626</v>
      </c>
      <c r="J60" s="144">
        <f t="shared" si="184"/>
        <v>895.2380952380953</v>
      </c>
      <c r="K60" s="144">
        <f t="shared" si="184"/>
        <v>369.04761904761904</v>
      </c>
      <c r="L60" s="144">
        <f t="shared" si="184"/>
        <v>2530.9523809523812</v>
      </c>
      <c r="M60" s="144">
        <f t="shared" si="184"/>
        <v>1752.3809523809525</v>
      </c>
      <c r="N60" s="144">
        <f t="shared" si="184"/>
        <v>1852.3809523809525</v>
      </c>
      <c r="O60" s="144">
        <f t="shared" si="184"/>
        <v>2928.5714285714289</v>
      </c>
      <c r="P60" s="144">
        <f t="shared" si="184"/>
        <v>2928.5714285714289</v>
      </c>
      <c r="Q60" s="144">
        <f t="shared" ref="Q60" si="185">(Q7-Q10)/Q42</f>
        <v>2928.5714285714289</v>
      </c>
      <c r="R60" s="118">
        <f>((P60/G60)^(1/($H$2-$H$1) ))-1</f>
        <v>0.11558017945645727</v>
      </c>
      <c r="S60" s="128"/>
      <c r="T60" s="157">
        <f t="shared" ref="T60:AC60" si="186">(T7-T10)/T42</f>
        <v>3123.8095238095234</v>
      </c>
      <c r="U60" s="157">
        <f t="shared" si="186"/>
        <v>3332.063492063492</v>
      </c>
      <c r="V60" s="157">
        <f t="shared" si="186"/>
        <v>3554.2010582010589</v>
      </c>
      <c r="W60" s="157">
        <f t="shared" si="186"/>
        <v>3791.147795414463</v>
      </c>
      <c r="X60" s="157">
        <f t="shared" si="186"/>
        <v>4043.8909817754279</v>
      </c>
      <c r="Y60" s="157">
        <f t="shared" si="186"/>
        <v>4313.4837138937901</v>
      </c>
      <c r="Z60" s="157">
        <f t="shared" si="186"/>
        <v>4601.0492948200426</v>
      </c>
      <c r="AA60" s="157">
        <f t="shared" si="186"/>
        <v>4907.7859144747117</v>
      </c>
      <c r="AB60" s="157">
        <f t="shared" si="186"/>
        <v>5234.9716421063604</v>
      </c>
      <c r="AC60" s="157">
        <f t="shared" si="186"/>
        <v>5583.9697515801163</v>
      </c>
      <c r="AD60" s="138">
        <f t="shared" si="168"/>
        <v>9.0849298216862495E-2</v>
      </c>
      <c r="AE60" s="31">
        <f t="shared" si="15"/>
        <v>0.05</v>
      </c>
      <c r="AF60" s="146">
        <f t="shared" si="169"/>
        <v>34489.22493623013</v>
      </c>
    </row>
    <row r="61" spans="2:32" x14ac:dyDescent="0.2">
      <c r="B61" s="20" t="s">
        <v>271</v>
      </c>
      <c r="C61" s="127">
        <f t="shared" ref="C61:P61" si="187">(C7-C10-C9)/C42</f>
        <v>0</v>
      </c>
      <c r="D61" s="127">
        <f t="shared" si="187"/>
        <v>0</v>
      </c>
      <c r="E61" s="127">
        <f t="shared" si="187"/>
        <v>0</v>
      </c>
      <c r="F61" s="144">
        <f t="shared" si="187"/>
        <v>0</v>
      </c>
      <c r="G61" s="144">
        <f t="shared" si="187"/>
        <v>-114.28571428571429</v>
      </c>
      <c r="H61" s="144">
        <f t="shared" si="187"/>
        <v>-330.95238095238096</v>
      </c>
      <c r="I61" s="144">
        <f t="shared" si="187"/>
        <v>-919.04761904761904</v>
      </c>
      <c r="J61" s="144">
        <f t="shared" si="187"/>
        <v>-878.57142857142856</v>
      </c>
      <c r="K61" s="144">
        <f t="shared" si="187"/>
        <v>-2090.4761904761904</v>
      </c>
      <c r="L61" s="144">
        <f t="shared" si="187"/>
        <v>228.57142857142858</v>
      </c>
      <c r="M61" s="144">
        <f t="shared" si="187"/>
        <v>-1109.5238095238096</v>
      </c>
      <c r="N61" s="144">
        <f t="shared" si="187"/>
        <v>-3666.666666666667</v>
      </c>
      <c r="O61" s="144">
        <f t="shared" si="187"/>
        <v>-3021.4285714285716</v>
      </c>
      <c r="P61" s="144">
        <f t="shared" si="187"/>
        <v>-3021.4285714285716</v>
      </c>
      <c r="Q61" s="144">
        <f t="shared" ref="Q61" si="188">(Q7-Q10-Q9)/Q42</f>
        <v>-3021.4285714285716</v>
      </c>
      <c r="R61" s="118">
        <f>((P61/G61)^(1/($H$2-$H$1) ))-1</f>
        <v>0.38746500636233705</v>
      </c>
      <c r="S61" s="128"/>
      <c r="T61" s="157">
        <f t="shared" ref="T61:AC61" si="189">(T7-T10-T9)/T42</f>
        <v>-3222.8571428571431</v>
      </c>
      <c r="U61" s="157">
        <f t="shared" si="189"/>
        <v>-3437.7142857142858</v>
      </c>
      <c r="V61" s="157">
        <f t="shared" si="189"/>
        <v>-3666.8952380952383</v>
      </c>
      <c r="W61" s="157">
        <f t="shared" si="189"/>
        <v>-3911.3549206349212</v>
      </c>
      <c r="X61" s="157">
        <f t="shared" si="189"/>
        <v>-4172.111915343914</v>
      </c>
      <c r="Y61" s="157">
        <f t="shared" si="189"/>
        <v>-4450.2527097001757</v>
      </c>
      <c r="Z61" s="157">
        <f t="shared" si="189"/>
        <v>-4746.936223680189</v>
      </c>
      <c r="AA61" s="157">
        <f t="shared" si="189"/>
        <v>-5063.3986385922017</v>
      </c>
      <c r="AB61" s="157">
        <f t="shared" si="189"/>
        <v>-5400.9585478316822</v>
      </c>
      <c r="AC61" s="157">
        <f t="shared" si="189"/>
        <v>-5761.0224510204634</v>
      </c>
      <c r="AD61" s="138">
        <f t="shared" si="168"/>
        <v>0.21653716484666408</v>
      </c>
      <c r="AE61" s="31">
        <f t="shared" si="15"/>
        <v>0.05</v>
      </c>
      <c r="AF61" s="146">
        <f t="shared" si="169"/>
        <v>-35582.785726891103</v>
      </c>
    </row>
    <row r="62" spans="2:32" x14ac:dyDescent="0.2">
      <c r="B62" s="20" t="s">
        <v>276</v>
      </c>
      <c r="C62" s="127">
        <f t="shared" ref="C62:P62" si="190">(C7+C15-C10-C9)/C42</f>
        <v>0</v>
      </c>
      <c r="D62" s="127">
        <f t="shared" si="190"/>
        <v>0</v>
      </c>
      <c r="E62" s="127">
        <f t="shared" si="190"/>
        <v>0</v>
      </c>
      <c r="F62" s="144">
        <f t="shared" si="190"/>
        <v>0</v>
      </c>
      <c r="G62" s="144">
        <f t="shared" si="190"/>
        <v>1883.3333333333335</v>
      </c>
      <c r="H62" s="144">
        <f t="shared" si="190"/>
        <v>1852.3809523809525</v>
      </c>
      <c r="I62" s="144">
        <f t="shared" si="190"/>
        <v>1838.0952380952381</v>
      </c>
      <c r="J62" s="144">
        <f t="shared" si="190"/>
        <v>2261.9047619047619</v>
      </c>
      <c r="K62" s="144">
        <f t="shared" si="190"/>
        <v>1945.2380952380954</v>
      </c>
      <c r="L62" s="144">
        <f t="shared" si="190"/>
        <v>3297.6190476190477</v>
      </c>
      <c r="M62" s="144">
        <f t="shared" si="190"/>
        <v>3585.7142857142858</v>
      </c>
      <c r="N62" s="144">
        <f t="shared" si="190"/>
        <v>3207.1428571428573</v>
      </c>
      <c r="O62" s="144">
        <f t="shared" si="190"/>
        <v>4557.1428571428569</v>
      </c>
      <c r="P62" s="144">
        <f t="shared" si="190"/>
        <v>4557.1428571428569</v>
      </c>
      <c r="Q62" s="144">
        <f t="shared" ref="Q62" si="191">(Q7+Q15-Q10-Q9)/Q42</f>
        <v>4557.1428571428569</v>
      </c>
      <c r="R62" s="118">
        <f>((P62/G62)^(1/($H$2-$H$1) ))-1</f>
        <v>9.2387054925989753E-2</v>
      </c>
      <c r="S62" s="128"/>
      <c r="T62" s="157">
        <f t="shared" ref="T62:AC62" si="192">(T7+T15-T10-T9)/T42</f>
        <v>4860.9523809523816</v>
      </c>
      <c r="U62" s="157">
        <f t="shared" si="192"/>
        <v>5185.0158730158764</v>
      </c>
      <c r="V62" s="157">
        <f t="shared" si="192"/>
        <v>5530.6835978836007</v>
      </c>
      <c r="W62" s="157">
        <f t="shared" si="192"/>
        <v>5899.3958377425079</v>
      </c>
      <c r="X62" s="157">
        <f t="shared" si="192"/>
        <v>6292.6888935920088</v>
      </c>
      <c r="Y62" s="157">
        <f t="shared" si="192"/>
        <v>6712.2014864981429</v>
      </c>
      <c r="Z62" s="157">
        <f t="shared" si="192"/>
        <v>7159.6815855980185</v>
      </c>
      <c r="AA62" s="157">
        <f t="shared" si="192"/>
        <v>7636.9936913045531</v>
      </c>
      <c r="AB62" s="157">
        <f t="shared" si="192"/>
        <v>8146.126604058195</v>
      </c>
      <c r="AC62" s="157">
        <f t="shared" si="192"/>
        <v>8689.2017109954049</v>
      </c>
      <c r="AD62" s="138">
        <f t="shared" si="168"/>
        <v>7.9450257579163575E-2</v>
      </c>
      <c r="AE62" s="31">
        <f t="shared" si="15"/>
        <v>0.05</v>
      </c>
      <c r="AF62" s="146">
        <f t="shared" si="169"/>
        <v>53668.598803206914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3">C12/C42</f>
        <v>0</v>
      </c>
      <c r="D64" s="127">
        <f t="shared" si="193"/>
        <v>0</v>
      </c>
      <c r="E64" s="127">
        <f t="shared" si="193"/>
        <v>0</v>
      </c>
      <c r="F64" s="144">
        <f t="shared" si="193"/>
        <v>0</v>
      </c>
      <c r="G64" s="144">
        <f t="shared" si="193"/>
        <v>95.238095238095241</v>
      </c>
      <c r="H64" s="144">
        <f t="shared" si="193"/>
        <v>85.714285714285722</v>
      </c>
      <c r="I64" s="144">
        <f t="shared" si="193"/>
        <v>126.19047619047619</v>
      </c>
      <c r="J64" s="144">
        <f t="shared" si="193"/>
        <v>173.80952380952382</v>
      </c>
      <c r="K64" s="144">
        <f t="shared" si="193"/>
        <v>242.85714285714286</v>
      </c>
      <c r="L64" s="144">
        <f t="shared" si="193"/>
        <v>142.85714285714286</v>
      </c>
      <c r="M64" s="144">
        <f t="shared" si="193"/>
        <v>128.57142857142858</v>
      </c>
      <c r="N64" s="144">
        <f t="shared" si="193"/>
        <v>138.0952380952381</v>
      </c>
      <c r="O64" s="144">
        <f t="shared" si="193"/>
        <v>154.76190476190476</v>
      </c>
      <c r="P64" s="144">
        <f t="shared" si="193"/>
        <v>154.76190476190476</v>
      </c>
      <c r="Q64" s="144">
        <f t="shared" ref="Q64" si="194">Q12/Q42</f>
        <v>154.76190476190476</v>
      </c>
      <c r="R64" s="118">
        <f>((P64/G64)^(1/($H$2-$H$1) ))-1</f>
        <v>4.9748678361387633E-2</v>
      </c>
      <c r="S64" s="128"/>
      <c r="T64" s="157">
        <f t="shared" ref="T64:AC64" si="195">T12/T42</f>
        <v>165.07936507936512</v>
      </c>
      <c r="U64" s="157">
        <f t="shared" si="195"/>
        <v>176.0846560846561</v>
      </c>
      <c r="V64" s="157">
        <f t="shared" si="195"/>
        <v>187.82363315696654</v>
      </c>
      <c r="W64" s="157">
        <f t="shared" si="195"/>
        <v>200.34520870076429</v>
      </c>
      <c r="X64" s="157">
        <f t="shared" si="195"/>
        <v>213.70155594748189</v>
      </c>
      <c r="Y64" s="157">
        <f t="shared" si="195"/>
        <v>227.94832634398068</v>
      </c>
      <c r="Z64" s="157">
        <f t="shared" si="195"/>
        <v>243.14488143357943</v>
      </c>
      <c r="AA64" s="157">
        <f t="shared" si="195"/>
        <v>259.35454019581806</v>
      </c>
      <c r="AB64" s="157">
        <f t="shared" si="195"/>
        <v>276.64484287553933</v>
      </c>
      <c r="AC64" s="157">
        <f t="shared" si="195"/>
        <v>295.08783240057528</v>
      </c>
      <c r="AD64" s="138">
        <f t="shared" si="168"/>
        <v>5.8173862645208407E-2</v>
      </c>
      <c r="AE64" s="31">
        <f t="shared" si="15"/>
        <v>0.05</v>
      </c>
      <c r="AF64" s="146">
        <f t="shared" si="169"/>
        <v>1822.6013177682594</v>
      </c>
    </row>
    <row r="65" spans="2:32" x14ac:dyDescent="0.2">
      <c r="B65" s="20" t="s">
        <v>255</v>
      </c>
      <c r="C65" s="127">
        <f t="shared" ref="C65:P65" si="196">C13/C42</f>
        <v>0</v>
      </c>
      <c r="D65" s="127">
        <f t="shared" si="196"/>
        <v>0</v>
      </c>
      <c r="E65" s="127">
        <f t="shared" si="196"/>
        <v>0</v>
      </c>
      <c r="F65" s="144">
        <f t="shared" si="196"/>
        <v>0</v>
      </c>
      <c r="G65" s="144">
        <f t="shared" si="196"/>
        <v>178.57142857142858</v>
      </c>
      <c r="H65" s="144">
        <f t="shared" si="196"/>
        <v>180.95238095238096</v>
      </c>
      <c r="I65" s="144">
        <f t="shared" si="196"/>
        <v>154.76190476190476</v>
      </c>
      <c r="J65" s="144">
        <f t="shared" si="196"/>
        <v>159.52380952380952</v>
      </c>
      <c r="K65" s="144">
        <f t="shared" si="196"/>
        <v>152.38095238095238</v>
      </c>
      <c r="L65" s="144">
        <f t="shared" si="196"/>
        <v>342.85714285714289</v>
      </c>
      <c r="M65" s="144">
        <f t="shared" si="196"/>
        <v>173.80952380952382</v>
      </c>
      <c r="N65" s="144">
        <f t="shared" si="196"/>
        <v>173.80952380952382</v>
      </c>
      <c r="O65" s="144">
        <f t="shared" si="196"/>
        <v>1023.8095238095239</v>
      </c>
      <c r="P65" s="144">
        <f t="shared" si="196"/>
        <v>1023.8095238095239</v>
      </c>
      <c r="Q65" s="144">
        <f t="shared" ref="Q65" si="197">Q13/Q42</f>
        <v>1023.8095238095239</v>
      </c>
      <c r="R65" s="118">
        <f>((P65/G65)^(1/($H$2-$H$1) ))-1</f>
        <v>0.19080519113201766</v>
      </c>
      <c r="S65" s="128"/>
      <c r="T65" s="157">
        <f t="shared" ref="T65:AC65" si="198">T13/T42</f>
        <v>1092.063492063492</v>
      </c>
      <c r="U65" s="157">
        <f t="shared" si="198"/>
        <v>1164.867724867725</v>
      </c>
      <c r="V65" s="157">
        <f t="shared" si="198"/>
        <v>1242.52557319224</v>
      </c>
      <c r="W65" s="157">
        <f t="shared" si="198"/>
        <v>1325.360611405056</v>
      </c>
      <c r="X65" s="157">
        <f t="shared" si="198"/>
        <v>1413.7179854987264</v>
      </c>
      <c r="Y65" s="157">
        <f t="shared" si="198"/>
        <v>1507.9658511986418</v>
      </c>
      <c r="Z65" s="157">
        <f t="shared" si="198"/>
        <v>1608.496907945218</v>
      </c>
      <c r="AA65" s="157">
        <f t="shared" si="198"/>
        <v>1715.7300351415658</v>
      </c>
      <c r="AB65" s="157">
        <f t="shared" si="198"/>
        <v>1830.1120374843372</v>
      </c>
      <c r="AC65" s="157">
        <f t="shared" si="198"/>
        <v>1952.1195066499597</v>
      </c>
      <c r="AD65" s="138">
        <f t="shared" si="168"/>
        <v>0.1270280404116626</v>
      </c>
      <c r="AE65" s="31">
        <f t="shared" si="15"/>
        <v>0.05</v>
      </c>
      <c r="AF65" s="146">
        <f t="shared" si="169"/>
        <v>12057.208717543872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9">(D64+D65)</f>
        <v>0</v>
      </c>
      <c r="E66" s="127">
        <f t="shared" si="199"/>
        <v>0</v>
      </c>
      <c r="F66" s="144">
        <f t="shared" si="199"/>
        <v>0</v>
      </c>
      <c r="G66" s="144">
        <f t="shared" si="199"/>
        <v>273.80952380952385</v>
      </c>
      <c r="H66" s="144">
        <f t="shared" si="199"/>
        <v>266.66666666666669</v>
      </c>
      <c r="I66" s="144">
        <f t="shared" si="199"/>
        <v>280.95238095238096</v>
      </c>
      <c r="J66" s="144">
        <f t="shared" si="199"/>
        <v>333.33333333333337</v>
      </c>
      <c r="K66" s="144">
        <f t="shared" si="199"/>
        <v>395.23809523809524</v>
      </c>
      <c r="L66" s="144">
        <f t="shared" si="199"/>
        <v>485.71428571428578</v>
      </c>
      <c r="M66" s="144">
        <f t="shared" si="199"/>
        <v>302.38095238095241</v>
      </c>
      <c r="N66" s="144">
        <f t="shared" si="199"/>
        <v>311.90476190476193</v>
      </c>
      <c r="O66" s="144">
        <f t="shared" ref="O66" si="200">(O64+O65)</f>
        <v>1178.5714285714287</v>
      </c>
      <c r="P66" s="144">
        <f t="shared" si="199"/>
        <v>1178.5714285714287</v>
      </c>
      <c r="Q66" s="144">
        <f t="shared" ref="Q66" si="201">(Q64+Q65)</f>
        <v>1178.5714285714287</v>
      </c>
      <c r="R66" s="118">
        <f>((P66/G66)^(1/($H$2-$H$1) ))-1</f>
        <v>0.15715286739464984</v>
      </c>
      <c r="S66" s="128"/>
      <c r="T66" s="157">
        <f t="shared" ref="T66:AC66" si="202">(T64+T65)</f>
        <v>1257.1428571428571</v>
      </c>
      <c r="U66" s="157">
        <f t="shared" si="202"/>
        <v>1340.9523809523812</v>
      </c>
      <c r="V66" s="157">
        <f t="shared" si="202"/>
        <v>1430.3492063492065</v>
      </c>
      <c r="W66" s="157">
        <f t="shared" si="202"/>
        <v>1525.7058201058203</v>
      </c>
      <c r="X66" s="157">
        <f t="shared" si="202"/>
        <v>1627.4195414462083</v>
      </c>
      <c r="Y66" s="157">
        <f t="shared" si="202"/>
        <v>1735.9141775426224</v>
      </c>
      <c r="Z66" s="157">
        <f t="shared" si="202"/>
        <v>1851.6417893787975</v>
      </c>
      <c r="AA66" s="157">
        <f t="shared" si="202"/>
        <v>1975.084575337384</v>
      </c>
      <c r="AB66" s="157">
        <f t="shared" si="202"/>
        <v>2106.7568803598765</v>
      </c>
      <c r="AC66" s="157">
        <f t="shared" si="202"/>
        <v>2247.2073390505348</v>
      </c>
      <c r="AD66" s="138">
        <f t="shared" si="168"/>
        <v>0.11098892518675751</v>
      </c>
      <c r="AE66" s="31">
        <f t="shared" si="15"/>
        <v>0.05</v>
      </c>
      <c r="AF66" s="146">
        <f t="shared" si="169"/>
        <v>13879.810035312128</v>
      </c>
    </row>
    <row r="67" spans="2:32" x14ac:dyDescent="0.2">
      <c r="B67" s="20" t="s">
        <v>249</v>
      </c>
      <c r="C67" s="127">
        <f t="shared" ref="C67:P67" si="203">C15/C42</f>
        <v>0</v>
      </c>
      <c r="D67" s="127">
        <f t="shared" si="203"/>
        <v>0</v>
      </c>
      <c r="E67" s="127">
        <f t="shared" si="203"/>
        <v>0</v>
      </c>
      <c r="F67" s="144">
        <f t="shared" si="203"/>
        <v>0</v>
      </c>
      <c r="G67" s="144">
        <f t="shared" si="203"/>
        <v>1997.6190476190477</v>
      </c>
      <c r="H67" s="144">
        <f t="shared" si="203"/>
        <v>2183.3333333333335</v>
      </c>
      <c r="I67" s="144">
        <f t="shared" si="203"/>
        <v>2757.1428571428573</v>
      </c>
      <c r="J67" s="144">
        <f t="shared" si="203"/>
        <v>3140.4761904761904</v>
      </c>
      <c r="K67" s="144">
        <f t="shared" si="203"/>
        <v>4035.7142857142858</v>
      </c>
      <c r="L67" s="144">
        <f t="shared" si="203"/>
        <v>3069.0476190476193</v>
      </c>
      <c r="M67" s="144">
        <f t="shared" si="203"/>
        <v>4695.2380952380954</v>
      </c>
      <c r="N67" s="144">
        <f t="shared" si="203"/>
        <v>6873.8095238095239</v>
      </c>
      <c r="O67" s="144">
        <f t="shared" si="203"/>
        <v>7578.5714285714284</v>
      </c>
      <c r="P67" s="144">
        <f t="shared" si="203"/>
        <v>7578.5714285714284</v>
      </c>
      <c r="Q67" s="144">
        <f t="shared" ref="Q67" si="204">Q15/Q42</f>
        <v>7578.5714285714284</v>
      </c>
      <c r="R67" s="118">
        <f>((P67/G67)^(1/($H$2-$H$1) ))-1</f>
        <v>0.14263485528555453</v>
      </c>
      <c r="S67" s="128"/>
      <c r="T67" s="157">
        <f t="shared" ref="T67:AC67" si="205">T15/T42</f>
        <v>8083.8095238095248</v>
      </c>
      <c r="U67" s="157">
        <f t="shared" si="205"/>
        <v>8622.7301587301608</v>
      </c>
      <c r="V67" s="157">
        <f t="shared" si="205"/>
        <v>9197.5788359788385</v>
      </c>
      <c r="W67" s="157">
        <f t="shared" si="205"/>
        <v>9810.7507583774295</v>
      </c>
      <c r="X67" s="157">
        <f t="shared" si="205"/>
        <v>10464.800808935925</v>
      </c>
      <c r="Y67" s="157">
        <f t="shared" si="205"/>
        <v>11162.45419619832</v>
      </c>
      <c r="Z67" s="157">
        <f t="shared" si="205"/>
        <v>11906.61780927821</v>
      </c>
      <c r="AA67" s="157">
        <f t="shared" si="205"/>
        <v>12700.392329896757</v>
      </c>
      <c r="AB67" s="157">
        <f t="shared" si="205"/>
        <v>13547.085151889876</v>
      </c>
      <c r="AC67" s="157">
        <f t="shared" si="205"/>
        <v>14450.224162015869</v>
      </c>
      <c r="AD67" s="138">
        <f t="shared" si="168"/>
        <v>0.10399751462790507</v>
      </c>
      <c r="AE67" s="31">
        <f t="shared" si="15"/>
        <v>0.05</v>
      </c>
      <c r="AF67" s="146">
        <f t="shared" si="169"/>
        <v>89251.384530098032</v>
      </c>
    </row>
    <row r="68" spans="2:32" x14ac:dyDescent="0.2">
      <c r="B68" s="20" t="s">
        <v>250</v>
      </c>
      <c r="C68" s="127">
        <f t="shared" ref="C68:P68" si="206">C16/C42</f>
        <v>0</v>
      </c>
      <c r="D68" s="127">
        <f t="shared" si="206"/>
        <v>0</v>
      </c>
      <c r="E68" s="127">
        <f t="shared" si="206"/>
        <v>0</v>
      </c>
      <c r="F68" s="144">
        <f t="shared" si="206"/>
        <v>0</v>
      </c>
      <c r="G68" s="144">
        <f t="shared" si="206"/>
        <v>1116.6666666666667</v>
      </c>
      <c r="H68" s="144">
        <f t="shared" si="206"/>
        <v>1197.6190476190477</v>
      </c>
      <c r="I68" s="144">
        <f t="shared" si="206"/>
        <v>1376.1904761904761</v>
      </c>
      <c r="J68" s="144">
        <f t="shared" si="206"/>
        <v>1476.1904761904761</v>
      </c>
      <c r="K68" s="144">
        <f t="shared" si="206"/>
        <v>1669.047619047619</v>
      </c>
      <c r="L68" s="144">
        <f t="shared" si="206"/>
        <v>671.42857142857144</v>
      </c>
      <c r="M68" s="144">
        <f t="shared" si="206"/>
        <v>1761.9047619047619</v>
      </c>
      <c r="N68" s="144">
        <f t="shared" si="206"/>
        <v>1497.6190476190477</v>
      </c>
      <c r="O68" s="144">
        <f t="shared" si="206"/>
        <v>1738.0952380952381</v>
      </c>
      <c r="P68" s="144">
        <f t="shared" si="206"/>
        <v>1738.0952380952381</v>
      </c>
      <c r="Q68" s="144">
        <f t="shared" ref="Q68" si="207">Q16/Q42</f>
        <v>1738.0952380952381</v>
      </c>
      <c r="R68" s="118">
        <f>((P68/G68)^(1/($H$2-$H$1) ))-1</f>
        <v>4.5237546249777161E-2</v>
      </c>
      <c r="S68" s="128"/>
      <c r="T68" s="157">
        <f t="shared" ref="T68:AC68" si="208">T16/T42</f>
        <v>1853.968253968254</v>
      </c>
      <c r="U68" s="157">
        <f t="shared" si="208"/>
        <v>1977.5661375661377</v>
      </c>
      <c r="V68" s="157">
        <f t="shared" si="208"/>
        <v>2109.4038800705471</v>
      </c>
      <c r="W68" s="157">
        <f t="shared" si="208"/>
        <v>2250.0308054085835</v>
      </c>
      <c r="X68" s="157">
        <f t="shared" si="208"/>
        <v>2400.0328591024891</v>
      </c>
      <c r="Y68" s="157">
        <f t="shared" si="208"/>
        <v>2560.0350497093223</v>
      </c>
      <c r="Z68" s="157">
        <f t="shared" si="208"/>
        <v>2730.7040530232771</v>
      </c>
      <c r="AA68" s="157">
        <f t="shared" si="208"/>
        <v>2912.7509898914955</v>
      </c>
      <c r="AB68" s="157">
        <f t="shared" si="208"/>
        <v>3106.9343892175957</v>
      </c>
      <c r="AC68" s="157">
        <f t="shared" si="208"/>
        <v>3314.0633484987684</v>
      </c>
      <c r="AD68" s="138">
        <f t="shared" si="168"/>
        <v>5.5897745680468569E-2</v>
      </c>
      <c r="AE68" s="137"/>
      <c r="AF68" s="146">
        <f t="shared" si="169"/>
        <v>15063.924311358038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9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9">D44</f>
        <v>0</v>
      </c>
      <c r="E70" s="159">
        <f t="shared" si="209"/>
        <v>0</v>
      </c>
      <c r="F70" s="159">
        <f t="shared" si="209"/>
        <v>20</v>
      </c>
      <c r="G70" s="159">
        <f t="shared" si="209"/>
        <v>20</v>
      </c>
      <c r="H70" s="159">
        <f t="shared" si="209"/>
        <v>20</v>
      </c>
      <c r="I70" s="159">
        <f t="shared" si="209"/>
        <v>20</v>
      </c>
      <c r="J70" s="159">
        <f t="shared" si="209"/>
        <v>20</v>
      </c>
      <c r="K70" s="159">
        <f t="shared" si="209"/>
        <v>20</v>
      </c>
      <c r="L70" s="159">
        <f t="shared" si="209"/>
        <v>25</v>
      </c>
      <c r="M70" s="159">
        <f t="shared" si="209"/>
        <v>50</v>
      </c>
      <c r="N70" s="159">
        <f t="shared" si="209"/>
        <v>25</v>
      </c>
      <c r="O70" s="159">
        <f t="shared" si="209"/>
        <v>25</v>
      </c>
      <c r="P70" s="159">
        <f t="shared" si="209"/>
        <v>25</v>
      </c>
      <c r="Q70" s="159">
        <f t="shared" ref="Q70" si="210">Q44</f>
        <v>30</v>
      </c>
      <c r="R70" s="118">
        <f>((P70/G70)^(1/($H$2-$H$1) ))-1</f>
        <v>2.2565182563572872E-2</v>
      </c>
      <c r="S70" s="128"/>
      <c r="T70" s="159">
        <f t="shared" ref="T70:AC70" si="211">T44</f>
        <v>31.5</v>
      </c>
      <c r="U70" s="159">
        <f t="shared" si="211"/>
        <v>33.075000000000003</v>
      </c>
      <c r="V70" s="159">
        <f t="shared" si="211"/>
        <v>34.728750000000005</v>
      </c>
      <c r="W70" s="159">
        <f t="shared" si="211"/>
        <v>36.465187500000006</v>
      </c>
      <c r="X70" s="159">
        <f t="shared" si="211"/>
        <v>38.288446875000005</v>
      </c>
      <c r="Y70" s="159">
        <f t="shared" si="211"/>
        <v>40.20286921875001</v>
      </c>
      <c r="Z70" s="159">
        <f t="shared" si="211"/>
        <v>42.213012679687509</v>
      </c>
      <c r="AA70" s="159">
        <f t="shared" si="211"/>
        <v>44.323663313671886</v>
      </c>
      <c r="AB70" s="159">
        <f t="shared" si="211"/>
        <v>46.539846479355482</v>
      </c>
      <c r="AC70" s="159">
        <f t="shared" si="211"/>
        <v>48.866838803323262</v>
      </c>
      <c r="AD70" s="138">
        <f t="shared" ref="AD70" si="212">((AC70/G70)^(1/($AC$3-$H$1) ))-1</f>
        <v>4.5680989208482847E-2</v>
      </c>
      <c r="AE70" s="31">
        <f t="shared" si="15"/>
        <v>0.05</v>
      </c>
      <c r="AF70" s="146">
        <f t="shared" si="169"/>
        <v>301.82459260876135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317</v>
      </c>
      <c r="C72" s="127">
        <f t="shared" ref="C72:P72" si="213">C20+C21</f>
        <v>0</v>
      </c>
      <c r="D72" s="127">
        <f t="shared" si="213"/>
        <v>0</v>
      </c>
      <c r="E72" s="127">
        <f t="shared" si="213"/>
        <v>0</v>
      </c>
      <c r="F72" s="144">
        <f t="shared" si="213"/>
        <v>0</v>
      </c>
      <c r="G72" s="144">
        <f t="shared" si="213"/>
        <v>-85</v>
      </c>
      <c r="H72" s="144">
        <f t="shared" si="213"/>
        <v>-169</v>
      </c>
      <c r="I72" s="144">
        <f t="shared" si="213"/>
        <v>48</v>
      </c>
      <c r="J72" s="144">
        <f t="shared" si="213"/>
        <v>-29</v>
      </c>
      <c r="K72" s="144">
        <f t="shared" si="213"/>
        <v>-297</v>
      </c>
      <c r="L72" s="144">
        <f t="shared" si="213"/>
        <v>629</v>
      </c>
      <c r="M72" s="144">
        <f t="shared" si="213"/>
        <v>-629</v>
      </c>
      <c r="N72" s="144">
        <f t="shared" si="213"/>
        <v>-833</v>
      </c>
      <c r="O72" s="144">
        <f t="shared" si="213"/>
        <v>56</v>
      </c>
      <c r="P72" s="144">
        <f t="shared" si="213"/>
        <v>139</v>
      </c>
      <c r="Q72" s="144">
        <f t="shared" ref="Q72" si="214">Q20+Q21</f>
        <v>139</v>
      </c>
      <c r="R72" s="118" t="e">
        <f>((P72/G72)^(1/($H$2-$H$1) ))-1</f>
        <v>#NUM!</v>
      </c>
      <c r="S72" s="128"/>
      <c r="T72" s="144">
        <f t="shared" ref="T72:AC72" si="215">T20+T21</f>
        <v>155.67999999999995</v>
      </c>
      <c r="U72" s="144">
        <f t="shared" si="215"/>
        <v>174.36159999999995</v>
      </c>
      <c r="V72" s="144">
        <f t="shared" si="215"/>
        <v>195.2849920000001</v>
      </c>
      <c r="W72" s="144">
        <f t="shared" si="215"/>
        <v>218.71919103999994</v>
      </c>
      <c r="X72" s="144">
        <f t="shared" si="215"/>
        <v>244.96549396480009</v>
      </c>
      <c r="Y72" s="144">
        <f t="shared" si="215"/>
        <v>274.36135324057614</v>
      </c>
      <c r="Z72" s="144">
        <f t="shared" si="215"/>
        <v>307.28471562944537</v>
      </c>
      <c r="AA72" s="144">
        <f t="shared" si="215"/>
        <v>344.15888150497904</v>
      </c>
      <c r="AB72" s="144">
        <f t="shared" si="215"/>
        <v>385.45794728557667</v>
      </c>
      <c r="AC72" s="144">
        <f t="shared" si="215"/>
        <v>431.71290095984614</v>
      </c>
      <c r="AD72" s="138" t="e">
        <f t="shared" ref="AD72:AD77" si="216">((AC72/G72)^(1/($AC$3-$H$1) ))-1</f>
        <v>#NUM!</v>
      </c>
      <c r="AE72" s="31">
        <f t="shared" si="15"/>
        <v>0.05</v>
      </c>
      <c r="AF72" s="146">
        <f t="shared" si="169"/>
        <v>2666.4620353402265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318</v>
      </c>
      <c r="C74" s="127">
        <f t="shared" ref="C74:P74" si="217">C72/C42</f>
        <v>0</v>
      </c>
      <c r="D74" s="127">
        <f t="shared" si="217"/>
        <v>0</v>
      </c>
      <c r="E74" s="127">
        <f t="shared" si="217"/>
        <v>0</v>
      </c>
      <c r="F74" s="144">
        <f t="shared" si="217"/>
        <v>0</v>
      </c>
      <c r="G74" s="144">
        <f t="shared" si="217"/>
        <v>-202.38095238095238</v>
      </c>
      <c r="H74" s="144">
        <f t="shared" si="217"/>
        <v>-402.38095238095241</v>
      </c>
      <c r="I74" s="144">
        <f t="shared" si="217"/>
        <v>114.28571428571429</v>
      </c>
      <c r="J74" s="144">
        <f t="shared" si="217"/>
        <v>-69.047619047619051</v>
      </c>
      <c r="K74" s="144">
        <f t="shared" si="217"/>
        <v>-707.14285714285722</v>
      </c>
      <c r="L74" s="144">
        <f t="shared" si="217"/>
        <v>1497.6190476190477</v>
      </c>
      <c r="M74" s="144">
        <f t="shared" si="217"/>
        <v>-1497.6190476190477</v>
      </c>
      <c r="N74" s="144">
        <f t="shared" si="217"/>
        <v>-1983.3333333333335</v>
      </c>
      <c r="O74" s="144">
        <f t="shared" si="217"/>
        <v>133.33333333333334</v>
      </c>
      <c r="P74" s="144">
        <f t="shared" si="217"/>
        <v>330.95238095238096</v>
      </c>
      <c r="Q74" s="144">
        <f t="shared" ref="Q74" si="218">Q72/Q42</f>
        <v>330.95238095238096</v>
      </c>
      <c r="R74" s="118" t="e">
        <f>((P74/G74)^(1/($H$2-$H$1) ))-1</f>
        <v>#NUM!</v>
      </c>
      <c r="S74" s="128"/>
      <c r="T74" s="146">
        <f t="shared" ref="T74:AC74" si="219">T72/T42</f>
        <v>353.0158730158729</v>
      </c>
      <c r="U74" s="146">
        <f t="shared" si="219"/>
        <v>376.55026455026444</v>
      </c>
      <c r="V74" s="146">
        <f t="shared" si="219"/>
        <v>401.65361552028236</v>
      </c>
      <c r="W74" s="146">
        <f t="shared" si="219"/>
        <v>428.43052322163419</v>
      </c>
      <c r="X74" s="146">
        <f t="shared" si="219"/>
        <v>456.9925581030767</v>
      </c>
      <c r="Y74" s="146">
        <f t="shared" si="219"/>
        <v>487.45872864328186</v>
      </c>
      <c r="Z74" s="146">
        <f t="shared" si="219"/>
        <v>519.95597721950082</v>
      </c>
      <c r="AA74" s="146">
        <f t="shared" si="219"/>
        <v>554.61970903413453</v>
      </c>
      <c r="AB74" s="146">
        <f t="shared" si="219"/>
        <v>591.59435630307712</v>
      </c>
      <c r="AC74" s="146">
        <f t="shared" si="219"/>
        <v>631.03398005661586</v>
      </c>
      <c r="AD74" s="138" t="e">
        <f t="shared" si="216"/>
        <v>#NUM!</v>
      </c>
      <c r="AE74" s="31">
        <f t="shared" si="15"/>
        <v>0.05</v>
      </c>
      <c r="AF74" s="146">
        <f t="shared" si="169"/>
        <v>3897.5628179967453</v>
      </c>
    </row>
    <row r="75" spans="2:32" x14ac:dyDescent="0.2">
      <c r="B75" s="20" t="s">
        <v>287</v>
      </c>
      <c r="C75" s="127">
        <f t="shared" ref="C75:P75" si="220">C20/C42</f>
        <v>0</v>
      </c>
      <c r="D75" s="127">
        <f t="shared" si="220"/>
        <v>0</v>
      </c>
      <c r="E75" s="127">
        <f t="shared" si="220"/>
        <v>0</v>
      </c>
      <c r="F75" s="144">
        <f t="shared" si="220"/>
        <v>0</v>
      </c>
      <c r="G75" s="144">
        <f t="shared" si="220"/>
        <v>238.0952380952381</v>
      </c>
      <c r="H75" s="144">
        <f t="shared" si="220"/>
        <v>147.61904761904762</v>
      </c>
      <c r="I75" s="144">
        <f t="shared" si="220"/>
        <v>654.76190476190482</v>
      </c>
      <c r="J75" s="144">
        <f t="shared" si="220"/>
        <v>728.57142857142856</v>
      </c>
      <c r="K75" s="144">
        <f t="shared" si="220"/>
        <v>640.47619047619048</v>
      </c>
      <c r="L75" s="144">
        <f t="shared" si="220"/>
        <v>2052.3809523809523</v>
      </c>
      <c r="M75" s="144">
        <f t="shared" si="220"/>
        <v>373.8095238095238</v>
      </c>
      <c r="N75" s="144">
        <f t="shared" si="220"/>
        <v>659.52380952380952</v>
      </c>
      <c r="O75" s="144">
        <f t="shared" si="220"/>
        <v>2433.3333333333335</v>
      </c>
      <c r="P75" s="144">
        <f t="shared" si="220"/>
        <v>2433.3333333333335</v>
      </c>
      <c r="Q75" s="144">
        <f t="shared" ref="Q75" si="221">Q20/Q42</f>
        <v>2433.3333333333335</v>
      </c>
      <c r="R75" s="118">
        <f>((P75/G75)^(1/($H$2-$H$1) ))-1</f>
        <v>0.26166800435734894</v>
      </c>
      <c r="S75" s="128"/>
      <c r="T75" s="146">
        <f t="shared" ref="T75:AC75" si="222">T20/T42</f>
        <v>2595.5555555555557</v>
      </c>
      <c r="U75" s="146">
        <f t="shared" si="222"/>
        <v>2768.5925925925926</v>
      </c>
      <c r="V75" s="146">
        <f t="shared" si="222"/>
        <v>2953.1654320987659</v>
      </c>
      <c r="W75" s="146">
        <f t="shared" si="222"/>
        <v>3150.0431275720171</v>
      </c>
      <c r="X75" s="146">
        <f t="shared" si="222"/>
        <v>3360.0460027434847</v>
      </c>
      <c r="Y75" s="146">
        <f t="shared" si="222"/>
        <v>3584.0490695930512</v>
      </c>
      <c r="Z75" s="146">
        <f t="shared" si="222"/>
        <v>3822.9856742325883</v>
      </c>
      <c r="AA75" s="146">
        <f t="shared" si="222"/>
        <v>4077.8513858480942</v>
      </c>
      <c r="AB75" s="146">
        <f t="shared" si="222"/>
        <v>4349.7081449046345</v>
      </c>
      <c r="AC75" s="146">
        <f t="shared" si="222"/>
        <v>4639.6886878982777</v>
      </c>
      <c r="AD75" s="138">
        <f t="shared" si="216"/>
        <v>0.16007724081107577</v>
      </c>
      <c r="AE75" s="31">
        <f t="shared" si="15"/>
        <v>0.05</v>
      </c>
      <c r="AF75" s="146">
        <f t="shared" si="169"/>
        <v>28656.900719371723</v>
      </c>
    </row>
    <row r="76" spans="2:32" x14ac:dyDescent="0.2">
      <c r="B76" s="20" t="s">
        <v>288</v>
      </c>
      <c r="C76" s="127">
        <f t="shared" ref="C76:P76" si="223">C21/C42</f>
        <v>0</v>
      </c>
      <c r="D76" s="127">
        <f t="shared" si="223"/>
        <v>0</v>
      </c>
      <c r="E76" s="127">
        <f t="shared" si="223"/>
        <v>0</v>
      </c>
      <c r="F76" s="144">
        <f t="shared" si="223"/>
        <v>0</v>
      </c>
      <c r="G76" s="144">
        <f t="shared" si="223"/>
        <v>-440.47619047619048</v>
      </c>
      <c r="H76" s="144">
        <f t="shared" si="223"/>
        <v>-550</v>
      </c>
      <c r="I76" s="144">
        <f t="shared" si="223"/>
        <v>-540.47619047619048</v>
      </c>
      <c r="J76" s="144">
        <f t="shared" si="223"/>
        <v>-797.61904761904759</v>
      </c>
      <c r="K76" s="144">
        <f t="shared" si="223"/>
        <v>-1347.6190476190477</v>
      </c>
      <c r="L76" s="144">
        <f t="shared" si="223"/>
        <v>-554.76190476190482</v>
      </c>
      <c r="M76" s="144">
        <f t="shared" si="223"/>
        <v>-1871.4285714285716</v>
      </c>
      <c r="N76" s="144">
        <f t="shared" si="223"/>
        <v>-2642.8571428571431</v>
      </c>
      <c r="O76" s="144">
        <f t="shared" si="223"/>
        <v>-2300</v>
      </c>
      <c r="P76" s="144">
        <f t="shared" si="223"/>
        <v>-2102.3809523809523</v>
      </c>
      <c r="Q76" s="144">
        <f t="shared" ref="Q76" si="224">Q21/Q42</f>
        <v>-2102.3809523809523</v>
      </c>
      <c r="R76" s="118">
        <f>((P76/G76)^(1/($H$2-$H$1) ))-1</f>
        <v>0.16917332301590693</v>
      </c>
      <c r="S76" s="128"/>
      <c r="T76" s="146">
        <f t="shared" ref="T76:AC76" si="225">T21/T42</f>
        <v>-2242.5396825396829</v>
      </c>
      <c r="U76" s="146">
        <f t="shared" si="225"/>
        <v>-2392.0423280423283</v>
      </c>
      <c r="V76" s="146">
        <f t="shared" si="225"/>
        <v>-2551.5118165784834</v>
      </c>
      <c r="W76" s="146">
        <f t="shared" si="225"/>
        <v>-2721.6126043503828</v>
      </c>
      <c r="X76" s="146">
        <f t="shared" si="225"/>
        <v>-2903.0534446404081</v>
      </c>
      <c r="Y76" s="146">
        <f t="shared" si="225"/>
        <v>-3096.5903409497691</v>
      </c>
      <c r="Z76" s="146">
        <f t="shared" si="225"/>
        <v>-3303.0296970130876</v>
      </c>
      <c r="AA76" s="146">
        <f t="shared" si="225"/>
        <v>-3523.2316768139599</v>
      </c>
      <c r="AB76" s="146">
        <f t="shared" si="225"/>
        <v>-3758.1137886015576</v>
      </c>
      <c r="AC76" s="146">
        <f t="shared" si="225"/>
        <v>-4008.6547078416615</v>
      </c>
      <c r="AD76" s="138">
        <f t="shared" si="216"/>
        <v>0.11674446997375698</v>
      </c>
      <c r="AE76" s="31">
        <f t="shared" si="15"/>
        <v>0.05</v>
      </c>
      <c r="AF76" s="146">
        <f t="shared" si="169"/>
        <v>-24759.337901374973</v>
      </c>
    </row>
    <row r="77" spans="2:32" x14ac:dyDescent="0.2">
      <c r="B77" s="20" t="s">
        <v>289</v>
      </c>
      <c r="C77" s="127">
        <f t="shared" ref="C77:P77" si="226">C22/C42</f>
        <v>0</v>
      </c>
      <c r="D77" s="127">
        <f t="shared" si="226"/>
        <v>0</v>
      </c>
      <c r="E77" s="127">
        <f t="shared" si="226"/>
        <v>0</v>
      </c>
      <c r="F77" s="144">
        <f t="shared" si="226"/>
        <v>0</v>
      </c>
      <c r="G77" s="144">
        <f t="shared" si="226"/>
        <v>197.61904761904762</v>
      </c>
      <c r="H77" s="144">
        <f t="shared" si="226"/>
        <v>278.57142857142856</v>
      </c>
      <c r="I77" s="144">
        <f t="shared" si="226"/>
        <v>-95.238095238095241</v>
      </c>
      <c r="J77" s="144">
        <f t="shared" si="226"/>
        <v>116.66666666666667</v>
      </c>
      <c r="K77" s="144">
        <f t="shared" si="226"/>
        <v>776.19047619047626</v>
      </c>
      <c r="L77" s="144">
        <f t="shared" si="226"/>
        <v>-1600</v>
      </c>
      <c r="M77" s="144">
        <f t="shared" si="226"/>
        <v>1483.3333333333335</v>
      </c>
      <c r="N77" s="144">
        <f t="shared" si="226"/>
        <v>2011.9047619047619</v>
      </c>
      <c r="O77" s="144">
        <f t="shared" si="226"/>
        <v>-121.42857142857143</v>
      </c>
      <c r="P77" s="144">
        <f t="shared" si="226"/>
        <v>-745.2380952380953</v>
      </c>
      <c r="Q77" s="144">
        <f t="shared" ref="Q77" si="227">Q22/Q42</f>
        <v>-745.2380952380953</v>
      </c>
      <c r="R77" s="118" t="e">
        <f>((P77/G77)^(1/($H$2-$H$1) ))-1</f>
        <v>#NUM!</v>
      </c>
      <c r="S77" s="128"/>
      <c r="T77" s="146">
        <f t="shared" ref="T77:AC77" si="228">T22/T42</f>
        <v>-794.92063492063505</v>
      </c>
      <c r="U77" s="146">
        <f t="shared" si="228"/>
        <v>-847.91534391534412</v>
      </c>
      <c r="V77" s="146">
        <f t="shared" si="228"/>
        <v>-904.44303350970051</v>
      </c>
      <c r="W77" s="146">
        <f t="shared" si="228"/>
        <v>-964.73923574368064</v>
      </c>
      <c r="X77" s="146">
        <f t="shared" si="228"/>
        <v>-1029.0551847932595</v>
      </c>
      <c r="Y77" s="146">
        <f t="shared" si="228"/>
        <v>-1097.6588637794769</v>
      </c>
      <c r="Z77" s="146">
        <f t="shared" si="228"/>
        <v>-1170.8361213647754</v>
      </c>
      <c r="AA77" s="146">
        <f t="shared" si="228"/>
        <v>-1248.8918627890939</v>
      </c>
      <c r="AB77" s="146">
        <f t="shared" si="228"/>
        <v>-1332.1513203083668</v>
      </c>
      <c r="AC77" s="146">
        <f t="shared" si="228"/>
        <v>-1420.9614083289248</v>
      </c>
      <c r="AD77" s="138" t="e">
        <f t="shared" si="216"/>
        <v>#NUM!</v>
      </c>
      <c r="AE77" s="31">
        <f t="shared" si="15"/>
        <v>0.05</v>
      </c>
      <c r="AF77" s="146">
        <f t="shared" si="169"/>
        <v>-8776.5263455610075</v>
      </c>
    </row>
    <row r="78" spans="2:32" x14ac:dyDescent="0.2">
      <c r="B78" s="20" t="s">
        <v>296</v>
      </c>
      <c r="C78" s="127">
        <f t="shared" ref="C78:P78" si="229">C23/C42</f>
        <v>0</v>
      </c>
      <c r="D78" s="127">
        <f t="shared" si="229"/>
        <v>0</v>
      </c>
      <c r="E78" s="127">
        <f t="shared" si="229"/>
        <v>0</v>
      </c>
      <c r="F78" s="144">
        <f t="shared" si="229"/>
        <v>0</v>
      </c>
      <c r="G78" s="144">
        <f t="shared" si="229"/>
        <v>266.66666666666669</v>
      </c>
      <c r="H78" s="144">
        <f t="shared" si="229"/>
        <v>138.0952380952381</v>
      </c>
      <c r="I78" s="144">
        <f t="shared" si="229"/>
        <v>126.19047619047619</v>
      </c>
      <c r="J78" s="144">
        <f t="shared" si="229"/>
        <v>173.80952380952382</v>
      </c>
      <c r="K78" s="144">
        <f t="shared" si="229"/>
        <v>242.85714285714286</v>
      </c>
      <c r="L78" s="144">
        <f t="shared" si="229"/>
        <v>142.85714285714286</v>
      </c>
      <c r="M78" s="144">
        <f t="shared" si="229"/>
        <v>126.19047619047619</v>
      </c>
      <c r="N78" s="144">
        <f t="shared" si="229"/>
        <v>135.71428571428572</v>
      </c>
      <c r="O78" s="144">
        <f t="shared" si="229"/>
        <v>140.47619047619048</v>
      </c>
      <c r="P78" s="144">
        <f t="shared" si="229"/>
        <v>678.57142857142856</v>
      </c>
      <c r="Q78" s="144">
        <f t="shared" ref="Q78" si="230">Q23/Q42</f>
        <v>678.57142857142856</v>
      </c>
      <c r="R78" s="118">
        <f>((P78/G78)^(1/($H$2-$H$1) ))-1</f>
        <v>9.7899743792774885E-2</v>
      </c>
      <c r="S78" s="128"/>
      <c r="T78" s="146">
        <f t="shared" ref="T78:AC78" si="231">T23/T42</f>
        <v>723.80952380952385</v>
      </c>
      <c r="U78" s="146">
        <f t="shared" si="231"/>
        <v>772.06349206349216</v>
      </c>
      <c r="V78" s="146">
        <f t="shared" si="231"/>
        <v>823.53439153439183</v>
      </c>
      <c r="W78" s="146">
        <f t="shared" si="231"/>
        <v>878.4366843033514</v>
      </c>
      <c r="X78" s="146">
        <f t="shared" si="231"/>
        <v>936.99912992357474</v>
      </c>
      <c r="Y78" s="146">
        <f t="shared" si="231"/>
        <v>999.46573858514648</v>
      </c>
      <c r="Z78" s="146">
        <f t="shared" si="231"/>
        <v>1066.0967878241563</v>
      </c>
      <c r="AA78" s="146">
        <f t="shared" si="231"/>
        <v>1137.1699070124334</v>
      </c>
      <c r="AB78" s="146">
        <f t="shared" si="231"/>
        <v>1212.9812341465959</v>
      </c>
      <c r="AC78" s="146">
        <f t="shared" si="231"/>
        <v>1293.8466497563691</v>
      </c>
      <c r="AD78" s="138">
        <f t="shared" ref="AD78" si="232">((AC78/G78)^(1/($AC$3-$H$1) ))-1</f>
        <v>8.2170531868996477E-2</v>
      </c>
      <c r="AE78" s="31">
        <f t="shared" si="15"/>
        <v>0.05</v>
      </c>
      <c r="AF78" s="146">
        <f t="shared" si="169"/>
        <v>7991.4057779069863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311</v>
      </c>
      <c r="C80" s="144">
        <f t="shared" ref="C80:P80" si="233">C36/C42</f>
        <v>0</v>
      </c>
      <c r="D80" s="144">
        <f t="shared" si="233"/>
        <v>0</v>
      </c>
      <c r="E80" s="144">
        <f t="shared" si="233"/>
        <v>0</v>
      </c>
      <c r="F80" s="144">
        <f t="shared" si="233"/>
        <v>0</v>
      </c>
      <c r="G80" s="144">
        <f t="shared" si="233"/>
        <v>523.80952380952385</v>
      </c>
      <c r="H80" s="144">
        <f t="shared" si="233"/>
        <v>476.1904761904762</v>
      </c>
      <c r="I80" s="144">
        <f t="shared" si="233"/>
        <v>573.80952380952385</v>
      </c>
      <c r="J80" s="144">
        <f t="shared" si="233"/>
        <v>1040.4761904761906</v>
      </c>
      <c r="K80" s="144">
        <f t="shared" si="233"/>
        <v>1042.8571428571429</v>
      </c>
      <c r="L80" s="144">
        <f t="shared" si="233"/>
        <v>1676.1904761904761</v>
      </c>
      <c r="M80" s="144">
        <f t="shared" si="233"/>
        <v>1988.0952380952381</v>
      </c>
      <c r="N80" s="144">
        <f t="shared" si="233"/>
        <v>1938.0952380952381</v>
      </c>
      <c r="O80" s="144">
        <f t="shared" si="233"/>
        <v>3028.5714285714289</v>
      </c>
      <c r="P80" s="144">
        <f t="shared" si="233"/>
        <v>4238.0952380952385</v>
      </c>
      <c r="Q80" s="144">
        <f t="shared" ref="Q80" si="234">Q36/Q42</f>
        <v>4238.0952380952385</v>
      </c>
      <c r="R80" s="118">
        <f>((P80/G80)^(1/($H$2-$H$1) ))-1</f>
        <v>0.23253633803572948</v>
      </c>
      <c r="S80" s="128"/>
      <c r="T80" s="144">
        <f t="shared" ref="T80:AC80" si="235">T36/T42</f>
        <v>4520.6349206349205</v>
      </c>
      <c r="U80" s="144">
        <f t="shared" si="235"/>
        <v>4822.0105820105828</v>
      </c>
      <c r="V80" s="144">
        <f t="shared" si="235"/>
        <v>5143.4779541446223</v>
      </c>
      <c r="W80" s="144">
        <f t="shared" si="235"/>
        <v>5486.3764844209309</v>
      </c>
      <c r="X80" s="144">
        <f t="shared" si="235"/>
        <v>5852.1349167156595</v>
      </c>
      <c r="Y80" s="144">
        <f t="shared" si="235"/>
        <v>6242.277244496705</v>
      </c>
      <c r="Z80" s="144">
        <f t="shared" si="235"/>
        <v>6658.4290607964858</v>
      </c>
      <c r="AA80" s="144">
        <f t="shared" si="235"/>
        <v>7102.3243315162508</v>
      </c>
      <c r="AB80" s="144">
        <f t="shared" si="235"/>
        <v>7575.8126202840031</v>
      </c>
      <c r="AC80" s="144">
        <f t="shared" si="235"/>
        <v>8080.8667949696037</v>
      </c>
      <c r="AD80" s="138">
        <f t="shared" ref="AD80:AD82" si="236">((AC80/G80)^(1/($AC$3-$H$1) ))-1</f>
        <v>0.14660604709643477</v>
      </c>
      <c r="AE80" s="31">
        <f t="shared" si="15"/>
        <v>0.05</v>
      </c>
      <c r="AF80" s="146">
        <f t="shared" si="169"/>
        <v>49911.236086576966</v>
      </c>
    </row>
    <row r="81" spans="2:32" x14ac:dyDescent="0.2">
      <c r="B81" s="20" t="s">
        <v>312</v>
      </c>
      <c r="C81" s="144">
        <f t="shared" ref="C81:P81" si="237">C40/C42</f>
        <v>0</v>
      </c>
      <c r="D81" s="144">
        <f t="shared" si="237"/>
        <v>0</v>
      </c>
      <c r="E81" s="144">
        <f t="shared" si="237"/>
        <v>0</v>
      </c>
      <c r="F81" s="144">
        <f t="shared" si="237"/>
        <v>0</v>
      </c>
      <c r="G81" s="144">
        <f t="shared" si="237"/>
        <v>280.95238095238096</v>
      </c>
      <c r="H81" s="144">
        <f t="shared" si="237"/>
        <v>69.047619047619051</v>
      </c>
      <c r="I81" s="144">
        <f t="shared" si="237"/>
        <v>188.0952380952381</v>
      </c>
      <c r="J81" s="144">
        <f t="shared" si="237"/>
        <v>404.76190476190476</v>
      </c>
      <c r="K81" s="144">
        <f t="shared" si="237"/>
        <v>340.47619047619048</v>
      </c>
      <c r="L81" s="144">
        <f t="shared" si="237"/>
        <v>597.61904761904759</v>
      </c>
      <c r="M81" s="144">
        <f t="shared" si="237"/>
        <v>850</v>
      </c>
      <c r="N81" s="144">
        <f t="shared" si="237"/>
        <v>1473.8095238095239</v>
      </c>
      <c r="O81" s="144">
        <f t="shared" si="237"/>
        <v>1380.952380952381</v>
      </c>
      <c r="P81" s="144">
        <f t="shared" si="237"/>
        <v>1923.8095238095239</v>
      </c>
      <c r="Q81" s="144">
        <f t="shared" ref="Q81" si="238">Q40/Q42</f>
        <v>1923.8095238095239</v>
      </c>
      <c r="R81" s="118">
        <f>((P81/G81)^(1/($H$2-$H$1) ))-1</f>
        <v>0.21214042531358901</v>
      </c>
      <c r="S81" s="128"/>
      <c r="T81" s="144">
        <f t="shared" ref="T81:AC81" si="239">T40/T42</f>
        <v>2052.063492063492</v>
      </c>
      <c r="U81" s="144">
        <f t="shared" si="239"/>
        <v>2188.867724867725</v>
      </c>
      <c r="V81" s="144">
        <f t="shared" si="239"/>
        <v>2334.7922398589067</v>
      </c>
      <c r="W81" s="144">
        <f t="shared" si="239"/>
        <v>2490.4450558495009</v>
      </c>
      <c r="X81" s="144">
        <f t="shared" si="239"/>
        <v>2656.4747262394676</v>
      </c>
      <c r="Y81" s="144">
        <f t="shared" si="239"/>
        <v>2833.5730413220995</v>
      </c>
      <c r="Z81" s="144">
        <f t="shared" si="239"/>
        <v>3022.4779107435734</v>
      </c>
      <c r="AA81" s="144">
        <f t="shared" si="239"/>
        <v>3223.9764381264781</v>
      </c>
      <c r="AB81" s="144">
        <f t="shared" si="239"/>
        <v>3438.9082006682434</v>
      </c>
      <c r="AC81" s="144">
        <f t="shared" si="239"/>
        <v>3668.1687473794605</v>
      </c>
      <c r="AD81" s="138">
        <f t="shared" si="236"/>
        <v>0.13707949898024352</v>
      </c>
      <c r="AE81" s="31">
        <f t="shared" si="15"/>
        <v>0.05</v>
      </c>
      <c r="AF81" s="146">
        <f t="shared" si="169"/>
        <v>22656.336380873141</v>
      </c>
    </row>
    <row r="82" spans="2:32" x14ac:dyDescent="0.2">
      <c r="B82" s="20" t="s">
        <v>313</v>
      </c>
      <c r="C82" s="144">
        <f t="shared" ref="C82:P82" si="240">C6/C42</f>
        <v>0</v>
      </c>
      <c r="D82" s="144">
        <f t="shared" si="240"/>
        <v>0</v>
      </c>
      <c r="E82" s="144">
        <f t="shared" si="240"/>
        <v>0</v>
      </c>
      <c r="F82" s="144">
        <f t="shared" si="240"/>
        <v>0</v>
      </c>
      <c r="G82" s="144">
        <f t="shared" si="240"/>
        <v>1666.6666666666667</v>
      </c>
      <c r="H82" s="144">
        <f t="shared" si="240"/>
        <v>1711.9047619047619</v>
      </c>
      <c r="I82" s="144">
        <f t="shared" si="240"/>
        <v>1952.3809523809525</v>
      </c>
      <c r="J82" s="144">
        <f t="shared" si="240"/>
        <v>2330.9523809523812</v>
      </c>
      <c r="K82" s="144">
        <f t="shared" si="240"/>
        <v>2647.6190476190477</v>
      </c>
      <c r="L82" s="144">
        <f t="shared" si="240"/>
        <v>3216.666666666667</v>
      </c>
      <c r="M82" s="144">
        <f t="shared" si="240"/>
        <v>4009.5238095238096</v>
      </c>
      <c r="N82" s="144">
        <f t="shared" si="240"/>
        <v>5450</v>
      </c>
      <c r="O82" s="144">
        <f t="shared" si="240"/>
        <v>6800</v>
      </c>
      <c r="P82" s="144">
        <f t="shared" si="240"/>
        <v>6800</v>
      </c>
      <c r="Q82" s="144">
        <f t="shared" ref="Q82" si="241">Q6/Q42</f>
        <v>6800</v>
      </c>
      <c r="R82" s="118">
        <f>((P82/G82)^(1/($H$2-$H$1) ))-1</f>
        <v>0.15097533330055812</v>
      </c>
      <c r="S82" s="128"/>
      <c r="T82" s="144">
        <f t="shared" ref="T82:AC82" si="242">T6/T42</f>
        <v>7253.3333333333339</v>
      </c>
      <c r="U82" s="144">
        <f t="shared" si="242"/>
        <v>7736.8888888888896</v>
      </c>
      <c r="V82" s="144">
        <f t="shared" si="242"/>
        <v>8252.6814814814825</v>
      </c>
      <c r="W82" s="144">
        <f t="shared" si="242"/>
        <v>8802.8602469135822</v>
      </c>
      <c r="X82" s="144">
        <f t="shared" si="242"/>
        <v>9389.7175967078201</v>
      </c>
      <c r="Y82" s="144">
        <f t="shared" si="242"/>
        <v>10015.698769821674</v>
      </c>
      <c r="Z82" s="144">
        <f t="shared" si="242"/>
        <v>10683.41202114312</v>
      </c>
      <c r="AA82" s="144">
        <f t="shared" si="242"/>
        <v>11395.639489219328</v>
      </c>
      <c r="AB82" s="144">
        <f t="shared" si="242"/>
        <v>12155.348788500618</v>
      </c>
      <c r="AC82" s="144">
        <f t="shared" si="242"/>
        <v>12965.705374400661</v>
      </c>
      <c r="AD82" s="138">
        <f t="shared" si="236"/>
        <v>0.10801941417434646</v>
      </c>
      <c r="AE82" s="31">
        <f t="shared" ref="AE82" si="243">$L$1</f>
        <v>0.05</v>
      </c>
      <c r="AF82" s="146">
        <f t="shared" si="169"/>
        <v>80082.297900709978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310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309</v>
      </c>
      <c r="C86" s="152"/>
      <c r="D86" s="152"/>
      <c r="E86" s="152" t="e">
        <f t="shared" ref="E86:P86" si="244">E36/E25</f>
        <v>#DIV/0!</v>
      </c>
      <c r="F86" s="152" t="e">
        <f t="shared" si="244"/>
        <v>#DIV/0!</v>
      </c>
      <c r="G86" s="152">
        <f t="shared" si="244"/>
        <v>9.5279341706366386E-2</v>
      </c>
      <c r="H86" s="152">
        <f t="shared" si="244"/>
        <v>7.7669902912621352E-2</v>
      </c>
      <c r="I86" s="152">
        <f t="shared" si="244"/>
        <v>6.3739751388521559E-2</v>
      </c>
      <c r="J86" s="152">
        <f t="shared" si="244"/>
        <v>9.7067969791203912E-2</v>
      </c>
      <c r="K86" s="152">
        <f t="shared" si="244"/>
        <v>8.501552795031056E-2</v>
      </c>
      <c r="L86" s="152">
        <f t="shared" si="244"/>
        <v>0.12844371465061119</v>
      </c>
      <c r="M86" s="152">
        <f t="shared" si="244"/>
        <v>0.10913606064566723</v>
      </c>
      <c r="N86" s="152">
        <f t="shared" si="244"/>
        <v>7.7693996373007543E-2</v>
      </c>
      <c r="O86" s="152">
        <f t="shared" si="244"/>
        <v>0.10576203542030431</v>
      </c>
      <c r="P86" s="152">
        <f t="shared" si="244"/>
        <v>0.14471544715447154</v>
      </c>
      <c r="Q86" s="152">
        <f t="shared" ref="Q86" si="245">Q36/Q25</f>
        <v>0.14471544715447154</v>
      </c>
      <c r="R86" s="118">
        <f t="shared" ref="R86:R138" si="246">((P86/G86)^(1/($H$2-$H$1) ))-1</f>
        <v>4.2681370953890907E-2</v>
      </c>
      <c r="S86" s="152"/>
      <c r="T86" s="152">
        <f t="shared" ref="T86:AC86" si="247">T36/T25</f>
        <v>0.14471544715447154</v>
      </c>
      <c r="U86" s="152">
        <f t="shared" si="247"/>
        <v>0.14471544715447154</v>
      </c>
      <c r="V86" s="152">
        <f t="shared" si="247"/>
        <v>0.14471544715447154</v>
      </c>
      <c r="W86" s="152">
        <f t="shared" si="247"/>
        <v>0.14471544715447157</v>
      </c>
      <c r="X86" s="152">
        <f t="shared" si="247"/>
        <v>0.14471544715447154</v>
      </c>
      <c r="Y86" s="152">
        <f t="shared" si="247"/>
        <v>0.14471544715447154</v>
      </c>
      <c r="Z86" s="152">
        <f t="shared" si="247"/>
        <v>0.14471544715447154</v>
      </c>
      <c r="AA86" s="152">
        <f t="shared" si="247"/>
        <v>0.14471544715447154</v>
      </c>
      <c r="AB86" s="152">
        <f t="shared" si="247"/>
        <v>0.14471544715447157</v>
      </c>
      <c r="AC86" s="152">
        <f t="shared" si="247"/>
        <v>0.14471544715447157</v>
      </c>
      <c r="AD86" s="138">
        <f t="shared" ref="AD86:AD125" si="248">((AC86/G86)^(1/($AC$3-$H$1) ))-1</f>
        <v>2.1117706708629669E-2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9">E40/E25</f>
        <v>#DIV/0!</v>
      </c>
      <c r="F87" s="152" t="e">
        <f t="shared" si="249"/>
        <v>#DIV/0!</v>
      </c>
      <c r="G87" s="152">
        <f t="shared" si="249"/>
        <v>5.1104374187960155E-2</v>
      </c>
      <c r="H87" s="152">
        <f t="shared" si="249"/>
        <v>1.1262135922330097E-2</v>
      </c>
      <c r="I87" s="152">
        <f t="shared" si="249"/>
        <v>2.089394340121661E-2</v>
      </c>
      <c r="J87" s="152">
        <f t="shared" si="249"/>
        <v>3.7760995113282986E-2</v>
      </c>
      <c r="K87" s="152">
        <f t="shared" si="249"/>
        <v>2.7756211180124224E-2</v>
      </c>
      <c r="L87" s="152">
        <f t="shared" si="249"/>
        <v>4.579456303594235E-2</v>
      </c>
      <c r="M87" s="152">
        <f t="shared" si="249"/>
        <v>4.6660567246111617E-2</v>
      </c>
      <c r="N87" s="152">
        <f t="shared" si="249"/>
        <v>5.9081798224682638E-2</v>
      </c>
      <c r="O87" s="152">
        <f t="shared" si="249"/>
        <v>4.8224827471522409E-2</v>
      </c>
      <c r="P87" s="152">
        <f t="shared" si="249"/>
        <v>6.5691056910569104E-2</v>
      </c>
      <c r="Q87" s="152">
        <f t="shared" ref="Q87" si="250">Q40/Q25</f>
        <v>6.5691056910569104E-2</v>
      </c>
      <c r="R87" s="118">
        <f t="shared" si="246"/>
        <v>2.5427163039121181E-2</v>
      </c>
      <c r="S87" s="152"/>
      <c r="T87" s="152">
        <f t="shared" ref="T87:AC87" si="251">T40/T25</f>
        <v>6.5691056910569104E-2</v>
      </c>
      <c r="U87" s="152">
        <f t="shared" si="251"/>
        <v>6.5691056910569104E-2</v>
      </c>
      <c r="V87" s="152">
        <f t="shared" si="251"/>
        <v>6.5691056910569104E-2</v>
      </c>
      <c r="W87" s="152">
        <f t="shared" si="251"/>
        <v>6.5691056910569104E-2</v>
      </c>
      <c r="X87" s="152">
        <f t="shared" si="251"/>
        <v>6.5691056910569104E-2</v>
      </c>
      <c r="Y87" s="152">
        <f t="shared" si="251"/>
        <v>6.5691056910569104E-2</v>
      </c>
      <c r="Z87" s="152">
        <f t="shared" si="251"/>
        <v>6.5691056910569104E-2</v>
      </c>
      <c r="AA87" s="152">
        <f t="shared" si="251"/>
        <v>6.5691056910569104E-2</v>
      </c>
      <c r="AB87" s="152">
        <f t="shared" si="251"/>
        <v>6.5691056910569104E-2</v>
      </c>
      <c r="AC87" s="152">
        <f t="shared" si="251"/>
        <v>6.5691056910569118E-2</v>
      </c>
      <c r="AD87" s="138">
        <f t="shared" si="248"/>
        <v>1.2633775379392143E-2</v>
      </c>
      <c r="AE87" s="146"/>
      <c r="AF87" s="146"/>
    </row>
    <row r="88" spans="2:32" x14ac:dyDescent="0.2">
      <c r="B88" s="20" t="s">
        <v>359</v>
      </c>
      <c r="C88" s="152"/>
      <c r="D88" s="152"/>
      <c r="E88" s="152" t="e">
        <f t="shared" ref="E88:O88" si="252">E40/E7</f>
        <v>#DIV/0!</v>
      </c>
      <c r="F88" s="152" t="e">
        <f t="shared" si="252"/>
        <v>#DIV/0!</v>
      </c>
      <c r="G88" s="152">
        <f>G40/G7</f>
        <v>0.16761363636363635</v>
      </c>
      <c r="H88" s="152">
        <f t="shared" si="252"/>
        <v>4.0110650069156296E-2</v>
      </c>
      <c r="I88" s="152">
        <f t="shared" si="252"/>
        <v>9.5873786407766989E-2</v>
      </c>
      <c r="J88" s="152">
        <f t="shared" si="252"/>
        <v>0.17293997965412003</v>
      </c>
      <c r="K88" s="152">
        <f t="shared" si="252"/>
        <v>0.12802148612354522</v>
      </c>
      <c r="L88" s="152">
        <f t="shared" si="252"/>
        <v>0.18523985239852397</v>
      </c>
      <c r="M88" s="152">
        <f t="shared" si="252"/>
        <v>0.21149289099526067</v>
      </c>
      <c r="N88" s="152">
        <f t="shared" si="252"/>
        <v>0.26983435047951176</v>
      </c>
      <c r="O88" s="152">
        <f t="shared" si="252"/>
        <v>0.20272631946871722</v>
      </c>
      <c r="P88" s="152">
        <f t="shared" ref="P88:Q88" si="253">P40/P7</f>
        <v>0.28241873470814399</v>
      </c>
      <c r="Q88" s="152">
        <f t="shared" si="253"/>
        <v>0.28241873470814399</v>
      </c>
      <c r="R88" s="118">
        <f t="shared" si="246"/>
        <v>5.3557918233056778E-2</v>
      </c>
      <c r="S88" s="20"/>
      <c r="T88" s="152">
        <f t="shared" ref="T88" si="254">T40/T7</f>
        <v>0.28241873470814399</v>
      </c>
      <c r="U88" s="152">
        <f t="shared" ref="U88:AC88" si="255">U40/U7</f>
        <v>0.28241873470814399</v>
      </c>
      <c r="V88" s="152">
        <f t="shared" si="255"/>
        <v>0.28241873470814399</v>
      </c>
      <c r="W88" s="152">
        <f t="shared" si="255"/>
        <v>0.28241873470814399</v>
      </c>
      <c r="X88" s="152">
        <f t="shared" si="255"/>
        <v>0.28241873470814399</v>
      </c>
      <c r="Y88" s="152">
        <f t="shared" si="255"/>
        <v>0.28241873470814399</v>
      </c>
      <c r="Z88" s="152">
        <f t="shared" si="255"/>
        <v>0.28241873470814405</v>
      </c>
      <c r="AA88" s="152">
        <f t="shared" si="255"/>
        <v>0.28241873470814405</v>
      </c>
      <c r="AB88" s="152">
        <f t="shared" si="255"/>
        <v>0.28241873470814405</v>
      </c>
      <c r="AC88" s="152">
        <f t="shared" si="255"/>
        <v>0.2824187347081441</v>
      </c>
      <c r="AD88" s="138">
        <f t="shared" si="248"/>
        <v>2.6429694734645182E-2</v>
      </c>
      <c r="AE88" s="146"/>
      <c r="AF88" s="146"/>
    </row>
    <row r="89" spans="2:32" x14ac:dyDescent="0.2">
      <c r="B89" s="20" t="s">
        <v>360</v>
      </c>
      <c r="C89" s="152"/>
      <c r="D89" s="152"/>
      <c r="E89" s="152" t="e">
        <f t="shared" ref="E89:F89" si="256">(E40)/(E7+E10)</f>
        <v>#DIV/0!</v>
      </c>
      <c r="F89" s="152" t="e">
        <f t="shared" si="256"/>
        <v>#DIV/0!</v>
      </c>
      <c r="G89" s="152">
        <f>(G40)/(G7+G10)</f>
        <v>0.11847389558232932</v>
      </c>
      <c r="H89" s="152">
        <f t="shared" ref="H89:O89" si="257">(H40)/(H7+H10)</f>
        <v>2.5823686553873553E-2</v>
      </c>
      <c r="I89" s="152">
        <f t="shared" si="257"/>
        <v>5.7917888563049851E-2</v>
      </c>
      <c r="J89" s="152">
        <f t="shared" si="257"/>
        <v>0.1069182389937107</v>
      </c>
      <c r="K89" s="152">
        <f t="shared" si="257"/>
        <v>6.8783068783068779E-2</v>
      </c>
      <c r="L89" s="152">
        <f t="shared" si="257"/>
        <v>0.15239829993928355</v>
      </c>
      <c r="M89" s="152">
        <f t="shared" si="257"/>
        <v>0.13522727272727272</v>
      </c>
      <c r="N89" s="152">
        <f t="shared" si="257"/>
        <v>0.16246719160104986</v>
      </c>
      <c r="O89" s="152">
        <f t="shared" si="257"/>
        <v>0.12911843276936777</v>
      </c>
      <c r="P89" s="152">
        <f t="shared" ref="P89:Q89" si="258">(P40)/(P7+P10)</f>
        <v>0.1798753339269813</v>
      </c>
      <c r="Q89" s="152">
        <f t="shared" si="258"/>
        <v>0.1798753339269813</v>
      </c>
      <c r="R89" s="118">
        <f t="shared" si="246"/>
        <v>4.2641229625532961E-2</v>
      </c>
      <c r="S89" s="20"/>
      <c r="T89" s="152">
        <f t="shared" ref="T89:AC89" si="259">(T40)/(T7+T10)</f>
        <v>0.17987533392698127</v>
      </c>
      <c r="U89" s="152">
        <f t="shared" si="259"/>
        <v>0.1798753339269813</v>
      </c>
      <c r="V89" s="152">
        <f t="shared" si="259"/>
        <v>0.1798753339269813</v>
      </c>
      <c r="W89" s="152">
        <f t="shared" si="259"/>
        <v>0.1798753339269813</v>
      </c>
      <c r="X89" s="152">
        <f t="shared" si="259"/>
        <v>0.17987533392698127</v>
      </c>
      <c r="Y89" s="152">
        <f t="shared" si="259"/>
        <v>0.17987533392698132</v>
      </c>
      <c r="Z89" s="152">
        <f t="shared" si="259"/>
        <v>0.1798753339269813</v>
      </c>
      <c r="AA89" s="152">
        <f t="shared" si="259"/>
        <v>0.17987533392698132</v>
      </c>
      <c r="AB89" s="152">
        <f t="shared" si="259"/>
        <v>0.1798753339269813</v>
      </c>
      <c r="AC89" s="152">
        <f t="shared" si="259"/>
        <v>0.17987533392698135</v>
      </c>
      <c r="AD89" s="138">
        <f t="shared" si="248"/>
        <v>2.1098050936114943E-2</v>
      </c>
      <c r="AE89" s="146"/>
      <c r="AF89" s="146"/>
    </row>
    <row r="90" spans="2:32" x14ac:dyDescent="0.2">
      <c r="B90" s="20" t="s">
        <v>376</v>
      </c>
      <c r="C90" s="152"/>
      <c r="D90" s="152"/>
      <c r="E90" s="152"/>
      <c r="F90" s="152"/>
      <c r="G90" s="152">
        <f>G20/G25</f>
        <v>4.3308791684711995E-2</v>
      </c>
      <c r="H90" s="152">
        <f t="shared" ref="H90:P90" si="260">H20/H25</f>
        <v>2.4077669902912623E-2</v>
      </c>
      <c r="I90" s="152">
        <f t="shared" si="260"/>
        <v>7.2732081459931236E-2</v>
      </c>
      <c r="J90" s="152">
        <f t="shared" si="260"/>
        <v>6.7969791203909377E-2</v>
      </c>
      <c r="K90" s="152">
        <f t="shared" si="260"/>
        <v>5.2212732919254656E-2</v>
      </c>
      <c r="L90" s="152">
        <f t="shared" si="260"/>
        <v>0.15727057106367451</v>
      </c>
      <c r="M90" s="152">
        <f t="shared" si="260"/>
        <v>2.0520193438766175E-2</v>
      </c>
      <c r="N90" s="152">
        <f t="shared" si="260"/>
        <v>2.6438866087620503E-2</v>
      </c>
      <c r="O90" s="152">
        <f t="shared" si="260"/>
        <v>8.4975471854992934E-2</v>
      </c>
      <c r="P90" s="152">
        <f t="shared" si="260"/>
        <v>8.3089430894308938E-2</v>
      </c>
      <c r="Q90" s="152">
        <f t="shared" ref="Q90" si="261">Q20/Q25</f>
        <v>8.3089430894308938E-2</v>
      </c>
      <c r="R90" s="118">
        <f t="shared" si="246"/>
        <v>6.7325711928701848E-2</v>
      </c>
      <c r="S90" s="20"/>
      <c r="T90" s="152">
        <f t="shared" ref="T90:AC90" si="262">T20/T25</f>
        <v>8.3089430894308938E-2</v>
      </c>
      <c r="U90" s="152">
        <f t="shared" si="262"/>
        <v>8.3089430894308938E-2</v>
      </c>
      <c r="V90" s="152">
        <f t="shared" si="262"/>
        <v>8.3089430894308938E-2</v>
      </c>
      <c r="W90" s="152">
        <f t="shared" si="262"/>
        <v>8.3089430894308938E-2</v>
      </c>
      <c r="X90" s="152">
        <f t="shared" si="262"/>
        <v>8.3089430894308924E-2</v>
      </c>
      <c r="Y90" s="152">
        <f t="shared" si="262"/>
        <v>8.3089430894308924E-2</v>
      </c>
      <c r="Z90" s="152">
        <f t="shared" si="262"/>
        <v>8.3089430894308924E-2</v>
      </c>
      <c r="AA90" s="152">
        <f t="shared" si="262"/>
        <v>8.3089430894308938E-2</v>
      </c>
      <c r="AB90" s="152">
        <f t="shared" si="262"/>
        <v>8.3089430894308952E-2</v>
      </c>
      <c r="AC90" s="152">
        <f t="shared" si="262"/>
        <v>8.3089430894308952E-2</v>
      </c>
      <c r="AD90" s="138">
        <f t="shared" si="248"/>
        <v>3.311456863636475E-2</v>
      </c>
      <c r="AE90" s="146"/>
      <c r="AF90" s="146"/>
    </row>
    <row r="91" spans="2:32" x14ac:dyDescent="0.2">
      <c r="B91" s="20" t="s">
        <v>429</v>
      </c>
      <c r="C91" s="152"/>
      <c r="D91" s="152"/>
      <c r="E91" s="152"/>
      <c r="F91" s="152"/>
      <c r="G91" s="152">
        <f>G52/G25</f>
        <v>2.1654395842355997E-2</v>
      </c>
      <c r="H91" s="152">
        <f t="shared" ref="H91:P91" si="263">H52/H25</f>
        <v>5.8252427184466021E-3</v>
      </c>
      <c r="I91" s="152">
        <f t="shared" si="263"/>
        <v>5.2896059243586349E-3</v>
      </c>
      <c r="J91" s="152">
        <f t="shared" si="263"/>
        <v>1.9768991559306975E-2</v>
      </c>
      <c r="K91" s="152">
        <f t="shared" si="263"/>
        <v>1.0869565217391304E-2</v>
      </c>
      <c r="L91" s="152">
        <f t="shared" si="263"/>
        <v>2.6455026455026454E-2</v>
      </c>
      <c r="M91" s="152">
        <f t="shared" si="263"/>
        <v>2.3395634557574173E-2</v>
      </c>
      <c r="N91" s="152">
        <f t="shared" si="263"/>
        <v>2.6152524577646274E-2</v>
      </c>
      <c r="O91" s="152">
        <f t="shared" si="263"/>
        <v>2.1867464870707575E-2</v>
      </c>
      <c r="P91" s="152">
        <f t="shared" si="263"/>
        <v>3.4715447154471543E-2</v>
      </c>
      <c r="Q91" s="152">
        <f t="shared" ref="Q91" si="264">Q52/Q25</f>
        <v>3.4715447154471543E-2</v>
      </c>
      <c r="R91" s="118">
        <f t="shared" si="246"/>
        <v>4.8329167364695724E-2</v>
      </c>
      <c r="S91" s="20"/>
      <c r="T91" s="152">
        <f t="shared" ref="T91:AC91" si="265">T52/T25</f>
        <v>3.4715447154471543E-2</v>
      </c>
      <c r="U91" s="152">
        <f t="shared" si="265"/>
        <v>3.4715447154471543E-2</v>
      </c>
      <c r="V91" s="152">
        <f t="shared" si="265"/>
        <v>3.471544715447155E-2</v>
      </c>
      <c r="W91" s="152">
        <f t="shared" si="265"/>
        <v>3.4715447154471543E-2</v>
      </c>
      <c r="X91" s="152">
        <f t="shared" si="265"/>
        <v>3.471544715447155E-2</v>
      </c>
      <c r="Y91" s="152">
        <f t="shared" si="265"/>
        <v>3.4715447154471536E-2</v>
      </c>
      <c r="Z91" s="152">
        <f t="shared" si="265"/>
        <v>3.4715447154471529E-2</v>
      </c>
      <c r="AA91" s="152">
        <f t="shared" si="265"/>
        <v>3.4715447154471529E-2</v>
      </c>
      <c r="AB91" s="152">
        <f t="shared" si="265"/>
        <v>3.4715447154471536E-2</v>
      </c>
      <c r="AC91" s="152">
        <f t="shared" si="265"/>
        <v>3.4715447154471536E-2</v>
      </c>
      <c r="AD91" s="138">
        <f t="shared" si="248"/>
        <v>2.3879469158697209E-2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323</v>
      </c>
      <c r="C93" s="152"/>
      <c r="D93" s="152"/>
      <c r="E93" s="152"/>
      <c r="F93" s="152"/>
      <c r="G93" s="152">
        <f>G29/G25</f>
        <v>1.7323516673884799E-2</v>
      </c>
      <c r="H93" s="152">
        <f t="shared" ref="H93:P93" si="266">H29/H25</f>
        <v>1.2427184466019418E-2</v>
      </c>
      <c r="I93" s="152">
        <f t="shared" si="266"/>
        <v>1.3224014810896589E-2</v>
      </c>
      <c r="J93" s="152">
        <f t="shared" si="266"/>
        <v>1.1106175033318524E-2</v>
      </c>
      <c r="K93" s="152">
        <f t="shared" si="266"/>
        <v>1.281055900621118E-2</v>
      </c>
      <c r="L93" s="152">
        <f t="shared" si="266"/>
        <v>1.2588943623426382E-2</v>
      </c>
      <c r="M93" s="152">
        <f t="shared" si="266"/>
        <v>8.2342177493138144E-3</v>
      </c>
      <c r="N93" s="152">
        <f t="shared" si="266"/>
        <v>8.8765868092011077E-3</v>
      </c>
      <c r="O93" s="152">
        <f t="shared" si="266"/>
        <v>1.3220254427538039E-2</v>
      </c>
      <c r="P93" s="152">
        <f t="shared" si="266"/>
        <v>1.5934959349593495E-2</v>
      </c>
      <c r="Q93" s="152">
        <f t="shared" ref="Q93" si="267">Q29/Q25</f>
        <v>1.5934959349593495E-2</v>
      </c>
      <c r="R93" s="118">
        <f t="shared" si="246"/>
        <v>-8.3201470722712445E-3</v>
      </c>
      <c r="S93" s="20"/>
      <c r="T93" s="152">
        <f t="shared" ref="T93:AC93" si="268">T29/T25</f>
        <v>1.5934959349593495E-2</v>
      </c>
      <c r="U93" s="152">
        <f t="shared" si="268"/>
        <v>1.5934959349593495E-2</v>
      </c>
      <c r="V93" s="152">
        <f t="shared" si="268"/>
        <v>1.5934959349593492E-2</v>
      </c>
      <c r="W93" s="152">
        <f t="shared" si="268"/>
        <v>1.5934959349593495E-2</v>
      </c>
      <c r="X93" s="152">
        <f t="shared" si="268"/>
        <v>1.5934959349593492E-2</v>
      </c>
      <c r="Y93" s="152">
        <f t="shared" si="268"/>
        <v>1.5934959349593492E-2</v>
      </c>
      <c r="Z93" s="152">
        <f t="shared" si="268"/>
        <v>1.5934959349593488E-2</v>
      </c>
      <c r="AA93" s="152">
        <f t="shared" si="268"/>
        <v>1.5934959349593492E-2</v>
      </c>
      <c r="AB93" s="152">
        <f t="shared" si="268"/>
        <v>1.5934959349593492E-2</v>
      </c>
      <c r="AC93" s="152">
        <f t="shared" si="268"/>
        <v>1.5934959349593492E-2</v>
      </c>
      <c r="AD93" s="138">
        <f t="shared" si="248"/>
        <v>-4.1687628278932465E-3</v>
      </c>
      <c r="AE93" s="146"/>
      <c r="AF93" s="146"/>
    </row>
    <row r="94" spans="2:32" x14ac:dyDescent="0.2">
      <c r="B94" s="20" t="s">
        <v>369</v>
      </c>
      <c r="C94" s="152"/>
      <c r="D94" s="152"/>
      <c r="E94" s="152"/>
      <c r="F94" s="152"/>
      <c r="G94" s="152">
        <f>G29/G36</f>
        <v>0.18181818181818182</v>
      </c>
      <c r="H94" s="152">
        <f t="shared" ref="H94:P94" si="269">H29/H36</f>
        <v>0.16</v>
      </c>
      <c r="I94" s="152">
        <f t="shared" si="269"/>
        <v>0.2074688796680498</v>
      </c>
      <c r="J94" s="152">
        <f t="shared" si="269"/>
        <v>0.11441647597254005</v>
      </c>
      <c r="K94" s="152">
        <f t="shared" si="269"/>
        <v>0.15068493150684931</v>
      </c>
      <c r="L94" s="152">
        <f t="shared" si="269"/>
        <v>9.8011363636363633E-2</v>
      </c>
      <c r="M94" s="152">
        <f t="shared" si="269"/>
        <v>7.5449101796407181E-2</v>
      </c>
      <c r="N94" s="152">
        <f t="shared" si="269"/>
        <v>0.11425061425061425</v>
      </c>
      <c r="O94" s="152">
        <f t="shared" si="269"/>
        <v>0.125</v>
      </c>
      <c r="P94" s="152">
        <f t="shared" si="269"/>
        <v>0.1101123595505618</v>
      </c>
      <c r="Q94" s="152">
        <f t="shared" ref="Q94" si="270">Q29/Q36</f>
        <v>0.1101123595505618</v>
      </c>
      <c r="R94" s="118">
        <f t="shared" ref="R94" si="271">((P94/G94)^(1/($H$2-$H$1) ))-1</f>
        <v>-4.8913809574926637E-2</v>
      </c>
      <c r="S94" s="20"/>
      <c r="T94" s="152">
        <f t="shared" ref="T94:AC94" si="272">T29/T36</f>
        <v>0.1101123595505618</v>
      </c>
      <c r="U94" s="152">
        <f t="shared" si="272"/>
        <v>0.1101123595505618</v>
      </c>
      <c r="V94" s="152">
        <f t="shared" si="272"/>
        <v>0.11011235955056178</v>
      </c>
      <c r="W94" s="152">
        <f t="shared" si="272"/>
        <v>0.11011235955056177</v>
      </c>
      <c r="X94" s="152">
        <f t="shared" si="272"/>
        <v>0.11011235955056176</v>
      </c>
      <c r="Y94" s="152">
        <f t="shared" si="272"/>
        <v>0.11011235955056176</v>
      </c>
      <c r="Z94" s="152">
        <f t="shared" si="272"/>
        <v>0.11011235955056176</v>
      </c>
      <c r="AA94" s="152">
        <f t="shared" si="272"/>
        <v>0.11011235955056176</v>
      </c>
      <c r="AB94" s="152">
        <f t="shared" si="272"/>
        <v>0.11011235955056174</v>
      </c>
      <c r="AC94" s="152">
        <f t="shared" si="272"/>
        <v>0.11011235955056174</v>
      </c>
      <c r="AD94" s="138">
        <f t="shared" ref="AD94" si="273">((AC94/G94)^(1/($AC$3-$H$1) ))-1</f>
        <v>-2.4763520767873803E-2</v>
      </c>
      <c r="AE94" s="146"/>
      <c r="AF94" s="146"/>
    </row>
    <row r="95" spans="2:32" ht="12" customHeight="1" x14ac:dyDescent="0.2">
      <c r="B95" s="20" t="s">
        <v>368</v>
      </c>
      <c r="C95" s="152"/>
      <c r="D95" s="152"/>
      <c r="E95" s="152"/>
      <c r="F95" s="152"/>
      <c r="G95" s="171">
        <f t="shared" ref="G95:P95" si="274">G29/G40</f>
        <v>0.33898305084745761</v>
      </c>
      <c r="H95" s="171">
        <f t="shared" si="274"/>
        <v>1.103448275862069</v>
      </c>
      <c r="I95" s="171">
        <f t="shared" si="274"/>
        <v>0.63291139240506333</v>
      </c>
      <c r="J95" s="171">
        <f t="shared" si="274"/>
        <v>0.29411764705882354</v>
      </c>
      <c r="K95" s="171">
        <f t="shared" si="274"/>
        <v>0.46153846153846156</v>
      </c>
      <c r="L95" s="171">
        <f t="shared" si="274"/>
        <v>0.27490039840637448</v>
      </c>
      <c r="M95" s="171">
        <f t="shared" si="274"/>
        <v>0.17647058823529413</v>
      </c>
      <c r="N95" s="171">
        <f t="shared" si="274"/>
        <v>0.15024232633279483</v>
      </c>
      <c r="O95" s="171">
        <f t="shared" si="274"/>
        <v>0.27413793103448275</v>
      </c>
      <c r="P95" s="171">
        <f t="shared" si="274"/>
        <v>0.24257425742574257</v>
      </c>
      <c r="Q95" s="171">
        <f t="shared" ref="Q95" si="275">Q29/Q40</f>
        <v>0.24257425742574257</v>
      </c>
      <c r="R95" s="118">
        <f t="shared" ref="R95" si="276">((P95/G95)^(1/($H$2-$H$1) ))-1</f>
        <v>-3.2910489723495751E-2</v>
      </c>
      <c r="S95" s="20"/>
      <c r="T95" s="171">
        <f t="shared" ref="T95:AC95" si="277">T29/T40</f>
        <v>0.24257425742574257</v>
      </c>
      <c r="U95" s="171">
        <f t="shared" si="277"/>
        <v>0.24257425742574257</v>
      </c>
      <c r="V95" s="171">
        <f t="shared" si="277"/>
        <v>0.24257425742574257</v>
      </c>
      <c r="W95" s="171">
        <f t="shared" si="277"/>
        <v>0.24257425742574254</v>
      </c>
      <c r="X95" s="171">
        <f t="shared" si="277"/>
        <v>0.24257425742574254</v>
      </c>
      <c r="Y95" s="171">
        <f t="shared" si="277"/>
        <v>0.24257425742574251</v>
      </c>
      <c r="Z95" s="171">
        <f t="shared" si="277"/>
        <v>0.24257425742574248</v>
      </c>
      <c r="AA95" s="171">
        <f t="shared" si="277"/>
        <v>0.24257425742574248</v>
      </c>
      <c r="AB95" s="171">
        <f t="shared" si="277"/>
        <v>0.24257425742574248</v>
      </c>
      <c r="AC95" s="171">
        <f t="shared" si="277"/>
        <v>0.24257425742574246</v>
      </c>
      <c r="AD95" s="138">
        <f t="shared" ref="AD95" si="278">((AC95/G95)^(1/($AC$3-$H$1) ))-1</f>
        <v>-1.6592907145517755E-2</v>
      </c>
      <c r="AE95" s="146"/>
      <c r="AF95" s="146"/>
    </row>
    <row r="96" spans="2:32" ht="12" customHeight="1" x14ac:dyDescent="0.2">
      <c r="B96" s="20" t="s">
        <v>325</v>
      </c>
      <c r="C96" s="152"/>
      <c r="D96" s="152"/>
      <c r="E96" s="152"/>
      <c r="F96" s="152"/>
      <c r="G96" s="171">
        <f t="shared" ref="G96:P96" si="279">G29/G12</f>
        <v>1</v>
      </c>
      <c r="H96" s="171">
        <f t="shared" si="279"/>
        <v>0.88888888888888884</v>
      </c>
      <c r="I96" s="171">
        <f t="shared" si="279"/>
        <v>0.94339622641509435</v>
      </c>
      <c r="J96" s="171">
        <f t="shared" si="279"/>
        <v>0.68493150684931503</v>
      </c>
      <c r="K96" s="171">
        <f t="shared" si="279"/>
        <v>0.6470588235294118</v>
      </c>
      <c r="L96" s="171">
        <f t="shared" si="279"/>
        <v>1.1499999999999999</v>
      </c>
      <c r="M96" s="171">
        <f t="shared" si="279"/>
        <v>1.1666666666666667</v>
      </c>
      <c r="N96" s="171">
        <f t="shared" si="279"/>
        <v>1.603448275862069</v>
      </c>
      <c r="O96" s="171">
        <f t="shared" si="279"/>
        <v>2.4461538461538463</v>
      </c>
      <c r="P96" s="171">
        <f t="shared" si="279"/>
        <v>3.0153846153846153</v>
      </c>
      <c r="Q96" s="171">
        <f t="shared" ref="Q96" si="280">Q29/Q12</f>
        <v>3.0153846153846153</v>
      </c>
      <c r="R96" s="118">
        <f t="shared" si="246"/>
        <v>0.11669422831062892</v>
      </c>
      <c r="S96" s="20"/>
      <c r="T96" s="152">
        <f t="shared" ref="T96:AC96" si="281">T29/T12</f>
        <v>3.0153846153846149</v>
      </c>
      <c r="U96" s="152">
        <f t="shared" si="281"/>
        <v>3.0153846153846153</v>
      </c>
      <c r="V96" s="152">
        <f t="shared" si="281"/>
        <v>3.0153846153846149</v>
      </c>
      <c r="W96" s="152">
        <f t="shared" si="281"/>
        <v>3.0153846153846153</v>
      </c>
      <c r="X96" s="152">
        <f t="shared" si="281"/>
        <v>3.0153846153846153</v>
      </c>
      <c r="Y96" s="152">
        <f t="shared" si="281"/>
        <v>3.0153846153846153</v>
      </c>
      <c r="Z96" s="152">
        <f t="shared" si="281"/>
        <v>3.0153846153846153</v>
      </c>
      <c r="AA96" s="152">
        <f t="shared" si="281"/>
        <v>3.0153846153846153</v>
      </c>
      <c r="AB96" s="152">
        <f t="shared" si="281"/>
        <v>3.0153846153846149</v>
      </c>
      <c r="AC96" s="152">
        <f t="shared" si="281"/>
        <v>3.0153846153846149</v>
      </c>
      <c r="AD96" s="138">
        <f t="shared" si="248"/>
        <v>5.6737539936302595E-2</v>
      </c>
      <c r="AE96" s="146"/>
      <c r="AF96" s="146"/>
    </row>
    <row r="97" spans="2:32" ht="12" customHeight="1" x14ac:dyDescent="0.2">
      <c r="B97" s="20" t="s">
        <v>370</v>
      </c>
      <c r="C97" s="152"/>
      <c r="D97" s="152"/>
      <c r="E97" s="152"/>
      <c r="F97" s="152"/>
      <c r="G97" s="171">
        <f>G29/G23</f>
        <v>0.35714285714285715</v>
      </c>
      <c r="H97" s="171">
        <f t="shared" ref="H97:P97" si="282">H29/H23</f>
        <v>0.55172413793103448</v>
      </c>
      <c r="I97" s="171">
        <f t="shared" si="282"/>
        <v>0.94339622641509435</v>
      </c>
      <c r="J97" s="171">
        <f t="shared" si="282"/>
        <v>0.68493150684931503</v>
      </c>
      <c r="K97" s="171">
        <f t="shared" si="282"/>
        <v>0.6470588235294118</v>
      </c>
      <c r="L97" s="171">
        <f t="shared" si="282"/>
        <v>1.1499999999999999</v>
      </c>
      <c r="M97" s="171">
        <f t="shared" si="282"/>
        <v>1.1886792452830188</v>
      </c>
      <c r="N97" s="171">
        <f t="shared" si="282"/>
        <v>1.631578947368421</v>
      </c>
      <c r="O97" s="171">
        <f t="shared" si="282"/>
        <v>2.6949152542372881</v>
      </c>
      <c r="P97" s="171">
        <f t="shared" si="282"/>
        <v>0.68771929824561406</v>
      </c>
      <c r="Q97" s="171">
        <f t="shared" ref="Q97" si="283">Q29/Q23</f>
        <v>0.68771929824561406</v>
      </c>
      <c r="R97" s="118">
        <f t="shared" ref="R97" si="284">((P97/G97)^(1/($H$2-$H$1) ))-1</f>
        <v>6.7718885017000741E-2</v>
      </c>
      <c r="S97" s="20"/>
      <c r="T97" s="171">
        <f t="shared" ref="T97:AC97" si="285">T29/T23</f>
        <v>0.68771929824561395</v>
      </c>
      <c r="U97" s="171">
        <f t="shared" si="285"/>
        <v>0.68771929824561395</v>
      </c>
      <c r="V97" s="171">
        <f t="shared" si="285"/>
        <v>0.68771929824561384</v>
      </c>
      <c r="W97" s="171">
        <f t="shared" si="285"/>
        <v>0.68771929824561384</v>
      </c>
      <c r="X97" s="171">
        <f t="shared" si="285"/>
        <v>0.68771929824561384</v>
      </c>
      <c r="Y97" s="171">
        <f t="shared" si="285"/>
        <v>0.68771929824561384</v>
      </c>
      <c r="Z97" s="171">
        <f t="shared" si="285"/>
        <v>0.68771929824561373</v>
      </c>
      <c r="AA97" s="171">
        <f t="shared" si="285"/>
        <v>0.68771929824561373</v>
      </c>
      <c r="AB97" s="171">
        <f t="shared" si="285"/>
        <v>0.68771929824561373</v>
      </c>
      <c r="AC97" s="171">
        <f t="shared" si="285"/>
        <v>0.68771929824561373</v>
      </c>
      <c r="AD97" s="138">
        <f t="shared" ref="AD97" si="286">((AC97/G97)^(1/($AC$3-$H$1) ))-1</f>
        <v>3.3304836443244668E-2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403</v>
      </c>
      <c r="C99" s="152"/>
      <c r="D99" s="152"/>
      <c r="E99" s="152"/>
      <c r="F99" s="152"/>
      <c r="G99" s="127">
        <f>1/G93</f>
        <v>57.724999999999994</v>
      </c>
      <c r="H99" s="127">
        <f t="shared" ref="H99:P99" si="287">1/H93</f>
        <v>80.46875</v>
      </c>
      <c r="I99" s="127">
        <f t="shared" si="287"/>
        <v>75.61999999999999</v>
      </c>
      <c r="J99" s="127">
        <f t="shared" si="287"/>
        <v>90.04</v>
      </c>
      <c r="K99" s="127">
        <f t="shared" si="287"/>
        <v>78.060606060606062</v>
      </c>
      <c r="L99" s="127">
        <f t="shared" si="287"/>
        <v>79.434782608695656</v>
      </c>
      <c r="M99" s="127">
        <f t="shared" si="287"/>
        <v>121.44444444444446</v>
      </c>
      <c r="N99" s="127">
        <f t="shared" si="287"/>
        <v>112.65591397849462</v>
      </c>
      <c r="O99" s="127">
        <f t="shared" si="287"/>
        <v>75.64150943396227</v>
      </c>
      <c r="P99" s="127">
        <f t="shared" si="287"/>
        <v>62.755102040816332</v>
      </c>
      <c r="Q99" s="127">
        <f t="shared" ref="Q99" si="288">1/Q93</f>
        <v>62.755102040816332</v>
      </c>
      <c r="R99" s="118">
        <f t="shared" si="246"/>
        <v>8.3899527127708762E-3</v>
      </c>
      <c r="S99" s="20"/>
      <c r="T99" s="127">
        <f t="shared" ref="T99:AC99" si="289">1/T93</f>
        <v>62.755102040816332</v>
      </c>
      <c r="U99" s="127">
        <f t="shared" si="289"/>
        <v>62.755102040816332</v>
      </c>
      <c r="V99" s="127">
        <f t="shared" si="289"/>
        <v>62.755102040816347</v>
      </c>
      <c r="W99" s="127">
        <f t="shared" si="289"/>
        <v>62.755102040816332</v>
      </c>
      <c r="X99" s="127">
        <f t="shared" si="289"/>
        <v>62.755102040816347</v>
      </c>
      <c r="Y99" s="127">
        <f t="shared" si="289"/>
        <v>62.755102040816347</v>
      </c>
      <c r="Z99" s="127">
        <f t="shared" si="289"/>
        <v>62.755102040816354</v>
      </c>
      <c r="AA99" s="127">
        <f t="shared" si="289"/>
        <v>62.755102040816347</v>
      </c>
      <c r="AB99" s="127">
        <f t="shared" si="289"/>
        <v>62.755102040816347</v>
      </c>
      <c r="AC99" s="127">
        <f t="shared" si="289"/>
        <v>62.755102040816347</v>
      </c>
      <c r="AD99" s="138">
        <f t="shared" si="248"/>
        <v>4.186214161880919E-3</v>
      </c>
      <c r="AE99" s="146"/>
      <c r="AF99" s="146"/>
    </row>
    <row r="100" spans="2:32" ht="12" customHeight="1" x14ac:dyDescent="0.2">
      <c r="B100" s="20" t="s">
        <v>404</v>
      </c>
      <c r="C100" s="152"/>
      <c r="D100" s="152"/>
      <c r="E100" s="152"/>
      <c r="F100" s="152"/>
      <c r="G100" s="127">
        <f t="shared" ref="G100:P103" si="290">1/G94</f>
        <v>5.5</v>
      </c>
      <c r="H100" s="127">
        <f t="shared" si="290"/>
        <v>6.25</v>
      </c>
      <c r="I100" s="127">
        <f t="shared" si="290"/>
        <v>4.8199999999999994</v>
      </c>
      <c r="J100" s="127">
        <f t="shared" si="290"/>
        <v>8.74</v>
      </c>
      <c r="K100" s="127">
        <f t="shared" si="290"/>
        <v>6.6363636363636367</v>
      </c>
      <c r="L100" s="127">
        <f t="shared" si="290"/>
        <v>10.202898550724639</v>
      </c>
      <c r="M100" s="127">
        <f t="shared" si="290"/>
        <v>13.253968253968255</v>
      </c>
      <c r="N100" s="127">
        <f t="shared" si="290"/>
        <v>8.7526881720430101</v>
      </c>
      <c r="O100" s="127">
        <f t="shared" si="290"/>
        <v>8</v>
      </c>
      <c r="P100" s="127">
        <f t="shared" si="290"/>
        <v>9.0816326530612237</v>
      </c>
      <c r="Q100" s="127">
        <f t="shared" ref="Q100" si="291">1/Q94</f>
        <v>9.0816326530612237</v>
      </c>
      <c r="R100" s="118">
        <f t="shared" si="246"/>
        <v>5.1429418350681155E-2</v>
      </c>
      <c r="S100" s="20"/>
      <c r="T100" s="127">
        <f t="shared" ref="T100:AC100" si="292">1/T94</f>
        <v>9.0816326530612237</v>
      </c>
      <c r="U100" s="127">
        <f t="shared" si="292"/>
        <v>9.0816326530612237</v>
      </c>
      <c r="V100" s="127">
        <f t="shared" si="292"/>
        <v>9.0816326530612255</v>
      </c>
      <c r="W100" s="127">
        <f t="shared" si="292"/>
        <v>9.0816326530612272</v>
      </c>
      <c r="X100" s="127">
        <f t="shared" si="292"/>
        <v>9.0816326530612272</v>
      </c>
      <c r="Y100" s="127">
        <f t="shared" si="292"/>
        <v>9.0816326530612272</v>
      </c>
      <c r="Z100" s="127">
        <f t="shared" si="292"/>
        <v>9.0816326530612272</v>
      </c>
      <c r="AA100" s="127">
        <f t="shared" si="292"/>
        <v>9.0816326530612272</v>
      </c>
      <c r="AB100" s="127">
        <f t="shared" si="292"/>
        <v>9.081632653061229</v>
      </c>
      <c r="AC100" s="127">
        <f t="shared" si="292"/>
        <v>9.081632653061229</v>
      </c>
      <c r="AD100" s="138">
        <f t="shared" si="248"/>
        <v>2.5392324113400644E-2</v>
      </c>
      <c r="AE100" s="146"/>
      <c r="AF100" s="146"/>
    </row>
    <row r="101" spans="2:32" ht="12" customHeight="1" x14ac:dyDescent="0.2">
      <c r="B101" s="20" t="s">
        <v>405</v>
      </c>
      <c r="C101" s="152"/>
      <c r="D101" s="152"/>
      <c r="E101" s="152"/>
      <c r="F101" s="152"/>
      <c r="G101" s="127">
        <f t="shared" si="290"/>
        <v>2.95</v>
      </c>
      <c r="H101" s="127">
        <f t="shared" si="290"/>
        <v>0.90625</v>
      </c>
      <c r="I101" s="127">
        <f t="shared" si="290"/>
        <v>1.5799999999999998</v>
      </c>
      <c r="J101" s="127">
        <f t="shared" si="290"/>
        <v>3.4</v>
      </c>
      <c r="K101" s="127">
        <f t="shared" si="290"/>
        <v>2.1666666666666665</v>
      </c>
      <c r="L101" s="127">
        <f t="shared" si="290"/>
        <v>3.63768115942029</v>
      </c>
      <c r="M101" s="127">
        <f t="shared" si="290"/>
        <v>5.6666666666666661</v>
      </c>
      <c r="N101" s="127">
        <f t="shared" si="290"/>
        <v>6.655913978494624</v>
      </c>
      <c r="O101" s="127">
        <f t="shared" si="290"/>
        <v>3.6477987421383649</v>
      </c>
      <c r="P101" s="127">
        <f t="shared" si="290"/>
        <v>4.1224489795918364</v>
      </c>
      <c r="Q101" s="127">
        <f t="shared" ref="Q101" si="293">1/Q95</f>
        <v>4.1224489795918364</v>
      </c>
      <c r="R101" s="118">
        <f t="shared" si="246"/>
        <v>3.40304484474101E-2</v>
      </c>
      <c r="S101" s="20"/>
      <c r="T101" s="127">
        <f t="shared" ref="T101:AC101" si="294">1/T95</f>
        <v>4.1224489795918364</v>
      </c>
      <c r="U101" s="127">
        <f t="shared" si="294"/>
        <v>4.1224489795918364</v>
      </c>
      <c r="V101" s="127">
        <f t="shared" si="294"/>
        <v>4.1224489795918364</v>
      </c>
      <c r="W101" s="127">
        <f t="shared" si="294"/>
        <v>4.1224489795918373</v>
      </c>
      <c r="X101" s="127">
        <f t="shared" si="294"/>
        <v>4.1224489795918373</v>
      </c>
      <c r="Y101" s="127">
        <f t="shared" si="294"/>
        <v>4.1224489795918382</v>
      </c>
      <c r="Z101" s="127">
        <f t="shared" si="294"/>
        <v>4.1224489795918382</v>
      </c>
      <c r="AA101" s="127">
        <f t="shared" si="294"/>
        <v>4.1224489795918382</v>
      </c>
      <c r="AB101" s="127">
        <f t="shared" si="294"/>
        <v>4.1224489795918382</v>
      </c>
      <c r="AC101" s="127">
        <f t="shared" si="294"/>
        <v>4.1224489795918391</v>
      </c>
      <c r="AD101" s="138">
        <f t="shared" si="248"/>
        <v>1.6872877230684313E-2</v>
      </c>
      <c r="AE101" s="146"/>
      <c r="AF101" s="146"/>
    </row>
    <row r="102" spans="2:32" ht="12" customHeight="1" x14ac:dyDescent="0.2">
      <c r="B102" s="20" t="s">
        <v>406</v>
      </c>
      <c r="C102" s="152"/>
      <c r="D102" s="152"/>
      <c r="E102" s="152"/>
      <c r="F102" s="152"/>
      <c r="G102" s="127">
        <f t="shared" si="290"/>
        <v>1</v>
      </c>
      <c r="H102" s="127">
        <f t="shared" si="290"/>
        <v>1.125</v>
      </c>
      <c r="I102" s="127">
        <f t="shared" si="290"/>
        <v>1.06</v>
      </c>
      <c r="J102" s="127">
        <f t="shared" si="290"/>
        <v>1.4600000000000002</v>
      </c>
      <c r="K102" s="127">
        <f t="shared" si="290"/>
        <v>1.5454545454545454</v>
      </c>
      <c r="L102" s="127">
        <f t="shared" si="290"/>
        <v>0.86956521739130443</v>
      </c>
      <c r="M102" s="127">
        <f t="shared" si="290"/>
        <v>0.8571428571428571</v>
      </c>
      <c r="N102" s="127">
        <f t="shared" si="290"/>
        <v>0.62365591397849462</v>
      </c>
      <c r="O102" s="127">
        <f t="shared" si="290"/>
        <v>0.40880503144654085</v>
      </c>
      <c r="P102" s="127">
        <f t="shared" si="290"/>
        <v>0.33163265306122447</v>
      </c>
      <c r="Q102" s="127">
        <f t="shared" ref="Q102" si="295">1/Q96</f>
        <v>0.33163265306122447</v>
      </c>
      <c r="R102" s="118">
        <f t="shared" si="246"/>
        <v>-0.10449971474032571</v>
      </c>
      <c r="S102" s="20"/>
      <c r="T102" s="127">
        <f t="shared" ref="T102:AC102" si="296">1/T96</f>
        <v>0.33163265306122452</v>
      </c>
      <c r="U102" s="127">
        <f t="shared" si="296"/>
        <v>0.33163265306122447</v>
      </c>
      <c r="V102" s="127">
        <f t="shared" si="296"/>
        <v>0.33163265306122452</v>
      </c>
      <c r="W102" s="127">
        <f t="shared" si="296"/>
        <v>0.33163265306122447</v>
      </c>
      <c r="X102" s="127">
        <f t="shared" si="296"/>
        <v>0.33163265306122447</v>
      </c>
      <c r="Y102" s="127">
        <f t="shared" si="296"/>
        <v>0.33163265306122447</v>
      </c>
      <c r="Z102" s="127">
        <f t="shared" si="296"/>
        <v>0.33163265306122447</v>
      </c>
      <c r="AA102" s="127">
        <f t="shared" si="296"/>
        <v>0.33163265306122447</v>
      </c>
      <c r="AB102" s="127">
        <f t="shared" si="296"/>
        <v>0.33163265306122452</v>
      </c>
      <c r="AC102" s="127">
        <f t="shared" si="296"/>
        <v>0.33163265306122452</v>
      </c>
      <c r="AD102" s="138">
        <f t="shared" si="248"/>
        <v>-5.3691231542434492E-2</v>
      </c>
      <c r="AE102" s="146"/>
      <c r="AF102" s="146"/>
    </row>
    <row r="103" spans="2:32" ht="12" customHeight="1" x14ac:dyDescent="0.2">
      <c r="B103" s="20" t="s">
        <v>407</v>
      </c>
      <c r="C103" s="152"/>
      <c r="D103" s="152"/>
      <c r="E103" s="152"/>
      <c r="F103" s="152"/>
      <c r="G103" s="127">
        <f t="shared" si="290"/>
        <v>2.8</v>
      </c>
      <c r="H103" s="127">
        <f t="shared" si="290"/>
        <v>1.8125</v>
      </c>
      <c r="I103" s="127">
        <f t="shared" si="290"/>
        <v>1.06</v>
      </c>
      <c r="J103" s="127">
        <f t="shared" si="290"/>
        <v>1.4600000000000002</v>
      </c>
      <c r="K103" s="127">
        <f t="shared" si="290"/>
        <v>1.5454545454545454</v>
      </c>
      <c r="L103" s="127">
        <f t="shared" si="290"/>
        <v>0.86956521739130443</v>
      </c>
      <c r="M103" s="127">
        <f t="shared" si="290"/>
        <v>0.84126984126984128</v>
      </c>
      <c r="N103" s="127">
        <f t="shared" si="290"/>
        <v>0.61290322580645162</v>
      </c>
      <c r="O103" s="127">
        <f t="shared" si="290"/>
        <v>0.37106918238993714</v>
      </c>
      <c r="P103" s="127">
        <f t="shared" si="290"/>
        <v>1.4540816326530612</v>
      </c>
      <c r="Q103" s="127">
        <f t="shared" ref="Q103" si="297">1/Q97</f>
        <v>1.4540816326530612</v>
      </c>
      <c r="R103" s="118">
        <f t="shared" si="246"/>
        <v>-6.3423889908927111E-2</v>
      </c>
      <c r="S103" s="20"/>
      <c r="T103" s="127">
        <f t="shared" ref="T103:AC103" si="298">1/T97</f>
        <v>1.4540816326530615</v>
      </c>
      <c r="U103" s="127">
        <f t="shared" si="298"/>
        <v>1.4540816326530615</v>
      </c>
      <c r="V103" s="127">
        <f t="shared" si="298"/>
        <v>1.4540816326530617</v>
      </c>
      <c r="W103" s="127">
        <f t="shared" si="298"/>
        <v>1.4540816326530617</v>
      </c>
      <c r="X103" s="127">
        <f t="shared" si="298"/>
        <v>1.4540816326530617</v>
      </c>
      <c r="Y103" s="127">
        <f t="shared" si="298"/>
        <v>1.4540816326530617</v>
      </c>
      <c r="Z103" s="127">
        <f t="shared" si="298"/>
        <v>1.4540816326530619</v>
      </c>
      <c r="AA103" s="127">
        <f t="shared" si="298"/>
        <v>1.4540816326530619</v>
      </c>
      <c r="AB103" s="127">
        <f t="shared" si="298"/>
        <v>1.4540816326530619</v>
      </c>
      <c r="AC103" s="127">
        <f t="shared" si="298"/>
        <v>1.4540816326530619</v>
      </c>
      <c r="AD103" s="138">
        <f t="shared" si="248"/>
        <v>-3.2231375745693569E-2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326</v>
      </c>
      <c r="C106" s="152"/>
      <c r="D106" s="152"/>
      <c r="E106" s="152"/>
      <c r="F106" s="163">
        <f t="shared" ref="F106:O106" si="299">F10-(F12+F13)</f>
        <v>0</v>
      </c>
      <c r="G106" s="163">
        <f t="shared" si="299"/>
        <v>177</v>
      </c>
      <c r="H106" s="163">
        <f t="shared" si="299"/>
        <v>288</v>
      </c>
      <c r="I106" s="163">
        <f t="shared" si="299"/>
        <v>422</v>
      </c>
      <c r="J106" s="163">
        <f t="shared" si="299"/>
        <v>467</v>
      </c>
      <c r="K106" s="163">
        <f t="shared" si="299"/>
        <v>796</v>
      </c>
      <c r="L106" s="163">
        <f t="shared" si="299"/>
        <v>88</v>
      </c>
      <c r="M106" s="163">
        <f t="shared" si="299"/>
        <v>825</v>
      </c>
      <c r="N106" s="163">
        <f t="shared" si="299"/>
        <v>1385</v>
      </c>
      <c r="O106" s="163">
        <f t="shared" si="299"/>
        <v>1136</v>
      </c>
      <c r="P106" s="163">
        <f>P10-(P12+P13)</f>
        <v>1136</v>
      </c>
      <c r="Q106" s="163">
        <f>Q10-(Q12+Q13)</f>
        <v>1136</v>
      </c>
      <c r="R106" s="118">
        <f t="shared" si="246"/>
        <v>0.20431613939782212</v>
      </c>
      <c r="S106" s="20"/>
      <c r="T106" s="163">
        <f>T10-(T12+T13)</f>
        <v>1272.3200000000002</v>
      </c>
      <c r="U106" s="163">
        <f t="shared" ref="U106:AC106" si="300">U10-(U12+U13)</f>
        <v>1424.9984000000004</v>
      </c>
      <c r="V106" s="163">
        <f t="shared" si="300"/>
        <v>1595.9982080000004</v>
      </c>
      <c r="W106" s="163">
        <f t="shared" si="300"/>
        <v>1787.5179929600008</v>
      </c>
      <c r="X106" s="163">
        <f t="shared" si="300"/>
        <v>2002.0201521152012</v>
      </c>
      <c r="Y106" s="163">
        <f t="shared" si="300"/>
        <v>2242.2625703690255</v>
      </c>
      <c r="Z106" s="163">
        <f t="shared" si="300"/>
        <v>2511.3340788133087</v>
      </c>
      <c r="AA106" s="163">
        <f t="shared" si="300"/>
        <v>2812.6941682709057</v>
      </c>
      <c r="AB106" s="163">
        <f t="shared" si="300"/>
        <v>3150.2174684634147</v>
      </c>
      <c r="AC106" s="163">
        <f t="shared" si="300"/>
        <v>3528.2435646790254</v>
      </c>
      <c r="AD106" s="138">
        <f t="shared" si="248"/>
        <v>0.16139316173531904</v>
      </c>
      <c r="AE106" s="146"/>
      <c r="AF106" s="146"/>
    </row>
    <row r="107" spans="2:32" ht="12" customHeight="1" x14ac:dyDescent="0.2">
      <c r="B107" s="20" t="s">
        <v>321</v>
      </c>
      <c r="C107" s="20"/>
      <c r="D107" s="20"/>
      <c r="E107" s="20"/>
      <c r="F107" s="20"/>
      <c r="G107" s="152">
        <f t="shared" ref="G107:P107" si="301">G40/G18</f>
        <v>0.29648241206030151</v>
      </c>
      <c r="H107" s="152">
        <f t="shared" si="301"/>
        <v>6.9212410501193311E-2</v>
      </c>
      <c r="I107" s="152">
        <f t="shared" si="301"/>
        <v>0.12079510703363915</v>
      </c>
      <c r="J107" s="152">
        <f t="shared" si="301"/>
        <v>0.25757575757575757</v>
      </c>
      <c r="K107" s="152">
        <f t="shared" si="301"/>
        <v>0.16436781609195403</v>
      </c>
      <c r="L107" s="152">
        <f t="shared" si="301"/>
        <v>0.26816239316239315</v>
      </c>
      <c r="M107" s="152">
        <f t="shared" si="301"/>
        <v>0.26842105263157895</v>
      </c>
      <c r="N107" s="152">
        <f t="shared" si="301"/>
        <v>0.31389452332657203</v>
      </c>
      <c r="O107" s="152">
        <f t="shared" si="301"/>
        <v>0.19876627827278959</v>
      </c>
      <c r="P107" s="152">
        <f t="shared" si="301"/>
        <v>0.27690198766278273</v>
      </c>
      <c r="Q107" s="152">
        <f t="shared" ref="Q107" si="302">Q40/Q18</f>
        <v>0.27690198766278273</v>
      </c>
      <c r="R107" s="118">
        <f t="shared" si="246"/>
        <v>-6.8091409994376351E-3</v>
      </c>
      <c r="S107" s="20"/>
      <c r="T107" s="152">
        <f t="shared" ref="T107:AC107" si="303">T40/T18</f>
        <v>0.27690198766278273</v>
      </c>
      <c r="U107" s="152">
        <f t="shared" si="303"/>
        <v>0.27690198766278268</v>
      </c>
      <c r="V107" s="152">
        <f t="shared" si="303"/>
        <v>0.27690198766278273</v>
      </c>
      <c r="W107" s="152">
        <f t="shared" si="303"/>
        <v>0.27690198766278273</v>
      </c>
      <c r="X107" s="152">
        <f t="shared" si="303"/>
        <v>0.27690198766278273</v>
      </c>
      <c r="Y107" s="152">
        <f t="shared" si="303"/>
        <v>0.27690198766278279</v>
      </c>
      <c r="Z107" s="152">
        <f t="shared" si="303"/>
        <v>0.27690198766278279</v>
      </c>
      <c r="AA107" s="152">
        <f t="shared" si="303"/>
        <v>0.27690198766278279</v>
      </c>
      <c r="AB107" s="152">
        <f t="shared" si="303"/>
        <v>0.27690198766278273</v>
      </c>
      <c r="AC107" s="152">
        <f t="shared" si="303"/>
        <v>0.27690198766278279</v>
      </c>
      <c r="AD107" s="138">
        <f t="shared" si="248"/>
        <v>-3.4103858655949448E-3</v>
      </c>
      <c r="AE107" s="20"/>
      <c r="AF107" s="20"/>
    </row>
    <row r="108" spans="2:32" x14ac:dyDescent="0.2">
      <c r="B108" s="20" t="s">
        <v>322</v>
      </c>
      <c r="C108" s="20"/>
      <c r="D108" s="20"/>
      <c r="E108" s="20"/>
      <c r="F108" s="20"/>
      <c r="G108" s="152">
        <f t="shared" ref="G108:P108" si="304">G40/G25</f>
        <v>5.1104374187960155E-2</v>
      </c>
      <c r="H108" s="152">
        <f t="shared" si="304"/>
        <v>1.1262135922330097E-2</v>
      </c>
      <c r="I108" s="152">
        <f t="shared" si="304"/>
        <v>2.089394340121661E-2</v>
      </c>
      <c r="J108" s="152">
        <f t="shared" si="304"/>
        <v>3.7760995113282986E-2</v>
      </c>
      <c r="K108" s="152">
        <f t="shared" si="304"/>
        <v>2.7756211180124224E-2</v>
      </c>
      <c r="L108" s="152">
        <f t="shared" si="304"/>
        <v>4.579456303594235E-2</v>
      </c>
      <c r="M108" s="152">
        <f t="shared" si="304"/>
        <v>4.6660567246111617E-2</v>
      </c>
      <c r="N108" s="152">
        <f t="shared" si="304"/>
        <v>5.9081798224682638E-2</v>
      </c>
      <c r="O108" s="152">
        <f t="shared" si="304"/>
        <v>4.8224827471522409E-2</v>
      </c>
      <c r="P108" s="152">
        <f t="shared" si="304"/>
        <v>6.5691056910569104E-2</v>
      </c>
      <c r="Q108" s="152">
        <f t="shared" ref="Q108" si="305">Q40/Q25</f>
        <v>6.5691056910569104E-2</v>
      </c>
      <c r="R108" s="118">
        <f t="shared" si="246"/>
        <v>2.5427163039121181E-2</v>
      </c>
      <c r="S108" s="20"/>
      <c r="T108" s="152">
        <f t="shared" ref="T108:AC108" si="306">T40/T25</f>
        <v>6.5691056910569104E-2</v>
      </c>
      <c r="U108" s="152">
        <f t="shared" si="306"/>
        <v>6.5691056910569104E-2</v>
      </c>
      <c r="V108" s="152">
        <f t="shared" si="306"/>
        <v>6.5691056910569104E-2</v>
      </c>
      <c r="W108" s="152">
        <f t="shared" si="306"/>
        <v>6.5691056910569104E-2</v>
      </c>
      <c r="X108" s="152">
        <f t="shared" si="306"/>
        <v>6.5691056910569104E-2</v>
      </c>
      <c r="Y108" s="152">
        <f t="shared" si="306"/>
        <v>6.5691056910569104E-2</v>
      </c>
      <c r="Z108" s="152">
        <f t="shared" si="306"/>
        <v>6.5691056910569104E-2</v>
      </c>
      <c r="AA108" s="152">
        <f t="shared" si="306"/>
        <v>6.5691056910569104E-2</v>
      </c>
      <c r="AB108" s="152">
        <f t="shared" si="306"/>
        <v>6.5691056910569104E-2</v>
      </c>
      <c r="AC108" s="152">
        <f t="shared" si="306"/>
        <v>6.5691056910569118E-2</v>
      </c>
      <c r="AD108" s="138">
        <f t="shared" si="248"/>
        <v>1.2633775379392143E-2</v>
      </c>
      <c r="AE108" s="20"/>
      <c r="AF108" s="20"/>
    </row>
    <row r="109" spans="2:32" x14ac:dyDescent="0.2">
      <c r="B109" s="20" t="s">
        <v>348</v>
      </c>
      <c r="C109" s="20"/>
      <c r="D109" s="20"/>
      <c r="E109" s="152"/>
      <c r="F109" s="152"/>
      <c r="G109" s="152">
        <f t="shared" ref="G109:O109" si="307">G25/G18</f>
        <v>5.8015075376884422</v>
      </c>
      <c r="H109" s="152">
        <f t="shared" si="307"/>
        <v>6.1455847255369926</v>
      </c>
      <c r="I109" s="152">
        <f t="shared" si="307"/>
        <v>5.7813455657492359</v>
      </c>
      <c r="J109" s="152">
        <f t="shared" si="307"/>
        <v>6.8212121212121213</v>
      </c>
      <c r="K109" s="152">
        <f t="shared" si="307"/>
        <v>5.9218390804597698</v>
      </c>
      <c r="L109" s="152">
        <f t="shared" si="307"/>
        <v>5.8557692307692308</v>
      </c>
      <c r="M109" s="152">
        <f t="shared" si="307"/>
        <v>5.7526315789473683</v>
      </c>
      <c r="N109" s="152">
        <f t="shared" si="307"/>
        <v>5.3128803245436105</v>
      </c>
      <c r="O109" s="152">
        <f t="shared" si="307"/>
        <v>4.1216586703221383</v>
      </c>
      <c r="P109" s="152">
        <f>P25/P18</f>
        <v>4.2152159013022619</v>
      </c>
      <c r="Q109" s="152">
        <f>Q25/Q18</f>
        <v>4.2152159013022619</v>
      </c>
      <c r="R109" s="118">
        <f t="shared" si="246"/>
        <v>-3.1436951546142122E-2</v>
      </c>
      <c r="S109" s="20"/>
      <c r="T109" s="152">
        <f>T25/T18</f>
        <v>4.2152159013022619</v>
      </c>
      <c r="U109" s="152">
        <f t="shared" ref="U109:AC109" si="308">U25/U18</f>
        <v>4.2152159013022619</v>
      </c>
      <c r="V109" s="152">
        <f t="shared" si="308"/>
        <v>4.2152159013022619</v>
      </c>
      <c r="W109" s="152">
        <f t="shared" si="308"/>
        <v>4.2152159013022619</v>
      </c>
      <c r="X109" s="152">
        <f t="shared" si="308"/>
        <v>4.2152159013022619</v>
      </c>
      <c r="Y109" s="152">
        <f t="shared" si="308"/>
        <v>4.2152159013022628</v>
      </c>
      <c r="Z109" s="152">
        <f t="shared" si="308"/>
        <v>4.2152159013022628</v>
      </c>
      <c r="AA109" s="152">
        <f t="shared" si="308"/>
        <v>4.2152159013022628</v>
      </c>
      <c r="AB109" s="152">
        <f t="shared" si="308"/>
        <v>4.2152159013022619</v>
      </c>
      <c r="AC109" s="152">
        <f t="shared" si="308"/>
        <v>4.2152159013022619</v>
      </c>
      <c r="AD109" s="138">
        <f t="shared" si="248"/>
        <v>-1.5843991811329783E-2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334</v>
      </c>
      <c r="C111" s="20"/>
      <c r="D111" s="20"/>
      <c r="E111" s="165">
        <f t="shared" ref="E111:F111" si="309">E70*E42</f>
        <v>0</v>
      </c>
      <c r="F111" s="165">
        <f t="shared" si="309"/>
        <v>20</v>
      </c>
      <c r="G111" s="165">
        <f>G70*G42</f>
        <v>8.4</v>
      </c>
      <c r="H111" s="165">
        <f t="shared" ref="H111:P111" si="310">H70*H42</f>
        <v>8.4</v>
      </c>
      <c r="I111" s="165">
        <f t="shared" si="310"/>
        <v>8.4</v>
      </c>
      <c r="J111" s="165">
        <f t="shared" si="310"/>
        <v>8.4</v>
      </c>
      <c r="K111" s="165">
        <f t="shared" si="310"/>
        <v>8.4</v>
      </c>
      <c r="L111" s="165">
        <f t="shared" si="310"/>
        <v>10.5</v>
      </c>
      <c r="M111" s="165">
        <f t="shared" si="310"/>
        <v>21</v>
      </c>
      <c r="N111" s="165">
        <f t="shared" si="310"/>
        <v>10.5</v>
      </c>
      <c r="O111" s="165">
        <f t="shared" si="310"/>
        <v>10.5</v>
      </c>
      <c r="P111" s="165">
        <f t="shared" si="310"/>
        <v>10.5</v>
      </c>
      <c r="Q111" s="165">
        <f t="shared" ref="Q111" si="311">Q70*Q42</f>
        <v>12.6</v>
      </c>
      <c r="R111" s="118">
        <f t="shared" si="246"/>
        <v>2.2565182563572872E-2</v>
      </c>
      <c r="S111" s="20"/>
      <c r="T111" s="165">
        <f t="shared" ref="T111:AC111" si="312">T70*T42</f>
        <v>13.891500000000001</v>
      </c>
      <c r="U111" s="165">
        <f t="shared" si="312"/>
        <v>15.315378750000002</v>
      </c>
      <c r="V111" s="165">
        <f t="shared" si="312"/>
        <v>16.885205071875003</v>
      </c>
      <c r="W111" s="165">
        <f t="shared" si="312"/>
        <v>18.615938591742193</v>
      </c>
      <c r="X111" s="165">
        <f t="shared" si="312"/>
        <v>20.524072297395769</v>
      </c>
      <c r="Y111" s="165">
        <f t="shared" si="312"/>
        <v>22.627789707878836</v>
      </c>
      <c r="Z111" s="165">
        <f t="shared" si="312"/>
        <v>24.947138152936418</v>
      </c>
      <c r="AA111" s="165">
        <f t="shared" si="312"/>
        <v>27.504219813612405</v>
      </c>
      <c r="AB111" s="165">
        <f t="shared" si="312"/>
        <v>30.323402344507674</v>
      </c>
      <c r="AC111" s="165">
        <f t="shared" si="312"/>
        <v>33.431551084819716</v>
      </c>
      <c r="AD111" s="138">
        <f t="shared" si="248"/>
        <v>7.1504161331925387E-2</v>
      </c>
      <c r="AE111" s="20"/>
      <c r="AF111" s="20"/>
    </row>
    <row r="112" spans="2:32" x14ac:dyDescent="0.2">
      <c r="B112" s="20" t="s">
        <v>335</v>
      </c>
      <c r="C112" s="20"/>
      <c r="D112" s="20"/>
      <c r="E112" s="165">
        <f>(E111*0.17)+E111</f>
        <v>0</v>
      </c>
      <c r="F112" s="165">
        <f>(F111*0.17)+F111</f>
        <v>23.4</v>
      </c>
      <c r="G112" s="165">
        <f t="shared" ref="G112:P112" si="313">(G111*0.17)+G111</f>
        <v>9.8280000000000012</v>
      </c>
      <c r="H112" s="165">
        <f t="shared" si="313"/>
        <v>9.8280000000000012</v>
      </c>
      <c r="I112" s="165">
        <f t="shared" si="313"/>
        <v>9.8280000000000012</v>
      </c>
      <c r="J112" s="165">
        <f t="shared" si="313"/>
        <v>9.8280000000000012</v>
      </c>
      <c r="K112" s="165">
        <f t="shared" si="313"/>
        <v>9.8280000000000012</v>
      </c>
      <c r="L112" s="165">
        <f t="shared" si="313"/>
        <v>12.285</v>
      </c>
      <c r="M112" s="165">
        <f t="shared" si="313"/>
        <v>24.57</v>
      </c>
      <c r="N112" s="165">
        <f t="shared" si="313"/>
        <v>12.285</v>
      </c>
      <c r="O112" s="165">
        <f t="shared" si="313"/>
        <v>12.285</v>
      </c>
      <c r="P112" s="165">
        <f t="shared" si="313"/>
        <v>12.285</v>
      </c>
      <c r="Q112" s="165">
        <f t="shared" ref="Q112" si="314">(Q111*0.17)+Q111</f>
        <v>14.741999999999999</v>
      </c>
      <c r="R112" s="118">
        <f t="shared" si="246"/>
        <v>2.2565182563572872E-2</v>
      </c>
      <c r="S112" s="20"/>
      <c r="T112" s="165">
        <f t="shared" ref="T112:AC112" si="315">(T111*0.17)+T111</f>
        <v>16.253055</v>
      </c>
      <c r="U112" s="165">
        <f t="shared" si="315"/>
        <v>17.918993137500003</v>
      </c>
      <c r="V112" s="165">
        <f t="shared" si="315"/>
        <v>19.755689934093752</v>
      </c>
      <c r="W112" s="165">
        <f t="shared" si="315"/>
        <v>21.780648152338365</v>
      </c>
      <c r="X112" s="165">
        <f t="shared" si="315"/>
        <v>24.01316458795305</v>
      </c>
      <c r="Y112" s="165">
        <f t="shared" si="315"/>
        <v>26.474513958218239</v>
      </c>
      <c r="Z112" s="165">
        <f t="shared" si="315"/>
        <v>29.188151638935608</v>
      </c>
      <c r="AA112" s="165">
        <f t="shared" si="315"/>
        <v>32.179937181926512</v>
      </c>
      <c r="AB112" s="165">
        <f t="shared" si="315"/>
        <v>35.478380743073977</v>
      </c>
      <c r="AC112" s="165">
        <f t="shared" si="315"/>
        <v>39.114914769239071</v>
      </c>
      <c r="AD112" s="138">
        <f t="shared" si="248"/>
        <v>7.1504161331925387E-2</v>
      </c>
      <c r="AE112" s="20"/>
      <c r="AF112" s="20"/>
    </row>
    <row r="113" spans="2:32" x14ac:dyDescent="0.2">
      <c r="B113" s="20" t="s">
        <v>336</v>
      </c>
      <c r="C113" s="20"/>
      <c r="D113" s="20"/>
      <c r="E113" s="20"/>
      <c r="F113" s="152" t="e">
        <f t="shared" ref="F113:P113" si="316">F112/F40</f>
        <v>#DIV/0!</v>
      </c>
      <c r="G113" s="152">
        <f t="shared" si="316"/>
        <v>8.3288135593220347E-2</v>
      </c>
      <c r="H113" s="152">
        <f t="shared" si="316"/>
        <v>0.33889655172413796</v>
      </c>
      <c r="I113" s="152">
        <f t="shared" si="316"/>
        <v>0.12440506329113926</v>
      </c>
      <c r="J113" s="152">
        <f t="shared" si="316"/>
        <v>5.7811764705882361E-2</v>
      </c>
      <c r="K113" s="152">
        <f t="shared" si="316"/>
        <v>6.8727272727272734E-2</v>
      </c>
      <c r="L113" s="152">
        <f t="shared" si="316"/>
        <v>4.8944223107569719E-2</v>
      </c>
      <c r="M113" s="152">
        <f t="shared" si="316"/>
        <v>6.88235294117647E-2</v>
      </c>
      <c r="N113" s="152">
        <f t="shared" si="316"/>
        <v>1.9846526655896608E-2</v>
      </c>
      <c r="O113" s="152">
        <f t="shared" si="316"/>
        <v>2.1181034482758623E-2</v>
      </c>
      <c r="P113" s="152">
        <f t="shared" si="316"/>
        <v>1.5204207920792079E-2</v>
      </c>
      <c r="Q113" s="152">
        <f t="shared" ref="Q113" si="317">Q112/Q40</f>
        <v>1.8245049504950494E-2</v>
      </c>
      <c r="R113" s="118">
        <f t="shared" si="246"/>
        <v>-0.15639709623657805</v>
      </c>
      <c r="S113" s="20"/>
      <c r="T113" s="152">
        <f t="shared" ref="T113:AC113" si="318">T112/T40</f>
        <v>1.7959970606435643E-2</v>
      </c>
      <c r="U113" s="152">
        <f t="shared" si="318"/>
        <v>1.7679346065710089E-2</v>
      </c>
      <c r="V113" s="152">
        <f t="shared" si="318"/>
        <v>1.7403106283433365E-2</v>
      </c>
      <c r="W113" s="152">
        <f t="shared" si="318"/>
        <v>1.7131182747754718E-2</v>
      </c>
      <c r="X113" s="152">
        <f t="shared" si="318"/>
        <v>1.686350801732105E-2</v>
      </c>
      <c r="Y113" s="152">
        <f t="shared" si="318"/>
        <v>1.6600015704550407E-2</v>
      </c>
      <c r="Z113" s="152">
        <f t="shared" si="318"/>
        <v>1.6340640459166805E-2</v>
      </c>
      <c r="AA113" s="152">
        <f t="shared" si="318"/>
        <v>1.6085317951992324E-2</v>
      </c>
      <c r="AB113" s="152">
        <f t="shared" si="318"/>
        <v>1.5833984858992442E-2</v>
      </c>
      <c r="AC113" s="152">
        <f t="shared" si="318"/>
        <v>1.5586578845570687E-2</v>
      </c>
      <c r="AD113" s="138">
        <f t="shared" si="248"/>
        <v>-8.0380052453437822E-2</v>
      </c>
      <c r="AE113" s="20"/>
      <c r="AF113" s="20"/>
    </row>
    <row r="114" spans="2:32" x14ac:dyDescent="0.2">
      <c r="B114" s="20" t="s">
        <v>329</v>
      </c>
      <c r="C114" s="20"/>
      <c r="D114" s="20"/>
      <c r="E114" s="20"/>
      <c r="F114" s="152" t="e">
        <f>1-F113</f>
        <v>#DIV/0!</v>
      </c>
      <c r="G114" s="152">
        <f>1-G113</f>
        <v>0.91671186440677965</v>
      </c>
      <c r="H114" s="152">
        <f t="shared" ref="H114:P114" si="319">1-H113</f>
        <v>0.66110344827586198</v>
      </c>
      <c r="I114" s="152">
        <f t="shared" si="319"/>
        <v>0.87559493670886068</v>
      </c>
      <c r="J114" s="152">
        <f t="shared" si="319"/>
        <v>0.94218823529411766</v>
      </c>
      <c r="K114" s="152">
        <f t="shared" si="319"/>
        <v>0.93127272727272725</v>
      </c>
      <c r="L114" s="152">
        <f t="shared" si="319"/>
        <v>0.95105577689243026</v>
      </c>
      <c r="M114" s="152">
        <f t="shared" si="319"/>
        <v>0.93117647058823527</v>
      </c>
      <c r="N114" s="152">
        <f t="shared" si="319"/>
        <v>0.98015347334410341</v>
      </c>
      <c r="O114" s="152">
        <f t="shared" si="319"/>
        <v>0.97881896551724135</v>
      </c>
      <c r="P114" s="152">
        <f t="shared" si="319"/>
        <v>0.98479579207920787</v>
      </c>
      <c r="Q114" s="152">
        <f t="shared" ref="Q114" si="320">1-Q113</f>
        <v>0.98175495049504946</v>
      </c>
      <c r="R114" s="118">
        <f t="shared" si="246"/>
        <v>7.1898330834498925E-3</v>
      </c>
      <c r="S114" s="20"/>
      <c r="T114" s="152">
        <f t="shared" ref="T114:AC114" si="321">1-T113</f>
        <v>0.98204002939356438</v>
      </c>
      <c r="U114" s="152">
        <f t="shared" si="321"/>
        <v>0.98232065393428991</v>
      </c>
      <c r="V114" s="152">
        <f t="shared" si="321"/>
        <v>0.98259689371656667</v>
      </c>
      <c r="W114" s="152">
        <f t="shared" si="321"/>
        <v>0.98286881725224529</v>
      </c>
      <c r="X114" s="152">
        <f t="shared" si="321"/>
        <v>0.98313649198267894</v>
      </c>
      <c r="Y114" s="152">
        <f t="shared" si="321"/>
        <v>0.98339998429544961</v>
      </c>
      <c r="Z114" s="152">
        <f t="shared" si="321"/>
        <v>0.98365935954083317</v>
      </c>
      <c r="AA114" s="152">
        <f t="shared" si="321"/>
        <v>0.98391468204800769</v>
      </c>
      <c r="AB114" s="152">
        <f t="shared" si="321"/>
        <v>0.98416601514100754</v>
      </c>
      <c r="AC114" s="152">
        <f t="shared" si="321"/>
        <v>0.98441342115442931</v>
      </c>
      <c r="AD114" s="138">
        <f t="shared" si="248"/>
        <v>3.5689909783627183E-3</v>
      </c>
      <c r="AE114" s="20"/>
      <c r="AF114" s="20"/>
    </row>
    <row r="115" spans="2:32" x14ac:dyDescent="0.2">
      <c r="B115" s="20" t="s">
        <v>453</v>
      </c>
      <c r="C115" s="20"/>
      <c r="D115" s="20"/>
      <c r="E115" s="20"/>
      <c r="F115" s="152" t="e">
        <f t="shared" ref="F115:P115" si="322">F112/F20</f>
        <v>#DIV/0!</v>
      </c>
      <c r="G115" s="152">
        <f t="shared" si="322"/>
        <v>9.8280000000000006E-2</v>
      </c>
      <c r="H115" s="152">
        <f t="shared" si="322"/>
        <v>0.15851612903225809</v>
      </c>
      <c r="I115" s="152">
        <f t="shared" si="322"/>
        <v>3.5738181818181822E-2</v>
      </c>
      <c r="J115" s="152">
        <f t="shared" si="322"/>
        <v>3.2117647058823535E-2</v>
      </c>
      <c r="K115" s="152">
        <f t="shared" si="322"/>
        <v>3.6535315985130115E-2</v>
      </c>
      <c r="L115" s="152">
        <f t="shared" si="322"/>
        <v>1.4251740139211136E-2</v>
      </c>
      <c r="M115" s="152">
        <f t="shared" si="322"/>
        <v>0.15649681528662421</v>
      </c>
      <c r="N115" s="152">
        <f t="shared" si="322"/>
        <v>4.4350180505415164E-2</v>
      </c>
      <c r="O115" s="152">
        <f t="shared" si="322"/>
        <v>1.2020547945205479E-2</v>
      </c>
      <c r="P115" s="152">
        <f t="shared" si="322"/>
        <v>1.2020547945205479E-2</v>
      </c>
      <c r="Q115" s="152">
        <f>Q112/Q20</f>
        <v>1.4424657534246575E-2</v>
      </c>
      <c r="R115" s="118">
        <f t="shared" si="246"/>
        <v>-0.18951326416141212</v>
      </c>
      <c r="S115" s="20"/>
      <c r="T115" s="152">
        <f>T112/T20</f>
        <v>1.4199272260273971E-2</v>
      </c>
      <c r="U115" s="152">
        <f t="shared" ref="U115:AC115" si="323">U112/U20</f>
        <v>1.3977408631207193E-2</v>
      </c>
      <c r="V115" s="152">
        <f t="shared" si="323"/>
        <v>1.3759011621344578E-2</v>
      </c>
      <c r="W115" s="152">
        <f t="shared" si="323"/>
        <v>1.354402706476107E-2</v>
      </c>
      <c r="X115" s="152">
        <f t="shared" si="323"/>
        <v>1.3332401641874178E-2</v>
      </c>
      <c r="Y115" s="152">
        <f t="shared" si="323"/>
        <v>1.3124082866219893E-2</v>
      </c>
      <c r="Z115" s="152">
        <f t="shared" si="323"/>
        <v>1.2919019071435205E-2</v>
      </c>
      <c r="AA115" s="152">
        <f t="shared" si="323"/>
        <v>1.271715939844403E-2</v>
      </c>
      <c r="AB115" s="152">
        <f t="shared" si="323"/>
        <v>1.2518453782843339E-2</v>
      </c>
      <c r="AC115" s="152">
        <f t="shared" si="323"/>
        <v>1.2322852942486414E-2</v>
      </c>
      <c r="AD115" s="138" t="s">
        <v>454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333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4">H31/H25</f>
        <v>0</v>
      </c>
      <c r="I117" s="152">
        <f t="shared" si="324"/>
        <v>0</v>
      </c>
      <c r="J117" s="152">
        <f t="shared" si="324"/>
        <v>0</v>
      </c>
      <c r="K117" s="152">
        <f t="shared" si="324"/>
        <v>0</v>
      </c>
      <c r="L117" s="152">
        <f t="shared" si="324"/>
        <v>0</v>
      </c>
      <c r="M117" s="152">
        <f t="shared" si="324"/>
        <v>0</v>
      </c>
      <c r="N117" s="152">
        <f t="shared" si="324"/>
        <v>0</v>
      </c>
      <c r="O117" s="152">
        <f t="shared" si="324"/>
        <v>0</v>
      </c>
      <c r="P117" s="152">
        <f t="shared" si="324"/>
        <v>0</v>
      </c>
      <c r="Q117" s="152">
        <f t="shared" ref="Q117" si="325">Q31/Q25</f>
        <v>0</v>
      </c>
      <c r="R117" s="118" t="e">
        <f t="shared" si="246"/>
        <v>#DIV/0!</v>
      </c>
      <c r="S117" s="20"/>
      <c r="T117" s="152">
        <f t="shared" ref="T117:AC117" si="326">T31/T25</f>
        <v>0</v>
      </c>
      <c r="U117" s="152">
        <f t="shared" si="326"/>
        <v>0</v>
      </c>
      <c r="V117" s="152">
        <f t="shared" si="326"/>
        <v>0</v>
      </c>
      <c r="W117" s="152">
        <f t="shared" si="326"/>
        <v>0</v>
      </c>
      <c r="X117" s="152">
        <f t="shared" si="326"/>
        <v>0</v>
      </c>
      <c r="Y117" s="152">
        <f t="shared" si="326"/>
        <v>0</v>
      </c>
      <c r="Z117" s="152">
        <f t="shared" si="326"/>
        <v>0</v>
      </c>
      <c r="AA117" s="152">
        <f t="shared" si="326"/>
        <v>0</v>
      </c>
      <c r="AB117" s="152">
        <f t="shared" si="326"/>
        <v>0</v>
      </c>
      <c r="AC117" s="152">
        <f t="shared" si="326"/>
        <v>0</v>
      </c>
      <c r="AD117" s="138" t="e">
        <f t="shared" si="248"/>
        <v>#DIV/0!</v>
      </c>
      <c r="AE117" s="20"/>
      <c r="AF117" s="20"/>
    </row>
    <row r="118" spans="2:32" x14ac:dyDescent="0.2">
      <c r="B118" s="20" t="s">
        <v>330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7">H32/H25</f>
        <v>0</v>
      </c>
      <c r="I118" s="152">
        <f t="shared" si="327"/>
        <v>0</v>
      </c>
      <c r="J118" s="152">
        <f t="shared" si="327"/>
        <v>0</v>
      </c>
      <c r="K118" s="152">
        <f t="shared" si="327"/>
        <v>0</v>
      </c>
      <c r="L118" s="152">
        <f t="shared" si="327"/>
        <v>0</v>
      </c>
      <c r="M118" s="152">
        <f t="shared" si="327"/>
        <v>0</v>
      </c>
      <c r="N118" s="152">
        <f t="shared" si="327"/>
        <v>0</v>
      </c>
      <c r="O118" s="152">
        <f t="shared" si="327"/>
        <v>0</v>
      </c>
      <c r="P118" s="152">
        <f t="shared" si="327"/>
        <v>0</v>
      </c>
      <c r="Q118" s="152">
        <f t="shared" ref="Q118" si="328">Q32/Q25</f>
        <v>0</v>
      </c>
      <c r="R118" s="118" t="e">
        <f t="shared" si="246"/>
        <v>#DIV/0!</v>
      </c>
      <c r="S118" s="20"/>
      <c r="T118" s="152">
        <f t="shared" ref="T118:AC118" si="329">T32/T25</f>
        <v>0</v>
      </c>
      <c r="U118" s="152">
        <f t="shared" si="329"/>
        <v>0</v>
      </c>
      <c r="V118" s="152">
        <f t="shared" si="329"/>
        <v>0</v>
      </c>
      <c r="W118" s="152">
        <f t="shared" si="329"/>
        <v>0</v>
      </c>
      <c r="X118" s="152">
        <f t="shared" si="329"/>
        <v>0</v>
      </c>
      <c r="Y118" s="152">
        <f t="shared" si="329"/>
        <v>0</v>
      </c>
      <c r="Z118" s="152">
        <f t="shared" si="329"/>
        <v>0</v>
      </c>
      <c r="AA118" s="152">
        <f t="shared" si="329"/>
        <v>0</v>
      </c>
      <c r="AB118" s="152">
        <f t="shared" si="329"/>
        <v>0</v>
      </c>
      <c r="AC118" s="152">
        <f t="shared" si="329"/>
        <v>0</v>
      </c>
      <c r="AD118" s="138" t="e">
        <f t="shared" si="248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354</v>
      </c>
      <c r="C120" s="20"/>
      <c r="D120" s="20"/>
      <c r="E120" s="20"/>
      <c r="F120" s="20"/>
      <c r="G120" s="152">
        <f>G27/G25</f>
        <v>0.87007362494586404</v>
      </c>
      <c r="H120" s="152">
        <f t="shared" ref="H120:P120" si="330">H27/H25</f>
        <v>0.93359223300970873</v>
      </c>
      <c r="I120" s="152">
        <f t="shared" si="330"/>
        <v>0.92118487172705632</v>
      </c>
      <c r="J120" s="152">
        <f t="shared" si="330"/>
        <v>0.8971568191914705</v>
      </c>
      <c r="K120" s="152">
        <f t="shared" si="330"/>
        <v>0.91537267080745344</v>
      </c>
      <c r="L120" s="152">
        <f t="shared" si="330"/>
        <v>0.86936690384966242</v>
      </c>
      <c r="M120" s="152">
        <f t="shared" si="330"/>
        <v>0.88746569075937787</v>
      </c>
      <c r="N120" s="152">
        <f t="shared" si="330"/>
        <v>0.88221819223060038</v>
      </c>
      <c r="O120" s="152">
        <f t="shared" si="330"/>
        <v>0.89157728444333584</v>
      </c>
      <c r="P120" s="152">
        <f t="shared" si="330"/>
        <v>0.85325203252032522</v>
      </c>
      <c r="Q120" s="152">
        <f t="shared" ref="Q120" si="331">Q27/Q25</f>
        <v>0.85325203252032522</v>
      </c>
      <c r="R120" s="118">
        <f t="shared" si="246"/>
        <v>-1.9503819849767678E-3</v>
      </c>
      <c r="S120" s="20"/>
      <c r="T120" s="152">
        <f t="shared" ref="T120:AC120" si="332">T27/T25</f>
        <v>0.85325203252032522</v>
      </c>
      <c r="U120" s="152">
        <f t="shared" si="332"/>
        <v>0.85325203252032533</v>
      </c>
      <c r="V120" s="152">
        <f t="shared" si="332"/>
        <v>0.85325203252032522</v>
      </c>
      <c r="W120" s="152">
        <f t="shared" si="332"/>
        <v>0.85325203252032522</v>
      </c>
      <c r="X120" s="152">
        <f t="shared" si="332"/>
        <v>0.85325203252032522</v>
      </c>
      <c r="Y120" s="152">
        <f t="shared" si="332"/>
        <v>0.85325203252032511</v>
      </c>
      <c r="Z120" s="152">
        <f t="shared" si="332"/>
        <v>0.853252032520325</v>
      </c>
      <c r="AA120" s="152">
        <f t="shared" si="332"/>
        <v>0.85325203252032511</v>
      </c>
      <c r="AB120" s="152">
        <f t="shared" si="332"/>
        <v>0.85325203252032522</v>
      </c>
      <c r="AC120" s="152">
        <f t="shared" si="332"/>
        <v>0.85325203252032533</v>
      </c>
      <c r="AD120" s="138">
        <f t="shared" si="248"/>
        <v>-9.7566695549244908E-4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</v>
      </c>
      <c r="H121" s="152">
        <f t="shared" ref="H121:P121" si="333">H33/H25</f>
        <v>0</v>
      </c>
      <c r="I121" s="152">
        <f t="shared" si="333"/>
        <v>0</v>
      </c>
      <c r="J121" s="152">
        <f t="shared" si="333"/>
        <v>0</v>
      </c>
      <c r="K121" s="152">
        <f t="shared" si="333"/>
        <v>0</v>
      </c>
      <c r="L121" s="152">
        <f t="shared" si="333"/>
        <v>0</v>
      </c>
      <c r="M121" s="152">
        <f t="shared" si="333"/>
        <v>0</v>
      </c>
      <c r="N121" s="152">
        <f t="shared" si="333"/>
        <v>0</v>
      </c>
      <c r="O121" s="152">
        <f t="shared" si="333"/>
        <v>0</v>
      </c>
      <c r="P121" s="152">
        <f t="shared" si="333"/>
        <v>0</v>
      </c>
      <c r="Q121" s="152">
        <f t="shared" ref="Q121" si="334">Q33/Q25</f>
        <v>0</v>
      </c>
      <c r="R121" s="118" t="e">
        <f t="shared" si="246"/>
        <v>#DIV/0!</v>
      </c>
      <c r="S121" s="20"/>
      <c r="T121" s="152">
        <f t="shared" ref="T121:AC121" si="335">T33/T25</f>
        <v>0</v>
      </c>
      <c r="U121" s="152">
        <f t="shared" si="335"/>
        <v>0</v>
      </c>
      <c r="V121" s="152">
        <f t="shared" si="335"/>
        <v>0</v>
      </c>
      <c r="W121" s="152">
        <f t="shared" si="335"/>
        <v>0</v>
      </c>
      <c r="X121" s="152">
        <f t="shared" si="335"/>
        <v>0</v>
      </c>
      <c r="Y121" s="152">
        <f t="shared" si="335"/>
        <v>0</v>
      </c>
      <c r="Z121" s="152">
        <f t="shared" si="335"/>
        <v>0</v>
      </c>
      <c r="AA121" s="152">
        <f t="shared" si="335"/>
        <v>0</v>
      </c>
      <c r="AB121" s="152">
        <f t="shared" si="335"/>
        <v>0</v>
      </c>
      <c r="AC121" s="152">
        <f t="shared" si="335"/>
        <v>0</v>
      </c>
      <c r="AD121" s="138" t="e">
        <f t="shared" si="248"/>
        <v>#DIV/0!</v>
      </c>
      <c r="AE121" s="20"/>
      <c r="AF121" s="20"/>
    </row>
    <row r="122" spans="2:32" x14ac:dyDescent="0.2">
      <c r="B122" s="20" t="str">
        <f>B34</f>
        <v>2nd highest Expenses Comp. ( Empl )</v>
      </c>
      <c r="C122" s="20"/>
      <c r="D122" s="20"/>
      <c r="E122" s="20"/>
      <c r="F122" s="20"/>
      <c r="G122" s="152">
        <f>G34/G25</f>
        <v>0</v>
      </c>
      <c r="H122" s="152">
        <f t="shared" ref="H122:P122" si="336">H34/H25</f>
        <v>0</v>
      </c>
      <c r="I122" s="152">
        <f t="shared" si="336"/>
        <v>0</v>
      </c>
      <c r="J122" s="152">
        <f t="shared" si="336"/>
        <v>0</v>
      </c>
      <c r="K122" s="152">
        <f t="shared" si="336"/>
        <v>0</v>
      </c>
      <c r="L122" s="152">
        <f t="shared" si="336"/>
        <v>0</v>
      </c>
      <c r="M122" s="152">
        <f t="shared" si="336"/>
        <v>0</v>
      </c>
      <c r="N122" s="152">
        <f t="shared" si="336"/>
        <v>0</v>
      </c>
      <c r="O122" s="152">
        <f t="shared" si="336"/>
        <v>0</v>
      </c>
      <c r="P122" s="152">
        <f t="shared" si="336"/>
        <v>0</v>
      </c>
      <c r="Q122" s="152">
        <f t="shared" ref="Q122" si="337">Q34/Q25</f>
        <v>0</v>
      </c>
      <c r="R122" s="118" t="e">
        <f t="shared" si="246"/>
        <v>#DIV/0!</v>
      </c>
      <c r="S122" s="20"/>
      <c r="T122" s="152">
        <f t="shared" ref="T122:AC122" si="338">T34/T25</f>
        <v>0</v>
      </c>
      <c r="U122" s="152">
        <f t="shared" si="338"/>
        <v>0</v>
      </c>
      <c r="V122" s="152">
        <f t="shared" si="338"/>
        <v>0</v>
      </c>
      <c r="W122" s="152">
        <f t="shared" si="338"/>
        <v>0</v>
      </c>
      <c r="X122" s="152">
        <f t="shared" si="338"/>
        <v>0</v>
      </c>
      <c r="Y122" s="152">
        <f t="shared" si="338"/>
        <v>0</v>
      </c>
      <c r="Z122" s="152">
        <f t="shared" si="338"/>
        <v>0</v>
      </c>
      <c r="AA122" s="152">
        <f t="shared" si="338"/>
        <v>0</v>
      </c>
      <c r="AB122" s="152">
        <f t="shared" si="338"/>
        <v>0</v>
      </c>
      <c r="AC122" s="152">
        <f t="shared" si="338"/>
        <v>0</v>
      </c>
      <c r="AD122" s="138" t="e">
        <f t="shared" si="248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362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365</v>
      </c>
      <c r="C125" s="20"/>
      <c r="D125" s="20"/>
      <c r="E125" s="20"/>
      <c r="F125" s="20"/>
      <c r="G125" s="25">
        <f>G15/G9</f>
        <v>1.8239130434782609</v>
      </c>
      <c r="H125" s="25">
        <f t="shared" ref="H125:AC125" si="339">H15/H9</f>
        <v>1.9848484848484849</v>
      </c>
      <c r="I125" s="25">
        <f t="shared" si="339"/>
        <v>1.7283582089552239</v>
      </c>
      <c r="J125" s="25">
        <f t="shared" si="339"/>
        <v>1.770469798657718</v>
      </c>
      <c r="K125" s="25">
        <f t="shared" si="339"/>
        <v>1.6408518877057114</v>
      </c>
      <c r="L125" s="25">
        <f t="shared" si="339"/>
        <v>1.3329886246122027</v>
      </c>
      <c r="M125" s="25">
        <f t="shared" si="339"/>
        <v>1.6405990016638936</v>
      </c>
      <c r="N125" s="25">
        <f t="shared" si="339"/>
        <v>1.2454702329594478</v>
      </c>
      <c r="O125" s="25">
        <f t="shared" si="339"/>
        <v>1.2737094837935174</v>
      </c>
      <c r="P125" s="25">
        <f t="shared" si="339"/>
        <v>1.2737094837935174</v>
      </c>
      <c r="Q125" s="25">
        <f t="shared" ref="Q125" si="340">Q15/Q9</f>
        <v>1.2737094837935174</v>
      </c>
      <c r="R125" s="118">
        <f t="shared" si="246"/>
        <v>-3.5268130848414847E-2</v>
      </c>
      <c r="S125" s="20"/>
      <c r="T125" s="20">
        <f t="shared" si="339"/>
        <v>1.2737094837935174</v>
      </c>
      <c r="U125" s="20">
        <f t="shared" si="339"/>
        <v>1.2737094837935177</v>
      </c>
      <c r="V125" s="20">
        <f t="shared" si="339"/>
        <v>1.2737094837935177</v>
      </c>
      <c r="W125" s="20">
        <f t="shared" si="339"/>
        <v>1.2737094837935177</v>
      </c>
      <c r="X125" s="20">
        <f t="shared" si="339"/>
        <v>1.2737094837935179</v>
      </c>
      <c r="Y125" s="20">
        <f t="shared" si="339"/>
        <v>1.2737094837935177</v>
      </c>
      <c r="Z125" s="20">
        <f t="shared" si="339"/>
        <v>1.2737094837935177</v>
      </c>
      <c r="AA125" s="20">
        <f t="shared" si="339"/>
        <v>1.2737094837935177</v>
      </c>
      <c r="AB125" s="20">
        <f t="shared" si="339"/>
        <v>1.2737094837935177</v>
      </c>
      <c r="AC125" s="20">
        <f t="shared" si="339"/>
        <v>1.2737094837935179</v>
      </c>
      <c r="AD125" s="138">
        <f t="shared" si="248"/>
        <v>-1.7792349270488894E-2</v>
      </c>
      <c r="AE125" s="20"/>
      <c r="AF125" s="20"/>
    </row>
    <row r="126" spans="2:32" x14ac:dyDescent="0.2">
      <c r="B126" s="20" t="s">
        <v>355</v>
      </c>
      <c r="C126" s="20"/>
      <c r="D126" s="20"/>
      <c r="E126" s="20"/>
      <c r="F126" s="20"/>
      <c r="G126" s="25">
        <f>G12/G9</f>
        <v>8.6956521739130432E-2</v>
      </c>
      <c r="H126" s="25">
        <f t="shared" ref="H126:P126" si="341">H12/H9</f>
        <v>7.792207792207792E-2</v>
      </c>
      <c r="I126" s="25">
        <f t="shared" si="341"/>
        <v>7.9104477611940296E-2</v>
      </c>
      <c r="J126" s="25">
        <f t="shared" si="341"/>
        <v>9.7986577181208054E-2</v>
      </c>
      <c r="K126" s="25">
        <f t="shared" si="341"/>
        <v>9.8741529525653432E-2</v>
      </c>
      <c r="L126" s="25">
        <f t="shared" si="341"/>
        <v>6.2047569803516028E-2</v>
      </c>
      <c r="M126" s="25">
        <f t="shared" si="341"/>
        <v>4.4925124792013313E-2</v>
      </c>
      <c r="N126" s="25">
        <f t="shared" si="341"/>
        <v>2.5021570319240724E-2</v>
      </c>
      <c r="O126" s="25">
        <f t="shared" si="341"/>
        <v>2.6010404161664665E-2</v>
      </c>
      <c r="P126" s="25">
        <f t="shared" si="341"/>
        <v>2.6010404161664665E-2</v>
      </c>
      <c r="Q126" s="25">
        <f t="shared" ref="Q126" si="342">Q12/Q9</f>
        <v>2.6010404161664665E-2</v>
      </c>
      <c r="R126" s="118">
        <f t="shared" si="246"/>
        <v>-0.11369235768508168</v>
      </c>
      <c r="S126" s="128"/>
      <c r="T126" s="20">
        <f t="shared" ref="T126:AC126" si="343">T12/T9</f>
        <v>2.6010404161664669E-2</v>
      </c>
      <c r="U126" s="20">
        <f t="shared" si="343"/>
        <v>2.6010404161664669E-2</v>
      </c>
      <c r="V126" s="20">
        <f t="shared" si="343"/>
        <v>2.6010404161664669E-2</v>
      </c>
      <c r="W126" s="20">
        <f t="shared" si="343"/>
        <v>2.6010404161664665E-2</v>
      </c>
      <c r="X126" s="20">
        <f t="shared" si="343"/>
        <v>2.6010404161664665E-2</v>
      </c>
      <c r="Y126" s="20">
        <f t="shared" si="343"/>
        <v>2.6010404161664665E-2</v>
      </c>
      <c r="Z126" s="20">
        <f t="shared" si="343"/>
        <v>2.6010404161664662E-2</v>
      </c>
      <c r="AA126" s="20">
        <f t="shared" si="343"/>
        <v>2.6010404161664665E-2</v>
      </c>
      <c r="AB126" s="20">
        <f t="shared" si="343"/>
        <v>2.6010404161664665E-2</v>
      </c>
      <c r="AC126" s="20">
        <f t="shared" si="343"/>
        <v>2.6010404161664665E-2</v>
      </c>
      <c r="AD126" s="118">
        <f t="shared" ref="AD126" si="344">((AC126/T126)^(1/($H$2-$H$1) ))-1</f>
        <v>0</v>
      </c>
      <c r="AE126" s="20"/>
      <c r="AF126" s="20"/>
    </row>
    <row r="127" spans="2:32" x14ac:dyDescent="0.2">
      <c r="B127" s="20" t="s">
        <v>357</v>
      </c>
      <c r="C127" s="20"/>
      <c r="D127" s="20"/>
      <c r="E127" s="20"/>
      <c r="F127" s="20"/>
      <c r="G127" s="25">
        <f>G25/360</f>
        <v>6.4138888888888888</v>
      </c>
      <c r="H127" s="25">
        <f t="shared" ref="H127:P127" si="345">H25/360</f>
        <v>7.1527777777777777</v>
      </c>
      <c r="I127" s="25">
        <f t="shared" si="345"/>
        <v>10.502777777777778</v>
      </c>
      <c r="J127" s="25">
        <f t="shared" si="345"/>
        <v>12.505555555555556</v>
      </c>
      <c r="K127" s="25">
        <f t="shared" si="345"/>
        <v>14.311111111111112</v>
      </c>
      <c r="L127" s="25">
        <f t="shared" si="345"/>
        <v>15.225</v>
      </c>
      <c r="M127" s="25">
        <f t="shared" si="345"/>
        <v>21.252777777777776</v>
      </c>
      <c r="N127" s="25">
        <f t="shared" si="345"/>
        <v>29.102777777777778</v>
      </c>
      <c r="O127" s="25">
        <f t="shared" si="345"/>
        <v>33.408333333333331</v>
      </c>
      <c r="P127" s="25">
        <f t="shared" si="345"/>
        <v>34.166666666666664</v>
      </c>
      <c r="Q127" s="25">
        <f t="shared" ref="Q127" si="346">Q25/360</f>
        <v>34.166666666666664</v>
      </c>
      <c r="R127" s="118">
        <f t="shared" si="246"/>
        <v>0.18208339802614004</v>
      </c>
      <c r="S127" s="128"/>
      <c r="T127" s="25">
        <f t="shared" ref="T127:AC127" si="347">T25/360</f>
        <v>38.266666666666673</v>
      </c>
      <c r="U127" s="25">
        <f t="shared" si="347"/>
        <v>42.858666666666672</v>
      </c>
      <c r="V127" s="25">
        <f t="shared" si="347"/>
        <v>48.001706666666685</v>
      </c>
      <c r="W127" s="25">
        <f t="shared" si="347"/>
        <v>53.761911466666689</v>
      </c>
      <c r="X127" s="25">
        <f t="shared" si="347"/>
        <v>60.213340842666703</v>
      </c>
      <c r="Y127" s="25">
        <f t="shared" si="347"/>
        <v>67.438941743786714</v>
      </c>
      <c r="Z127" s="25">
        <f t="shared" si="347"/>
        <v>75.531614753041126</v>
      </c>
      <c r="AA127" s="25">
        <f t="shared" si="347"/>
        <v>84.595408523406064</v>
      </c>
      <c r="AB127" s="25">
        <f t="shared" si="347"/>
        <v>94.746857546214798</v>
      </c>
      <c r="AC127" s="25">
        <f t="shared" si="347"/>
        <v>106.11648045176058</v>
      </c>
      <c r="AD127" s="118">
        <f t="shared" ref="AD127:AD138" si="348">((AC127/T127)^(1/($H$2-$H$1) ))-1</f>
        <v>0.10737883930484204</v>
      </c>
      <c r="AE127" s="20"/>
      <c r="AF127" s="20"/>
    </row>
    <row r="128" spans="2:32" x14ac:dyDescent="0.2">
      <c r="B128" s="20" t="s">
        <v>356</v>
      </c>
      <c r="C128" s="20"/>
      <c r="D128" s="20"/>
      <c r="E128" s="20"/>
      <c r="F128" s="20"/>
      <c r="G128" s="25">
        <f>G27/360</f>
        <v>5.5805555555555557</v>
      </c>
      <c r="H128" s="25">
        <f t="shared" ref="H128:P128" si="349">H27/360</f>
        <v>6.677777777777778</v>
      </c>
      <c r="I128" s="25">
        <f t="shared" si="349"/>
        <v>9.6750000000000007</v>
      </c>
      <c r="J128" s="25">
        <f t="shared" si="349"/>
        <v>11.219444444444445</v>
      </c>
      <c r="K128" s="25">
        <f t="shared" si="349"/>
        <v>13.1</v>
      </c>
      <c r="L128" s="25">
        <f t="shared" si="349"/>
        <v>13.236111111111111</v>
      </c>
      <c r="M128" s="25">
        <f t="shared" si="349"/>
        <v>18.861111111111111</v>
      </c>
      <c r="N128" s="25">
        <f t="shared" si="349"/>
        <v>25.675000000000001</v>
      </c>
      <c r="O128" s="25">
        <f t="shared" si="349"/>
        <v>29.786111111111111</v>
      </c>
      <c r="P128" s="25">
        <f t="shared" si="349"/>
        <v>29.152777777777779</v>
      </c>
      <c r="Q128" s="25">
        <f t="shared" ref="Q128" si="350">Q27/360</f>
        <v>29.152777777777779</v>
      </c>
      <c r="R128" s="118">
        <f t="shared" si="246"/>
        <v>0.17977788386188975</v>
      </c>
      <c r="S128" s="128"/>
      <c r="T128" s="25">
        <f t="shared" ref="T128:AC128" si="351">T27/360</f>
        <v>32.651111111111113</v>
      </c>
      <c r="U128" s="25">
        <f t="shared" si="351"/>
        <v>36.569244444444458</v>
      </c>
      <c r="V128" s="25">
        <f t="shared" si="351"/>
        <v>40.95755377777779</v>
      </c>
      <c r="W128" s="25">
        <f t="shared" si="351"/>
        <v>45.872460231111127</v>
      </c>
      <c r="X128" s="25">
        <f t="shared" si="351"/>
        <v>51.37715545884447</v>
      </c>
      <c r="Y128" s="25">
        <f t="shared" si="351"/>
        <v>57.542414113905814</v>
      </c>
      <c r="Z128" s="25">
        <f t="shared" si="351"/>
        <v>64.44750380757452</v>
      </c>
      <c r="AA128" s="25">
        <f t="shared" si="351"/>
        <v>72.181204264483469</v>
      </c>
      <c r="AB128" s="25">
        <f t="shared" si="351"/>
        <v>80.84294877622149</v>
      </c>
      <c r="AC128" s="25">
        <f t="shared" si="351"/>
        <v>90.544102629368084</v>
      </c>
      <c r="AD128" s="118">
        <f t="shared" si="348"/>
        <v>0.10737883930484204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366</v>
      </c>
      <c r="C130" s="20"/>
      <c r="D130" s="20"/>
      <c r="E130" s="20"/>
      <c r="F130" s="20"/>
      <c r="G130" s="25">
        <f>G10/G7</f>
        <v>0.41477272727272729</v>
      </c>
      <c r="H130" s="25">
        <f t="shared" ref="H130:P130" si="352">H10/H7</f>
        <v>0.55325034578146615</v>
      </c>
      <c r="I130" s="25">
        <f t="shared" si="352"/>
        <v>0.65533980582524276</v>
      </c>
      <c r="J130" s="25">
        <f t="shared" si="352"/>
        <v>0.61749745676500511</v>
      </c>
      <c r="K130" s="25">
        <f t="shared" si="352"/>
        <v>0.86123545210384955</v>
      </c>
      <c r="L130" s="25">
        <f t="shared" si="352"/>
        <v>0.21549815498154981</v>
      </c>
      <c r="M130" s="25">
        <f t="shared" si="352"/>
        <v>0.56398104265402849</v>
      </c>
      <c r="N130" s="25">
        <f t="shared" si="352"/>
        <v>0.66085440278988661</v>
      </c>
      <c r="O130" s="25">
        <f t="shared" si="352"/>
        <v>0.57008039147151346</v>
      </c>
      <c r="P130" s="25">
        <f t="shared" si="352"/>
        <v>0.57008039147151346</v>
      </c>
      <c r="Q130" s="25">
        <f t="shared" ref="Q130" si="353">Q10/Q7</f>
        <v>0.57008039147151346</v>
      </c>
      <c r="R130" s="118">
        <f t="shared" si="246"/>
        <v>3.2315839584748929E-2</v>
      </c>
      <c r="S130" s="128"/>
      <c r="T130" s="25">
        <f t="shared" ref="T130:AC130" si="354">T10/T7</f>
        <v>0.57008039147151346</v>
      </c>
      <c r="U130" s="25">
        <f t="shared" si="354"/>
        <v>0.57008039147151346</v>
      </c>
      <c r="V130" s="25">
        <f t="shared" si="354"/>
        <v>0.57008039147151346</v>
      </c>
      <c r="W130" s="25">
        <f t="shared" si="354"/>
        <v>0.57008039147151346</v>
      </c>
      <c r="X130" s="25">
        <f t="shared" si="354"/>
        <v>0.57008039147151346</v>
      </c>
      <c r="Y130" s="25">
        <f t="shared" si="354"/>
        <v>0.57008039147151346</v>
      </c>
      <c r="Z130" s="25">
        <f t="shared" si="354"/>
        <v>0.57008039147151346</v>
      </c>
      <c r="AA130" s="25">
        <f t="shared" si="354"/>
        <v>0.57008039147151346</v>
      </c>
      <c r="AB130" s="25">
        <f t="shared" si="354"/>
        <v>0.57008039147151346</v>
      </c>
      <c r="AC130" s="25">
        <f t="shared" si="354"/>
        <v>0.57008039147151357</v>
      </c>
      <c r="AD130" s="118">
        <f t="shared" si="348"/>
        <v>0</v>
      </c>
      <c r="AE130" s="20"/>
      <c r="AF130" s="20"/>
    </row>
    <row r="131" spans="2:32" x14ac:dyDescent="0.2">
      <c r="B131" s="20" t="s">
        <v>358</v>
      </c>
      <c r="C131" s="20"/>
      <c r="D131" s="20"/>
      <c r="E131" s="20"/>
      <c r="F131" s="20"/>
      <c r="G131" s="25">
        <f>G10/(G10+G7)</f>
        <v>0.29317269076305219</v>
      </c>
      <c r="H131" s="25">
        <f t="shared" ref="H131:P131" si="355">H10/(H10+H7)</f>
        <v>0.3561887800534283</v>
      </c>
      <c r="I131" s="25">
        <f t="shared" si="355"/>
        <v>0.39589442815249265</v>
      </c>
      <c r="J131" s="25">
        <f t="shared" si="355"/>
        <v>0.3817610062893082</v>
      </c>
      <c r="K131" s="25">
        <f t="shared" si="355"/>
        <v>0.4627224627224627</v>
      </c>
      <c r="L131" s="25">
        <f t="shared" si="355"/>
        <v>0.17729204614450517</v>
      </c>
      <c r="M131" s="25">
        <f t="shared" si="355"/>
        <v>0.3606060606060606</v>
      </c>
      <c r="N131" s="25">
        <f t="shared" si="355"/>
        <v>0.39790026246719162</v>
      </c>
      <c r="O131" s="25">
        <f t="shared" si="355"/>
        <v>0.36308993766696351</v>
      </c>
      <c r="P131" s="25">
        <f t="shared" si="355"/>
        <v>0.36308993766696351</v>
      </c>
      <c r="Q131" s="25">
        <f t="shared" ref="Q131" si="356">Q10/(Q10+Q7)</f>
        <v>0.36308993766696351</v>
      </c>
      <c r="R131" s="118">
        <f t="shared" si="246"/>
        <v>2.1619255780166435E-2</v>
      </c>
      <c r="S131" s="128"/>
      <c r="T131" s="25">
        <f t="shared" ref="T131:AC131" si="357">T10/(T10+T7)</f>
        <v>0.36308993766696346</v>
      </c>
      <c r="U131" s="25">
        <f t="shared" si="357"/>
        <v>0.36308993766696351</v>
      </c>
      <c r="V131" s="25">
        <f t="shared" si="357"/>
        <v>0.36308993766696351</v>
      </c>
      <c r="W131" s="25">
        <f t="shared" si="357"/>
        <v>0.36308993766696351</v>
      </c>
      <c r="X131" s="25">
        <f t="shared" si="357"/>
        <v>0.36308993766696346</v>
      </c>
      <c r="Y131" s="25">
        <f t="shared" si="357"/>
        <v>0.36308993766696351</v>
      </c>
      <c r="Z131" s="25">
        <f t="shared" si="357"/>
        <v>0.36308993766696346</v>
      </c>
      <c r="AA131" s="25">
        <f t="shared" si="357"/>
        <v>0.36308993766696351</v>
      </c>
      <c r="AB131" s="25">
        <f t="shared" si="357"/>
        <v>0.36308993766696346</v>
      </c>
      <c r="AC131" s="25">
        <f t="shared" si="357"/>
        <v>0.36308993766696351</v>
      </c>
      <c r="AD131" s="118">
        <f t="shared" si="348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363</v>
      </c>
      <c r="C133" s="20"/>
      <c r="D133" s="20"/>
      <c r="E133" s="20"/>
      <c r="F133" s="20"/>
      <c r="G133" s="25">
        <f>G16</f>
        <v>469</v>
      </c>
      <c r="H133" s="25">
        <f t="shared" ref="H133:P133" si="358">H16</f>
        <v>503</v>
      </c>
      <c r="I133" s="25">
        <f t="shared" si="358"/>
        <v>578</v>
      </c>
      <c r="J133" s="25">
        <f t="shared" si="358"/>
        <v>620</v>
      </c>
      <c r="K133" s="25">
        <f t="shared" si="358"/>
        <v>701</v>
      </c>
      <c r="L133" s="25">
        <f t="shared" si="358"/>
        <v>282</v>
      </c>
      <c r="M133" s="25">
        <f t="shared" si="358"/>
        <v>740</v>
      </c>
      <c r="N133" s="25">
        <f t="shared" si="358"/>
        <v>629</v>
      </c>
      <c r="O133" s="25">
        <f t="shared" si="358"/>
        <v>730</v>
      </c>
      <c r="P133" s="25">
        <f t="shared" si="358"/>
        <v>730</v>
      </c>
      <c r="Q133" s="25">
        <f t="shared" ref="Q133" si="359">Q16</f>
        <v>730</v>
      </c>
      <c r="R133" s="118">
        <f t="shared" si="246"/>
        <v>4.5237546249777161E-2</v>
      </c>
      <c r="S133" s="128"/>
      <c r="T133" s="25">
        <f t="shared" ref="T133:AC133" si="360">T16</f>
        <v>817.6</v>
      </c>
      <c r="U133" s="25">
        <f t="shared" si="360"/>
        <v>915.7120000000001</v>
      </c>
      <c r="V133" s="25">
        <f t="shared" si="360"/>
        <v>1025.5974400000002</v>
      </c>
      <c r="W133" s="25">
        <f t="shared" si="360"/>
        <v>1148.6691328000004</v>
      </c>
      <c r="X133" s="25">
        <f t="shared" si="360"/>
        <v>1286.5094287360005</v>
      </c>
      <c r="Y133" s="25">
        <f t="shared" si="360"/>
        <v>1440.8905601843207</v>
      </c>
      <c r="Z133" s="25">
        <f t="shared" si="360"/>
        <v>1613.7974274064393</v>
      </c>
      <c r="AA133" s="25">
        <f t="shared" si="360"/>
        <v>1807.4531186952122</v>
      </c>
      <c r="AB133" s="25">
        <f t="shared" si="360"/>
        <v>2024.3474929386377</v>
      </c>
      <c r="AC133" s="25">
        <f t="shared" si="360"/>
        <v>2267.2691920912744</v>
      </c>
      <c r="AD133" s="118">
        <f t="shared" si="348"/>
        <v>0.10737883930484204</v>
      </c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119">
        <f t="shared" ref="G134:P134" si="361">G133*365/G25</f>
        <v>74.138155045474235</v>
      </c>
      <c r="H134" s="119">
        <f t="shared" si="361"/>
        <v>71.299029126213597</v>
      </c>
      <c r="I134" s="119">
        <f t="shared" si="361"/>
        <v>55.797408093097062</v>
      </c>
      <c r="J134" s="119">
        <f t="shared" si="361"/>
        <v>50.266548200799647</v>
      </c>
      <c r="K134" s="119">
        <f t="shared" si="361"/>
        <v>49.663237577639748</v>
      </c>
      <c r="L134" s="119">
        <f t="shared" si="361"/>
        <v>18.779419813902571</v>
      </c>
      <c r="M134" s="119">
        <f t="shared" si="361"/>
        <v>35.30257482682002</v>
      </c>
      <c r="N134" s="119">
        <f t="shared" si="361"/>
        <v>21.913238522477808</v>
      </c>
      <c r="O134" s="119">
        <f t="shared" si="361"/>
        <v>22.154319447908872</v>
      </c>
      <c r="P134" s="119">
        <f t="shared" si="361"/>
        <v>21.662601626016261</v>
      </c>
      <c r="Q134" s="119">
        <f t="shared" ref="Q134" si="362">Q133*365/Q25</f>
        <v>21.662601626016261</v>
      </c>
      <c r="R134" s="118">
        <f t="shared" si="246"/>
        <v>-0.11576666418365245</v>
      </c>
      <c r="S134" s="128"/>
      <c r="T134" s="119">
        <f t="shared" ref="T134:AC134" si="363">T133*365/T25</f>
        <v>21.662601626016258</v>
      </c>
      <c r="U134" s="119">
        <f t="shared" si="363"/>
        <v>21.662601626016261</v>
      </c>
      <c r="V134" s="119">
        <f t="shared" si="363"/>
        <v>21.662601626016258</v>
      </c>
      <c r="W134" s="119">
        <f t="shared" si="363"/>
        <v>21.662601626016261</v>
      </c>
      <c r="X134" s="119">
        <f t="shared" si="363"/>
        <v>21.662601626016254</v>
      </c>
      <c r="Y134" s="119">
        <f t="shared" si="363"/>
        <v>21.662601626016254</v>
      </c>
      <c r="Z134" s="119">
        <f t="shared" si="363"/>
        <v>21.662601626016254</v>
      </c>
      <c r="AA134" s="119">
        <f t="shared" si="363"/>
        <v>21.662601626016254</v>
      </c>
      <c r="AB134" s="119">
        <f t="shared" si="363"/>
        <v>21.662601626016254</v>
      </c>
      <c r="AC134" s="119">
        <f t="shared" si="363"/>
        <v>21.662601626016258</v>
      </c>
      <c r="AD134" s="118">
        <f t="shared" si="348"/>
        <v>0</v>
      </c>
      <c r="AE134" s="20"/>
      <c r="AF134" s="20"/>
    </row>
    <row r="135" spans="2:32" x14ac:dyDescent="0.2">
      <c r="B135" s="20" t="s">
        <v>367</v>
      </c>
      <c r="C135" s="20"/>
      <c r="D135" s="20"/>
      <c r="E135" s="20"/>
      <c r="F135" s="20"/>
      <c r="G135" s="133">
        <f>G80/G29</f>
        <v>13.095238095238097</v>
      </c>
      <c r="H135" s="133">
        <f t="shared" ref="H135:P135" si="364">H80/H29</f>
        <v>14.880952380952381</v>
      </c>
      <c r="I135" s="133">
        <f t="shared" si="364"/>
        <v>11.476190476190476</v>
      </c>
      <c r="J135" s="133">
        <f t="shared" si="364"/>
        <v>20.80952380952381</v>
      </c>
      <c r="K135" s="133">
        <f t="shared" si="364"/>
        <v>15.800865800865802</v>
      </c>
      <c r="L135" s="133">
        <f t="shared" si="364"/>
        <v>24.292615596963422</v>
      </c>
      <c r="M135" s="133">
        <f t="shared" si="364"/>
        <v>31.557067271352985</v>
      </c>
      <c r="N135" s="133">
        <f t="shared" si="364"/>
        <v>20.839733742959549</v>
      </c>
      <c r="O135" s="133">
        <f t="shared" si="364"/>
        <v>19.047619047619051</v>
      </c>
      <c r="P135" s="133">
        <f t="shared" si="364"/>
        <v>21.622934888241012</v>
      </c>
      <c r="Q135" s="133">
        <f t="shared" ref="Q135" si="365">Q80/Q29</f>
        <v>21.622934888241012</v>
      </c>
      <c r="R135" s="118">
        <f t="shared" si="246"/>
        <v>5.1429418350681155E-2</v>
      </c>
      <c r="S135" s="128"/>
      <c r="T135" s="133">
        <f t="shared" ref="T135:AC135" si="366">T80/T29</f>
        <v>20.593271322134296</v>
      </c>
      <c r="U135" s="133">
        <f t="shared" si="366"/>
        <v>19.612639354413616</v>
      </c>
      <c r="V135" s="133">
        <f t="shared" si="366"/>
        <v>18.678704147060589</v>
      </c>
      <c r="W135" s="133">
        <f t="shared" si="366"/>
        <v>17.789242044819609</v>
      </c>
      <c r="X135" s="133">
        <f t="shared" si="366"/>
        <v>16.942135280780576</v>
      </c>
      <c r="Y135" s="133">
        <f t="shared" si="366"/>
        <v>16.135366934076742</v>
      </c>
      <c r="Z135" s="133">
        <f t="shared" si="366"/>
        <v>15.367016127692137</v>
      </c>
      <c r="AA135" s="133">
        <f t="shared" si="366"/>
        <v>14.635253454944889</v>
      </c>
      <c r="AB135" s="133">
        <f t="shared" si="366"/>
        <v>13.938336623757042</v>
      </c>
      <c r="AC135" s="133">
        <f t="shared" si="366"/>
        <v>13.274606308340038</v>
      </c>
      <c r="AD135" s="118">
        <f t="shared" si="348"/>
        <v>-4.296101123951257E-2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374</v>
      </c>
      <c r="C137" s="20"/>
      <c r="D137" s="20"/>
      <c r="E137" s="20"/>
      <c r="F137" s="20"/>
      <c r="G137" s="180">
        <f>G25/G14</f>
        <v>5.7295285359801484</v>
      </c>
      <c r="H137" s="180">
        <f t="shared" ref="H137:P137" si="367">H25/H14</f>
        <v>5.3423236514522818</v>
      </c>
      <c r="I137" s="180">
        <f t="shared" si="367"/>
        <v>6.6920353982300886</v>
      </c>
      <c r="J137" s="180">
        <f t="shared" si="367"/>
        <v>6.4870317002881848</v>
      </c>
      <c r="K137" s="180">
        <f t="shared" si="367"/>
        <v>5.2304568527918782</v>
      </c>
      <c r="L137" s="180">
        <f t="shared" si="367"/>
        <v>8.4064417177914113</v>
      </c>
      <c r="M137" s="180">
        <f t="shared" si="367"/>
        <v>6.8803956834532372</v>
      </c>
      <c r="N137" s="180">
        <f t="shared" si="367"/>
        <v>6.8566753926701569</v>
      </c>
      <c r="O137" s="180">
        <f t="shared" si="367"/>
        <v>7.2277644230769234</v>
      </c>
      <c r="P137" s="180">
        <f t="shared" si="367"/>
        <v>7.3918269230769234</v>
      </c>
      <c r="Q137" s="180">
        <f t="shared" ref="Q137" si="368">Q25/Q14</f>
        <v>7.3918269230769234</v>
      </c>
      <c r="R137" s="118">
        <f t="shared" si="246"/>
        <v>2.5801406664218041E-2</v>
      </c>
      <c r="S137" s="128"/>
      <c r="T137" s="20">
        <f t="shared" ref="T137" si="369">T25/T14</f>
        <v>7.3918269230769225</v>
      </c>
      <c r="U137" s="20">
        <f t="shared" ref="U137:AC137" si="370">U25/U14</f>
        <v>7.3918269230769216</v>
      </c>
      <c r="V137" s="20">
        <f t="shared" si="370"/>
        <v>7.3918269230769225</v>
      </c>
      <c r="W137" s="20">
        <f t="shared" si="370"/>
        <v>7.3918269230769216</v>
      </c>
      <c r="X137" s="20">
        <f t="shared" si="370"/>
        <v>7.3918269230769216</v>
      </c>
      <c r="Y137" s="20">
        <f t="shared" si="370"/>
        <v>7.3918269230769216</v>
      </c>
      <c r="Z137" s="20">
        <f t="shared" si="370"/>
        <v>7.3918269230769216</v>
      </c>
      <c r="AA137" s="20">
        <f t="shared" si="370"/>
        <v>7.3918269230769216</v>
      </c>
      <c r="AB137" s="20">
        <f t="shared" si="370"/>
        <v>7.3918269230769216</v>
      </c>
      <c r="AC137" s="20">
        <f t="shared" si="370"/>
        <v>7.3918269230769207</v>
      </c>
      <c r="AD137" s="118">
        <f t="shared" si="348"/>
        <v>0</v>
      </c>
      <c r="AE137" s="20"/>
      <c r="AF137" s="20"/>
    </row>
    <row r="138" spans="2:32" x14ac:dyDescent="0.2">
      <c r="B138" s="20" t="s">
        <v>375</v>
      </c>
      <c r="C138" s="20"/>
      <c r="D138" s="20"/>
      <c r="E138" s="20"/>
      <c r="F138" s="20"/>
      <c r="G138" s="180">
        <f>G27/G14</f>
        <v>4.9851116625310175</v>
      </c>
      <c r="H138" s="180">
        <f t="shared" ref="H138:P138" si="371">H27/H14</f>
        <v>4.9875518672199171</v>
      </c>
      <c r="I138" s="180">
        <f t="shared" si="371"/>
        <v>6.1646017699115045</v>
      </c>
      <c r="J138" s="180">
        <f t="shared" si="371"/>
        <v>5.8198847262247835</v>
      </c>
      <c r="K138" s="180">
        <f t="shared" si="371"/>
        <v>4.7878172588832486</v>
      </c>
      <c r="L138" s="180">
        <f t="shared" si="371"/>
        <v>7.3082822085889569</v>
      </c>
      <c r="M138" s="180">
        <f t="shared" si="371"/>
        <v>6.1061151079136691</v>
      </c>
      <c r="N138" s="180">
        <f t="shared" si="371"/>
        <v>6.0490837696335076</v>
      </c>
      <c r="O138" s="180">
        <f t="shared" si="371"/>
        <v>6.4441105769230766</v>
      </c>
      <c r="P138" s="180">
        <f t="shared" si="371"/>
        <v>6.3070913461538458</v>
      </c>
      <c r="Q138" s="180">
        <f t="shared" ref="Q138" si="372">Q27/Q14</f>
        <v>6.3070913461538458</v>
      </c>
      <c r="R138" s="118">
        <f t="shared" si="246"/>
        <v>2.380070208049645E-2</v>
      </c>
      <c r="S138" s="128"/>
      <c r="T138" s="20">
        <f t="shared" ref="T138:AC138" si="373">T27/T14</f>
        <v>6.3070913461538458</v>
      </c>
      <c r="U138" s="20">
        <f t="shared" si="373"/>
        <v>6.3070913461538458</v>
      </c>
      <c r="V138" s="20">
        <f t="shared" si="373"/>
        <v>6.3070913461538449</v>
      </c>
      <c r="W138" s="20">
        <f t="shared" si="373"/>
        <v>6.3070913461538449</v>
      </c>
      <c r="X138" s="20">
        <f t="shared" si="373"/>
        <v>6.307091346153844</v>
      </c>
      <c r="Y138" s="20">
        <f t="shared" si="373"/>
        <v>6.307091346153844</v>
      </c>
      <c r="Z138" s="20">
        <f t="shared" si="373"/>
        <v>6.307091346153844</v>
      </c>
      <c r="AA138" s="20">
        <f t="shared" si="373"/>
        <v>6.307091346153844</v>
      </c>
      <c r="AB138" s="20">
        <f t="shared" si="373"/>
        <v>6.3070913461538449</v>
      </c>
      <c r="AC138" s="20">
        <f t="shared" si="373"/>
        <v>6.3070913461538449</v>
      </c>
      <c r="AD138" s="118">
        <f t="shared" si="348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857.57575757575751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4396.6484316562573</v>
      </c>
      <c r="T142" s="133">
        <f>PV($C$1, ($AC$3-$T$3), 0, -AC54)</f>
        <v>612.64773227997023</v>
      </c>
      <c r="U142" s="133">
        <f>PV($C$1, ($AC$3-$T$3), 0, -AF54)</f>
        <v>3784.0006993762872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4">T143+U143</f>
        <v>15567.835597733354</v>
      </c>
      <c r="T143" s="133">
        <f>PV($C$1, ($AC$3-$T$3), 0, -AC56)</f>
        <v>2169.2885668972704</v>
      </c>
      <c r="U143" s="133">
        <f>PV($C$1, ($AC$3-$T$3), 0, -AF56)</f>
        <v>13398.547030836084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4"/>
        <v>15540.628614864192</v>
      </c>
      <c r="T144" s="133">
        <f>PV($C$1, ($AC$3-$T$3), 0, -AC57)</f>
        <v>2165.4974299400919</v>
      </c>
      <c r="U144" s="133">
        <f>PV($C$1, ($AC$3-$T$3), 0, -AF57)</f>
        <v>13375.131184924099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4"/>
        <v>8874.9178119199933</v>
      </c>
      <c r="T145" s="133">
        <f>PV($C$1, ($AC$3-$T$3), 0, -AC58)</f>
        <v>1236.6688754314744</v>
      </c>
      <c r="U145" s="133">
        <f>PV($C$1, ($AC$3-$T$3), 0, -AF58)</f>
        <v>7638.2489364885187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4"/>
        <v>353.69077729907997</v>
      </c>
      <c r="T146" s="133">
        <f>PV($C$1, ($AC$3-$T$3), 0, -AC64)</f>
        <v>49.284780443314418</v>
      </c>
      <c r="U146" s="133">
        <f>PV($C$1, ($AC$3-$T$3), 0, -AF64)</f>
        <v>304.40599685576558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4"/>
        <v>6692.917785813358</v>
      </c>
      <c r="T148" s="133">
        <f>PV($C$1, ($AC$3-$T$3), 0, -AC60)</f>
        <v>932.61969146579588</v>
      </c>
      <c r="U148" s="133">
        <f>PV($C$1, ($AC$3-$T$3), 0, -$AF$60)</f>
        <v>5760.2980943475623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4"/>
        <v>-6905.1322521928096</v>
      </c>
      <c r="T149" s="133">
        <f>PV($C$1, ($AC$3-$T$3), 0, -AC61)</f>
        <v>-962.19055973178479</v>
      </c>
      <c r="U149" s="133">
        <f>PV($C$1, ($AC$3-$T$3), 0, -$AF$61)</f>
        <v>-5942.941692461025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4"/>
        <v>10414.833042314453</v>
      </c>
      <c r="T150" s="133">
        <f>PV($C$1, ($AC$3-$T$3), 0, -AC62)</f>
        <v>1451.2472272077514</v>
      </c>
      <c r="U150" s="133">
        <f>PV($C$1, ($AC$3-$T$3), 0, -$AF$62)</f>
        <v>8963.5858151067005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4"/>
        <v>17319.965294507263</v>
      </c>
      <c r="T152" s="133">
        <f>PV($C$1, ($AC$3-$T$3), 0, -AC67)</f>
        <v>2413.4377869395362</v>
      </c>
      <c r="U152" s="133">
        <f>PV($C$1, ($AC$3-$T$3), 0, -AF67)</f>
        <v>14906.527507567727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4"/>
        <v>3069.4423400570499</v>
      </c>
      <c r="T153" s="133">
        <f>PV($C$1, ($AC$3-$T$3), 0, -AC68)</f>
        <v>553.50599574799264</v>
      </c>
      <c r="U153" s="133">
        <f>PV($C$1, ($AC$3-$T$3), 0, -AF68)</f>
        <v>2515.9363443090574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5">T155+U155</f>
        <v>241.97250280694746</v>
      </c>
      <c r="T155" s="133">
        <f>PV($C$1, ($AC$3-$T$3), 0, -AC12)</f>
        <v>33.717479899328744</v>
      </c>
      <c r="U155" s="133">
        <f>PV($C$1, ($AC$3-$T$3), 0, -AF12)</f>
        <v>208.25502290761872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576.12500668320831</v>
      </c>
      <c r="T156" s="140">
        <f>T155/P42</f>
        <v>80.279714046020828</v>
      </c>
      <c r="U156" s="140">
        <f>U155/P42</f>
        <v>495.84529263718747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6">T159+U159</f>
        <v>284.30054809509278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233.89061198182515</v>
      </c>
      <c r="U159" s="133">
        <f>PV($C$1, ($AC$3-$T$3), 0, -AF70)</f>
        <v>50.409936113267619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4"/>
        <v>2511.6462895541322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2066.3009328747621</v>
      </c>
      <c r="U161" s="133">
        <f>PV($C$1, ($AC$3-$T$3), 0, -AF72)</f>
        <v>445.34535667937001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7">T163+U163</f>
        <v>3671.2689175327446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3020.308401179645</v>
      </c>
      <c r="U163" s="133">
        <f>PV($C$1, ($AC$3-$T$3), 0, -AF74)</f>
        <v>650.96051635309971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7"/>
        <v>26993.070746175978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22206.871841766861</v>
      </c>
      <c r="U164" s="133">
        <f>PV($C$1, ($AC$3-$T$3), 0, -AF75)</f>
        <v>4786.198904409116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7"/>
        <v>-23321.801828643231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-19186.563440587215</v>
      </c>
      <c r="U165" s="133">
        <f>PV($C$1, ($AC$3-$T$3), 0, -AF76)</f>
        <v>-4135.2383880560155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7"/>
        <v>-8266.9580660989068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-6801.1261120088348</v>
      </c>
      <c r="U166" s="133">
        <f>PV($C$1, ($AC$3-$T$3), 0, -AF77)</f>
        <v>-1465.831954090072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7527.4218812721665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6192.7186642891938</v>
      </c>
      <c r="U168" s="133">
        <f>PV($C$1, ($AC$3-$T$3), 0, -AF78)</f>
        <v>1334.7032169829727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41547</v>
      </c>
      <c r="P169" s="20">
        <v>12670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390</v>
      </c>
      <c r="P170" s="20">
        <v>25000</v>
      </c>
      <c r="Q170" s="20"/>
      <c r="R170" s="20" t="s">
        <v>392</v>
      </c>
      <c r="S170" s="23" t="s">
        <v>391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1500</v>
      </c>
      <c r="H171" s="22">
        <v>2841</v>
      </c>
      <c r="I171" s="22">
        <v>3726</v>
      </c>
      <c r="J171" s="22">
        <v>3640</v>
      </c>
      <c r="K171" s="22">
        <v>2310</v>
      </c>
      <c r="L171" s="22">
        <v>4900</v>
      </c>
      <c r="M171" s="22">
        <v>8670</v>
      </c>
      <c r="N171" s="22">
        <v>6410</v>
      </c>
      <c r="O171" s="22">
        <v>10060</v>
      </c>
      <c r="P171" s="22">
        <v>12670</v>
      </c>
      <c r="Q171" s="22">
        <v>12000</v>
      </c>
      <c r="R171" s="118">
        <f t="shared" ref="R171:R176" si="378">((P171/G171)^(1/($H$2-$H$1) ))-1</f>
        <v>0.23785146668889445</v>
      </c>
      <c r="S171" s="31">
        <f>L2-3%</f>
        <v>0.09</v>
      </c>
      <c r="T171" s="119">
        <f t="shared" ref="T171" si="379">P171*(1+$S171)</f>
        <v>13810.300000000001</v>
      </c>
      <c r="U171" s="119">
        <f t="shared" ref="U171:AC171" si="380">T171*(1+$S171)</f>
        <v>15053.227000000003</v>
      </c>
      <c r="V171" s="119">
        <f t="shared" si="380"/>
        <v>16408.017430000004</v>
      </c>
      <c r="W171" s="119">
        <f t="shared" si="380"/>
        <v>17884.738998700006</v>
      </c>
      <c r="X171" s="119">
        <f t="shared" si="380"/>
        <v>19494.365508583007</v>
      </c>
      <c r="Y171" s="119">
        <f t="shared" si="380"/>
        <v>21248.85840435548</v>
      </c>
      <c r="Z171" s="119">
        <f t="shared" si="380"/>
        <v>23161.255660747476</v>
      </c>
      <c r="AA171" s="119">
        <f t="shared" si="380"/>
        <v>25245.768670214751</v>
      </c>
      <c r="AB171" s="119">
        <f t="shared" si="380"/>
        <v>27517.88785053408</v>
      </c>
      <c r="AC171" s="119">
        <f t="shared" si="380"/>
        <v>29994.49775708215</v>
      </c>
      <c r="AD171" s="138">
        <f t="shared" ref="AD171:AD176" si="381">((AC171/G171)^(1/($AC$3-$H$1) ))-1</f>
        <v>0.16157569649631309</v>
      </c>
      <c r="AE171" s="31">
        <v>0.08</v>
      </c>
      <c r="AF171" s="127">
        <f t="shared" ref="AF171:AF179" si="382">(AC171*(1+AD171))/($C$1-AE171)</f>
        <v>248863.42588028428</v>
      </c>
    </row>
    <row r="172" spans="2:32" x14ac:dyDescent="0.2">
      <c r="B172" s="20" t="s">
        <v>361</v>
      </c>
      <c r="C172" s="25" t="e">
        <f t="shared" ref="C172:P172" si="383">C171/C50</f>
        <v>#DIV/0!</v>
      </c>
      <c r="D172" s="25" t="e">
        <f t="shared" si="383"/>
        <v>#DIV/0!</v>
      </c>
      <c r="E172" s="25" t="e">
        <f t="shared" si="383"/>
        <v>#DIV/0!</v>
      </c>
      <c r="F172" s="25" t="e">
        <f t="shared" si="383"/>
        <v>#DIV/0!</v>
      </c>
      <c r="G172" s="25">
        <f t="shared" si="383"/>
        <v>0.2728453876136856</v>
      </c>
      <c r="H172" s="25">
        <f t="shared" si="383"/>
        <v>0.4633864077669903</v>
      </c>
      <c r="I172" s="25">
        <f t="shared" si="383"/>
        <v>0.41389050515736581</v>
      </c>
      <c r="J172" s="25">
        <f t="shared" si="383"/>
        <v>0.33958240781874721</v>
      </c>
      <c r="K172" s="25">
        <f t="shared" si="383"/>
        <v>0.18831521739130433</v>
      </c>
      <c r="L172" s="25">
        <f t="shared" si="383"/>
        <v>0.37547892720306514</v>
      </c>
      <c r="M172" s="25">
        <f t="shared" si="383"/>
        <v>0.47593778591033847</v>
      </c>
      <c r="N172" s="25">
        <f t="shared" si="383"/>
        <v>0.25696287105087334</v>
      </c>
      <c r="O172" s="25">
        <f t="shared" si="383"/>
        <v>0.35130955350461462</v>
      </c>
      <c r="P172" s="25">
        <f t="shared" si="383"/>
        <v>0.43263414634146341</v>
      </c>
      <c r="Q172" s="25">
        <f t="shared" ref="Q172" si="384">Q171/Q50</f>
        <v>0.40975609756097559</v>
      </c>
      <c r="R172" s="118">
        <f t="shared" ref="R172" si="385">((P172/G172)^(1/($H$2-$H$1) ))-1</f>
        <v>4.7177778451060748E-2</v>
      </c>
      <c r="S172" s="128"/>
      <c r="T172" s="25">
        <f t="shared" ref="T172:AC172" si="386">T171/T50</f>
        <v>0.44209801829268291</v>
      </c>
      <c r="U172" s="25">
        <f t="shared" si="386"/>
        <v>0.45176891244283535</v>
      </c>
      <c r="V172" s="25">
        <f t="shared" si="386"/>
        <v>0.46165135740252239</v>
      </c>
      <c r="W172" s="25">
        <f t="shared" si="386"/>
        <v>0.47174998084570258</v>
      </c>
      <c r="X172" s="25">
        <f t="shared" si="386"/>
        <v>0.48206951167670231</v>
      </c>
      <c r="Y172" s="25">
        <f t="shared" si="386"/>
        <v>0.49261478224463012</v>
      </c>
      <c r="Z172" s="25">
        <f t="shared" si="386"/>
        <v>0.50339073060623141</v>
      </c>
      <c r="AA172" s="25">
        <f t="shared" si="386"/>
        <v>0.51440240283824279</v>
      </c>
      <c r="AB172" s="25">
        <f t="shared" si="386"/>
        <v>0.52565495540032936</v>
      </c>
      <c r="AC172" s="25">
        <f t="shared" si="386"/>
        <v>0.53715365754971167</v>
      </c>
      <c r="AD172" s="138">
        <f t="shared" ref="AD172" si="387">((AC172/G172)^(1/($AC$3-$H$1) ))-1</f>
        <v>3.4449028398537251E-2</v>
      </c>
      <c r="AE172" s="31">
        <v>0.08</v>
      </c>
      <c r="AF172" s="127">
        <f t="shared" ref="AF172" si="388">(AC172*(1+AD172))/($C$1-AE172)</f>
        <v>3.9689862796644269</v>
      </c>
    </row>
    <row r="173" spans="2:32" x14ac:dyDescent="0.2">
      <c r="B173" s="20" t="s">
        <v>389</v>
      </c>
      <c r="C173" s="25" t="e">
        <f t="shared" ref="C173:P173" si="389">C171/C54</f>
        <v>#DIV/0!</v>
      </c>
      <c r="D173" s="25" t="e">
        <f t="shared" si="389"/>
        <v>#DIV/0!</v>
      </c>
      <c r="E173" s="25" t="e">
        <f t="shared" si="389"/>
        <v>#DIV/0!</v>
      </c>
      <c r="F173" s="25" t="e">
        <f t="shared" si="389"/>
        <v>#DIV/0!</v>
      </c>
      <c r="G173" s="25">
        <f t="shared" si="389"/>
        <v>5.3389830508474576</v>
      </c>
      <c r="H173" s="25">
        <f t="shared" si="389"/>
        <v>41.145517241379309</v>
      </c>
      <c r="I173" s="25">
        <f t="shared" si="389"/>
        <v>19.809113924050632</v>
      </c>
      <c r="J173" s="25">
        <f t="shared" si="389"/>
        <v>8.9929411764705875</v>
      </c>
      <c r="K173" s="25">
        <f t="shared" si="389"/>
        <v>6.7846153846153845</v>
      </c>
      <c r="L173" s="25">
        <f t="shared" si="389"/>
        <v>8.1992031872509958</v>
      </c>
      <c r="M173" s="25">
        <f t="shared" si="389"/>
        <v>10.199999999999999</v>
      </c>
      <c r="N173" s="25">
        <f t="shared" si="389"/>
        <v>4.3492730210016157</v>
      </c>
      <c r="O173" s="25">
        <f t="shared" si="389"/>
        <v>7.2848275862068963</v>
      </c>
      <c r="P173" s="25">
        <f t="shared" si="389"/>
        <v>6.5858910891089106</v>
      </c>
      <c r="Q173" s="25">
        <f t="shared" ref="Q173" si="390">Q171/Q54</f>
        <v>6.2376237623762378</v>
      </c>
      <c r="R173" s="118">
        <f t="shared" si="378"/>
        <v>2.1211272917206481E-2</v>
      </c>
      <c r="S173" s="128"/>
      <c r="T173" s="119">
        <f t="shared" ref="T173:AC173" si="391">T171/T54</f>
        <v>6.7299574566831692</v>
      </c>
      <c r="U173" s="119">
        <f t="shared" si="391"/>
        <v>6.8771752760481135</v>
      </c>
      <c r="V173" s="119">
        <f t="shared" si="391"/>
        <v>7.0276134852116661</v>
      </c>
      <c r="W173" s="119">
        <f t="shared" si="391"/>
        <v>7.1813425302006708</v>
      </c>
      <c r="X173" s="119">
        <f t="shared" si="391"/>
        <v>7.3384343980488111</v>
      </c>
      <c r="Y173" s="119">
        <f t="shared" si="391"/>
        <v>7.4989626505061278</v>
      </c>
      <c r="Z173" s="119">
        <f t="shared" si="391"/>
        <v>7.6630024584859484</v>
      </c>
      <c r="AA173" s="119">
        <f t="shared" si="391"/>
        <v>7.8306306372653296</v>
      </c>
      <c r="AB173" s="119">
        <f t="shared" si="391"/>
        <v>8.0019256824555089</v>
      </c>
      <c r="AC173" s="119">
        <f t="shared" si="391"/>
        <v>8.1769678067592224</v>
      </c>
      <c r="AD173" s="138">
        <f t="shared" si="381"/>
        <v>2.1543082553188375E-2</v>
      </c>
      <c r="AE173" s="31">
        <v>0.08</v>
      </c>
      <c r="AF173" s="127">
        <f t="shared" si="382"/>
        <v>59.665177851821426</v>
      </c>
    </row>
    <row r="174" spans="2:32" x14ac:dyDescent="0.2">
      <c r="B174" s="20" t="s">
        <v>258</v>
      </c>
      <c r="C174" s="25" t="e">
        <f t="shared" ref="C174:P174" si="392">C171/C57</f>
        <v>#DIV/0!</v>
      </c>
      <c r="D174" s="25" t="e">
        <f t="shared" si="392"/>
        <v>#DIV/0!</v>
      </c>
      <c r="E174" s="25" t="e">
        <f t="shared" si="392"/>
        <v>#DIV/0!</v>
      </c>
      <c r="F174" s="25" t="e">
        <f t="shared" si="392"/>
        <v>#DIV/0!</v>
      </c>
      <c r="G174" s="25">
        <f t="shared" si="392"/>
        <v>0.89999999999999991</v>
      </c>
      <c r="H174" s="25">
        <f t="shared" si="392"/>
        <v>1.6595549374130736</v>
      </c>
      <c r="I174" s="25">
        <f t="shared" si="392"/>
        <v>1.9084390243902438</v>
      </c>
      <c r="J174" s="25">
        <f t="shared" si="392"/>
        <v>1.561593462717058</v>
      </c>
      <c r="K174" s="25">
        <f t="shared" si="392"/>
        <v>0.87248201438848916</v>
      </c>
      <c r="L174" s="25">
        <f t="shared" si="392"/>
        <v>1.5233160621761657</v>
      </c>
      <c r="M174" s="25">
        <f t="shared" si="392"/>
        <v>2.162351543942993</v>
      </c>
      <c r="N174" s="25">
        <f t="shared" si="392"/>
        <v>1.1761467889908257</v>
      </c>
      <c r="O174" s="25">
        <f t="shared" si="392"/>
        <v>1.4794117647058824</v>
      </c>
      <c r="P174" s="25">
        <f t="shared" si="392"/>
        <v>1.8632352941176471</v>
      </c>
      <c r="Q174" s="25">
        <f t="shared" ref="Q174" si="393">Q171/Q57</f>
        <v>1.7647058823529411</v>
      </c>
      <c r="R174" s="118">
        <f t="shared" si="378"/>
        <v>7.5480447647134685E-2</v>
      </c>
      <c r="S174" s="128"/>
      <c r="T174" s="119">
        <f t="shared" ref="T174:AC174" si="394">T171/T57</f>
        <v>1.9039935661764706</v>
      </c>
      <c r="U174" s="119">
        <f t="shared" si="394"/>
        <v>1.9456434254365811</v>
      </c>
      <c r="V174" s="119">
        <f t="shared" si="394"/>
        <v>1.9882043753680063</v>
      </c>
      <c r="W174" s="119">
        <f t="shared" si="394"/>
        <v>2.0316963460791815</v>
      </c>
      <c r="X174" s="119">
        <f t="shared" si="394"/>
        <v>2.0761397036496638</v>
      </c>
      <c r="Y174" s="119">
        <f t="shared" si="394"/>
        <v>2.1215552596670006</v>
      </c>
      <c r="Z174" s="119">
        <f t="shared" si="394"/>
        <v>2.1679642809722162</v>
      </c>
      <c r="AA174" s="119">
        <f t="shared" si="394"/>
        <v>2.2153884996184838</v>
      </c>
      <c r="AB174" s="119">
        <f t="shared" si="394"/>
        <v>2.263850123047638</v>
      </c>
      <c r="AC174" s="119">
        <f t="shared" si="394"/>
        <v>2.3133718444893048</v>
      </c>
      <c r="AD174" s="138">
        <f t="shared" si="381"/>
        <v>4.8335147955755442E-2</v>
      </c>
      <c r="AE174" s="31">
        <v>0.08</v>
      </c>
      <c r="AF174" s="127">
        <f t="shared" si="382"/>
        <v>17.322778677638386</v>
      </c>
    </row>
    <row r="175" spans="2:32" x14ac:dyDescent="0.2">
      <c r="B175" s="20" t="s">
        <v>259</v>
      </c>
      <c r="C175" s="25" t="e">
        <f t="shared" ref="C175:P175" si="395">C171/C66</f>
        <v>#DIV/0!</v>
      </c>
      <c r="D175" s="25" t="e">
        <f t="shared" si="395"/>
        <v>#DIV/0!</v>
      </c>
      <c r="E175" s="25" t="e">
        <f t="shared" si="395"/>
        <v>#DIV/0!</v>
      </c>
      <c r="F175" s="25" t="e">
        <f t="shared" si="395"/>
        <v>#DIV/0!</v>
      </c>
      <c r="G175" s="25">
        <f t="shared" si="395"/>
        <v>5.4782608695652169</v>
      </c>
      <c r="H175" s="25">
        <f t="shared" si="395"/>
        <v>10.653749999999999</v>
      </c>
      <c r="I175" s="25">
        <f t="shared" si="395"/>
        <v>13.262033898305084</v>
      </c>
      <c r="J175" s="25">
        <f t="shared" si="395"/>
        <v>10.919999999999998</v>
      </c>
      <c r="K175" s="25">
        <f t="shared" si="395"/>
        <v>5.8445783132530122</v>
      </c>
      <c r="L175" s="25">
        <f t="shared" si="395"/>
        <v>10.088235294117645</v>
      </c>
      <c r="M175" s="25">
        <f t="shared" si="395"/>
        <v>28.672440944881888</v>
      </c>
      <c r="N175" s="25">
        <f t="shared" si="395"/>
        <v>20.551145038167938</v>
      </c>
      <c r="O175" s="25">
        <f t="shared" si="395"/>
        <v>8.5357575757575752</v>
      </c>
      <c r="P175" s="25">
        <f t="shared" si="395"/>
        <v>10.75030303030303</v>
      </c>
      <c r="Q175" s="25">
        <f t="shared" ref="Q175" si="396">Q171/Q66</f>
        <v>10.181818181818182</v>
      </c>
      <c r="R175" s="118">
        <f t="shared" si="378"/>
        <v>6.9738926954343583E-2</v>
      </c>
      <c r="S175" s="128"/>
      <c r="T175" s="119">
        <f t="shared" ref="T175:AC175" si="397">T171/T66</f>
        <v>10.985465909090911</v>
      </c>
      <c r="U175" s="119">
        <f t="shared" si="397"/>
        <v>11.225772975852273</v>
      </c>
      <c r="V175" s="119">
        <f t="shared" si="397"/>
        <v>11.471336759699042</v>
      </c>
      <c r="W175" s="119">
        <f t="shared" si="397"/>
        <v>11.72227225131746</v>
      </c>
      <c r="X175" s="119">
        <f t="shared" si="397"/>
        <v>11.97869695681503</v>
      </c>
      <c r="Y175" s="119">
        <f t="shared" si="397"/>
        <v>12.240730952745359</v>
      </c>
      <c r="Z175" s="119">
        <f t="shared" si="397"/>
        <v>12.508496942336663</v>
      </c>
      <c r="AA175" s="119">
        <f t="shared" si="397"/>
        <v>12.78212031295028</v>
      </c>
      <c r="AB175" s="119">
        <f t="shared" si="397"/>
        <v>13.061729194796065</v>
      </c>
      <c r="AC175" s="119">
        <f t="shared" si="397"/>
        <v>13.347454520932232</v>
      </c>
      <c r="AD175" s="138">
        <f t="shared" si="381"/>
        <v>4.5533101332267734E-2</v>
      </c>
      <c r="AE175" s="31">
        <v>0.08</v>
      </c>
      <c r="AF175" s="127">
        <f t="shared" si="382"/>
        <v>99.680039429726222</v>
      </c>
    </row>
    <row r="176" spans="2:32" x14ac:dyDescent="0.2">
      <c r="B176" s="20" t="s">
        <v>260</v>
      </c>
      <c r="C176" s="25" t="e">
        <f t="shared" ref="C176:P176" si="398">C171/C68</f>
        <v>#DIV/0!</v>
      </c>
      <c r="D176" s="25" t="e">
        <f t="shared" si="398"/>
        <v>#DIV/0!</v>
      </c>
      <c r="E176" s="25" t="e">
        <f t="shared" si="398"/>
        <v>#DIV/0!</v>
      </c>
      <c r="F176" s="25" t="e">
        <f t="shared" si="398"/>
        <v>#DIV/0!</v>
      </c>
      <c r="G176" s="25">
        <f t="shared" si="398"/>
        <v>1.3432835820895521</v>
      </c>
      <c r="H176" s="25">
        <f t="shared" si="398"/>
        <v>2.3722067594433396</v>
      </c>
      <c r="I176" s="25">
        <f t="shared" si="398"/>
        <v>2.7074740484429065</v>
      </c>
      <c r="J176" s="25">
        <f t="shared" si="398"/>
        <v>2.4658064516129032</v>
      </c>
      <c r="K176" s="25">
        <f t="shared" si="398"/>
        <v>1.3840228245363766</v>
      </c>
      <c r="L176" s="25">
        <f t="shared" si="398"/>
        <v>7.2978723404255321</v>
      </c>
      <c r="M176" s="25">
        <f t="shared" si="398"/>
        <v>4.9208108108108108</v>
      </c>
      <c r="N176" s="25">
        <f t="shared" si="398"/>
        <v>4.2801271860095387</v>
      </c>
      <c r="O176" s="25">
        <f t="shared" si="398"/>
        <v>5.7879452054794518</v>
      </c>
      <c r="P176" s="25">
        <f t="shared" si="398"/>
        <v>7.2895890410958906</v>
      </c>
      <c r="Q176" s="25">
        <f t="shared" ref="Q176" si="399">Q171/Q68</f>
        <v>6.904109589041096</v>
      </c>
      <c r="R176" s="118">
        <f t="shared" si="378"/>
        <v>0.1842776516498088</v>
      </c>
      <c r="S176" s="128"/>
      <c r="T176" s="119">
        <f t="shared" ref="T176:AC176" si="400">T171/T68</f>
        <v>7.4490488013698632</v>
      </c>
      <c r="U176" s="119">
        <f t="shared" si="400"/>
        <v>7.6119967438998293</v>
      </c>
      <c r="V176" s="119">
        <f t="shared" si="400"/>
        <v>7.7785091726726376</v>
      </c>
      <c r="W176" s="119">
        <f t="shared" si="400"/>
        <v>7.9486640608248527</v>
      </c>
      <c r="X176" s="119">
        <f t="shared" si="400"/>
        <v>8.1225410871553976</v>
      </c>
      <c r="Y176" s="119">
        <f t="shared" si="400"/>
        <v>8.300221673436921</v>
      </c>
      <c r="Z176" s="119">
        <f t="shared" si="400"/>
        <v>8.4817890225433548</v>
      </c>
      <c r="AA176" s="119">
        <f t="shared" si="400"/>
        <v>8.6673281574114913</v>
      </c>
      <c r="AB176" s="119">
        <f t="shared" si="400"/>
        <v>8.8569259608548663</v>
      </c>
      <c r="AC176" s="119">
        <f t="shared" si="400"/>
        <v>9.0506712162485687</v>
      </c>
      <c r="AD176" s="138">
        <f t="shared" si="381"/>
        <v>0.10008350832091306</v>
      </c>
      <c r="AE176" s="31">
        <v>0.08</v>
      </c>
      <c r="AF176" s="127">
        <f t="shared" si="382"/>
        <v>71.117815315927359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1">G171/G62</f>
        <v>0.79646017699115035</v>
      </c>
      <c r="H177" s="182">
        <f t="shared" si="401"/>
        <v>1.5337017994858611</v>
      </c>
      <c r="I177" s="182">
        <f t="shared" si="401"/>
        <v>2.0270984455958549</v>
      </c>
      <c r="J177" s="182">
        <f t="shared" si="401"/>
        <v>1.6092631578947367</v>
      </c>
      <c r="K177" s="182">
        <f t="shared" si="401"/>
        <v>1.1875152998776008</v>
      </c>
      <c r="L177" s="182">
        <f t="shared" si="401"/>
        <v>1.4859205776173285</v>
      </c>
      <c r="M177" s="182">
        <f t="shared" si="401"/>
        <v>2.4179282868525895</v>
      </c>
      <c r="N177" s="182">
        <f t="shared" si="401"/>
        <v>1.998663697104677</v>
      </c>
      <c r="O177" s="182">
        <f t="shared" si="401"/>
        <v>2.2075235109717868</v>
      </c>
      <c r="P177" s="182">
        <f t="shared" si="401"/>
        <v>2.7802507836990595</v>
      </c>
      <c r="Q177" s="182">
        <f t="shared" ref="Q177" si="402">Q171/Q62</f>
        <v>2.6332288401253918</v>
      </c>
      <c r="R177" s="118">
        <f t="shared" ref="R177:R180" si="403">((P177/G177)^(1/($H$2-$H$1) ))-1</f>
        <v>0.1331619695665105</v>
      </c>
      <c r="S177" s="128"/>
      <c r="T177" s="135">
        <f t="shared" ref="T177:AC177" si="404">T171/T62</f>
        <v>2.8410687695924763</v>
      </c>
      <c r="U177" s="135">
        <f t="shared" si="404"/>
        <v>2.9032171489273106</v>
      </c>
      <c r="V177" s="135">
        <f t="shared" si="404"/>
        <v>2.966725024060096</v>
      </c>
      <c r="W177" s="135">
        <f t="shared" si="404"/>
        <v>3.0316221339614109</v>
      </c>
      <c r="X177" s="135">
        <f t="shared" si="404"/>
        <v>3.0979388681418163</v>
      </c>
      <c r="Y177" s="135">
        <f t="shared" si="404"/>
        <v>3.1657062808824188</v>
      </c>
      <c r="Z177" s="135">
        <f t="shared" si="404"/>
        <v>3.2349561057767224</v>
      </c>
      <c r="AA177" s="135">
        <f t="shared" si="404"/>
        <v>3.3057207705905887</v>
      </c>
      <c r="AB177" s="135">
        <f t="shared" si="404"/>
        <v>3.3780334124472557</v>
      </c>
      <c r="AC177" s="135">
        <f t="shared" si="404"/>
        <v>3.451927893344541</v>
      </c>
      <c r="AD177" s="138">
        <f t="shared" ref="AD177" si="405">((AC177/G177)^(1/($AC$3-$H$1) ))-1</f>
        <v>7.6080799777961783E-2</v>
      </c>
      <c r="AE177" s="31">
        <v>0.08</v>
      </c>
      <c r="AF177" s="127">
        <f t="shared" si="382"/>
        <v>26.53252377318606</v>
      </c>
    </row>
    <row r="178" spans="2:46" x14ac:dyDescent="0.2">
      <c r="B178" s="20" t="s">
        <v>371</v>
      </c>
      <c r="C178" s="161" t="e">
        <f t="shared" ref="C178:P178" si="406">C54/C171</f>
        <v>#DIV/0!</v>
      </c>
      <c r="D178" s="161" t="e">
        <f t="shared" si="406"/>
        <v>#DIV/0!</v>
      </c>
      <c r="E178" s="161" t="e">
        <f t="shared" si="406"/>
        <v>#DIV/0!</v>
      </c>
      <c r="F178" s="161" t="e">
        <f t="shared" si="406"/>
        <v>#DIV/0!</v>
      </c>
      <c r="G178" s="161">
        <f t="shared" si="406"/>
        <v>0.1873015873015873</v>
      </c>
      <c r="H178" s="161">
        <f t="shared" si="406"/>
        <v>2.4303984177268232E-2</v>
      </c>
      <c r="I178" s="161">
        <f t="shared" si="406"/>
        <v>5.048181376683792E-2</v>
      </c>
      <c r="J178" s="161">
        <f t="shared" si="406"/>
        <v>0.11119832548403977</v>
      </c>
      <c r="K178" s="161">
        <f t="shared" si="406"/>
        <v>0.14739229024943312</v>
      </c>
      <c r="L178" s="161">
        <f t="shared" si="406"/>
        <v>0.12196307094266277</v>
      </c>
      <c r="M178" s="161">
        <f t="shared" si="406"/>
        <v>9.8039215686274508E-2</v>
      </c>
      <c r="N178" s="161">
        <f t="shared" si="406"/>
        <v>0.22992348265359186</v>
      </c>
      <c r="O178" s="161">
        <f t="shared" si="406"/>
        <v>0.13727160844457068</v>
      </c>
      <c r="P178" s="161">
        <f t="shared" si="406"/>
        <v>0.15183974142143045</v>
      </c>
      <c r="Q178" s="161">
        <f t="shared" ref="Q178" si="407">Q54/Q171</f>
        <v>0.16031746031746033</v>
      </c>
      <c r="R178" s="118">
        <f t="shared" si="403"/>
        <v>-2.0770699932261882E-2</v>
      </c>
      <c r="S178" s="128"/>
      <c r="T178" s="161">
        <f t="shared" ref="T178:AC178" si="408">T54/T171</f>
        <v>0.14858934940323468</v>
      </c>
      <c r="U178" s="161">
        <f t="shared" si="408"/>
        <v>0.14540853764230915</v>
      </c>
      <c r="V178" s="161">
        <f t="shared" si="408"/>
        <v>0.14229581665302424</v>
      </c>
      <c r="W178" s="161">
        <f t="shared" si="408"/>
        <v>0.1392497288347638</v>
      </c>
      <c r="X178" s="161">
        <f t="shared" si="408"/>
        <v>0.13626884778937129</v>
      </c>
      <c r="Y178" s="161">
        <f t="shared" si="408"/>
        <v>0.13335177765320741</v>
      </c>
      <c r="Z178" s="161">
        <f t="shared" si="408"/>
        <v>0.13049715244350574</v>
      </c>
      <c r="AA178" s="161">
        <f t="shared" si="408"/>
        <v>0.12770363541872118</v>
      </c>
      <c r="AB178" s="161">
        <f t="shared" si="408"/>
        <v>0.12496991845257119</v>
      </c>
      <c r="AC178" s="161">
        <f t="shared" si="408"/>
        <v>0.1222947214214764</v>
      </c>
      <c r="AD178" s="138">
        <f t="shared" ref="AD178:AD180" si="409">((AC178/G178)^(1/($AC$3-$H$1) ))-1</f>
        <v>-2.108876553629524E-2</v>
      </c>
      <c r="AE178" s="31">
        <v>0.08</v>
      </c>
      <c r="AF178" s="127">
        <f t="shared" si="382"/>
        <v>0.85511197653637372</v>
      </c>
    </row>
    <row r="179" spans="2:46" x14ac:dyDescent="0.2">
      <c r="B179" s="20" t="s">
        <v>320</v>
      </c>
      <c r="C179" s="152" t="e">
        <f t="shared" ref="C179:P179" si="410">C44/C171</f>
        <v>#DIV/0!</v>
      </c>
      <c r="D179" s="152" t="e">
        <f t="shared" si="410"/>
        <v>#DIV/0!</v>
      </c>
      <c r="E179" s="152" t="e">
        <f t="shared" si="410"/>
        <v>#DIV/0!</v>
      </c>
      <c r="F179" s="152" t="e">
        <f t="shared" si="410"/>
        <v>#DIV/0!</v>
      </c>
      <c r="G179" s="152">
        <f t="shared" si="410"/>
        <v>1.3333333333333334E-2</v>
      </c>
      <c r="H179" s="152">
        <f t="shared" si="410"/>
        <v>7.0397747272087294E-3</v>
      </c>
      <c r="I179" s="152">
        <f t="shared" si="410"/>
        <v>5.3676865271068174E-3</v>
      </c>
      <c r="J179" s="152">
        <f t="shared" si="410"/>
        <v>5.4945054945054949E-3</v>
      </c>
      <c r="K179" s="152">
        <f t="shared" si="410"/>
        <v>8.658008658008658E-3</v>
      </c>
      <c r="L179" s="152">
        <f t="shared" si="410"/>
        <v>5.1020408163265302E-3</v>
      </c>
      <c r="M179" s="152">
        <f t="shared" si="410"/>
        <v>5.7670126874279125E-3</v>
      </c>
      <c r="N179" s="152">
        <f t="shared" si="410"/>
        <v>3.9001560062402497E-3</v>
      </c>
      <c r="O179" s="152">
        <f t="shared" si="410"/>
        <v>2.485089463220676E-3</v>
      </c>
      <c r="P179" s="152">
        <f t="shared" si="410"/>
        <v>1.9731649565903711E-3</v>
      </c>
      <c r="Q179" s="152">
        <f t="shared" ref="Q179" si="411">Q44/Q171</f>
        <v>2.5000000000000001E-3</v>
      </c>
      <c r="R179" s="118">
        <f t="shared" si="403"/>
        <v>-0.17391931901263302</v>
      </c>
      <c r="S179" s="128"/>
      <c r="T179" s="152">
        <f t="shared" ref="T179:AC179" si="412">T44/T171</f>
        <v>2.2809062800952912E-3</v>
      </c>
      <c r="U179" s="152">
        <f t="shared" si="412"/>
        <v>2.1972032973395007E-3</v>
      </c>
      <c r="V179" s="152">
        <f t="shared" si="412"/>
        <v>2.1165719836756655E-3</v>
      </c>
      <c r="W179" s="152">
        <f t="shared" si="412"/>
        <v>2.0388996173022465E-3</v>
      </c>
      <c r="X179" s="152">
        <f t="shared" si="412"/>
        <v>1.964077612997577E-3</v>
      </c>
      <c r="Y179" s="152">
        <f t="shared" si="412"/>
        <v>1.8920013703187667E-3</v>
      </c>
      <c r="Z179" s="152">
        <f t="shared" si="412"/>
        <v>1.8225701273712888E-3</v>
      </c>
      <c r="AA179" s="152">
        <f t="shared" si="412"/>
        <v>1.7556868199448193E-3</v>
      </c>
      <c r="AB179" s="152">
        <f t="shared" si="412"/>
        <v>1.6912579458184039E-3</v>
      </c>
      <c r="AC179" s="152">
        <f t="shared" si="412"/>
        <v>1.6291934340452515E-3</v>
      </c>
      <c r="AD179" s="138">
        <f t="shared" si="409"/>
        <v>-9.9773701909747325E-2</v>
      </c>
      <c r="AE179" s="31">
        <v>0.08</v>
      </c>
      <c r="AF179" s="127">
        <f t="shared" si="382"/>
        <v>1.0476019814310735E-2</v>
      </c>
    </row>
    <row r="180" spans="2:46" x14ac:dyDescent="0.2">
      <c r="B180" s="20" t="s">
        <v>447</v>
      </c>
      <c r="C180" s="181" t="e">
        <f t="shared" ref="C180:O180" si="413">(C173)/($L$2*100)</f>
        <v>#DIV/0!</v>
      </c>
      <c r="D180" s="181" t="e">
        <f t="shared" si="413"/>
        <v>#DIV/0!</v>
      </c>
      <c r="E180" s="181" t="e">
        <f t="shared" si="413"/>
        <v>#DIV/0!</v>
      </c>
      <c r="F180" s="181" t="e">
        <f t="shared" si="413"/>
        <v>#DIV/0!</v>
      </c>
      <c r="G180" s="181">
        <f t="shared" si="413"/>
        <v>0.44491525423728812</v>
      </c>
      <c r="H180" s="181">
        <f t="shared" si="413"/>
        <v>3.4287931034482759</v>
      </c>
      <c r="I180" s="181">
        <f t="shared" si="413"/>
        <v>1.650759493670886</v>
      </c>
      <c r="J180" s="181">
        <f t="shared" si="413"/>
        <v>0.74941176470588233</v>
      </c>
      <c r="K180" s="181">
        <f t="shared" si="413"/>
        <v>0.56538461538461537</v>
      </c>
      <c r="L180" s="181">
        <f t="shared" si="413"/>
        <v>0.68326693227091628</v>
      </c>
      <c r="M180" s="181">
        <f t="shared" si="413"/>
        <v>0.85</v>
      </c>
      <c r="N180" s="181">
        <f t="shared" si="413"/>
        <v>0.36243941841680133</v>
      </c>
      <c r="O180" s="181">
        <f t="shared" si="413"/>
        <v>0.60706896551724132</v>
      </c>
      <c r="P180" s="181">
        <f>(P173)/($L$2*100)</f>
        <v>0.54882425742574259</v>
      </c>
      <c r="Q180" s="181">
        <f>(Q173)/($L$2*100)</f>
        <v>0.51980198019801982</v>
      </c>
      <c r="R180" s="118">
        <f t="shared" si="403"/>
        <v>2.1211272917206481E-2</v>
      </c>
      <c r="S180" s="128"/>
      <c r="T180" s="181">
        <f>(T173)/($L$2*100)</f>
        <v>0.56082978805693073</v>
      </c>
      <c r="U180" s="181">
        <f t="shared" ref="U180:AC180" si="414">(U173)/($L$2*100)</f>
        <v>0.57309793967067613</v>
      </c>
      <c r="V180" s="181">
        <f t="shared" si="414"/>
        <v>0.58563445710097217</v>
      </c>
      <c r="W180" s="181">
        <f t="shared" si="414"/>
        <v>0.59844521085005586</v>
      </c>
      <c r="X180" s="181">
        <f t="shared" si="414"/>
        <v>0.61153619983740093</v>
      </c>
      <c r="Y180" s="181">
        <f t="shared" si="414"/>
        <v>0.62491355420884398</v>
      </c>
      <c r="Z180" s="181">
        <f t="shared" si="414"/>
        <v>0.6385835382071624</v>
      </c>
      <c r="AA180" s="181">
        <f t="shared" si="414"/>
        <v>0.65255255310544413</v>
      </c>
      <c r="AB180" s="181">
        <f t="shared" si="414"/>
        <v>0.66682714020462575</v>
      </c>
      <c r="AC180" s="181">
        <f t="shared" si="414"/>
        <v>0.6814139838966019</v>
      </c>
      <c r="AD180" s="138">
        <f t="shared" si="409"/>
        <v>2.1543082553188375E-2</v>
      </c>
      <c r="AE180" s="31">
        <v>0.08</v>
      </c>
      <c r="AF180" s="181">
        <f>(AF173)/($L$2*100)</f>
        <v>4.9720981543184521</v>
      </c>
    </row>
    <row r="181" spans="2:46" x14ac:dyDescent="0.2">
      <c r="B181" s="20" t="s">
        <v>448</v>
      </c>
      <c r="C181" s="152"/>
      <c r="D181" s="152"/>
      <c r="E181" s="152"/>
      <c r="F181" s="152"/>
      <c r="G181" s="152">
        <f t="shared" ref="G181:P181" si="415">G180-1</f>
        <v>-0.55508474576271194</v>
      </c>
      <c r="H181" s="152">
        <f t="shared" si="415"/>
        <v>2.4287931034482759</v>
      </c>
      <c r="I181" s="152">
        <f t="shared" si="415"/>
        <v>0.65075949367088604</v>
      </c>
      <c r="J181" s="152">
        <f t="shared" si="415"/>
        <v>-0.25058823529411767</v>
      </c>
      <c r="K181" s="152">
        <f t="shared" si="415"/>
        <v>-0.43461538461538463</v>
      </c>
      <c r="L181" s="152">
        <f t="shared" si="415"/>
        <v>-0.31673306772908372</v>
      </c>
      <c r="M181" s="152">
        <f t="shared" si="415"/>
        <v>-0.15000000000000002</v>
      </c>
      <c r="N181" s="152">
        <f t="shared" si="415"/>
        <v>-0.63756058158319862</v>
      </c>
      <c r="O181" s="152">
        <f t="shared" si="415"/>
        <v>-0.39293103448275868</v>
      </c>
      <c r="P181" s="152">
        <f t="shared" si="415"/>
        <v>-0.45117574257425741</v>
      </c>
      <c r="Q181" s="152">
        <f>Q180-1</f>
        <v>-0.48019801980198018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8" t="s">
        <v>351</v>
      </c>
      <c r="L183" s="209"/>
      <c r="M183" s="20"/>
      <c r="N183" s="20"/>
      <c r="O183" s="20"/>
      <c r="P183" s="108" t="s">
        <v>431</v>
      </c>
      <c r="Q183" s="108" t="s">
        <v>430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314</v>
      </c>
      <c r="D184" s="20"/>
      <c r="E184" s="20"/>
      <c r="F184" s="20"/>
      <c r="G184" s="20"/>
      <c r="H184" s="20"/>
      <c r="I184" s="20"/>
      <c r="J184" s="20"/>
      <c r="K184" s="20" t="s">
        <v>352</v>
      </c>
      <c r="L184" s="22">
        <v>1</v>
      </c>
      <c r="M184" s="20"/>
      <c r="N184" s="20"/>
      <c r="O184" s="20"/>
      <c r="P184" s="128">
        <f>(Q171-S159)/Q171</f>
        <v>0.97630828765874234</v>
      </c>
      <c r="Q184" s="128">
        <f>(Q171-T159)/Q171</f>
        <v>0.98050911566818122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349</v>
      </c>
      <c r="C185" s="20" t="s">
        <v>314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0.17799265648662568</v>
      </c>
      <c r="N185" s="20"/>
      <c r="O185" s="20"/>
      <c r="P185" s="128">
        <f>(Q171-S150)/Q171</f>
        <v>0.13209724647379562</v>
      </c>
      <c r="Q185" s="128">
        <f>(Q171-T150)/Q171</f>
        <v>0.87906273106602062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350</v>
      </c>
      <c r="C186" s="20" t="s">
        <v>314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-0.22871630605630261</v>
      </c>
      <c r="N186" s="20"/>
      <c r="O186" s="20"/>
      <c r="P186" s="128">
        <f>(Q171-S143)/Q171</f>
        <v>-0.29731963314444615</v>
      </c>
      <c r="Q186" s="128">
        <f>(Q171-T143)/Q171</f>
        <v>0.8192259527585608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353</v>
      </c>
      <c r="C187" s="20" t="s">
        <v>314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0.95452841304789193</v>
      </c>
      <c r="N187" s="20"/>
      <c r="O187" s="20"/>
      <c r="P187" s="128">
        <f>(Q171-S156)/Q171</f>
        <v>0.95198958277639922</v>
      </c>
      <c r="Q187" s="128">
        <f>(Q171-T156)/Q171</f>
        <v>0.99331002382949829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400</v>
      </c>
      <c r="C188" s="20" t="s">
        <v>314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0.40588619721608787</v>
      </c>
      <c r="N188" s="20"/>
      <c r="O188" s="20"/>
      <c r="P188" s="128">
        <f>(Q171-S168)/Q171</f>
        <v>0.37271484322731946</v>
      </c>
      <c r="Q188" s="128">
        <f>(Q171-T168)/Q171</f>
        <v>0.48394011130923387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2.7293517292851845</v>
      </c>
      <c r="Q189" s="25">
        <f>Q171/T142</f>
        <v>19.587112410164266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408</v>
      </c>
      <c r="AE189" s="115" t="s">
        <v>409</v>
      </c>
      <c r="AF189" s="115" t="s">
        <v>410</v>
      </c>
      <c r="AG189" s="115" t="s">
        <v>411</v>
      </c>
      <c r="AH189" s="115" t="s">
        <v>412</v>
      </c>
      <c r="AI189" s="115" t="s">
        <v>413</v>
      </c>
      <c r="AJ189" s="115" t="s">
        <v>414</v>
      </c>
      <c r="AK189" s="115" t="s">
        <v>415</v>
      </c>
      <c r="AL189" s="115" t="s">
        <v>416</v>
      </c>
      <c r="AM189" s="115" t="s">
        <v>417</v>
      </c>
      <c r="AN189" s="115" t="s">
        <v>418</v>
      </c>
      <c r="AO189" s="115" t="s">
        <v>419</v>
      </c>
      <c r="AP189" s="115" t="s">
        <v>420</v>
      </c>
      <c r="AQ189" s="115" t="s">
        <v>421</v>
      </c>
      <c r="AR189" s="115" t="s">
        <v>422</v>
      </c>
      <c r="AS189" s="115" t="s">
        <v>423</v>
      </c>
      <c r="AT189" s="115" t="s">
        <v>424</v>
      </c>
    </row>
    <row r="190" spans="2:46" x14ac:dyDescent="0.2">
      <c r="B190" s="20" t="s">
        <v>371</v>
      </c>
      <c r="C190" s="20"/>
      <c r="D190" s="20"/>
      <c r="E190" s="20"/>
      <c r="F190" s="20"/>
      <c r="G190" s="189" t="s">
        <v>449</v>
      </c>
      <c r="H190" s="190"/>
      <c r="I190" s="189" t="s">
        <v>450</v>
      </c>
      <c r="J190" s="190"/>
      <c r="K190" s="20"/>
      <c r="L190" s="189" t="s">
        <v>451</v>
      </c>
      <c r="M190" s="190"/>
      <c r="N190" s="189" t="s">
        <v>452</v>
      </c>
      <c r="O190" s="190"/>
      <c r="P190" s="152">
        <f>1/P189</f>
        <v>0.36638736930468807</v>
      </c>
      <c r="Q190" s="152">
        <f>1/Q189</f>
        <v>5.1053977689997518E-2</v>
      </c>
      <c r="R190" s="20"/>
      <c r="S190" s="20"/>
      <c r="T190" s="129">
        <f>Q171-T191</f>
        <v>11099.545454545454</v>
      </c>
      <c r="U190" s="185">
        <f>T190-U191</f>
        <v>10154.068181818182</v>
      </c>
      <c r="V190" s="185">
        <f t="shared" ref="V190:X190" si="416">U190-V191</f>
        <v>9161.3170454545452</v>
      </c>
      <c r="W190" s="185">
        <f t="shared" si="416"/>
        <v>8118.9283522727274</v>
      </c>
      <c r="X190" s="185">
        <f t="shared" si="416"/>
        <v>7024.4202244318185</v>
      </c>
      <c r="Y190" s="185">
        <f>X190-Y191</f>
        <v>5875.1866901988633</v>
      </c>
      <c r="Z190" s="185">
        <f t="shared" ref="Z190:AC190" si="417">Y190-Z191</f>
        <v>4668.4914792542604</v>
      </c>
      <c r="AA190" s="185">
        <f t="shared" si="417"/>
        <v>3401.4615077624276</v>
      </c>
      <c r="AB190" s="185">
        <f t="shared" si="417"/>
        <v>2071.0800376960033</v>
      </c>
      <c r="AC190" s="185">
        <f t="shared" si="417"/>
        <v>674.1794941262574</v>
      </c>
      <c r="AD190" s="185">
        <f t="shared" ref="AD190" si="418">AC190-AD191</f>
        <v>-792.56607662197575</v>
      </c>
      <c r="AE190" s="185">
        <f t="shared" ref="AE190" si="419">AD190-AE191</f>
        <v>-2332.6489259076207</v>
      </c>
      <c r="AF190" s="185">
        <f t="shared" ref="AF190" si="420">AE190-AF191</f>
        <v>-3949.7359176575478</v>
      </c>
      <c r="AG190" s="185">
        <f t="shared" ref="AG190" si="421">AF190-AG191</f>
        <v>-5647.6772589949715</v>
      </c>
      <c r="AH190" s="185">
        <f t="shared" ref="AH190" si="422">AG190-AH191</f>
        <v>-7430.515667399266</v>
      </c>
      <c r="AI190" s="185">
        <f t="shared" ref="AI190" si="423">AH190-AI191</f>
        <v>-9302.4959962237754</v>
      </c>
      <c r="AJ190" s="185">
        <f t="shared" ref="AJ190" si="424">AI190-AJ191</f>
        <v>-11268.07534148951</v>
      </c>
      <c r="AK190" s="185">
        <f t="shared" ref="AK190" si="425">AJ190-AK191</f>
        <v>-13331.933654018532</v>
      </c>
      <c r="AL190" s="185">
        <f t="shared" ref="AL190" si="426">AK190-AL191</f>
        <v>-15498.984882174005</v>
      </c>
      <c r="AM190" s="185">
        <f t="shared" ref="AM190" si="427">AL190-AM191</f>
        <v>-17774.388671737252</v>
      </c>
      <c r="AN190" s="185">
        <f t="shared" ref="AN190" si="428">AM190-AN191</f>
        <v>-20163.562650778662</v>
      </c>
      <c r="AO190" s="185">
        <f t="shared" ref="AO190" si="429">AN190-AO191</f>
        <v>-22672.195328772141</v>
      </c>
      <c r="AP190" s="185">
        <f t="shared" ref="AP190" si="430">AO190-AP191</f>
        <v>-25306.259640665296</v>
      </c>
      <c r="AQ190" s="185">
        <f t="shared" ref="AQ190" si="431">AP190-AQ191</f>
        <v>-28072.027168153109</v>
      </c>
      <c r="AR190" s="185">
        <f t="shared" ref="AR190" si="432">AQ190-AR191</f>
        <v>-30976.08307201531</v>
      </c>
      <c r="AS190" s="185">
        <f t="shared" ref="AS190" si="433">AR190-AS191</f>
        <v>-34025.341771070627</v>
      </c>
      <c r="AT190" s="185">
        <f t="shared" ref="AT190" si="434">AS190-AT191</f>
        <v>-37227.063405078705</v>
      </c>
    </row>
    <row r="191" spans="2:46" x14ac:dyDescent="0.2">
      <c r="B191" s="20" t="s">
        <v>397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13.992932862190814</v>
      </c>
      <c r="Q191" s="181">
        <f>Q171/R141</f>
        <v>13.992932862190814</v>
      </c>
      <c r="R191" s="20"/>
      <c r="S191" s="20"/>
      <c r="T191" s="186">
        <f>R141*(1+$K$191)</f>
        <v>900.45454545454538</v>
      </c>
      <c r="U191" s="186">
        <f>T191*(1+$K$191)</f>
        <v>945.47727272727275</v>
      </c>
      <c r="V191" s="186">
        <f t="shared" ref="V191:AC191" si="435">U191*(1+$K$191)</f>
        <v>992.75113636363642</v>
      </c>
      <c r="W191" s="186">
        <f t="shared" si="435"/>
        <v>1042.3886931818183</v>
      </c>
      <c r="X191" s="186">
        <f t="shared" si="435"/>
        <v>1094.5081278409093</v>
      </c>
      <c r="Y191" s="186">
        <f t="shared" si="435"/>
        <v>1149.2335342329548</v>
      </c>
      <c r="Z191" s="186">
        <f t="shared" si="435"/>
        <v>1206.6952109446026</v>
      </c>
      <c r="AA191" s="186">
        <f t="shared" si="435"/>
        <v>1267.0299714918328</v>
      </c>
      <c r="AB191" s="186">
        <f t="shared" si="435"/>
        <v>1330.3814700664245</v>
      </c>
      <c r="AC191" s="186">
        <f t="shared" si="435"/>
        <v>1396.9005435697459</v>
      </c>
      <c r="AD191" s="186">
        <f t="shared" ref="AD191" si="436">AC191*(1+$K$191)</f>
        <v>1466.7455707482331</v>
      </c>
      <c r="AE191" s="186">
        <f t="shared" ref="AE191" si="437">AD191*(1+$K$191)</f>
        <v>1540.0828492856449</v>
      </c>
      <c r="AF191" s="186">
        <f t="shared" ref="AF191" si="438">AE191*(1+$K$191)</f>
        <v>1617.0869917499272</v>
      </c>
      <c r="AG191" s="186">
        <f t="shared" ref="AG191" si="439">AF191*(1+$K$191)</f>
        <v>1697.9413413374236</v>
      </c>
      <c r="AH191" s="186">
        <f t="shared" ref="AH191" si="440">AG191*(1+$K$191)</f>
        <v>1782.8384084042948</v>
      </c>
      <c r="AI191" s="186">
        <f t="shared" ref="AI191" si="441">AH191*(1+$K$191)</f>
        <v>1871.9803288245096</v>
      </c>
      <c r="AJ191" s="186">
        <f t="shared" ref="AJ191" si="442">AI191*(1+$K$191)</f>
        <v>1965.5793452657351</v>
      </c>
      <c r="AK191" s="186">
        <f t="shared" ref="AK191" si="443">AJ191*(1+$K$191)</f>
        <v>2063.858312529022</v>
      </c>
      <c r="AL191" s="186">
        <f t="shared" ref="AL191" si="444">AK191*(1+$K$191)</f>
        <v>2167.0512281554734</v>
      </c>
      <c r="AM191" s="186">
        <f t="shared" ref="AM191" si="445">AL191*(1+$K$191)</f>
        <v>2275.4037895632473</v>
      </c>
      <c r="AN191" s="186">
        <f t="shared" ref="AN191" si="446">AM191*(1+$K$191)</f>
        <v>2389.1739790414099</v>
      </c>
      <c r="AO191" s="186">
        <f t="shared" ref="AO191" si="447">AN191*(1+$K$191)</f>
        <v>2508.6326779934807</v>
      </c>
      <c r="AP191" s="186">
        <f t="shared" ref="AP191" si="448">AO191*(1+$K$191)</f>
        <v>2634.0643118931548</v>
      </c>
      <c r="AQ191" s="186">
        <f t="shared" ref="AQ191" si="449">AP191*(1+$K$191)</f>
        <v>2765.7675274878125</v>
      </c>
      <c r="AR191" s="186">
        <f t="shared" ref="AR191" si="450">AQ191*(1+$K$191)</f>
        <v>2904.0559038622032</v>
      </c>
      <c r="AS191" s="186">
        <f t="shared" ref="AS191" si="451">AR191*(1+$K$191)</f>
        <v>3049.2586990553136</v>
      </c>
      <c r="AT191" s="186">
        <f t="shared" ref="AT191" si="452">AS191*(1+$K$191)</f>
        <v>3201.7216340080795</v>
      </c>
    </row>
    <row r="192" spans="2:46" x14ac:dyDescent="0.2">
      <c r="B192" s="20" t="s">
        <v>396</v>
      </c>
      <c r="C192" s="20"/>
      <c r="D192" s="20"/>
      <c r="E192" s="20"/>
      <c r="F192" s="20"/>
      <c r="G192" s="191">
        <v>0</v>
      </c>
      <c r="H192" s="192">
        <f>Q173</f>
        <v>6.2376237623762378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Q171/P54</f>
        <v>6.2376237623762378</v>
      </c>
      <c r="Q192" s="181">
        <f>Q171/Q54</f>
        <v>6.2376237623762378</v>
      </c>
      <c r="R192" s="20"/>
      <c r="S192" s="20"/>
      <c r="T192" s="186">
        <f>Q54*(1+$K$192)</f>
        <v>2020.0000000000002</v>
      </c>
      <c r="U192" s="186">
        <f>T192*(1+$K$192)</f>
        <v>2121.0000000000005</v>
      </c>
      <c r="V192" s="186">
        <f t="shared" ref="V192:AC192" si="453">U192*(1+$K$192)</f>
        <v>2227.0500000000006</v>
      </c>
      <c r="W192" s="186">
        <f t="shared" si="453"/>
        <v>2338.4025000000006</v>
      </c>
      <c r="X192" s="186">
        <f t="shared" si="453"/>
        <v>2455.3226250000007</v>
      </c>
      <c r="Y192" s="186">
        <f t="shared" si="453"/>
        <v>2578.0887562500006</v>
      </c>
      <c r="Z192" s="186">
        <f t="shared" si="453"/>
        <v>2706.9931940625006</v>
      </c>
      <c r="AA192" s="186">
        <f t="shared" si="453"/>
        <v>2842.3428537656259</v>
      </c>
      <c r="AB192" s="186">
        <f t="shared" si="453"/>
        <v>2984.4599964539075</v>
      </c>
      <c r="AC192" s="186">
        <f t="shared" si="453"/>
        <v>3133.6829962766028</v>
      </c>
      <c r="AD192" s="186">
        <f t="shared" ref="AD192" si="454">AC192*(1+$K$192)</f>
        <v>3290.3671460904329</v>
      </c>
      <c r="AE192" s="186">
        <f t="shared" ref="AE192" si="455">AD192*(1+$K$192)</f>
        <v>3454.8855033949549</v>
      </c>
      <c r="AF192" s="186">
        <f t="shared" ref="AF192" si="456">AE192*(1+$K$192)</f>
        <v>3627.629778564703</v>
      </c>
      <c r="AG192" s="186">
        <f t="shared" ref="AG192" si="457">AF192*(1+$K$192)</f>
        <v>3809.0112674929383</v>
      </c>
      <c r="AH192" s="186">
        <f t="shared" ref="AH192" si="458">AG192*(1+$K$192)</f>
        <v>3999.4618308675854</v>
      </c>
      <c r="AI192" s="186">
        <f t="shared" ref="AI192" si="459">AH192*(1+$K$192)</f>
        <v>4199.4349224109646</v>
      </c>
      <c r="AJ192" s="186">
        <f t="shared" ref="AJ192" si="460">AI192*(1+$K$192)</f>
        <v>4409.4066685315129</v>
      </c>
      <c r="AK192" s="186">
        <f t="shared" ref="AK192" si="461">AJ192*(1+$K$192)</f>
        <v>4629.8770019580888</v>
      </c>
      <c r="AL192" s="186">
        <f t="shared" ref="AL192" si="462">AK192*(1+$K$192)</f>
        <v>4861.3708520559931</v>
      </c>
      <c r="AM192" s="186">
        <f t="shared" ref="AM192" si="463">AL192*(1+$K$192)</f>
        <v>5104.4393946587925</v>
      </c>
      <c r="AN192" s="186">
        <f t="shared" ref="AN192" si="464">AM192*(1+$K$192)</f>
        <v>5359.6613643917326</v>
      </c>
      <c r="AO192" s="186">
        <f t="shared" ref="AO192" si="465">AN192*(1+$K$192)</f>
        <v>5627.6444326113196</v>
      </c>
      <c r="AP192" s="186">
        <f t="shared" ref="AP192" si="466">AO192*(1+$K$192)</f>
        <v>5909.0266542418858</v>
      </c>
      <c r="AQ192" s="186">
        <f t="shared" ref="AQ192" si="467">AP192*(1+$K$192)</f>
        <v>6204.4779869539807</v>
      </c>
      <c r="AR192" s="186">
        <f t="shared" ref="AR192" si="468">AQ192*(1+$K$192)</f>
        <v>6514.7018863016801</v>
      </c>
      <c r="AS192" s="186">
        <f t="shared" ref="AS192" si="469">AR192*(1+$K$192)</f>
        <v>6840.4369806167642</v>
      </c>
      <c r="AT192" s="186">
        <f t="shared" ref="AT192" si="470">AS192*(1+$K$192)</f>
        <v>7182.4588296476031</v>
      </c>
    </row>
    <row r="193" spans="2:46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129">
        <f>Q171-T192</f>
        <v>9980</v>
      </c>
      <c r="U193" s="185">
        <f>T193-U192</f>
        <v>7859</v>
      </c>
      <c r="V193" s="185">
        <f t="shared" ref="V193:AA193" si="471">U193-V192</f>
        <v>5631.9499999999989</v>
      </c>
      <c r="W193" s="185">
        <f t="shared" si="471"/>
        <v>3293.5474999999983</v>
      </c>
      <c r="X193" s="185">
        <f t="shared" si="471"/>
        <v>838.22487499999761</v>
      </c>
      <c r="Y193" s="185">
        <f t="shared" si="471"/>
        <v>-1739.863881250003</v>
      </c>
      <c r="Z193" s="185">
        <f t="shared" si="471"/>
        <v>-4446.8570753125041</v>
      </c>
      <c r="AA193" s="185">
        <f t="shared" si="471"/>
        <v>-7289.1999290781296</v>
      </c>
      <c r="AB193" s="185">
        <f>AA193-AB192</f>
        <v>-10273.659925532036</v>
      </c>
      <c r="AC193" s="185">
        <f t="shared" ref="AC193" si="472">AB193-AC192</f>
        <v>-13407.342921808638</v>
      </c>
      <c r="AD193" s="185">
        <f t="shared" ref="AD193" si="473">AC193-AD192</f>
        <v>-16697.710067899072</v>
      </c>
      <c r="AE193" s="185">
        <f t="shared" ref="AE193" si="474">AD193-AE192</f>
        <v>-20152.595571294027</v>
      </c>
      <c r="AF193" s="185">
        <f t="shared" ref="AF193" si="475">AE193-AF192</f>
        <v>-23780.225349858731</v>
      </c>
      <c r="AG193" s="185">
        <f t="shared" ref="AG193" si="476">AF193-AG192</f>
        <v>-27589.236617351668</v>
      </c>
      <c r="AH193" s="185">
        <f t="shared" ref="AH193" si="477">AG193-AH192</f>
        <v>-31588.698448219253</v>
      </c>
      <c r="AI193" s="185">
        <f t="shared" ref="AI193" si="478">AH193-AI192</f>
        <v>-35788.133370630218</v>
      </c>
      <c r="AJ193" s="185">
        <f t="shared" ref="AJ193" si="479">AI193-AJ192</f>
        <v>-40197.54003916173</v>
      </c>
      <c r="AK193" s="185">
        <f t="shared" ref="AK193" si="480">AJ193-AK192</f>
        <v>-44827.417041119821</v>
      </c>
      <c r="AL193" s="185">
        <f t="shared" ref="AL193" si="481">AK193-AL192</f>
        <v>-49688.787893175817</v>
      </c>
      <c r="AM193" s="185">
        <f t="shared" ref="AM193" si="482">AL193-AM192</f>
        <v>-54793.227287834612</v>
      </c>
      <c r="AN193" s="185">
        <f t="shared" ref="AN193" si="483">AM193-AN192</f>
        <v>-60152.888652226342</v>
      </c>
      <c r="AO193" s="185">
        <f t="shared" ref="AO193" si="484">AN193-AO192</f>
        <v>-65780.533084837662</v>
      </c>
      <c r="AP193" s="185">
        <f t="shared" ref="AP193" si="485">AO193-AP192</f>
        <v>-71689.559739079545</v>
      </c>
      <c r="AQ193" s="185">
        <f t="shared" ref="AQ193" si="486">AP193-AQ192</f>
        <v>-77894.037726033523</v>
      </c>
      <c r="AR193" s="185">
        <f t="shared" ref="AR193" si="487">AQ193-AR192</f>
        <v>-84408.739612335208</v>
      </c>
      <c r="AS193" s="185">
        <f t="shared" ref="AS193" si="488">AR193-AS192</f>
        <v>-91249.176592951975</v>
      </c>
      <c r="AT193" s="185">
        <f t="shared" ref="AT193" si="489">AS193-AT192</f>
        <v>-98431.635422599575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90">C10/C7</f>
        <v>#DIV/0!</v>
      </c>
      <c r="D195" s="25" t="e">
        <f t="shared" si="490"/>
        <v>#DIV/0!</v>
      </c>
      <c r="E195" s="25" t="e">
        <f t="shared" si="490"/>
        <v>#DIV/0!</v>
      </c>
      <c r="F195" s="25" t="e">
        <f t="shared" si="490"/>
        <v>#DIV/0!</v>
      </c>
      <c r="G195" s="25">
        <f t="shared" si="490"/>
        <v>0.41477272727272729</v>
      </c>
      <c r="H195" s="25">
        <f t="shared" si="490"/>
        <v>0.55325034578146615</v>
      </c>
      <c r="I195" s="25">
        <f t="shared" si="490"/>
        <v>0.65533980582524276</v>
      </c>
      <c r="J195" s="25">
        <f t="shared" si="490"/>
        <v>0.61749745676500511</v>
      </c>
      <c r="K195" s="25">
        <f t="shared" si="490"/>
        <v>0.86123545210384955</v>
      </c>
      <c r="L195" s="25">
        <f t="shared" si="490"/>
        <v>0.21549815498154981</v>
      </c>
      <c r="M195" s="25">
        <f t="shared" si="490"/>
        <v>0.56398104265402849</v>
      </c>
      <c r="N195" s="25">
        <f t="shared" si="490"/>
        <v>0.66085440278988661</v>
      </c>
      <c r="O195" s="25">
        <f t="shared" si="490"/>
        <v>0.57008039147151346</v>
      </c>
      <c r="P195" s="25">
        <f t="shared" si="490"/>
        <v>0.57008039147151346</v>
      </c>
      <c r="Q195" s="25">
        <f t="shared" ref="Q195" si="491">Q10/Q7</f>
        <v>0.57008039147151346</v>
      </c>
      <c r="R195" s="118">
        <f t="shared" ref="R195:R197" si="492">((P195/G195)^(1/($H$2-$H$1) ))-1</f>
        <v>3.2315839584748929E-2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7.3</v>
      </c>
      <c r="H196" s="112">
        <f t="shared" ref="H196:P196" si="493">H10/H12</f>
        <v>11.111111111111111</v>
      </c>
      <c r="I196" s="112">
        <f t="shared" si="493"/>
        <v>10.188679245283019</v>
      </c>
      <c r="J196" s="112">
        <f t="shared" si="493"/>
        <v>8.3150684931506849</v>
      </c>
      <c r="K196" s="112">
        <f t="shared" si="493"/>
        <v>9.4313725490196081</v>
      </c>
      <c r="L196" s="112">
        <f t="shared" si="493"/>
        <v>4.8666666666666663</v>
      </c>
      <c r="M196" s="112">
        <f t="shared" si="493"/>
        <v>17.62962962962963</v>
      </c>
      <c r="N196" s="112">
        <f t="shared" si="493"/>
        <v>26.137931034482758</v>
      </c>
      <c r="O196" s="112">
        <f t="shared" si="493"/>
        <v>25.092307692307692</v>
      </c>
      <c r="P196" s="112">
        <f t="shared" si="493"/>
        <v>25.092307692307692</v>
      </c>
      <c r="Q196" s="112">
        <f t="shared" ref="Q196" si="494">Q10/Q12</f>
        <v>25.092307692307692</v>
      </c>
      <c r="R196" s="118">
        <f t="shared" si="492"/>
        <v>0.13141458896550984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2.5391304347826087</v>
      </c>
      <c r="H197" s="25">
        <f t="shared" ref="H197:P197" si="495">H10/(H12+H13)</f>
        <v>3.5714285714285716</v>
      </c>
      <c r="I197" s="25">
        <f t="shared" si="495"/>
        <v>4.5762711864406782</v>
      </c>
      <c r="J197" s="25">
        <f t="shared" si="495"/>
        <v>4.3357142857142854</v>
      </c>
      <c r="K197" s="25">
        <f t="shared" si="495"/>
        <v>5.7951807228915664</v>
      </c>
      <c r="L197" s="25">
        <f t="shared" si="495"/>
        <v>1.4313725490196079</v>
      </c>
      <c r="M197" s="25">
        <f t="shared" si="495"/>
        <v>7.4960629921259843</v>
      </c>
      <c r="N197" s="25">
        <f t="shared" si="495"/>
        <v>11.572519083969466</v>
      </c>
      <c r="O197" s="25">
        <f t="shared" si="495"/>
        <v>3.2949494949494951</v>
      </c>
      <c r="P197" s="25">
        <f t="shared" si="495"/>
        <v>3.2949494949494951</v>
      </c>
      <c r="Q197" s="25">
        <f t="shared" ref="Q197" si="496">Q10/(Q12+Q13)</f>
        <v>3.2949494949494951</v>
      </c>
      <c r="R197" s="118">
        <f t="shared" si="492"/>
        <v>2.6399365988234891E-2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377</v>
      </c>
      <c r="D200" s="175"/>
      <c r="E200" s="175"/>
      <c r="F200" s="175"/>
      <c r="G200" s="175"/>
      <c r="H200" s="175"/>
      <c r="I200" s="175"/>
      <c r="J200" s="175"/>
      <c r="K200" s="20"/>
      <c r="L200" s="205" t="s">
        <v>337</v>
      </c>
      <c r="M200" s="206"/>
      <c r="N200" s="207"/>
      <c r="O200" s="23" t="s">
        <v>340</v>
      </c>
      <c r="P200" s="20"/>
      <c r="Q200" s="137"/>
      <c r="R200" s="205" t="s">
        <v>338</v>
      </c>
      <c r="S200" s="206"/>
      <c r="T200" s="207"/>
      <c r="U200" s="23" t="s">
        <v>340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339</v>
      </c>
      <c r="D201" s="166" t="s">
        <v>0</v>
      </c>
      <c r="E201" s="166" t="s">
        <v>378</v>
      </c>
      <c r="F201" s="166" t="s">
        <v>379</v>
      </c>
      <c r="G201" s="166" t="s">
        <v>380</v>
      </c>
      <c r="H201" s="166" t="s">
        <v>381</v>
      </c>
      <c r="I201" s="166" t="s">
        <v>382</v>
      </c>
      <c r="J201" s="166" t="s">
        <v>383</v>
      </c>
      <c r="K201" s="20"/>
      <c r="L201" s="166" t="s">
        <v>339</v>
      </c>
      <c r="M201" s="166"/>
      <c r="N201" s="166" t="s">
        <v>0</v>
      </c>
      <c r="O201" s="166" t="s">
        <v>372</v>
      </c>
      <c r="P201" s="20"/>
      <c r="Q201" s="20"/>
      <c r="R201" s="166" t="s">
        <v>339</v>
      </c>
      <c r="S201" s="166"/>
      <c r="T201" s="166" t="s">
        <v>0</v>
      </c>
      <c r="U201" s="166" t="s">
        <v>372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341</v>
      </c>
      <c r="D202" s="21">
        <v>1950</v>
      </c>
      <c r="E202" s="176" t="s">
        <v>384</v>
      </c>
      <c r="F202" s="22">
        <v>1</v>
      </c>
      <c r="G202" s="22">
        <v>1</v>
      </c>
      <c r="H202" s="167">
        <f>F202/G202</f>
        <v>1</v>
      </c>
      <c r="I202" s="167">
        <f>H202*D203</f>
        <v>1</v>
      </c>
      <c r="J202" s="177">
        <f>I202+D203</f>
        <v>2</v>
      </c>
      <c r="K202" s="20"/>
      <c r="L202" s="167" t="s">
        <v>341</v>
      </c>
      <c r="M202" s="167"/>
      <c r="N202" s="21">
        <v>1500</v>
      </c>
      <c r="O202" s="173">
        <f>N202</f>
        <v>1500</v>
      </c>
      <c r="P202" s="20"/>
      <c r="Q202" s="20"/>
      <c r="R202" s="167" t="s">
        <v>341</v>
      </c>
      <c r="S202" s="167"/>
      <c r="T202" s="21">
        <v>1950</v>
      </c>
      <c r="U202" s="173">
        <f>T202</f>
        <v>1950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342</v>
      </c>
      <c r="D203" s="21">
        <v>1</v>
      </c>
      <c r="E203" s="176" t="s">
        <v>385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2</v>
      </c>
      <c r="K203" s="20"/>
      <c r="L203" s="167" t="s">
        <v>342</v>
      </c>
      <c r="M203" s="167"/>
      <c r="N203" s="21">
        <v>1</v>
      </c>
      <c r="O203" s="173">
        <f>N203</f>
        <v>1</v>
      </c>
      <c r="P203" s="20"/>
      <c r="Q203" s="20"/>
      <c r="R203" s="167" t="s">
        <v>342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344</v>
      </c>
      <c r="D204" s="168">
        <f>D202*D203</f>
        <v>1950</v>
      </c>
      <c r="E204" s="176" t="s">
        <v>398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2</v>
      </c>
      <c r="K204" s="20"/>
      <c r="L204" s="167" t="s">
        <v>343</v>
      </c>
      <c r="M204" s="167"/>
      <c r="N204" s="168">
        <f>N202*N203</f>
        <v>1500</v>
      </c>
      <c r="O204" s="173">
        <f>N204</f>
        <v>1500</v>
      </c>
      <c r="P204" s="20"/>
      <c r="Q204" s="20"/>
      <c r="R204" s="167" t="s">
        <v>344</v>
      </c>
      <c r="S204" s="167"/>
      <c r="T204" s="168">
        <f>T202*T203</f>
        <v>1950</v>
      </c>
      <c r="U204" s="173">
        <f>T204</f>
        <v>1950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386</v>
      </c>
      <c r="F205" s="22">
        <v>10</v>
      </c>
      <c r="G205" s="22">
        <v>1</v>
      </c>
      <c r="H205" s="167">
        <f>F205/G205</f>
        <v>10</v>
      </c>
      <c r="I205" s="167">
        <f>H205*J204</f>
        <v>20</v>
      </c>
      <c r="J205" s="167">
        <f>I205</f>
        <v>20</v>
      </c>
      <c r="K205" s="20"/>
      <c r="L205" s="167" t="s">
        <v>345</v>
      </c>
      <c r="M205" s="167"/>
      <c r="N205" s="21">
        <v>23192</v>
      </c>
      <c r="O205" s="21">
        <v>24666</v>
      </c>
      <c r="P205" s="20"/>
      <c r="Q205" s="20"/>
      <c r="R205" s="167" t="s">
        <v>345</v>
      </c>
      <c r="S205" s="167"/>
      <c r="T205" s="21">
        <v>12670</v>
      </c>
      <c r="U205" s="21">
        <v>25000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345</v>
      </c>
      <c r="D206" s="21">
        <v>23000</v>
      </c>
      <c r="E206" s="176"/>
      <c r="F206" s="167"/>
      <c r="G206" s="167"/>
      <c r="H206" s="169" t="s">
        <v>387</v>
      </c>
      <c r="I206" s="167"/>
      <c r="J206" s="167">
        <f>J205</f>
        <v>20</v>
      </c>
      <c r="K206" s="20"/>
      <c r="L206" s="167" t="s">
        <v>346</v>
      </c>
      <c r="M206" s="167"/>
      <c r="N206" s="168">
        <f>N205*N203</f>
        <v>23192</v>
      </c>
      <c r="O206" s="168">
        <f>O205*O203</f>
        <v>24666</v>
      </c>
      <c r="P206" s="20"/>
      <c r="Q206" s="20"/>
      <c r="R206" s="167" t="s">
        <v>342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342</v>
      </c>
      <c r="D207" s="21">
        <v>1</v>
      </c>
      <c r="E207" s="176" t="s">
        <v>386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344</v>
      </c>
      <c r="S207" s="167"/>
      <c r="T207" s="168">
        <f>T206*T205</f>
        <v>12670</v>
      </c>
      <c r="U207" s="168">
        <f>U206*U205</f>
        <v>25000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344</v>
      </c>
      <c r="D208" s="168">
        <f>D207*D206</f>
        <v>23000</v>
      </c>
      <c r="E208" s="167"/>
      <c r="F208" s="167"/>
      <c r="G208" s="167"/>
      <c r="H208" s="169" t="s">
        <v>387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386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347</v>
      </c>
      <c r="M209" s="169"/>
      <c r="N209" s="170">
        <f>N206/N204</f>
        <v>15.461333333333334</v>
      </c>
      <c r="O209" s="170">
        <f>O206/O204</f>
        <v>16.443999999999999</v>
      </c>
      <c r="P209" s="20"/>
      <c r="Q209" s="20"/>
      <c r="R209" s="169" t="s">
        <v>347</v>
      </c>
      <c r="S209" s="169"/>
      <c r="T209" s="170">
        <f>T207/T204</f>
        <v>6.4974358974358974</v>
      </c>
      <c r="U209" s="170">
        <f>U207/U204</f>
        <v>12.820512820512821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347</v>
      </c>
      <c r="D210" s="170">
        <f>D208/D204</f>
        <v>11.794871794871796</v>
      </c>
      <c r="E210" s="176"/>
      <c r="F210" s="167"/>
      <c r="G210" s="167"/>
      <c r="H210" s="169" t="s">
        <v>387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8" t="s">
        <v>27</v>
      </c>
      <c r="E213" s="199"/>
      <c r="F213" s="199"/>
      <c r="G213" s="200"/>
      <c r="H213" s="20"/>
      <c r="I213" s="198" t="s">
        <v>393</v>
      </c>
      <c r="J213" s="199"/>
      <c r="K213" s="20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1950</v>
      </c>
      <c r="H214" s="20"/>
      <c r="I214" s="20" t="s">
        <v>28</v>
      </c>
      <c r="J214" s="127"/>
      <c r="K214" s="21">
        <f>G214</f>
        <v>1950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23000</v>
      </c>
      <c r="H215" s="20"/>
      <c r="I215" s="20" t="s">
        <v>29</v>
      </c>
      <c r="J215" s="20"/>
      <c r="K215" s="21">
        <f>G215</f>
        <v>23000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10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0.27988020580296658</v>
      </c>
      <c r="H217" s="20"/>
      <c r="I217" s="23" t="s">
        <v>394</v>
      </c>
      <c r="J217" s="23"/>
      <c r="K217" s="197">
        <f>(K215-K214)/K214</f>
        <v>10.794871794871796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120</v>
      </c>
      <c r="H218" s="20"/>
      <c r="I218" s="23" t="s">
        <v>395</v>
      </c>
      <c r="J218" s="23"/>
      <c r="K218" s="23">
        <f>K215/K214</f>
        <v>11.794871794871796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10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0.27988020580296658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0" t="s">
        <v>27</v>
      </c>
      <c r="K5" s="210"/>
      <c r="M5" s="210" t="s">
        <v>65</v>
      </c>
      <c r="N5" s="21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0" t="s">
        <v>36</v>
      </c>
      <c r="K14" s="210"/>
      <c r="L14" s="21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0" t="s">
        <v>27</v>
      </c>
      <c r="S5" s="21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0" t="s">
        <v>36</v>
      </c>
      <c r="S14" s="210"/>
      <c r="T14" s="21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0" t="s">
        <v>27</v>
      </c>
      <c r="C2" s="210"/>
      <c r="E2" s="210" t="s">
        <v>65</v>
      </c>
      <c r="F2" s="210"/>
      <c r="H2" s="214" t="s">
        <v>36</v>
      </c>
      <c r="I2" s="21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1" t="s">
        <v>68</v>
      </c>
      <c r="E10" s="212"/>
      <c r="F10" s="212"/>
      <c r="G10" s="212"/>
      <c r="H10" s="213"/>
      <c r="I10" s="211" t="s">
        <v>72</v>
      </c>
      <c r="J10" s="212"/>
      <c r="K10" s="212"/>
      <c r="L10" s="21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6" t="s">
        <v>432</v>
      </c>
      <c r="C3" s="217"/>
      <c r="F3" s="216" t="s">
        <v>433</v>
      </c>
      <c r="G3" s="217"/>
    </row>
    <row r="4" spans="2:7" x14ac:dyDescent="0.2">
      <c r="B4" s="188" t="s">
        <v>434</v>
      </c>
      <c r="C4" s="188"/>
      <c r="F4" s="188" t="s">
        <v>435</v>
      </c>
      <c r="G4" s="188"/>
    </row>
    <row r="5" spans="2:7" x14ac:dyDescent="0.2">
      <c r="B5" s="188" t="s">
        <v>436</v>
      </c>
      <c r="C5" s="188"/>
      <c r="F5" s="188" t="s">
        <v>292</v>
      </c>
      <c r="G5" s="188"/>
    </row>
    <row r="6" spans="2:7" x14ac:dyDescent="0.2">
      <c r="B6" s="188" t="s">
        <v>437</v>
      </c>
      <c r="C6" s="188"/>
      <c r="F6" s="188" t="s">
        <v>438</v>
      </c>
      <c r="G6" s="188"/>
    </row>
    <row r="7" spans="2:7" x14ac:dyDescent="0.2">
      <c r="B7" s="188" t="s">
        <v>439</v>
      </c>
      <c r="C7" s="188"/>
      <c r="F7" s="188" t="s">
        <v>440</v>
      </c>
      <c r="G7" s="188"/>
    </row>
    <row r="8" spans="2:7" x14ac:dyDescent="0.2">
      <c r="B8" s="188" t="s">
        <v>441</v>
      </c>
      <c r="C8" s="188"/>
      <c r="F8" s="188" t="s">
        <v>442</v>
      </c>
      <c r="G8" s="188"/>
    </row>
    <row r="9" spans="2:7" x14ac:dyDescent="0.2">
      <c r="B9" s="188" t="s">
        <v>443</v>
      </c>
      <c r="C9" s="188"/>
      <c r="F9" s="188" t="s">
        <v>444</v>
      </c>
      <c r="G9" s="188"/>
    </row>
    <row r="10" spans="2:7" x14ac:dyDescent="0.2">
      <c r="B10" s="188" t="s">
        <v>442</v>
      </c>
      <c r="C10" s="188"/>
      <c r="F10" s="188"/>
      <c r="G10" s="188"/>
    </row>
    <row r="11" spans="2:7" x14ac:dyDescent="0.2">
      <c r="B11" s="188" t="s">
        <v>445</v>
      </c>
      <c r="C11" s="188"/>
      <c r="F11" s="188"/>
      <c r="G11" s="188"/>
    </row>
    <row r="12" spans="2:7" x14ac:dyDescent="0.2">
      <c r="B12" s="188" t="s">
        <v>446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2014-12-15T09:08:45Z</dcterms:modified>
</cp:coreProperties>
</file>